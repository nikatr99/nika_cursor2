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PP - Results" sheetId="6" r:id="rId10"/>
    <sheet state="visible" name="PP - Data" sheetId="7" r:id="rId11"/>
    <sheet state="visible" name="Data - P&amp;L" sheetId="8" r:id="rId12"/>
    <sheet state="hidden" name="SupermetricsQueries" sheetId="9" r:id="rId13"/>
    <sheet state="hidden" name="Forecast" sheetId="10" r:id="rId14"/>
    <sheet state="hidden" name="Working Copy B2B - P&amp;L" sheetId="11" r:id="rId15"/>
    <sheet state="hidden" name="B2B - P&amp;L" sheetId="12" r:id="rId16"/>
    <sheet state="hidden" name="Ziga - TEST by prod." sheetId="13" r:id="rId17"/>
  </sheets>
  <definedNames>
    <definedName name="zsupermetrics_ru0GDtbZzDLHQOQtJJ6K08MvUDyyp7">#REF!</definedName>
    <definedName localSheetId="7" name="zsupermetrics_DQl8lUbpTRu3fayaJJi7lVfOGKjNU4">'Data - P&amp;L'!$A$3:$A$4</definedName>
    <definedName localSheetId="7"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7"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7" name="zsupermetrics_xwoIpANxRm908eDp5oKTwQpEI8gvD4">#REF!</definedName>
    <definedName localSheetId="7" name="zsupermetrics_n3GtLgiKpTmd2pYmQNMuq6TPD0qE0b">'Data - P&amp;L'!$B$4:$B$5</definedName>
    <definedName localSheetId="7" name="rdataslayer_42b112e4e4be4305bb4c1be75e2dd549">'Data - P&amp;L'!$B$2:$C$3</definedName>
    <definedName name="zsupermetrics_9i4W4hgd80uRpQLMeX0eRnESN8gjyv">#REF!</definedName>
    <definedName name="zsupermetrics_5bmwtOpHUbSYmDMeuCPkrxaojTprPP">#REF!</definedName>
    <definedName localSheetId="7" name="rdataslayer_3753ddf3234e496aa261974a0222e193">'Data - P&amp;L'!$H$2:$I$2</definedName>
    <definedName name="zsupermetrics_SGBxROnInO9rFyh3H7j2Lldx0Bdc5v">#REF!</definedName>
    <definedName name="zsupermetrics_pxuhRTEmIU93xSgKclyxajD0fCZ6rF">#REF!</definedName>
    <definedName localSheetId="7" name="zsupermetrics_ru0GDtbZzDLHQOQtJJ6K08MvUDyyp7">'Data - P&amp;L'!$B$4:$B$5</definedName>
    <definedName localSheetId="7" name="zsupermetrics_qWp7V908pNEYMtfv8QZvSTeDnBAHOU">'Data - P&amp;L'!$B$5:$C$13</definedName>
    <definedName name="rdataslayer_4a0f150f4f2f4e4f85c890c75b7a1fa4">#REF!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7" name="zsupermetrics_9i4W4hgd80uRpQLMeX0eRnESN8gjyv">'Data - P&amp;L'!$C$13</definedName>
    <definedName name="zsupermetrics_lx4cNai7gT6tH4j08ZRkI21Qlpjioi">#REF!</definedName>
    <definedName name="rdataslayer_d70e473bcafe40a3aa834ce157fb2ba3">#REF!</definedName>
    <definedName localSheetId="7"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7" name="zsupermetrics_iNpyVy90bWCI0yUaFQpxOtzWMa6sW4">'Data - P&amp;L'!$A$2:$A$3</definedName>
    <definedName localSheetId="7" name="rdataslayer_4a0f150f4f2f4e4f85c890c75b7a1fa4">'Data - P&amp;L'!$D$2:$E$3</definedName>
    <definedName name="zsupermetrics_BioPyGBzcBsy60UCQmPcTuFReEmghI">#REF!</definedName>
    <definedName name="zsupermetrics_qWp7V908pNEYMtfv8QZvSTeDnBAHOU">#REF!</definedName>
    <definedName localSheetId="5" name="zsupermetrics_8xojRjNDjo2jWHGDWjFEhflhyIq3Hq">#REF!</definedName>
    <definedName localSheetId="7" name="zsupermetrics_wbYMmT0YL9bAN0yhimW0ziPFnia9Dx">'Data - P&amp;L'!$A$2:$A$3</definedName>
    <definedName localSheetId="7" name="zsupermetrics_4VkB7ij7WO0JjKBEgvjB2GHjSy2Egm">'Data - P&amp;L'!$B$4:$C$10</definedName>
    <definedName localSheetId="7" name="zsupermetrics_lx4cNai7gT6tH4j08ZRkI21Qlpjioi">'Data - P&amp;L'!$B$4:$C$13</definedName>
    <definedName name="rdataslayer_42b112e4e4be4305bb4c1be75e2dd549">#REF!</definedName>
    <definedName name="rdataslayer_adf57e64065742daa5b4161161b1c3ca">#REF!</definedName>
    <definedName localSheetId="7" name="rdataslayer_adf57e64065742daa5b4161161b1c3ca">'Data - P&amp;L'!$B$4:$D$5</definedName>
    <definedName name="zsupermetrics_NugLlrQxlKiqhxQae8EFpITBm1pLCj">#REF!</definedName>
    <definedName name="zsupermetrics_xwoIpANxRm908eDp5oKTwQpEI8gvD4">#REF!</definedName>
    <definedName localSheetId="7" name="zsupermetrics_YsFuuYtr8vOdNXCCPiFJIO38NP4b2T">'Data - P&amp;L'!$B$4:$C$13</definedName>
    <definedName localSheetId="7" name="rdataslayer_d70e473bcafe40a3aa834ce157fb2ba3">'Data - P&amp;L'!$C$8:$D$9</definedName>
    <definedName localSheetId="7"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tc={3683d356-d7a2-4f57-9468-ecbfe9f2b50a}</author>
  </authors>
  <commentList>
    <comment authorId="0" xr:uid="{3683d356-d7a2-4f57-9468-ecbfe9f2b50a}" ref="A12">
      <text>
        <t xml:space="preserve">[Threaded comment]
 Your version of Excel allows you to read this threaded comment; however, any edits to it will get removed if the file is opened in a newer version of Excel. Learn more: https://go.microsoft.com/fwlink/?linkid=870924
Comment:
	@ziga.skrabl@mybirdbuddy.com - Glede na število prodanih seedsov dnevno se zdi revenue prenizek.
Assigned to ziga.skrabl@mybirdbuddy.com
Reply:
	export se ujemajo z meteorikom, čeprav vidim da če delimo seeds sales / qty, pride res dosti nižji sales price kot ga imamo.  sedaj deep divam še enkrat sc renewale, ki so sicer vidni v naših daily exportih za summary.
Reply:
	@benjamin@mybirdbuddy.com povsod kjer je stranka imela na orderju kupon "freebagsofseeds" (se pravi A/B testi), je line-item-total, ki ga jemljemo v Meteoriku = 0$, medtem ko se qty zabeleži. Zaradi tega je tudi manjši sales price na seedsih
Reply:
	Got it. Potem pa je good.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<sst xmlns="http://schemas.openxmlformats.org/spreadsheetml/2006/main" count="2987" uniqueCount="1412">
  <si>
    <t>FRI</t>
  </si>
  <si>
    <t>SAT</t>
  </si>
  <si>
    <t>SUN</t>
  </si>
  <si>
    <t>MON</t>
  </si>
  <si>
    <t>TUE</t>
  </si>
  <si>
    <t>WED</t>
  </si>
  <si>
    <t>THU</t>
  </si>
  <si>
    <t>Weekend Work</t>
  </si>
  <si>
    <t>Notes</t>
  </si>
  <si>
    <t>Women's Day
Offer: 30% off (MAP)</t>
  </si>
  <si>
    <t xml:space="preserve">A/B Testing - PRO #1 </t>
  </si>
  <si>
    <t>HBF Launch</t>
  </si>
  <si>
    <t>A/B Testing - Seeds #2 (First bag free &amp; $14.90 Price)</t>
  </si>
  <si>
    <t>PR - WSJ</t>
  </si>
  <si>
    <t>A/B Testing - Seeds #1 (First bag free &amp; $26.90 Price)</t>
  </si>
  <si>
    <t>HBF Price Increase
HBF - $289
HBF w/ Solar - $359</t>
  </si>
  <si>
    <t>Meta Advertising Stopped</t>
  </si>
  <si>
    <t>BestBuy - Deal of the day</t>
  </si>
  <si>
    <t>Patagonia Checkout Live</t>
  </si>
  <si>
    <t>HBF Shipping from June to August</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</si>
  <si>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</si>
  <si>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</si>
  <si>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</si>
  <si>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</si>
  <si>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</si>
  <si>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</si>
  <si>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</si>
  <si>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</si>
  <si>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</si>
  <si>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</si>
  <si>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</si>
  <si>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</si>
  <si>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</si>
  <si>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</si>
  <si>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</si>
  <si>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</si>
  <si>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</si>
  <si>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</si>
  <si>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</si>
  <si>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</si>
  <si>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</si>
  <si>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</si>
  <si>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</si>
  <si>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</si>
  <si>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</si>
  <si>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</si>
  <si>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</si>
  <si>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</si>
  <si>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</si>
  <si>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</si>
  <si>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</si>
  <si>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</si>
  <si>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</si>
  <si>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</si>
  <si>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</si>
  <si>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</si>
  <si>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</si>
  <si>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</si>
  <si>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</si>
  <si>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</si>
  <si>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</si>
  <si>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</si>
  <si>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</si>
  <si>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</si>
  <si>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</si>
  <si>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</si>
  <si>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</si>
  <si>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</si>
  <si>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</si>
  <si>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</si>
  <si>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</si>
  <si>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</si>
  <si>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</si>
  <si>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</si>
  <si>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</si>
  <si>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</si>
  <si>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</si>
  <si>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</si>
  <si>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</si>
  <si>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</si>
  <si>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</si>
  <si>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</si>
  <si>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</si>
  <si>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</si>
  <si>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</si>
  <si>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</si>
  <si>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</si>
  <si>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</si>
  <si>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</si>
  <si>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</si>
  <si>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</si>
  <si>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</si>
  <si>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</si>
  <si>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</si>
  <si>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</si>
  <si>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</si>
  <si>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</si>
  <si>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</si>
  <si>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</si>
  <si>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</si>
  <si>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</si>
  <si>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</si>
  <si>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</si>
  <si>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</si>
  <si>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MARCH</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</si>
  <si>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</si>
  <si>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</si>
  <si>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</si>
  <si>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</si>
  <si>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</si>
  <si>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</si>
  <si>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</si>
  <si>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</si>
  <si>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</si>
  <si>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</si>
  <si>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</si>
  <si>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</si>
  <si>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</si>
  <si>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</si>
  <si>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</si>
  <si>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</si>
  <si>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</si>
  <si>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</si>
  <si>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</si>
  <si>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</si>
  <si>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</si>
  <si>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</si>
  <si>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</si>
  <si>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</si>
  <si>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</si>
  <si>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</si>
  <si>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</si>
  <si>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</si>
  <si>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</si>
  <si>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</si>
  <si>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</si>
  <si>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</si>
  <si>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</si>
  <si>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</si>
  <si>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</si>
  <si>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</si>
  <si>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</si>
  <si>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</si>
  <si>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</si>
  <si>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</si>
  <si>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</si>
  <si>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</si>
  <si>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</si>
  <si>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</si>
  <si>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</si>
  <si>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</si>
  <si>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</si>
  <si>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</si>
  <si>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</si>
  <si>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</si>
  <si>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</si>
  <si>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</si>
  <si>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</si>
  <si>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</si>
  <si>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</si>
  <si>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</si>
  <si>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</si>
  <si>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</si>
  <si>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</si>
  <si>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</si>
  <si>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</si>
  <si>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</si>
  <si>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</si>
  <si>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</si>
  <si>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</si>
  <si>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</si>
  <si>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</si>
  <si>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</si>
  <si>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</si>
  <si>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</si>
  <si>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</si>
  <si>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</si>
  <si>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</si>
  <si>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</si>
  <si>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</si>
  <si>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</si>
  <si>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</si>
  <si>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</si>
  <si>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</si>
  <si>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</si>
  <si>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</si>
  <si>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</si>
  <si>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</si>
  <si>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</si>
  <si>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</si>
  <si>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</si>
  <si>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</si>
  <si>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</si>
  <si>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</si>
  <si>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</si>
  <si>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</si>
  <si>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</si>
  <si>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</si>
  <si>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</si>
  <si>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</si>
  <si>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</si>
  <si>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</si>
  <si>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</si>
  <si>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</si>
  <si>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</si>
  <si>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</si>
  <si>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</si>
  <si>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</si>
  <si>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</si>
  <si>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</si>
  <si>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</si>
  <si>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</si>
  <si>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</si>
  <si>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</si>
  <si>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</si>
  <si>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</si>
  <si>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</si>
  <si>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</si>
  <si>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</si>
  <si>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</si>
  <si>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</si>
  <si>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</si>
  <si>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</si>
  <si>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</si>
  <si>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</si>
  <si>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</si>
  <si>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</si>
  <si>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</si>
  <si>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</si>
  <si>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</si>
  <si>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</si>
  <si>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</si>
  <si>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</si>
  <si>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</si>
  <si>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</si>
  <si>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</si>
  <si>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</si>
  <si>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</si>
  <si>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</si>
  <si>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</si>
  <si>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</si>
  <si>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</si>
  <si>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</si>
  <si>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</si>
  <si>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</si>
  <si>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</si>
  <si>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</si>
  <si>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</si>
  <si>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</si>
  <si>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</si>
  <si>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</si>
  <si>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</si>
  <si>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</si>
  <si>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</si>
  <si>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</si>
  <si>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</si>
  <si>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</si>
  <si>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</si>
  <si>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</si>
  <si>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</si>
  <si>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</si>
  <si>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</si>
  <si>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</si>
  <si>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</si>
  <si>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</si>
  <si>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</si>
  <si>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</si>
  <si>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</si>
  <si>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</si>
  <si>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</si>
  <si>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</si>
  <si>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</si>
  <si>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</si>
  <si>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</si>
  <si>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</si>
  <si>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</si>
  <si>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</si>
  <si>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</si>
  <si>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</si>
  <si>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</si>
  <si>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</si>
  <si>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</si>
  <si>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</si>
  <si>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</si>
  <si>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</si>
  <si>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</si>
  <si>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</si>
  <si>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</si>
  <si>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</si>
  <si>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</si>
  <si>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</si>
  <si>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</si>
  <si>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</si>
  <si>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</si>
  <si>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</si>
  <si>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</si>
  <si>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</si>
  <si>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</si>
  <si>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</si>
  <si>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</si>
  <si>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</si>
  <si>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</si>
  <si>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</si>
  <si>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</si>
  <si>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</si>
  <si>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</si>
  <si>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</si>
  <si>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</si>
  <si>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</si>
  <si>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</si>
  <si>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</si>
  <si>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</si>
  <si>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</si>
  <si>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</si>
  <si>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</si>
  <si>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</si>
  <si>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</si>
  <si>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</si>
  <si>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</si>
  <si>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</si>
  <si>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</si>
  <si>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</si>
  <si>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</si>
  <si>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</si>
  <si>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</si>
  <si>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</si>
  <si>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</si>
  <si>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</si>
  <si>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</si>
  <si>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</si>
  <si>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</si>
  <si>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</si>
  <si>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</si>
  <si>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</si>
  <si>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</si>
  <si>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</si>
  <si>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</si>
  <si>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</si>
  <si>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</si>
  <si>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</si>
  <si>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</si>
  <si>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</si>
  <si>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</si>
  <si>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</si>
  <si>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</si>
  <si>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</si>
  <si>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</si>
  <si>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</si>
  <si>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</si>
  <si>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</si>
  <si>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</si>
  <si>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</si>
  <si>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</si>
  <si>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</si>
  <si>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</si>
  <si>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</si>
  <si>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</si>
  <si>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</si>
  <si>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</si>
  <si>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</si>
  <si>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</si>
  <si>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</si>
  <si>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</si>
  <si>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</si>
  <si>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</si>
  <si>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</si>
  <si>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</si>
  <si>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</si>
  <si>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</si>
  <si>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</si>
  <si>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</si>
  <si>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</si>
  <si>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</si>
  <si>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</si>
  <si>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</si>
  <si>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</si>
  <si>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</si>
  <si>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</si>
  <si>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</si>
  <si>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</si>
  <si>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</si>
  <si>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</si>
  <si>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</si>
  <si>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</si>
  <si>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</si>
  <si>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</si>
  <si>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</si>
  <si>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</si>
  <si>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</si>
  <si>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</si>
  <si>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</si>
  <si>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</si>
  <si>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</si>
  <si>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</si>
  <si>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</si>
  <si>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</si>
  <si>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</si>
  <si>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</si>
  <si>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</si>
  <si>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</si>
  <si>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</si>
  <si>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</si>
  <si>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</si>
  <si>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</si>
  <si>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</si>
  <si>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</si>
  <si>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</si>
  <si>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</si>
  <si>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</si>
  <si>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</si>
  <si>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</si>
  <si>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</si>
  <si>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</si>
  <si>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</si>
  <si>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</si>
  <si>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</si>
  <si>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</si>
  <si>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</si>
  <si>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</si>
  <si>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</si>
  <si>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</si>
  <si>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</si>
  <si>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</si>
  <si>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</si>
  <si>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</si>
  <si>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</si>
  <si>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</si>
  <si>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</si>
  <si>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</si>
  <si>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</si>
  <si>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</si>
  <si>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</si>
  <si>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</si>
  <si>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</si>
  <si>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</si>
  <si>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</si>
  <si>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</si>
  <si>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</si>
  <si>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</si>
  <si>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</si>
  <si>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</si>
  <si>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</si>
  <si>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</si>
  <si>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</si>
  <si>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</si>
  <si>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</si>
  <si>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</si>
  <si>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</si>
  <si>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</si>
  <si>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</si>
  <si>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</si>
  <si>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</si>
  <si>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</si>
  <si>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</si>
  <si>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</si>
  <si>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</si>
  <si>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</si>
  <si>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</si>
  <si>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</si>
  <si>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</si>
  <si>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</si>
  <si>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</si>
  <si>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</si>
  <si>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</si>
  <si>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</si>
  <si>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</si>
  <si>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</si>
  <si>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</si>
  <si>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</si>
  <si>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</si>
  <si>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</si>
  <si>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</si>
  <si>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</si>
  <si>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</si>
  <si>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</si>
  <si>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</si>
  <si>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</si>
  <si>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</si>
  <si>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</si>
  <si>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</si>
  <si>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</si>
  <si>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</si>
  <si>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</si>
  <si>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</si>
  <si>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</si>
  <si>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</si>
  <si>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</si>
  <si>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</si>
  <si>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</si>
  <si>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</si>
  <si>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</si>
  <si>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</si>
  <si>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</si>
  <si>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</si>
  <si>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</si>
  <si>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</si>
  <si>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</si>
  <si>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</si>
  <si>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</si>
  <si>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</si>
  <si>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</si>
  <si>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</si>
  <si>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</si>
  <si>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</si>
  <si>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</si>
  <si>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</si>
  <si>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</si>
  <si>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</si>
  <si>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</si>
  <si>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</si>
  <si>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</si>
  <si>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</si>
  <si>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</si>
  <si>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</si>
  <si>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</si>
  <si>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</si>
  <si>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</si>
  <si>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</si>
  <si>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</si>
  <si>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</si>
  <si>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</si>
  <si>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</si>
  <si>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</si>
  <si>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</si>
  <si>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</si>
  <si>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</si>
  <si>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</si>
  <si>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</si>
  <si>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</si>
  <si>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</si>
  <si>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</si>
  <si>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</si>
  <si>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</si>
  <si>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</si>
  <si>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</si>
  <si>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</si>
  <si>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</si>
  <si>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</si>
  <si>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</si>
  <si>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</si>
  <si>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</si>
  <si>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</si>
  <si>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</si>
  <si>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</si>
  <si>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</si>
  <si>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</si>
  <si>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</si>
  <si>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</si>
  <si>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</si>
  <si>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</si>
  <si>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</si>
  <si>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</si>
  <si>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</si>
  <si>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</si>
  <si>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</si>
  <si>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</si>
  <si>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</si>
  <si>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</si>
  <si>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</si>
  <si>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</si>
  <si>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</si>
  <si>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</si>
  <si>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</si>
  <si>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</si>
  <si>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</si>
  <si>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</si>
  <si>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</si>
  <si>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</si>
  <si>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</si>
  <si>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</si>
  <si>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</si>
  <si>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</si>
  <si>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</si>
  <si>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</si>
  <si>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</si>
  <si>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</si>
  <si>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</si>
  <si>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</si>
  <si>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</si>
  <si>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</si>
  <si>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</si>
  <si>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</si>
  <si>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</si>
  <si>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</si>
  <si>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</si>
  <si>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</si>
  <si>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</si>
  <si>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</si>
  <si>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</si>
  <si>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</si>
  <si>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</si>
  <si>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</si>
  <si>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</si>
  <si>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</si>
  <si>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</si>
  <si>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</si>
  <si>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</si>
  <si>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</si>
  <si>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</si>
  <si>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</si>
  <si>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</si>
  <si>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</si>
  <si>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</si>
  <si>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</si>
  <si>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</si>
  <si>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</si>
  <si>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</si>
  <si>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</si>
  <si>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</si>
  <si>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</si>
  <si>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</si>
  <si>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</si>
  <si>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</si>
  <si>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</si>
  <si>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</si>
  <si>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</si>
  <si>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</si>
  <si>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</si>
  <si>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</si>
  <si>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</si>
  <si>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</si>
  <si>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</si>
  <si>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</si>
  <si>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</si>
  <si>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</si>
  <si>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</si>
  <si>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</si>
  <si>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</si>
  <si>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</si>
  <si>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</si>
  <si>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</si>
  <si>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</si>
  <si>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</si>
  <si>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</si>
  <si>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</si>
  <si>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</si>
  <si>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</si>
  <si>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</si>
  <si>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</si>
  <si>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</si>
  <si>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</si>
  <si>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</si>
  <si>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</si>
  <si>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</si>
  <si>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</si>
  <si>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</si>
  <si>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</si>
  <si>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</si>
  <si>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</si>
  <si>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</si>
  <si>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</si>
  <si>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</si>
  <si>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</si>
  <si>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</si>
  <si>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</si>
  <si>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</si>
  <si>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</si>
  <si>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</si>
  <si>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</si>
  <si>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</si>
  <si>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</si>
  <si>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</si>
  <si>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</si>
  <si>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</si>
  <si>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</si>
  <si>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</si>
  <si>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</si>
  <si>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</si>
  <si>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</si>
  <si>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</si>
  <si>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</si>
  <si>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</si>
  <si>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</si>
  <si>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</si>
  <si>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</si>
  <si>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</si>
  <si>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</si>
  <si>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</si>
  <si>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</si>
  <si>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</si>
  <si>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</si>
  <si>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</si>
  <si>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</si>
  <si>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</si>
  <si>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</si>
  <si>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</si>
  <si>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</si>
  <si>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</si>
  <si>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</si>
  <si>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</si>
  <si>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</si>
  <si>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</si>
  <si>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</si>
  <si>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</si>
  <si>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</si>
  <si>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</si>
  <si>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</si>
  <si>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</si>
  <si>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</si>
  <si>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</si>
  <si>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</si>
  <si>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</si>
  <si>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</si>
  <si>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</si>
  <si>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</si>
  <si>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</si>
  <si>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</si>
  <si>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</si>
  <si>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</si>
  <si>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</si>
  <si>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</si>
  <si>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</si>
  <si>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</si>
  <si>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</si>
  <si>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</si>
  <si>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</si>
  <si>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</si>
  <si>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</si>
  <si>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</si>
  <si>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</si>
  <si>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</si>
  <si>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</si>
  <si>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</si>
  <si>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</si>
  <si>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</si>
  <si>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</si>
  <si>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</si>
  <si>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</si>
  <si>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</si>
  <si>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</si>
  <si>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</si>
  <si>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</si>
  <si>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</si>
  <si>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</si>
  <si>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</si>
  <si>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</si>
  <si>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</si>
  <si>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</si>
  <si>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</si>
  <si>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</si>
  <si>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</si>
  <si>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</si>
  <si>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</si>
  <si>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</si>
  <si>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</si>
  <si>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</si>
  <si>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</si>
  <si>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</si>
  <si>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</si>
  <si>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</si>
  <si>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</si>
  <si>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</si>
  <si>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</si>
  <si>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</si>
  <si>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</si>
  <si>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</si>
  <si>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</si>
  <si>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</si>
  <si>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</si>
  <si>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</si>
  <si>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</si>
  <si>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</si>
  <si>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</si>
  <si>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</si>
  <si>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</si>
  <si>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</si>
  <si>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</si>
  <si>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</si>
  <si>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</si>
  <si>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</si>
  <si>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</si>
  <si>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</si>
  <si>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</si>
  <si>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</si>
  <si>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</si>
  <si>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</si>
  <si>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Post-purchase Survey</t>
  </si>
  <si>
    <t>Facebook / Instagram</t>
  </si>
  <si>
    <t>Where on Facebook/Instagram have you heard about Bird Buddy?</t>
  </si>
  <si>
    <t>I saw an ad</t>
  </si>
  <si>
    <t>I saw a post about Bird Buddy on my friend's feed</t>
  </si>
  <si>
    <t>I saw an organic post from Bird Buddy</t>
  </si>
  <si>
    <t>Friends / Family</t>
  </si>
  <si>
    <t>TV / Radio</t>
  </si>
  <si>
    <t>Blog / Article</t>
  </si>
  <si>
    <t>Reddit</t>
  </si>
  <si>
    <t>Google, Youtube</t>
  </si>
  <si>
    <t>Yahoo, Bing</t>
  </si>
  <si>
    <t>Who is this for? (sub-question 3)</t>
  </si>
  <si>
    <t>Just me</t>
  </si>
  <si>
    <t>Did you compare us with other smart bird feeders before purchasing?</t>
  </si>
  <si>
    <t>Yes, I did extensive research</t>
  </si>
  <si>
    <t>Yes, but very briefly</t>
  </si>
  <si>
    <t>No, not at all</t>
  </si>
  <si>
    <t>How would you rate your bird knowledge?</t>
  </si>
  <si>
    <t>Beginner (New to birding)</t>
  </si>
  <si>
    <t>Intermediate (Moderate understanding)</t>
  </si>
  <si>
    <t>Advanced (In-depth knowledge)</t>
  </si>
  <si>
    <t>I will use with my family</t>
  </si>
  <si>
    <t>My parents</t>
  </si>
  <si>
    <t>How would you rate the bird knowledge of the person receiving the gift?</t>
  </si>
  <si>
    <t>Spouse</t>
  </si>
  <si>
    <t>Total</t>
  </si>
  <si>
    <t>%</t>
  </si>
  <si>
    <t>Total submissions:</t>
  </si>
  <si>
    <t>Post-purchase Survey Percentage</t>
  </si>
  <si>
    <t>Where on FB/IG have you heard about Bird Buddy?</t>
  </si>
  <si>
    <t>% Where on FB/IG have you heard about Bird Buddy?</t>
  </si>
  <si>
    <t>How important do you find acquiring knowledge in bird feeding?</t>
  </si>
  <si>
    <t>Very, I love learning about birds</t>
  </si>
  <si>
    <t>It's not the main point for me, but nice</t>
  </si>
  <si>
    <t>Not at all</t>
  </si>
  <si>
    <t>% Who is this for? (sub-question 3)</t>
  </si>
  <si>
    <t>% How important do you find acquiring knowledge in bird feeding?</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</si>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</sst>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quot;$&quot;* #,##0.00_);_(&quot;$&quot;* \(#,##0.00\);_(&quot;$&quot;* &quot;-&quot;??_);_(@_)"/>
    <numFmt numFmtId="168" formatCode="_-[$$-409]* #,##0.00_ ;_-[$$-409]* \-#,##0.00\ ;_-[$$-409]* &quot;-&quot;??_ ;_-@_ "/>
    <numFmt numFmtId="169" formatCode="[$€]#,##0.00"/>
    <numFmt numFmtId="170" formatCode="#,##0.0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1">
    <font>
      <sz val="10.0"/>
      <color rgb="FF000000"/>
      <name val="Arial"/>
      <scheme val="minor"/>
    </font>
    <font>
      <color theme="1"/>
      <name val="Arial"/>
    </font>
    <font>
      <color theme="1"/>
      <name val="Arial"/>
      <scheme val="minor"/>
    </font>
    <font>
      <sz val="10.0"/>
      <color rgb="FF202223"/>
      <name val="Arial"/>
      <scheme val="minor"/>
    </font>
    <font>
      <color rgb="FF1E1E1E"/>
      <name val="-apple-system"/>
    </font>
    <font>
      <i/>
      <sz val="9.0"/>
      <color theme="1"/>
      <name val="Arial"/>
      <scheme val="minor"/>
    </font>
    <font>
      <sz val="10.0"/>
      <color theme="1"/>
      <name val="Arial"/>
      <scheme val="minor"/>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b/>
      <color theme="1"/>
      <name val="Arial"/>
      <scheme val="minor"/>
    </font>
    <font>
      <b/>
      <color rgb="FFFFFFFF"/>
      <name val="Arial"/>
      <scheme val="minor"/>
    </font>
    <font>
      <b/>
      <color rgb="FFFFFFFF"/>
      <name val="Arial"/>
    </font>
    <font>
      <b/>
      <color rgb="FF000000"/>
      <name val="Arial"/>
    </font>
    <font>
      <b/>
      <color rgb="FF000000"/>
      <name val="Arial"/>
      <scheme val="minor"/>
    </font>
    <font>
      <color rgb="FF000000"/>
      <name val="Arial"/>
    </font>
    <font>
      <b/>
      <color theme="1"/>
      <name val="Arial"/>
    </font>
    <font>
      <u/>
      <color rgb="FF0000FF"/>
    </font>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5">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FFFF"/>
        <bgColor rgb="FFFFFFFF"/>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434343"/>
        <bgColor rgb="FF434343"/>
      </patternFill>
    </fill>
    <fill>
      <patternFill patternType="solid">
        <fgColor rgb="FFFFF3CC"/>
        <bgColor rgb="FFFFF3CC"/>
      </patternFill>
    </fill>
    <fill>
      <patternFill patternType="solid">
        <fgColor rgb="FF4A86E8"/>
        <bgColor rgb="FF4A86E8"/>
      </patternFill>
    </fill>
    <fill>
      <patternFill patternType="solid">
        <fgColor theme="0"/>
        <bgColor theme="0"/>
      </patternFill>
    </fill>
    <fill>
      <patternFill patternType="solid">
        <fgColor rgb="FFC9DBF9"/>
        <bgColor rgb="FFC9DBF9"/>
      </patternFill>
    </fill>
    <fill>
      <patternFill patternType="solid">
        <fgColor rgb="FFD0E2F4"/>
        <bgColor rgb="FFD0E2F4"/>
      </patternFill>
    </fill>
    <fill>
      <patternFill patternType="solid">
        <fgColor rgb="FF9CC2E5"/>
        <bgColor rgb="FF9CC2E5"/>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47">
    <border/>
    <border>
      <top style="thin">
        <color rgb="FF000000"/>
      </top>
    </border>
    <border>
      <top style="medium">
        <color rgb="FF666666"/>
      </top>
    </border>
    <border>
      <bottom style="thin">
        <color rgb="FFB7B7B7"/>
      </bottom>
    </border>
    <border>
      <right style="thin">
        <color rgb="FF000000"/>
      </right>
    </border>
    <border>
      <left style="medium">
        <color rgb="FF434343"/>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medium">
        <color rgb="FF434343"/>
      </left>
      <top style="thin">
        <color rgb="FF000000"/>
      </top>
    </border>
    <border>
      <left style="medium">
        <color rgb="FF434343"/>
      </left>
      <bottom style="thin">
        <color rgb="FF000000"/>
      </bottom>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
      <left style="thin">
        <color rgb="FF000000"/>
      </left>
      <top style="thick">
        <color rgb="FF000000"/>
      </top>
    </border>
    <border>
      <top style="thin">
        <color rgb="FFB7B7B7"/>
      </top>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s>
  <cellStyleXfs count="1">
    <xf borderId="0" fillId="0" fontId="0" numFmtId="0" applyAlignment="1" applyFont="1"/>
  </cellStyleXfs>
  <cellXfs count="872">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3" fontId="2" numFmtId="0" xfId="0" applyAlignment="1" applyFont="1">
      <alignment horizontal="center" readingOrder="0"/>
    </xf>
    <xf borderId="0" fillId="0" fontId="2" numFmtId="0" xfId="0" applyAlignment="1" applyFont="1">
      <alignment horizontal="center" readingOrder="0"/>
    </xf>
    <xf borderId="0" fillId="3" fontId="2" numFmtId="0" xfId="0" applyAlignment="1" applyFont="1">
      <alignment horizontal="center" readingOrder="0" vertical="center"/>
    </xf>
    <xf borderId="0" fillId="3" fontId="2" numFmtId="0" xfId="0" applyAlignment="1" applyFont="1">
      <alignment horizontal="center" readingOrder="0" shrinkToFit="0" wrapText="1"/>
    </xf>
    <xf borderId="0" fillId="5" fontId="2" numFmtId="0" xfId="0" applyAlignment="1" applyFill="1" applyFont="1">
      <alignment readingOrder="0"/>
    </xf>
    <xf borderId="0" fillId="0" fontId="3" numFmtId="166" xfId="0" applyAlignment="1" applyFont="1" applyNumberFormat="1">
      <alignment horizontal="right" readingOrder="0"/>
    </xf>
    <xf borderId="0" fillId="0" fontId="2" numFmtId="166" xfId="0" applyAlignment="1" applyFont="1" applyNumberFormat="1">
      <alignment readingOrder="0"/>
    </xf>
    <xf borderId="0" fillId="0" fontId="0" numFmtId="166" xfId="0" applyAlignment="1" applyFont="1" applyNumberFormat="1">
      <alignment horizontal="right" readingOrder="0"/>
    </xf>
    <xf borderId="0" fillId="0" fontId="4" numFmtId="166" xfId="0" applyAlignment="1" applyFont="1" applyNumberFormat="1">
      <alignment horizontal="right" readingOrder="0"/>
    </xf>
    <xf borderId="0" fillId="4" fontId="2" numFmtId="0" xfId="0" applyAlignment="1" applyFont="1">
      <alignment readingOrder="0"/>
    </xf>
    <xf borderId="0" fillId="4" fontId="3" numFmtId="166" xfId="0" applyAlignment="1" applyFont="1" applyNumberFormat="1">
      <alignment horizontal="right" readingOrder="0"/>
    </xf>
    <xf borderId="0" fillId="5" fontId="3" numFmtId="166" xfId="0" applyAlignment="1" applyFont="1" applyNumberFormat="1">
      <alignment horizontal="right" readingOrder="0"/>
    </xf>
    <xf borderId="1" fillId="4" fontId="2" numFmtId="0" xfId="0" applyAlignment="1" applyBorder="1" applyFont="1">
      <alignment readingOrder="0"/>
    </xf>
    <xf borderId="1" fillId="4" fontId="3" numFmtId="166" xfId="0" applyAlignment="1" applyBorder="1" applyFont="1" applyNumberFormat="1">
      <alignment horizontal="right" readingOrder="0"/>
    </xf>
    <xf borderId="0" fillId="2" fontId="2" numFmtId="0" xfId="0" applyAlignment="1" applyFont="1">
      <alignment readingOrder="0"/>
    </xf>
    <xf borderId="0" fillId="2" fontId="3" numFmtId="167"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5" numFmtId="0" xfId="0" applyAlignment="1" applyFont="1">
      <alignment readingOrder="0"/>
    </xf>
    <xf borderId="0" fillId="0" fontId="2" numFmtId="168" xfId="0" applyFont="1" applyNumberFormat="1"/>
    <xf borderId="0" fillId="6" fontId="2" numFmtId="168" xfId="0" applyFont="1" applyNumberFormat="1"/>
    <xf borderId="2" fillId="0" fontId="2" numFmtId="0" xfId="0" applyBorder="1" applyFont="1"/>
    <xf borderId="0" fillId="0" fontId="2" numFmtId="3" xfId="0" applyAlignment="1" applyFont="1" applyNumberFormat="1">
      <alignment readingOrder="0"/>
    </xf>
    <xf borderId="0" fillId="0" fontId="6" numFmtId="0" xfId="0" applyAlignment="1" applyFont="1">
      <alignment readingOrder="0"/>
    </xf>
    <xf borderId="0" fillId="4" fontId="2" numFmtId="1" xfId="0" applyAlignment="1" applyFont="1" applyNumberFormat="1">
      <alignment readingOrder="0"/>
    </xf>
    <xf borderId="0" fillId="0" fontId="3" numFmtId="3" xfId="0" applyAlignment="1" applyFont="1" applyNumberFormat="1">
      <alignment horizontal="right" readingOrder="0"/>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7" numFmtId="0" xfId="0" applyAlignment="1" applyFont="1">
      <alignment readingOrder="0" vertical="bottom"/>
    </xf>
    <xf borderId="0" fillId="0" fontId="8" numFmtId="169" xfId="0" applyAlignment="1" applyFont="1" applyNumberFormat="1">
      <alignment readingOrder="0"/>
    </xf>
    <xf borderId="3" fillId="0" fontId="9" numFmtId="0" xfId="0" applyAlignment="1" applyBorder="1" applyFont="1">
      <alignment vertical="bottom"/>
    </xf>
    <xf borderId="3" fillId="0" fontId="9" numFmtId="170" xfId="0" applyAlignment="1" applyBorder="1" applyFont="1" applyNumberFormat="1">
      <alignment horizontal="right" readingOrder="0" vertical="bottom"/>
    </xf>
    <xf borderId="3" fillId="0" fontId="9" numFmtId="170" xfId="0" applyAlignment="1" applyBorder="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7" fontId="2" numFmtId="0" xfId="0" applyAlignment="1" applyFill="1" applyFont="1">
      <alignment readingOrder="0"/>
    </xf>
    <xf borderId="0" fillId="7" fontId="2" numFmtId="166" xfId="0" applyFont="1" applyNumberFormat="1"/>
    <xf borderId="0" fillId="8" fontId="2" numFmtId="0" xfId="0" applyAlignment="1" applyFill="1" applyFont="1">
      <alignment readingOrder="0"/>
    </xf>
    <xf borderId="0" fillId="8" fontId="2" numFmtId="166" xfId="0" applyFont="1" applyNumberFormat="1"/>
    <xf borderId="0" fillId="0" fontId="10" numFmtId="169" xfId="0" applyAlignment="1" applyFont="1" applyNumberFormat="1">
      <alignment readingOrder="0"/>
    </xf>
    <xf borderId="0" fillId="0" fontId="10" numFmtId="169" xfId="0" applyFont="1" applyNumberFormat="1"/>
    <xf borderId="0" fillId="8" fontId="1" numFmtId="0" xfId="0" applyAlignment="1" applyFont="1">
      <alignment vertical="bottom"/>
    </xf>
    <xf borderId="0" fillId="8" fontId="1" numFmtId="166" xfId="0" applyAlignment="1" applyFont="1" applyNumberFormat="1">
      <alignment vertical="bottom"/>
    </xf>
    <xf borderId="0" fillId="9"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0" fontId="2" numFmtId="166" xfId="0" applyAlignment="1" applyFill="1" applyFont="1" applyNumberFormat="1">
      <alignment readingOrder="0"/>
    </xf>
    <xf borderId="0" fillId="0" fontId="2" numFmtId="166" xfId="0" applyAlignment="1" applyFont="1" applyNumberFormat="1">
      <alignment readingOrder="0"/>
    </xf>
    <xf borderId="0" fillId="0" fontId="11" numFmtId="166" xfId="0" applyAlignment="1" applyFont="1" applyNumberFormat="1">
      <alignment horizontal="right" readingOrder="0" vertical="bottom"/>
    </xf>
    <xf borderId="0" fillId="2" fontId="2" numFmtId="171" xfId="0" applyAlignment="1" applyFont="1" applyNumberFormat="1">
      <alignment readingOrder="0"/>
    </xf>
    <xf borderId="0" fillId="2" fontId="2" numFmtId="0" xfId="0" applyAlignment="1" applyFont="1">
      <alignment horizontal="right" readingOrder="0"/>
    </xf>
    <xf borderId="0" fillId="0" fontId="12" numFmtId="172" xfId="0" applyAlignment="1" applyFont="1" applyNumberFormat="1">
      <alignment readingOrder="0"/>
    </xf>
    <xf borderId="0" fillId="0" fontId="12" numFmtId="10" xfId="0" applyFont="1" applyNumberFormat="1"/>
    <xf borderId="0" fillId="0" fontId="2" numFmtId="10" xfId="0" applyFont="1" applyNumberFormat="1"/>
    <xf borderId="0" fillId="0" fontId="2" numFmtId="2" xfId="0" applyAlignment="1" applyFont="1" applyNumberFormat="1">
      <alignment readingOrder="0"/>
    </xf>
    <xf borderId="0" fillId="0" fontId="12" numFmtId="2" xfId="0" applyAlignment="1" applyFont="1" applyNumberFormat="1">
      <alignment readingOrder="0"/>
    </xf>
    <xf borderId="0" fillId="0" fontId="12" numFmtId="166" xfId="0" applyAlignment="1" applyFont="1" applyNumberFormat="1">
      <alignment readingOrder="0"/>
    </xf>
    <xf borderId="0" fillId="0" fontId="12" numFmtId="10" xfId="0" applyAlignment="1" applyFont="1" applyNumberFormat="1">
      <alignment readingOrder="0"/>
    </xf>
    <xf borderId="0" fillId="0" fontId="2" numFmtId="3" xfId="0" applyFont="1" applyNumberFormat="1"/>
    <xf borderId="0" fillId="0" fontId="12" numFmtId="0" xfId="0" applyAlignment="1" applyFont="1">
      <alignment readingOrder="0"/>
    </xf>
    <xf borderId="0" fillId="0" fontId="12" numFmtId="3" xfId="0" applyAlignment="1" applyFont="1" applyNumberFormat="1">
      <alignment readingOrder="0"/>
    </xf>
    <xf borderId="0" fillId="0" fontId="5" numFmtId="3" xfId="0" applyFont="1" applyNumberFormat="1"/>
    <xf borderId="0" fillId="0" fontId="13" numFmtId="166" xfId="0" applyAlignment="1" applyFont="1" applyNumberFormat="1">
      <alignment horizontal="left" readingOrder="0"/>
    </xf>
    <xf borderId="0" fillId="10" fontId="14" numFmtId="0" xfId="0" applyFont="1"/>
    <xf borderId="4" fillId="11" fontId="15" numFmtId="0" xfId="0" applyAlignment="1" applyBorder="1" applyFill="1" applyFont="1">
      <alignment horizontal="left" readingOrder="0" vertical="bottom"/>
    </xf>
    <xf borderId="0" fillId="11" fontId="15" numFmtId="165" xfId="0" applyAlignment="1" applyFont="1" applyNumberFormat="1">
      <alignment horizontal="center" readingOrder="0" vertical="bottom"/>
    </xf>
    <xf borderId="5" fillId="3" fontId="16" numFmtId="0" xfId="0" applyAlignment="1" applyBorder="1" applyFont="1">
      <alignment vertical="bottom"/>
    </xf>
    <xf borderId="4" fillId="12" fontId="15" numFmtId="0" xfId="0" applyAlignment="1" applyBorder="1" applyFill="1" applyFont="1">
      <alignment readingOrder="0" vertical="bottom"/>
    </xf>
    <xf borderId="0" fillId="12" fontId="15" numFmtId="0" xfId="0" applyAlignment="1" applyFont="1">
      <alignment horizontal="center" readingOrder="0" vertical="bottom"/>
    </xf>
    <xf borderId="4" fillId="13" fontId="15" numFmtId="0" xfId="0" applyAlignment="1" applyBorder="1" applyFill="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4" fillId="14" fontId="16" numFmtId="0" xfId="0" applyAlignment="1" applyBorder="1" applyFill="1" applyFont="1">
      <alignment readingOrder="0" vertical="bottom"/>
    </xf>
    <xf borderId="4" fillId="0" fontId="16" numFmtId="0" xfId="0" applyAlignment="1" applyBorder="1" applyFont="1">
      <alignment readingOrder="0" vertical="bottom"/>
    </xf>
    <xf borderId="6" fillId="15" fontId="16" numFmtId="0" xfId="0" applyAlignment="1" applyBorder="1" applyFill="1" applyFont="1">
      <alignment horizontal="right" readingOrder="0" vertical="bottom"/>
    </xf>
    <xf borderId="0" fillId="15" fontId="16" numFmtId="0" xfId="0" applyAlignment="1" applyFont="1">
      <alignment horizontal="right" readingOrder="0" vertical="bottom"/>
    </xf>
    <xf borderId="0" fillId="2" fontId="16" numFmtId="0" xfId="0" applyAlignment="1" applyFont="1">
      <alignment horizontal="right" readingOrder="0" vertical="bottom"/>
    </xf>
    <xf borderId="0" fillId="15" fontId="16" numFmtId="3" xfId="0" applyAlignment="1" applyFont="1" applyNumberFormat="1">
      <alignment horizontal="right" readingOrder="0" vertical="bottom"/>
    </xf>
    <xf borderId="0" fillId="15" fontId="16" numFmtId="0" xfId="0" applyAlignment="1" applyFont="1">
      <alignment readingOrder="0" vertical="bottom"/>
    </xf>
    <xf borderId="0" fillId="2" fontId="16" numFmtId="0" xfId="0" applyAlignment="1" applyFont="1">
      <alignment readingOrder="0" vertical="bottom"/>
    </xf>
    <xf borderId="5" fillId="3" fontId="17" numFmtId="168" xfId="0" applyAlignment="1" applyBorder="1" applyFont="1" applyNumberFormat="1">
      <alignment horizontal="right" vertical="bottom"/>
    </xf>
    <xf borderId="6" fillId="15" fontId="16" numFmtId="1" xfId="0" applyAlignment="1" applyBorder="1" applyFont="1" applyNumberFormat="1">
      <alignment horizontal="right" readingOrder="0" vertical="bottom"/>
    </xf>
    <xf borderId="0" fillId="15" fontId="16" numFmtId="1" xfId="0" applyAlignment="1" applyFont="1" applyNumberFormat="1">
      <alignment horizontal="right" readingOrder="0" vertical="bottom"/>
    </xf>
    <xf borderId="0" fillId="2" fontId="16" numFmtId="1" xfId="0" applyAlignment="1" applyFont="1" applyNumberFormat="1">
      <alignment horizontal="right" readingOrder="0" vertical="bottom"/>
    </xf>
    <xf borderId="0" fillId="15" fontId="16" numFmtId="1" xfId="0" applyAlignment="1" applyFont="1" applyNumberFormat="1">
      <alignment readingOrder="0" vertical="bottom"/>
    </xf>
    <xf borderId="4" fillId="0" fontId="16" numFmtId="0" xfId="0" applyAlignment="1" applyBorder="1" applyFont="1">
      <alignment vertical="bottom"/>
    </xf>
    <xf borderId="7" fillId="0" fontId="16" numFmtId="0" xfId="0" applyAlignment="1" applyBorder="1" applyFont="1">
      <alignment readingOrder="0" vertical="bottom"/>
    </xf>
    <xf borderId="8" fillId="15" fontId="16" numFmtId="0" xfId="0" applyAlignment="1" applyBorder="1" applyFont="1">
      <alignment horizontal="right" readingOrder="0" vertical="bottom"/>
    </xf>
    <xf borderId="8" fillId="2" fontId="16" numFmtId="0" xfId="0" applyAlignment="1" applyBorder="1" applyFont="1">
      <alignment horizontal="right" readingOrder="0" vertical="bottom"/>
    </xf>
    <xf borderId="4" fillId="16" fontId="16" numFmtId="0" xfId="0" applyAlignment="1" applyBorder="1" applyFill="1" applyFont="1">
      <alignment readingOrder="0" vertical="bottom"/>
    </xf>
    <xf borderId="0" fillId="16" fontId="16" numFmtId="0" xfId="0" applyAlignment="1" applyFont="1">
      <alignment horizontal="center" readingOrder="0" vertical="bottom"/>
    </xf>
    <xf borderId="9" fillId="16" fontId="16" numFmtId="0" xfId="0" applyAlignment="1" applyBorder="1" applyFont="1">
      <alignment readingOrder="0" vertical="bottom"/>
    </xf>
    <xf borderId="4" fillId="0" fontId="18" numFmtId="0" xfId="0" applyAlignment="1" applyBorder="1" applyFont="1">
      <alignment readingOrder="0" vertical="bottom"/>
    </xf>
    <xf borderId="0" fillId="0" fontId="18" numFmtId="1" xfId="0" applyAlignment="1" applyFont="1" applyNumberFormat="1">
      <alignment horizontal="right" vertical="bottom"/>
    </xf>
    <xf borderId="5" fillId="3" fontId="19" numFmtId="169" xfId="0" applyAlignment="1" applyBorder="1" applyFont="1" applyNumberFormat="1">
      <alignment horizontal="right" vertical="bottom"/>
    </xf>
    <xf borderId="4" fillId="17" fontId="16" numFmtId="0" xfId="0" applyAlignment="1" applyBorder="1" applyFill="1" applyFont="1">
      <alignment readingOrder="0" vertical="bottom"/>
    </xf>
    <xf borderId="0" fillId="10" fontId="20" numFmtId="169" xfId="0" applyAlignment="1" applyFont="1" applyNumberFormat="1">
      <alignment readingOrder="0" vertical="bottom"/>
    </xf>
    <xf borderId="0" fillId="15" fontId="16" numFmtId="166" xfId="0" applyAlignment="1" applyFont="1" applyNumberFormat="1">
      <alignment horizontal="right" readingOrder="0" vertical="bottom"/>
    </xf>
    <xf borderId="6" fillId="15" fontId="16" numFmtId="166" xfId="0" applyAlignment="1" applyBorder="1" applyFont="1" applyNumberFormat="1">
      <alignment horizontal="right" readingOrder="0" vertical="bottom"/>
    </xf>
    <xf borderId="0" fillId="2" fontId="16" numFmtId="166" xfId="0" applyAlignment="1" applyFont="1" applyNumberFormat="1">
      <alignment horizontal="right" readingOrder="0" vertical="bottom"/>
    </xf>
    <xf borderId="0" fillId="15" fontId="16" numFmtId="166" xfId="0" applyAlignment="1" applyFont="1" applyNumberFormat="1">
      <alignment readingOrder="0" vertical="bottom"/>
    </xf>
    <xf borderId="0" fillId="2" fontId="16" numFmtId="166" xfId="0" applyAlignment="1" applyFont="1" applyNumberFormat="1">
      <alignment readingOrder="0" vertical="bottom"/>
    </xf>
    <xf borderId="9" fillId="0" fontId="16" numFmtId="0" xfId="0" applyAlignment="1" applyBorder="1" applyFont="1">
      <alignment readingOrder="0" vertical="bottom"/>
    </xf>
    <xf borderId="8" fillId="15" fontId="16" numFmtId="166" xfId="0" applyAlignment="1" applyBorder="1" applyFont="1" applyNumberFormat="1">
      <alignment horizontal="right" readingOrder="0" vertical="bottom"/>
    </xf>
    <xf borderId="8" fillId="2" fontId="16" numFmtId="166" xfId="0" applyAlignment="1" applyBorder="1" applyFont="1" applyNumberFormat="1">
      <alignment readingOrder="0" vertical="bottom"/>
    </xf>
    <xf borderId="8" fillId="2" fontId="16" numFmtId="166" xfId="0" applyAlignment="1" applyBorder="1" applyFont="1" applyNumberFormat="1">
      <alignment horizontal="right" readingOrder="0" vertical="bottom"/>
    </xf>
    <xf borderId="8" fillId="15" fontId="16" numFmtId="166" xfId="0" applyAlignment="1" applyBorder="1" applyFont="1" applyNumberFormat="1">
      <alignment horizontal="right" readingOrder="0" vertical="bottom"/>
    </xf>
    <xf borderId="0" fillId="0" fontId="18" numFmtId="168" xfId="0" applyAlignment="1" applyFont="1" applyNumberFormat="1">
      <alignment horizontal="right" vertical="bottom"/>
    </xf>
    <xf borderId="5" fillId="3" fontId="17" numFmtId="0" xfId="0" applyAlignment="1" applyBorder="1" applyFont="1">
      <alignment horizontal="right" vertical="bottom"/>
    </xf>
    <xf borderId="4" fillId="18" fontId="16" numFmtId="0" xfId="0" applyAlignment="1" applyBorder="1" applyFill="1" applyFont="1">
      <alignment readingOrder="0" vertical="bottom"/>
    </xf>
    <xf borderId="0" fillId="15" fontId="16" numFmtId="168" xfId="0" applyAlignment="1" applyFont="1" applyNumberFormat="1">
      <alignment horizontal="right" readingOrder="0" vertical="bottom"/>
    </xf>
    <xf borderId="10" fillId="16" fontId="16" numFmtId="0" xfId="0" applyAlignment="1" applyBorder="1" applyFont="1">
      <alignment readingOrder="0" vertical="bottom"/>
    </xf>
    <xf borderId="9" fillId="16" fontId="21" numFmtId="0" xfId="0" applyAlignment="1" applyBorder="1" applyFont="1">
      <alignment horizontal="left" readingOrder="0"/>
    </xf>
    <xf borderId="1" fillId="0" fontId="18" numFmtId="168" xfId="0" applyAlignment="1" applyBorder="1" applyFont="1" applyNumberFormat="1">
      <alignment horizontal="right" vertical="bottom"/>
    </xf>
    <xf borderId="4" fillId="0" fontId="16" numFmtId="2" xfId="0" applyAlignment="1" applyBorder="1" applyFont="1" applyNumberFormat="1">
      <alignment vertical="bottom"/>
    </xf>
    <xf borderId="0" fillId="0" fontId="16" numFmtId="2" xfId="0" applyAlignment="1" applyFont="1" applyNumberFormat="1">
      <alignment vertical="bottom"/>
    </xf>
    <xf borderId="5" fillId="3" fontId="16" numFmtId="168" xfId="0" applyAlignment="1" applyBorder="1" applyFont="1" applyNumberFormat="1">
      <alignment vertical="bottom"/>
    </xf>
    <xf borderId="4" fillId="19" fontId="16" numFmtId="0" xfId="0" applyAlignment="1" applyBorder="1" applyFill="1" applyFont="1">
      <alignment readingOrder="0" vertical="bottom"/>
    </xf>
    <xf borderId="0" fillId="19" fontId="16" numFmtId="0" xfId="0" applyAlignment="1" applyFont="1">
      <alignment vertical="bottom"/>
    </xf>
    <xf borderId="0" fillId="0" fontId="16" numFmtId="173" xfId="0" applyAlignment="1" applyFont="1" applyNumberFormat="1">
      <alignment vertical="bottom"/>
    </xf>
    <xf borderId="4" fillId="20" fontId="15" numFmtId="0" xfId="0" applyAlignment="1" applyBorder="1" applyFill="1" applyFont="1">
      <alignment vertical="bottom"/>
    </xf>
    <xf borderId="4" fillId="15" fontId="16" numFmtId="0" xfId="0" applyAlignment="1" applyBorder="1" applyFont="1">
      <alignment readingOrder="0" vertical="bottom"/>
    </xf>
    <xf borderId="0" fillId="0" fontId="16" numFmtId="168" xfId="0" applyAlignment="1" applyFont="1" applyNumberFormat="1">
      <alignment horizontal="right" vertical="bottom"/>
    </xf>
    <xf borderId="4" fillId="15" fontId="18" numFmtId="0" xfId="0" applyAlignment="1" applyBorder="1" applyFont="1">
      <alignment readingOrder="0" vertical="bottom"/>
    </xf>
    <xf borderId="0" fillId="21" fontId="18" numFmtId="168" xfId="0" applyAlignment="1" applyFill="1" applyFont="1" applyNumberFormat="1">
      <alignment horizontal="right" shrinkToFit="0" vertical="bottom" wrapText="1"/>
    </xf>
    <xf borderId="5" fillId="3" fontId="22" numFmtId="0" xfId="0" applyBorder="1" applyFont="1"/>
    <xf borderId="4" fillId="20" fontId="15" numFmtId="0" xfId="0" applyAlignment="1" applyBorder="1" applyFont="1">
      <alignment readingOrder="0" vertical="bottom"/>
    </xf>
    <xf borderId="4" fillId="21" fontId="16" numFmtId="0" xfId="0" applyAlignment="1" applyBorder="1" applyFont="1">
      <alignment readingOrder="0" vertical="bottom"/>
    </xf>
    <xf borderId="0" fillId="0" fontId="16" numFmtId="3" xfId="0" applyAlignment="1" applyFont="1" applyNumberFormat="1">
      <alignment horizontal="right" readingOrder="0" vertical="bottom"/>
    </xf>
    <xf borderId="0" fillId="0" fontId="16" numFmtId="0" xfId="0" applyAlignment="1" applyFont="1">
      <alignment horizontal="right" vertical="bottom"/>
    </xf>
    <xf borderId="0" fillId="0" fontId="16" numFmtId="3" xfId="0" applyAlignment="1" applyFont="1" applyNumberFormat="1">
      <alignment horizontal="right" vertical="bottom"/>
    </xf>
    <xf borderId="4" fillId="21" fontId="18" numFmtId="0" xfId="0" applyAlignment="1" applyBorder="1" applyFont="1">
      <alignment readingOrder="0" vertical="bottom"/>
    </xf>
    <xf borderId="0" fillId="21" fontId="18" numFmtId="3" xfId="0" applyAlignment="1" applyFont="1" applyNumberFormat="1">
      <alignment horizontal="right" vertical="bottom"/>
    </xf>
    <xf borderId="0" fillId="21" fontId="18" numFmtId="0" xfId="0" applyAlignment="1" applyFont="1">
      <alignment horizontal="right" vertical="bottom"/>
    </xf>
    <xf borderId="4" fillId="20" fontId="23" numFmtId="0" xfId="0" applyAlignment="1" applyBorder="1" applyFont="1">
      <alignment readingOrder="0" vertical="bottom"/>
    </xf>
    <xf borderId="0" fillId="20" fontId="16" numFmtId="0" xfId="0" applyAlignment="1" applyFont="1">
      <alignment vertical="bottom"/>
    </xf>
    <xf borderId="4" fillId="22" fontId="16" numFmtId="0" xfId="0" applyAlignment="1" applyBorder="1" applyFill="1" applyFont="1">
      <alignment readingOrder="0" vertical="bottom"/>
    </xf>
    <xf borderId="0" fillId="0" fontId="16" numFmtId="166" xfId="0" applyAlignment="1" applyFont="1" applyNumberFormat="1">
      <alignment horizontal="right" readingOrder="0" vertical="bottom"/>
    </xf>
    <xf borderId="4" fillId="23" fontId="18" numFmtId="0" xfId="0" applyAlignment="1" applyBorder="1" applyFill="1" applyFont="1">
      <alignment readingOrder="0" vertical="bottom"/>
    </xf>
    <xf borderId="0" fillId="23" fontId="18" numFmtId="166" xfId="0" applyAlignment="1" applyFont="1" applyNumberFormat="1">
      <alignment horizontal="right" vertical="bottom"/>
    </xf>
    <xf borderId="0" fillId="20" fontId="16" numFmtId="1" xfId="0" applyAlignment="1" applyFont="1" applyNumberFormat="1">
      <alignment horizontal="right" readingOrder="0" vertical="bottom"/>
    </xf>
    <xf borderId="5" fillId="3" fontId="17" numFmtId="3" xfId="0" applyAlignment="1" applyBorder="1" applyFont="1" applyNumberFormat="1">
      <alignment horizontal="right" vertical="bottom"/>
    </xf>
    <xf borderId="4" fillId="24" fontId="16" numFmtId="0" xfId="0" applyAlignment="1" applyBorder="1" applyFill="1" applyFont="1">
      <alignment readingOrder="0" vertical="bottom"/>
    </xf>
    <xf borderId="0" fillId="0" fontId="24" numFmtId="0" xfId="0" applyAlignment="1" applyFont="1">
      <alignment readingOrder="0"/>
    </xf>
    <xf borderId="0" fillId="0" fontId="16" numFmtId="1" xfId="0" applyAlignment="1" applyFont="1" applyNumberFormat="1">
      <alignment horizontal="right" readingOrder="0" vertical="bottom"/>
    </xf>
    <xf borderId="0" fillId="0" fontId="16" numFmtId="0" xfId="0" applyAlignment="1" applyFont="1">
      <alignment horizontal="right" readingOrder="0" vertical="bottom"/>
    </xf>
    <xf borderId="0" fillId="0" fontId="25" numFmtId="3" xfId="0" applyAlignment="1" applyFont="1" applyNumberFormat="1">
      <alignment horizontal="right" readingOrder="0" shrinkToFit="0" wrapText="0"/>
    </xf>
    <xf borderId="0" fillId="0" fontId="26" numFmtId="0" xfId="0" applyAlignment="1" applyFont="1">
      <alignment horizontal="right" readingOrder="0" shrinkToFit="0" wrapText="0"/>
    </xf>
    <xf borderId="4" fillId="25" fontId="18" numFmtId="0" xfId="0" applyAlignment="1" applyBorder="1" applyFill="1" applyFont="1">
      <alignment readingOrder="0" vertical="bottom"/>
    </xf>
    <xf borderId="0" fillId="25" fontId="18" numFmtId="1" xfId="0" applyAlignment="1" applyFont="1" applyNumberFormat="1">
      <alignment horizontal="right" vertical="bottom"/>
    </xf>
    <xf borderId="0" fillId="0" fontId="16" numFmtId="1" xfId="0" applyAlignment="1" applyFont="1" applyNumberFormat="1">
      <alignment readingOrder="0" vertical="bottom"/>
    </xf>
    <xf borderId="0" fillId="0" fontId="16" numFmtId="3" xfId="0" applyAlignment="1" applyFont="1" applyNumberFormat="1">
      <alignment readingOrder="0" vertical="bottom"/>
    </xf>
    <xf borderId="0" fillId="0" fontId="16" numFmtId="1" xfId="0" applyAlignment="1" applyFont="1" applyNumberFormat="1">
      <alignment vertical="bottom"/>
    </xf>
    <xf borderId="5" fillId="3" fontId="16" numFmtId="3" xfId="0" applyAlignment="1" applyBorder="1" applyFont="1" applyNumberFormat="1">
      <alignment readingOrder="0" vertical="bottom"/>
    </xf>
    <xf borderId="0" fillId="0" fontId="25" numFmtId="0" xfId="0" applyAlignment="1" applyFont="1">
      <alignment horizontal="right" readingOrder="0" shrinkToFit="0" wrapText="0"/>
    </xf>
    <xf borderId="0" fillId="0" fontId="25" numFmtId="1" xfId="0" applyAlignment="1" applyFont="1" applyNumberFormat="1">
      <alignment horizontal="right" readingOrder="0" shrinkToFit="0" wrapText="0"/>
    </xf>
    <xf borderId="0" fillId="3" fontId="16" numFmtId="1" xfId="0" applyAlignment="1" applyFont="1" applyNumberFormat="1">
      <alignment horizontal="right" readingOrder="0" vertical="bottom"/>
    </xf>
    <xf borderId="4" fillId="0" fontId="2" numFmtId="0" xfId="0" applyBorder="1" applyFont="1"/>
    <xf borderId="4" fillId="26" fontId="18" numFmtId="0" xfId="0" applyAlignment="1" applyBorder="1" applyFill="1" applyFont="1">
      <alignment readingOrder="0" vertical="bottom"/>
    </xf>
    <xf borderId="0" fillId="26" fontId="18" numFmtId="0" xfId="0" applyAlignment="1" applyFont="1">
      <alignment readingOrder="0"/>
    </xf>
    <xf borderId="0" fillId="26" fontId="27" numFmtId="0" xfId="0" applyAlignment="1" applyFont="1">
      <alignment readingOrder="0"/>
    </xf>
    <xf borderId="0" fillId="20" fontId="2" numFmtId="0" xfId="0" applyFont="1"/>
    <xf borderId="0" fillId="0" fontId="24" numFmtId="1" xfId="0" applyAlignment="1" applyFont="1" applyNumberFormat="1">
      <alignment readingOrder="0"/>
    </xf>
    <xf borderId="0" fillId="25" fontId="18" numFmtId="1" xfId="0" applyAlignment="1" applyFont="1" applyNumberFormat="1">
      <alignment readingOrder="0" vertical="bottom"/>
    </xf>
    <xf borderId="0" fillId="0" fontId="16" numFmtId="3" xfId="0" applyAlignment="1" applyFont="1" applyNumberFormat="1">
      <alignment vertical="bottom"/>
    </xf>
    <xf borderId="0" fillId="0" fontId="28" numFmtId="0" xfId="0" applyAlignment="1" applyFont="1">
      <alignment horizontal="right" readingOrder="0" shrinkToFit="0" wrapText="0"/>
    </xf>
    <xf borderId="0" fillId="0" fontId="24" numFmtId="0" xfId="0" applyFont="1"/>
    <xf borderId="0" fillId="0" fontId="24" numFmtId="3" xfId="0" applyAlignment="1" applyFont="1" applyNumberFormat="1">
      <alignment readingOrder="0"/>
    </xf>
    <xf borderId="0" fillId="0" fontId="24" numFmtId="1" xfId="0" applyFont="1" applyNumberFormat="1"/>
    <xf borderId="0" fillId="0" fontId="24" numFmtId="3" xfId="0" applyFont="1" applyNumberFormat="1"/>
    <xf borderId="0" fillId="0" fontId="16" numFmtId="1" xfId="0" applyAlignment="1" applyFont="1" applyNumberFormat="1">
      <alignment horizontal="right" vertical="bottom"/>
    </xf>
    <xf borderId="0" fillId="4" fontId="18" numFmtId="1" xfId="0" applyAlignment="1" applyFont="1" applyNumberFormat="1">
      <alignment horizontal="right" vertical="bottom"/>
    </xf>
    <xf borderId="0" fillId="4" fontId="16" numFmtId="0" xfId="0" applyAlignment="1" applyFont="1">
      <alignment vertical="bottom"/>
    </xf>
    <xf borderId="4" fillId="20" fontId="29" numFmtId="0" xfId="0" applyAlignment="1" applyBorder="1" applyFont="1">
      <alignment readingOrder="0" vertical="bottom"/>
    </xf>
    <xf borderId="0" fillId="20" fontId="16" numFmtId="2" xfId="0" applyAlignment="1" applyFont="1" applyNumberFormat="1">
      <alignment vertical="bottom"/>
    </xf>
    <xf borderId="4" fillId="27" fontId="16" numFmtId="0" xfId="0" applyAlignment="1" applyBorder="1" applyFill="1" applyFont="1">
      <alignment readingOrder="0" vertical="bottom"/>
    </xf>
    <xf borderId="0" fillId="27" fontId="16" numFmtId="1" xfId="0" applyAlignment="1" applyFont="1" applyNumberFormat="1">
      <alignment readingOrder="0" vertical="bottom"/>
    </xf>
    <xf borderId="0" fillId="27" fontId="30" numFmtId="1" xfId="0" applyAlignment="1" applyFont="1" applyNumberFormat="1">
      <alignment readingOrder="0" vertical="bottom"/>
    </xf>
    <xf borderId="4" fillId="28" fontId="23" numFmtId="0" xfId="0" applyAlignment="1" applyBorder="1" applyFill="1" applyFont="1">
      <alignment readingOrder="0" vertical="bottom"/>
    </xf>
    <xf borderId="0" fillId="28" fontId="18" numFmtId="1" xfId="0" applyAlignment="1" applyFont="1" applyNumberFormat="1">
      <alignment horizontal="right" vertical="bottom"/>
    </xf>
    <xf borderId="6" fillId="0" fontId="16" numFmtId="1" xfId="0" applyAlignment="1" applyBorder="1" applyFont="1" applyNumberFormat="1">
      <alignment readingOrder="0" vertical="bottom"/>
    </xf>
    <xf borderId="0" fillId="20" fontId="16" numFmtId="166" xfId="0" applyAlignment="1" applyFont="1" applyNumberFormat="1">
      <alignment readingOrder="0" vertical="bottom"/>
    </xf>
    <xf borderId="0" fillId="20" fontId="16" numFmtId="166" xfId="0" applyAlignment="1" applyFont="1" applyNumberFormat="1">
      <alignment vertical="bottom"/>
    </xf>
    <xf borderId="5" fillId="3" fontId="17" numFmtId="166" xfId="0" applyAlignment="1" applyBorder="1" applyFont="1" applyNumberFormat="1">
      <alignment horizontal="right" vertical="bottom"/>
    </xf>
    <xf borderId="0" fillId="0" fontId="16" numFmtId="166" xfId="0" applyAlignment="1" applyFont="1" applyNumberFormat="1">
      <alignment readingOrder="0" vertical="bottom"/>
    </xf>
    <xf borderId="0" fillId="0" fontId="16" numFmtId="166" xfId="0" applyAlignment="1" applyFont="1" applyNumberFormat="1">
      <alignment horizontal="right" readingOrder="0" vertical="bottom"/>
    </xf>
    <xf borderId="0" fillId="0" fontId="24" numFmtId="166" xfId="0" applyAlignment="1" applyFont="1" applyNumberFormat="1">
      <alignment readingOrder="0" vertical="bottom"/>
    </xf>
    <xf borderId="0" fillId="0" fontId="31" numFmtId="166" xfId="0" applyAlignment="1" applyFont="1" applyNumberFormat="1">
      <alignment horizontal="right" readingOrder="0"/>
    </xf>
    <xf borderId="0" fillId="28" fontId="18" numFmtId="166" xfId="0" applyAlignment="1" applyFont="1" applyNumberFormat="1">
      <alignment horizontal="right" vertical="bottom"/>
    </xf>
    <xf borderId="0" fillId="0" fontId="16" numFmtId="166" xfId="0" applyAlignment="1" applyFont="1" applyNumberFormat="1">
      <alignment vertical="bottom"/>
    </xf>
    <xf borderId="0" fillId="0" fontId="24" numFmtId="166" xfId="0" applyAlignment="1" applyFont="1" applyNumberFormat="1">
      <alignment readingOrder="0"/>
    </xf>
    <xf borderId="0" fillId="0" fontId="16" numFmtId="166" xfId="0" applyAlignment="1" applyFont="1" applyNumberFormat="1">
      <alignment readingOrder="0" vertical="bottom"/>
    </xf>
    <xf borderId="5" fillId="3" fontId="1" numFmtId="0" xfId="0" applyAlignment="1" applyBorder="1" applyFont="1">
      <alignment vertical="bottom"/>
    </xf>
    <xf borderId="4" fillId="29" fontId="16" numFmtId="0" xfId="0" applyAlignment="1" applyBorder="1" applyFill="1" applyFont="1">
      <alignment readingOrder="0" vertical="bottom"/>
    </xf>
    <xf borderId="0" fillId="29" fontId="16" numFmtId="1" xfId="0" applyAlignment="1" applyFont="1" applyNumberFormat="1">
      <alignment readingOrder="0" vertical="bottom"/>
    </xf>
    <xf borderId="0" fillId="29" fontId="30" numFmtId="1" xfId="0" applyAlignment="1" applyFont="1" applyNumberFormat="1">
      <alignment readingOrder="0" vertical="bottom"/>
    </xf>
    <xf borderId="4" fillId="26" fontId="23" numFmtId="166" xfId="0" applyAlignment="1" applyBorder="1" applyFont="1" applyNumberFormat="1">
      <alignment horizontal="left" readingOrder="0" vertical="bottom"/>
    </xf>
    <xf borderId="0" fillId="26" fontId="27" numFmtId="166" xfId="0" applyAlignment="1" applyFont="1" applyNumberFormat="1">
      <alignment readingOrder="0"/>
    </xf>
    <xf borderId="4" fillId="7" fontId="16" numFmtId="0" xfId="0" applyAlignment="1" applyBorder="1" applyFont="1">
      <alignment readingOrder="0" vertical="bottom"/>
    </xf>
    <xf borderId="0" fillId="7" fontId="18" numFmtId="0" xfId="0" applyAlignment="1" applyFont="1">
      <alignment readingOrder="0" vertical="bottom"/>
    </xf>
    <xf borderId="4" fillId="8" fontId="18" numFmtId="0" xfId="0" applyAlignment="1" applyBorder="1" applyFont="1">
      <alignment readingOrder="0" vertical="bottom"/>
    </xf>
    <xf borderId="0" fillId="8" fontId="18" numFmtId="1" xfId="0" applyAlignment="1" applyFont="1" applyNumberFormat="1">
      <alignment horizontal="right" vertical="bottom"/>
    </xf>
    <xf borderId="4" fillId="8" fontId="18" numFmtId="0" xfId="0" applyAlignment="1" applyBorder="1" applyFont="1">
      <alignment horizontal="left" readingOrder="0" vertical="bottom"/>
    </xf>
    <xf borderId="0" fillId="0" fontId="16" numFmtId="2" xfId="0" applyAlignment="1" applyFont="1" applyNumberFormat="1">
      <alignment readingOrder="0" vertical="bottom"/>
    </xf>
    <xf borderId="4" fillId="8" fontId="18" numFmtId="1" xfId="0" applyAlignment="1" applyBorder="1" applyFont="1" applyNumberFormat="1">
      <alignment horizontal="left" readingOrder="0" vertical="bottom"/>
    </xf>
    <xf borderId="0" fillId="8" fontId="18" numFmtId="166" xfId="0" applyAlignment="1" applyFont="1" applyNumberFormat="1">
      <alignment horizontal="right" vertical="bottom"/>
    </xf>
    <xf borderId="4" fillId="0" fontId="15" numFmtId="0" xfId="0" applyAlignment="1" applyBorder="1" applyFont="1">
      <alignment readingOrder="0" vertical="bottom"/>
    </xf>
    <xf borderId="0" fillId="20" fontId="24" numFmtId="0" xfId="0" applyFont="1"/>
    <xf borderId="0" fillId="7" fontId="16" numFmtId="0" xfId="0" applyAlignment="1" applyFont="1">
      <alignment readingOrder="0" vertical="bottom"/>
    </xf>
    <xf borderId="4" fillId="30" fontId="16" numFmtId="0" xfId="0" applyAlignment="1" applyBorder="1" applyFill="1" applyFont="1">
      <alignment readingOrder="0" vertical="bottom"/>
    </xf>
    <xf borderId="6" fillId="0" fontId="24" numFmtId="0" xfId="0" applyBorder="1" applyFont="1"/>
    <xf borderId="0" fillId="0" fontId="24" numFmtId="166" xfId="0" applyAlignment="1" applyFont="1" applyNumberFormat="1">
      <alignment horizontal="right" readingOrder="0"/>
    </xf>
    <xf borderId="0" fillId="8" fontId="18" numFmtId="166" xfId="0" applyAlignment="1" applyFont="1" applyNumberFormat="1">
      <alignment horizontal="right" readingOrder="0" vertical="bottom"/>
    </xf>
    <xf borderId="0" fillId="0" fontId="24" numFmtId="0" xfId="0" applyAlignment="1" applyFont="1">
      <alignment horizontal="right"/>
    </xf>
    <xf borderId="0" fillId="20" fontId="32" numFmtId="0" xfId="0" applyAlignment="1" applyFont="1">
      <alignment readingOrder="0"/>
    </xf>
    <xf borderId="0" fillId="7" fontId="16" numFmtId="1" xfId="0" applyAlignment="1" applyFont="1" applyNumberFormat="1">
      <alignment readingOrder="0" vertical="bottom"/>
    </xf>
    <xf borderId="5" fillId="3" fontId="33" numFmtId="168" xfId="0" applyAlignment="1" applyBorder="1" applyFont="1" applyNumberFormat="1">
      <alignment horizontal="right" vertical="bottom"/>
    </xf>
    <xf borderId="0" fillId="10" fontId="16" numFmtId="1" xfId="0" applyAlignment="1" applyFont="1" applyNumberFormat="1">
      <alignment readingOrder="0" vertical="bottom"/>
    </xf>
    <xf borderId="0" fillId="8" fontId="18" numFmtId="1" xfId="0" applyAlignment="1" applyFont="1" applyNumberFormat="1">
      <alignment readingOrder="0" vertical="bottom"/>
    </xf>
    <xf borderId="4" fillId="0" fontId="16" numFmtId="1" xfId="0" applyAlignment="1" applyBorder="1" applyFont="1" applyNumberFormat="1">
      <alignment horizontal="left" vertical="bottom"/>
    </xf>
    <xf borderId="4" fillId="7" fontId="18" numFmtId="0" xfId="0" applyAlignment="1" applyBorder="1" applyFont="1">
      <alignment readingOrder="0" vertical="bottom"/>
    </xf>
    <xf borderId="0" fillId="8" fontId="18" numFmtId="1" xfId="0" applyAlignment="1" applyFont="1" applyNumberFormat="1">
      <alignment horizontal="left" readingOrder="0" vertical="bottom"/>
    </xf>
    <xf borderId="4" fillId="31" fontId="16" numFmtId="0" xfId="0" applyAlignment="1" applyBorder="1" applyFill="1" applyFont="1">
      <alignment readingOrder="0" vertical="bottom"/>
    </xf>
    <xf borderId="10" fillId="22" fontId="18" numFmtId="0" xfId="0" applyAlignment="1" applyBorder="1" applyFont="1">
      <alignment readingOrder="0" vertical="bottom"/>
    </xf>
    <xf borderId="1" fillId="32" fontId="16" numFmtId="168" xfId="0" applyAlignment="1" applyBorder="1" applyFill="1" applyFont="1" applyNumberFormat="1">
      <alignment horizontal="right" vertical="bottom"/>
    </xf>
    <xf borderId="4" fillId="22" fontId="18" numFmtId="0" xfId="0" applyAlignment="1" applyBorder="1" applyFont="1">
      <alignment readingOrder="0" vertical="bottom"/>
    </xf>
    <xf borderId="1" fillId="0" fontId="16" numFmtId="168" xfId="0" applyAlignment="1" applyBorder="1" applyFont="1" applyNumberFormat="1">
      <alignment horizontal="right" vertical="bottom"/>
    </xf>
    <xf borderId="11" fillId="3" fontId="17" numFmtId="168" xfId="0" applyAlignment="1" applyBorder="1" applyFont="1" applyNumberFormat="1">
      <alignment horizontal="right" vertical="bottom"/>
    </xf>
    <xf borderId="0" fillId="0" fontId="16" numFmtId="167" xfId="0" applyAlignment="1" applyFont="1" applyNumberFormat="1">
      <alignment vertical="bottom"/>
    </xf>
    <xf borderId="9" fillId="33" fontId="18" numFmtId="0" xfId="0" applyAlignment="1" applyBorder="1" applyFill="1" applyFont="1">
      <alignment readingOrder="0" vertical="bottom"/>
    </xf>
    <xf borderId="8" fillId="0" fontId="16" numFmtId="167" xfId="0" applyAlignment="1" applyBorder="1" applyFont="1" applyNumberFormat="1">
      <alignment vertical="bottom"/>
    </xf>
    <xf borderId="9" fillId="22" fontId="18" numFmtId="0" xfId="0" applyAlignment="1" applyBorder="1" applyFont="1">
      <alignment readingOrder="0" vertical="bottom"/>
    </xf>
    <xf borderId="8" fillId="0" fontId="16" numFmtId="168" xfId="0" applyAlignment="1" applyBorder="1" applyFont="1" applyNumberFormat="1">
      <alignment horizontal="right" vertical="bottom"/>
    </xf>
    <xf borderId="12" fillId="3" fontId="17" numFmtId="168" xfId="0" applyAlignment="1" applyBorder="1" applyFont="1" applyNumberFormat="1">
      <alignment horizontal="right" vertical="bottom"/>
    </xf>
    <xf borderId="4" fillId="22" fontId="34" numFmtId="0" xfId="0" applyAlignment="1" applyBorder="1" applyFont="1">
      <alignment readingOrder="0" vertical="bottom"/>
    </xf>
    <xf borderId="0" fillId="0" fontId="16" numFmtId="168" xfId="0" applyAlignment="1" applyFont="1" applyNumberFormat="1">
      <alignment vertical="bottom"/>
    </xf>
    <xf borderId="8" fillId="0" fontId="16" numFmtId="168" xfId="0" applyAlignment="1" applyBorder="1" applyFont="1" applyNumberFormat="1">
      <alignment vertical="bottom"/>
    </xf>
    <xf borderId="9" fillId="0" fontId="16" numFmtId="168" xfId="0" applyAlignment="1" applyBorder="1" applyFont="1" applyNumberFormat="1">
      <alignment vertical="bottom"/>
    </xf>
    <xf borderId="8" fillId="3" fontId="17" numFmtId="168" xfId="0" applyAlignment="1" applyBorder="1" applyFont="1" applyNumberFormat="1">
      <alignment horizontal="right" vertical="bottom"/>
    </xf>
    <xf borderId="8" fillId="0" fontId="16" numFmtId="168" xfId="0" applyAlignment="1" applyBorder="1" applyFont="1" applyNumberFormat="1">
      <alignment horizontal="right" readingOrder="0" vertical="bottom"/>
    </xf>
    <xf borderId="0" fillId="0" fontId="16" numFmtId="168" xfId="0" applyAlignment="1" applyFont="1" applyNumberFormat="1">
      <alignment horizontal="right" readingOrder="0" vertical="bottom"/>
    </xf>
    <xf borderId="0" fillId="8" fontId="18" numFmtId="168" xfId="0" applyAlignment="1" applyFont="1" applyNumberFormat="1">
      <alignment readingOrder="0" vertical="bottom"/>
    </xf>
    <xf borderId="5" fillId="3" fontId="2" numFmtId="0" xfId="0" applyBorder="1" applyFont="1"/>
    <xf borderId="13" fillId="34" fontId="16" numFmtId="0" xfId="0" applyAlignment="1" applyBorder="1" applyFill="1" applyFont="1">
      <alignment readingOrder="0" vertical="bottom"/>
    </xf>
    <xf borderId="14" fillId="0" fontId="16" numFmtId="168" xfId="0" applyAlignment="1" applyBorder="1" applyFont="1" applyNumberFormat="1">
      <alignment horizontal="right" readingOrder="0" vertical="bottom"/>
    </xf>
    <xf borderId="15" fillId="3" fontId="17" numFmtId="168" xfId="0" applyAlignment="1" applyBorder="1" applyFont="1" applyNumberFormat="1">
      <alignment horizontal="right" vertical="bottom"/>
    </xf>
    <xf borderId="4" fillId="0" fontId="16" numFmtId="166" xfId="0" applyAlignment="1" applyBorder="1" applyFont="1" applyNumberFormat="1">
      <alignment horizontal="right" vertical="bottom"/>
    </xf>
    <xf borderId="4" fillId="34" fontId="16" numFmtId="0" xfId="0" applyAlignment="1" applyBorder="1" applyFont="1">
      <alignment vertical="bottom"/>
    </xf>
    <xf borderId="4" fillId="0" fontId="16" numFmtId="166" xfId="0" applyAlignment="1" applyBorder="1" applyFont="1" applyNumberFormat="1">
      <alignment readingOrder="0" vertical="bottom"/>
    </xf>
    <xf borderId="0" fillId="0" fontId="16" numFmtId="10" xfId="0" applyAlignment="1" applyFont="1" applyNumberFormat="1">
      <alignment horizontal="right" readingOrder="0" vertical="bottom"/>
    </xf>
    <xf borderId="4" fillId="0" fontId="16" numFmtId="10" xfId="0" applyAlignment="1" applyBorder="1" applyFont="1" applyNumberFormat="1">
      <alignment readingOrder="0" vertical="bottom"/>
    </xf>
    <xf borderId="16" fillId="34" fontId="16" numFmtId="0" xfId="0" applyAlignment="1" applyBorder="1" applyFont="1">
      <alignment vertical="bottom"/>
    </xf>
    <xf borderId="17" fillId="0" fontId="16" numFmtId="2" xfId="0" applyAlignment="1" applyBorder="1" applyFont="1" applyNumberFormat="1">
      <alignment horizontal="right" vertical="bottom"/>
    </xf>
    <xf borderId="18" fillId="3" fontId="17" numFmtId="168" xfId="0" applyAlignment="1" applyBorder="1" applyFont="1" applyNumberFormat="1">
      <alignment horizontal="right" vertical="bottom"/>
    </xf>
    <xf borderId="0" fillId="2" fontId="16" numFmtId="168" xfId="0" applyAlignment="1" applyFont="1" applyNumberFormat="1">
      <alignment horizontal="right" readingOrder="0" vertical="bottom"/>
    </xf>
    <xf borderId="1" fillId="2" fontId="16" numFmtId="168" xfId="0" applyAlignment="1" applyBorder="1" applyFont="1" applyNumberFormat="1">
      <alignment horizontal="right" readingOrder="0" vertical="bottom"/>
    </xf>
    <xf borderId="4" fillId="22" fontId="16" numFmtId="0" xfId="0" applyAlignment="1" applyBorder="1" applyFont="1">
      <alignment vertical="bottom"/>
    </xf>
    <xf borderId="4" fillId="22" fontId="16" numFmtId="0" xfId="0" applyAlignment="1" applyBorder="1" applyFont="1">
      <alignment readingOrder="0" vertical="bottom"/>
    </xf>
    <xf borderId="0" fillId="33" fontId="16" numFmtId="168" xfId="0" applyAlignment="1" applyFont="1" applyNumberFormat="1">
      <alignment horizontal="right" readingOrder="0" vertical="bottom"/>
    </xf>
    <xf borderId="0" fillId="4" fontId="16" numFmtId="168" xfId="0" applyAlignment="1" applyFont="1" applyNumberFormat="1">
      <alignment horizontal="right" readingOrder="0" vertical="bottom"/>
    </xf>
    <xf borderId="8" fillId="4" fontId="16" numFmtId="167" xfId="0" applyAlignment="1" applyBorder="1" applyFont="1" applyNumberFormat="1">
      <alignment horizontal="right" readingOrder="0" vertical="bottom"/>
    </xf>
    <xf borderId="4" fillId="34" fontId="16" numFmtId="0" xfId="0" applyAlignment="1" applyBorder="1" applyFont="1">
      <alignment readingOrder="0" vertical="bottom"/>
    </xf>
    <xf borderId="0" fillId="3" fontId="16" numFmtId="168" xfId="0" applyAlignment="1" applyFont="1" applyNumberFormat="1">
      <alignment vertical="bottom"/>
    </xf>
    <xf borderId="0" fillId="8" fontId="18" numFmtId="168" xfId="0" applyAlignment="1" applyFont="1" applyNumberFormat="1">
      <alignment vertical="bottom"/>
    </xf>
    <xf borderId="19" fillId="0" fontId="1" numFmtId="168" xfId="0" applyAlignment="1" applyBorder="1" applyFont="1" applyNumberFormat="1">
      <alignment horizontal="right" vertical="bottom"/>
    </xf>
    <xf borderId="14" fillId="0" fontId="1" numFmtId="168" xfId="0" applyAlignment="1" applyBorder="1" applyFont="1" applyNumberFormat="1">
      <alignment horizontal="right" vertical="bottom"/>
    </xf>
    <xf borderId="14" fillId="0" fontId="1" numFmtId="0" xfId="0" applyAlignment="1" applyBorder="1" applyFont="1">
      <alignment vertical="bottom"/>
    </xf>
    <xf borderId="15" fillId="3" fontId="16" numFmtId="0" xfId="0" applyAlignment="1" applyBorder="1" applyFont="1">
      <alignment vertical="bottom"/>
    </xf>
    <xf borderId="0" fillId="0" fontId="1" numFmtId="168" xfId="0" applyAlignment="1" applyFont="1" applyNumberFormat="1">
      <alignment horizontal="right" vertical="bottom"/>
    </xf>
    <xf borderId="0" fillId="0" fontId="1" numFmtId="0" xfId="0" applyAlignment="1" applyFont="1">
      <alignment vertical="bottom"/>
    </xf>
    <xf borderId="4" fillId="0" fontId="16" numFmtId="166" xfId="0" applyAlignment="1" applyBorder="1" applyFont="1" applyNumberFormat="1">
      <alignment vertical="bottom"/>
    </xf>
    <xf borderId="4" fillId="0" fontId="16" numFmtId="10" xfId="0" applyAlignment="1" applyBorder="1" applyFont="1" applyNumberFormat="1">
      <alignment vertical="bottom"/>
    </xf>
    <xf borderId="5" fillId="3" fontId="1" numFmtId="0" xfId="0" applyBorder="1" applyFont="1"/>
    <xf borderId="6" fillId="0" fontId="16" numFmtId="168" xfId="0" applyAlignment="1" applyBorder="1" applyFont="1" applyNumberFormat="1">
      <alignment vertical="bottom"/>
    </xf>
    <xf borderId="4" fillId="0" fontId="1" numFmtId="0" xfId="0" applyAlignment="1" applyBorder="1" applyFont="1">
      <alignment vertical="bottom"/>
    </xf>
    <xf borderId="8" fillId="0" fontId="16" numFmtId="1" xfId="0" applyAlignment="1" applyBorder="1" applyFont="1" applyNumberFormat="1">
      <alignment readingOrder="0" vertical="bottom"/>
    </xf>
    <xf borderId="8" fillId="0" fontId="16" numFmtId="0" xfId="0" applyAlignment="1" applyBorder="1" applyFont="1">
      <alignment vertical="bottom"/>
    </xf>
    <xf borderId="8" fillId="0" fontId="16" numFmtId="3" xfId="0" applyAlignment="1" applyBorder="1" applyFont="1" applyNumberFormat="1">
      <alignment vertical="bottom"/>
    </xf>
    <xf borderId="12" fillId="3" fontId="17" numFmtId="0" xfId="0" applyAlignment="1" applyBorder="1" applyFont="1">
      <alignment horizontal="right" vertical="bottom"/>
    </xf>
    <xf borderId="8" fillId="0" fontId="16" numFmtId="166" xfId="0" applyAlignment="1" applyBorder="1" applyFont="1" applyNumberFormat="1">
      <alignment readingOrder="0" vertical="bottom"/>
    </xf>
    <xf borderId="8" fillId="0" fontId="16" numFmtId="166" xfId="0" applyAlignment="1" applyBorder="1" applyFont="1" applyNumberFormat="1">
      <alignment vertical="bottom"/>
    </xf>
    <xf borderId="4" fillId="23" fontId="16" numFmtId="0" xfId="0" applyAlignment="1" applyBorder="1" applyFont="1">
      <alignment readingOrder="0" vertical="bottom"/>
    </xf>
    <xf borderId="0" fillId="23" fontId="16" numFmtId="166" xfId="0" applyAlignment="1" applyFont="1" applyNumberFormat="1">
      <alignment horizontal="right" vertical="bottom"/>
    </xf>
    <xf borderId="0" fillId="10" fontId="16" numFmtId="1" xfId="0" applyAlignment="1" applyFont="1" applyNumberFormat="1">
      <alignment horizontal="right" readingOrder="0" vertical="bottom"/>
    </xf>
    <xf borderId="0" fillId="25" fontId="16" numFmtId="1" xfId="0" applyAlignment="1" applyFont="1" applyNumberFormat="1">
      <alignment horizontal="right" vertical="bottom"/>
    </xf>
    <xf borderId="4" fillId="20" fontId="35" numFmtId="0" xfId="0" applyAlignment="1" applyBorder="1" applyFont="1">
      <alignment readingOrder="0" vertical="bottom"/>
    </xf>
    <xf borderId="4" fillId="27" fontId="30" numFmtId="0" xfId="0" applyAlignment="1" applyBorder="1" applyFont="1">
      <alignment readingOrder="0" vertical="bottom"/>
    </xf>
    <xf borderId="0" fillId="2" fontId="30" numFmtId="1" xfId="0" applyAlignment="1" applyFont="1" applyNumberFormat="1">
      <alignment readingOrder="0" vertical="bottom"/>
    </xf>
    <xf borderId="0" fillId="2" fontId="16" numFmtId="1" xfId="0" applyAlignment="1" applyFont="1" applyNumberFormat="1">
      <alignment readingOrder="0" vertical="bottom"/>
    </xf>
    <xf borderId="4" fillId="27" fontId="30" numFmtId="0" xfId="0" applyAlignment="1" applyBorder="1" applyFont="1">
      <alignment readingOrder="0" vertical="bottom"/>
    </xf>
    <xf borderId="0" fillId="15" fontId="16" numFmtId="2" xfId="0" applyAlignment="1" applyFont="1" applyNumberFormat="1">
      <alignment vertical="bottom"/>
    </xf>
    <xf borderId="0" fillId="15" fontId="30" numFmtId="1" xfId="0" applyAlignment="1" applyFont="1" applyNumberFormat="1">
      <alignment readingOrder="0" vertical="bottom"/>
    </xf>
    <xf borderId="0" fillId="2" fontId="16" numFmtId="2" xfId="0" applyAlignment="1" applyFont="1" applyNumberFormat="1">
      <alignment vertical="bottom"/>
    </xf>
    <xf borderId="4" fillId="28" fontId="30" numFmtId="0" xfId="0" applyAlignment="1" applyBorder="1" applyFont="1">
      <alignment readingOrder="0" vertical="bottom"/>
    </xf>
    <xf borderId="0" fillId="28" fontId="16" numFmtId="1" xfId="0" applyAlignment="1" applyFont="1" applyNumberFormat="1">
      <alignment horizontal="right" vertical="bottom"/>
    </xf>
    <xf borderId="4" fillId="0" fontId="30" numFmtId="0" xfId="0" applyAlignment="1" applyBorder="1" applyFont="1">
      <alignment vertical="bottom"/>
    </xf>
    <xf borderId="4" fillId="28" fontId="30" numFmtId="0" xfId="0" applyAlignment="1" applyBorder="1" applyFont="1">
      <alignment readingOrder="0" vertical="bottom"/>
    </xf>
    <xf borderId="0" fillId="28" fontId="30" numFmtId="1" xfId="0" applyAlignment="1" applyFont="1" applyNumberFormat="1">
      <alignment horizontal="left" readingOrder="0" vertical="bottom"/>
    </xf>
    <xf borderId="0" fillId="15" fontId="16" numFmtId="1" xfId="0" applyAlignment="1" applyFont="1" applyNumberFormat="1">
      <alignment vertical="bottom"/>
    </xf>
    <xf borderId="4" fillId="27" fontId="16" numFmtId="0" xfId="0" applyAlignment="1" applyBorder="1" applyFont="1">
      <alignment readingOrder="0" vertical="bottom"/>
    </xf>
    <xf borderId="0" fillId="2" fontId="30" numFmtId="166" xfId="0" applyAlignment="1" applyFont="1" applyNumberFormat="1">
      <alignment readingOrder="0" vertical="bottom"/>
    </xf>
    <xf borderId="0" fillId="2" fontId="16" numFmtId="166" xfId="0" applyAlignment="1" applyFont="1" applyNumberFormat="1">
      <alignment vertical="bottom"/>
    </xf>
    <xf borderId="0" fillId="2" fontId="31" numFmtId="166" xfId="0" applyAlignment="1" applyFont="1" applyNumberFormat="1">
      <alignment horizontal="right" readingOrder="0"/>
    </xf>
    <xf borderId="0" fillId="2" fontId="36" numFmtId="166" xfId="0" applyAlignment="1" applyFont="1" applyNumberFormat="1">
      <alignment horizontal="right" readingOrder="0"/>
    </xf>
    <xf borderId="0" fillId="15" fontId="16" numFmtId="166" xfId="0" applyAlignment="1" applyFont="1" applyNumberFormat="1">
      <alignment vertical="bottom"/>
    </xf>
    <xf borderId="4" fillId="28" fontId="16" numFmtId="0" xfId="0" applyAlignment="1" applyBorder="1" applyFont="1">
      <alignment readingOrder="0" vertical="bottom"/>
    </xf>
    <xf borderId="0" fillId="28" fontId="16" numFmtId="166" xfId="0" applyAlignment="1" applyFont="1" applyNumberFormat="1">
      <alignment horizontal="right" vertical="bottom"/>
    </xf>
    <xf borderId="0" fillId="2" fontId="37" numFmtId="166" xfId="0" applyAlignment="1" applyFont="1" applyNumberFormat="1">
      <alignment readingOrder="0"/>
    </xf>
    <xf borderId="0" fillId="2" fontId="37" numFmtId="166" xfId="0" applyAlignment="1" applyFont="1" applyNumberFormat="1">
      <alignment readingOrder="0" vertical="bottom"/>
    </xf>
    <xf borderId="0" fillId="2" fontId="24" numFmtId="166" xfId="0" applyAlignment="1" applyFont="1" applyNumberFormat="1">
      <alignment readingOrder="0"/>
    </xf>
    <xf borderId="0" fillId="2" fontId="24" numFmtId="166" xfId="0" applyAlignment="1" applyFont="1" applyNumberFormat="1">
      <alignment readingOrder="0" vertical="bottom"/>
    </xf>
    <xf borderId="0" fillId="2" fontId="24" numFmtId="166" xfId="0" applyFont="1" applyNumberFormat="1"/>
    <xf borderId="4" fillId="28" fontId="16" numFmtId="0" xfId="0" applyAlignment="1" applyBorder="1" applyFont="1">
      <alignment readingOrder="0" vertical="bottom"/>
    </xf>
    <xf borderId="0" fillId="28" fontId="16" numFmtId="1" xfId="0" applyAlignment="1" applyFont="1" applyNumberFormat="1">
      <alignment horizontal="left" readingOrder="0" vertical="bottom"/>
    </xf>
    <xf borderId="5" fillId="20" fontId="1" numFmtId="0" xfId="0" applyAlignment="1" applyBorder="1" applyFont="1">
      <alignment vertical="bottom"/>
    </xf>
    <xf borderId="0" fillId="8" fontId="16" numFmtId="1" xfId="0" applyAlignment="1" applyFont="1" applyNumberFormat="1">
      <alignment horizontal="right" vertical="bottom"/>
    </xf>
    <xf borderId="6" fillId="0" fontId="2" numFmtId="0" xfId="0" applyBorder="1" applyFont="1"/>
    <xf borderId="0" fillId="20" fontId="30" numFmtId="166" xfId="0" applyAlignment="1" applyFont="1" applyNumberFormat="1">
      <alignment readingOrder="0" vertical="bottom"/>
    </xf>
    <xf borderId="0" fillId="20" fontId="16" numFmtId="0" xfId="0" applyAlignment="1" applyFont="1">
      <alignment readingOrder="0" vertical="bottom"/>
    </xf>
    <xf borderId="4" fillId="7" fontId="16" numFmtId="0" xfId="0" applyAlignment="1" applyBorder="1" applyFont="1">
      <alignment readingOrder="0" vertical="bottom"/>
    </xf>
    <xf borderId="20" fillId="0" fontId="16" numFmtId="166" xfId="0" applyAlignment="1" applyBorder="1" applyFont="1" applyNumberFormat="1">
      <alignment readingOrder="0" vertical="bottom"/>
    </xf>
    <xf borderId="4" fillId="8" fontId="16" numFmtId="1" xfId="0" applyAlignment="1" applyBorder="1" applyFont="1" applyNumberFormat="1">
      <alignment horizontal="left" readingOrder="0" vertical="bottom"/>
    </xf>
    <xf borderId="0" fillId="8" fontId="16" numFmtId="166" xfId="0" applyAlignment="1" applyFont="1" applyNumberFormat="1">
      <alignment horizontal="right" vertical="bottom"/>
    </xf>
    <xf borderId="0" fillId="20" fontId="24" numFmtId="0" xfId="0" applyAlignment="1" applyFont="1">
      <alignment readingOrder="0"/>
    </xf>
    <xf borderId="5" fillId="20" fontId="16" numFmtId="0" xfId="0" applyAlignment="1" applyBorder="1" applyFont="1">
      <alignment vertical="bottom"/>
    </xf>
    <xf borderId="0" fillId="3" fontId="16" numFmtId="166" xfId="0" applyAlignment="1" applyFont="1" applyNumberFormat="1">
      <alignment readingOrder="0" vertical="bottom"/>
    </xf>
    <xf borderId="0" fillId="3" fontId="24" numFmtId="0" xfId="0" applyFont="1"/>
    <xf borderId="0" fillId="8" fontId="16" numFmtId="166" xfId="0" applyAlignment="1" applyFont="1" applyNumberFormat="1">
      <alignment horizontal="right" readingOrder="0" vertical="bottom"/>
    </xf>
    <xf borderId="0" fillId="0" fontId="2" numFmtId="0" xfId="0" applyAlignment="1" applyFont="1">
      <alignment horizontal="right"/>
    </xf>
    <xf borderId="0" fillId="0" fontId="38" numFmtId="0" xfId="0" applyAlignment="1" applyFont="1">
      <alignment readingOrder="0"/>
    </xf>
    <xf borderId="6" fillId="8" fontId="16" numFmtId="1" xfId="0" applyAlignment="1" applyBorder="1" applyFont="1" applyNumberFormat="1">
      <alignment readingOrder="0" vertical="bottom"/>
    </xf>
    <xf borderId="0" fillId="8" fontId="16" numFmtId="1" xfId="0" applyAlignment="1" applyFont="1" applyNumberFormat="1">
      <alignment readingOrder="0" vertical="bottom"/>
    </xf>
    <xf borderId="0" fillId="8" fontId="16" numFmtId="0" xfId="0" applyAlignment="1" applyFont="1">
      <alignment readingOrder="0" vertical="bottom"/>
    </xf>
    <xf borderId="4" fillId="0" fontId="18" numFmtId="0" xfId="0" applyAlignment="1" applyBorder="1" applyFont="1">
      <alignment horizontal="left" readingOrder="0" vertical="bottom"/>
    </xf>
    <xf borderId="4" fillId="0" fontId="16" numFmtId="0" xfId="0" applyAlignment="1" applyBorder="1" applyFont="1">
      <alignment horizontal="left" readingOrder="0" vertical="bottom"/>
    </xf>
    <xf borderId="4" fillId="8" fontId="16" numFmtId="1" xfId="0" applyAlignment="1" applyBorder="1" applyFont="1" applyNumberFormat="1">
      <alignment horizontal="left" readingOrder="0" vertical="bottom"/>
    </xf>
    <xf borderId="0" fillId="32" fontId="16" numFmtId="168" xfId="0" applyAlignment="1" applyFont="1" applyNumberFormat="1">
      <alignment horizontal="right" vertical="bottom"/>
    </xf>
    <xf borderId="4" fillId="35" fontId="18" numFmtId="0" xfId="0" applyAlignment="1" applyBorder="1" applyFill="1" applyFont="1">
      <alignment readingOrder="0" vertical="bottom"/>
    </xf>
    <xf borderId="4" fillId="29" fontId="21" numFmtId="0" xfId="0" applyAlignment="1" applyBorder="1" applyFont="1">
      <alignment readingOrder="0" vertical="bottom"/>
    </xf>
    <xf borderId="4" fillId="36" fontId="16" numFmtId="0" xfId="0" applyAlignment="1" applyBorder="1" applyFill="1" applyFont="1">
      <alignment readingOrder="0" vertical="bottom"/>
    </xf>
    <xf borderId="4" fillId="0" fontId="16" numFmtId="168" xfId="0" applyAlignment="1" applyBorder="1" applyFont="1" applyNumberFormat="1">
      <alignment horizontal="right" vertical="bottom"/>
    </xf>
    <xf borderId="4" fillId="0" fontId="16" numFmtId="168" xfId="0" applyAlignment="1" applyBorder="1" applyFont="1" applyNumberFormat="1">
      <alignment readingOrder="0" vertical="bottom"/>
    </xf>
    <xf borderId="9" fillId="7" fontId="16" numFmtId="0" xfId="0" applyAlignment="1" applyBorder="1" applyFont="1">
      <alignment readingOrder="0" vertical="bottom"/>
    </xf>
    <xf borderId="4" fillId="7" fontId="16" numFmtId="0" xfId="0" applyAlignment="1" applyBorder="1" applyFont="1">
      <alignment vertical="bottom"/>
    </xf>
    <xf borderId="4" fillId="7" fontId="16" numFmtId="0" xfId="0" applyAlignment="1" applyBorder="1" applyFont="1">
      <alignment readingOrder="0" vertical="bottom"/>
    </xf>
    <xf borderId="0" fillId="0" fontId="16" numFmtId="167" xfId="0" applyAlignment="1" applyFont="1" applyNumberFormat="1">
      <alignment horizontal="right" readingOrder="0" vertical="bottom"/>
    </xf>
    <xf borderId="4" fillId="2" fontId="16" numFmtId="0" xfId="0" applyAlignment="1" applyBorder="1" applyFont="1">
      <alignment readingOrder="0" vertical="bottom"/>
    </xf>
    <xf borderId="0" fillId="8" fontId="16" numFmtId="168" xfId="0" applyAlignment="1" applyFont="1" applyNumberFormat="1">
      <alignment vertical="bottom"/>
    </xf>
    <xf borderId="4" fillId="0" fontId="16" numFmtId="168" xfId="0" applyAlignment="1" applyBorder="1" applyFont="1" applyNumberFormat="1">
      <alignment vertical="bottom"/>
    </xf>
    <xf borderId="0" fillId="34" fontId="16" numFmtId="0" xfId="0" applyAlignment="1" applyFont="1">
      <alignment readingOrder="0" vertical="bottom"/>
    </xf>
    <xf borderId="21" fillId="3" fontId="17" numFmtId="168" xfId="0" applyAlignment="1" applyBorder="1" applyFont="1" applyNumberFormat="1">
      <alignment horizontal="right" vertical="bottom"/>
    </xf>
    <xf borderId="4" fillId="0" fontId="21" numFmtId="0" xfId="0" applyAlignment="1" applyBorder="1" applyFont="1">
      <alignment readingOrder="0" vertical="bottom"/>
    </xf>
    <xf borderId="0" fillId="0" fontId="16" numFmtId="174" xfId="0" applyAlignment="1" applyFont="1" applyNumberFormat="1">
      <alignment horizontal="right" readingOrder="0" vertical="bottom"/>
    </xf>
    <xf borderId="0" fillId="10" fontId="16" numFmtId="168" xfId="0" applyAlignment="1" applyFont="1" applyNumberFormat="1">
      <alignment horizontal="right" readingOrder="0" vertical="bottom"/>
    </xf>
    <xf borderId="0" fillId="10" fontId="16" numFmtId="174" xfId="0" applyAlignment="1" applyFont="1" applyNumberFormat="1">
      <alignment horizontal="right" readingOrder="0" vertical="bottom"/>
    </xf>
    <xf borderId="0" fillId="0" fontId="16" numFmtId="168" xfId="0" applyAlignment="1" applyFont="1" applyNumberFormat="1">
      <alignment horizontal="right" readingOrder="0" shrinkToFit="0" vertical="bottom" wrapText="1"/>
    </xf>
    <xf borderId="0" fillId="25" fontId="18" numFmtId="168" xfId="0" applyAlignment="1" applyFont="1" applyNumberFormat="1">
      <alignment horizontal="right" shrinkToFit="0" vertical="bottom" wrapText="1"/>
    </xf>
    <xf borderId="0" fillId="10" fontId="16" numFmtId="0" xfId="0" applyAlignment="1" applyFont="1">
      <alignment horizontal="right" readingOrder="0" vertical="bottom"/>
    </xf>
    <xf borderId="0" fillId="25" fontId="18" numFmtId="0" xfId="0" applyAlignment="1" applyFont="1">
      <alignment readingOrder="0" vertical="bottom"/>
    </xf>
    <xf borderId="4" fillId="4" fontId="16" numFmtId="0" xfId="0" applyAlignment="1" applyBorder="1" applyFont="1">
      <alignment readingOrder="0" vertical="bottom"/>
    </xf>
    <xf borderId="0" fillId="10" fontId="16" numFmtId="166" xfId="0" applyAlignment="1" applyFont="1" applyNumberFormat="1">
      <alignment readingOrder="0" vertical="bottom"/>
    </xf>
    <xf borderId="0" fillId="8" fontId="18" numFmtId="166" xfId="0" applyAlignment="1" applyFont="1" applyNumberFormat="1">
      <alignment vertical="bottom"/>
    </xf>
    <xf borderId="0" fillId="10" fontId="16" numFmtId="0" xfId="0" applyAlignment="1" applyFont="1">
      <alignment readingOrder="0" vertical="bottom"/>
    </xf>
    <xf borderId="0" fillId="8" fontId="18" numFmtId="0" xfId="0" applyAlignment="1" applyFont="1">
      <alignment vertical="bottom"/>
    </xf>
    <xf borderId="4" fillId="37" fontId="16" numFmtId="0" xfId="0" applyAlignment="1" applyBorder="1" applyFill="1" applyFont="1">
      <alignment readingOrder="0" vertical="bottom"/>
    </xf>
    <xf borderId="4" fillId="38" fontId="18" numFmtId="0" xfId="0" applyAlignment="1" applyBorder="1" applyFill="1" applyFont="1">
      <alignment readingOrder="0" vertical="bottom"/>
    </xf>
    <xf borderId="0" fillId="38" fontId="18" numFmtId="168" xfId="0" applyAlignment="1" applyFont="1" applyNumberFormat="1">
      <alignment horizontal="right" readingOrder="0" vertical="bottom"/>
    </xf>
    <xf borderId="0" fillId="38" fontId="18" numFmtId="0" xfId="0" applyAlignment="1" applyFont="1">
      <alignment vertical="bottom"/>
    </xf>
    <xf borderId="4" fillId="39" fontId="2" numFmtId="0" xfId="0" applyBorder="1" applyFill="1" applyFont="1"/>
    <xf borderId="0" fillId="39" fontId="2" numFmtId="0" xfId="0" applyFont="1"/>
    <xf borderId="0" fillId="10" fontId="25" numFmtId="166" xfId="0" applyAlignment="1" applyFont="1" applyNumberFormat="1">
      <alignment horizontal="right" readingOrder="0" shrinkToFit="0" wrapText="0"/>
    </xf>
    <xf borderId="0" fillId="8" fontId="18" numFmtId="166" xfId="0" applyAlignment="1" applyFont="1" applyNumberFormat="1">
      <alignment horizontal="right" vertical="bottom"/>
    </xf>
    <xf borderId="0" fillId="8" fontId="18" numFmtId="166" xfId="0" applyAlignment="1" applyFont="1" applyNumberFormat="1">
      <alignment readingOrder="0" vertical="bottom"/>
    </xf>
    <xf borderId="4" fillId="6" fontId="18" numFmtId="0" xfId="0" applyAlignment="1" applyBorder="1" applyFont="1">
      <alignment readingOrder="0" vertical="bottom"/>
    </xf>
    <xf borderId="0" fillId="6" fontId="18" numFmtId="166" xfId="0" applyAlignment="1" applyFont="1" applyNumberFormat="1">
      <alignment horizontal="right" vertical="bottom"/>
    </xf>
    <xf borderId="5" fillId="3" fontId="16" numFmtId="0" xfId="0" applyAlignment="1" applyBorder="1" applyFont="1">
      <alignment readingOrder="0" vertical="bottom"/>
    </xf>
    <xf borderId="4" fillId="2" fontId="39" numFmtId="166" xfId="0" applyAlignment="1" applyBorder="1" applyFont="1" applyNumberFormat="1">
      <alignment horizontal="left" readingOrder="0" vertical="bottom"/>
    </xf>
    <xf borderId="0" fillId="0" fontId="39" numFmtId="166" xfId="0" applyAlignment="1" applyFont="1" applyNumberFormat="1">
      <alignment horizontal="left" readingOrder="0" vertical="bottom"/>
    </xf>
    <xf borderId="5" fillId="3" fontId="39" numFmtId="166" xfId="0" applyAlignment="1" applyBorder="1" applyFont="1" applyNumberFormat="1">
      <alignment horizontal="left" readingOrder="0" vertical="bottom"/>
    </xf>
    <xf borderId="4" fillId="11" fontId="20" numFmtId="0" xfId="0" applyAlignment="1" applyBorder="1" applyFont="1">
      <alignment readingOrder="0" vertical="bottom"/>
    </xf>
    <xf borderId="6" fillId="3" fontId="16" numFmtId="0" xfId="0" applyAlignment="1" applyBorder="1" applyFont="1">
      <alignment vertical="bottom"/>
    </xf>
    <xf borderId="4" fillId="20" fontId="40" numFmtId="0" xfId="0" applyAlignment="1" applyBorder="1" applyFont="1">
      <alignment horizontal="center" readingOrder="0" vertical="center"/>
    </xf>
    <xf borderId="6" fillId="3" fontId="17" numFmtId="3" xfId="0" applyAlignment="1" applyBorder="1" applyFont="1" applyNumberFormat="1">
      <alignment horizontal="right" vertical="bottom"/>
    </xf>
    <xf borderId="10" fillId="2" fontId="16" numFmtId="0" xfId="0" applyAlignment="1" applyBorder="1" applyFont="1">
      <alignment readingOrder="0"/>
    </xf>
    <xf borderId="0" fillId="2" fontId="16" numFmtId="168" xfId="0" applyAlignment="1" applyFont="1" applyNumberFormat="1">
      <alignment horizontal="right" vertical="bottom"/>
    </xf>
    <xf borderId="4" fillId="4" fontId="16" numFmtId="0" xfId="0" applyAlignment="1" applyBorder="1" applyFont="1">
      <alignment readingOrder="0"/>
    </xf>
    <xf borderId="6" fillId="3" fontId="22" numFmtId="0" xfId="0" applyBorder="1" applyFont="1"/>
    <xf borderId="6" fillId="3" fontId="16" numFmtId="3" xfId="0" applyAlignment="1" applyBorder="1" applyFont="1" applyNumberFormat="1">
      <alignment readingOrder="0" vertical="bottom"/>
    </xf>
    <xf borderId="0" fillId="2" fontId="24" numFmtId="0" xfId="0" applyAlignment="1" applyFont="1">
      <alignment readingOrder="0"/>
    </xf>
    <xf borderId="4" fillId="30" fontId="18" numFmtId="0" xfId="0" applyAlignment="1" applyBorder="1" applyFont="1">
      <alignment readingOrder="0"/>
    </xf>
    <xf borderId="0" fillId="30" fontId="2" numFmtId="0" xfId="0" applyFont="1"/>
    <xf borderId="6" fillId="3" fontId="2" numFmtId="0" xfId="0" applyBorder="1" applyFont="1"/>
    <xf borderId="4" fillId="0" fontId="18" numFmtId="0" xfId="0" applyAlignment="1" applyBorder="1" applyFont="1">
      <alignment readingOrder="0"/>
    </xf>
    <xf borderId="6" fillId="3" fontId="1" numFmtId="0" xfId="0" applyAlignment="1" applyBorder="1" applyFont="1">
      <alignment vertical="bottom"/>
    </xf>
    <xf borderId="0" fillId="2" fontId="24" numFmtId="166" xfId="0" applyAlignment="1" applyFont="1" applyNumberFormat="1">
      <alignment horizontal="right" readingOrder="0"/>
    </xf>
    <xf borderId="22" fillId="7" fontId="16" numFmtId="0" xfId="0" applyAlignment="1" applyBorder="1" applyFont="1">
      <alignment vertical="bottom"/>
    </xf>
    <xf borderId="9" fillId="8" fontId="16" numFmtId="1" xfId="0" applyAlignment="1" applyBorder="1" applyFont="1" applyNumberFormat="1">
      <alignment horizontal="left" readingOrder="0" vertical="bottom"/>
    </xf>
    <xf borderId="8" fillId="8" fontId="16" numFmtId="166" xfId="0" applyAlignment="1" applyBorder="1" applyFont="1" applyNumberFormat="1">
      <alignment horizontal="right" readingOrder="0" vertical="bottom"/>
    </xf>
    <xf borderId="10" fillId="20" fontId="15" numFmtId="0" xfId="0" applyAlignment="1" applyBorder="1" applyFont="1">
      <alignment readingOrder="0" vertical="bottom"/>
    </xf>
    <xf borderId="1" fillId="20" fontId="2" numFmtId="0" xfId="0" applyBorder="1" applyFont="1"/>
    <xf borderId="1" fillId="20" fontId="24" numFmtId="0" xfId="0" applyBorder="1" applyFont="1"/>
    <xf borderId="6" fillId="3" fontId="17" numFmtId="166" xfId="0" applyAlignment="1" applyBorder="1" applyFont="1" applyNumberFormat="1">
      <alignment horizontal="right" vertical="bottom"/>
    </xf>
    <xf borderId="0" fillId="8" fontId="16" numFmtId="0" xfId="0" applyAlignment="1" applyFont="1">
      <alignment horizontal="right" vertical="bottom"/>
    </xf>
    <xf borderId="0" fillId="0" fontId="1" numFmtId="1" xfId="0" applyAlignment="1" applyFont="1" applyNumberFormat="1">
      <alignment vertical="bottom"/>
    </xf>
    <xf borderId="0" fillId="8" fontId="1" numFmtId="1" xfId="0" applyAlignment="1" applyFont="1" applyNumberFormat="1">
      <alignment vertical="bottom"/>
    </xf>
    <xf borderId="0" fillId="0" fontId="26" numFmtId="1" xfId="0" applyAlignment="1" applyFont="1" applyNumberFormat="1">
      <alignment horizontal="right" readingOrder="0" shrinkToFit="0" wrapText="0"/>
    </xf>
    <xf borderId="0" fillId="2" fontId="25" numFmtId="1" xfId="0" applyAlignment="1" applyFont="1" applyNumberFormat="1">
      <alignment horizontal="right" readingOrder="0" shrinkToFit="0" wrapText="0"/>
    </xf>
    <xf borderId="0" fillId="2" fontId="25" numFmtId="0" xfId="0" applyAlignment="1" applyFont="1">
      <alignment horizontal="right" readingOrder="0" shrinkToFit="0" wrapText="0"/>
    </xf>
    <xf borderId="6" fillId="25" fontId="16" numFmtId="1" xfId="0" applyAlignment="1" applyBorder="1" applyFont="1" applyNumberFormat="1">
      <alignment horizontal="right" vertical="bottom"/>
    </xf>
    <xf borderId="1" fillId="20" fontId="16" numFmtId="2" xfId="0" applyAlignment="1" applyBorder="1" applyFont="1" applyNumberFormat="1">
      <alignment vertical="bottom"/>
    </xf>
    <xf borderId="1" fillId="20" fontId="16" numFmtId="0" xfId="0" applyAlignment="1" applyBorder="1" applyFont="1">
      <alignment vertical="bottom"/>
    </xf>
    <xf borderId="0" fillId="2" fontId="16" numFmtId="0" xfId="0" applyAlignment="1" applyFont="1">
      <alignment vertical="bottom"/>
    </xf>
    <xf borderId="23" fillId="7" fontId="16" numFmtId="0" xfId="0" applyAlignment="1" applyBorder="1" applyFont="1">
      <alignment vertical="bottom"/>
    </xf>
    <xf borderId="0" fillId="5" fontId="16" numFmtId="1" xfId="0" applyAlignment="1" applyFont="1" applyNumberFormat="1">
      <alignment readingOrder="0" vertical="bottom"/>
    </xf>
    <xf borderId="0" fillId="0" fontId="1" numFmtId="2" xfId="0" applyAlignment="1" applyFont="1" applyNumberFormat="1">
      <alignment vertical="bottom"/>
    </xf>
    <xf borderId="4" fillId="2" fontId="2" numFmtId="0" xfId="0" applyBorder="1" applyFont="1"/>
    <xf borderId="0" fillId="2" fontId="24" numFmtId="0" xfId="0" applyAlignment="1" applyFont="1">
      <alignment horizontal="right"/>
    </xf>
    <xf borderId="24" fillId="40" fontId="2" numFmtId="0" xfId="0" applyBorder="1" applyFill="1" applyFont="1"/>
    <xf borderId="25" fillId="40" fontId="24" numFmtId="0" xfId="0" applyAlignment="1" applyBorder="1" applyFont="1">
      <alignment horizontal="right"/>
    </xf>
    <xf borderId="0" fillId="40" fontId="24" numFmtId="0" xfId="0" applyAlignment="1" applyFont="1">
      <alignment horizontal="right"/>
    </xf>
    <xf borderId="4" fillId="6" fontId="16" numFmtId="0" xfId="0" applyAlignment="1" applyBorder="1" applyFont="1">
      <alignment readingOrder="0" vertical="bottom"/>
    </xf>
    <xf borderId="0" fillId="6" fontId="16" numFmtId="1" xfId="0" applyAlignment="1" applyFont="1" applyNumberFormat="1">
      <alignment horizontal="right" vertical="bottom"/>
    </xf>
    <xf borderId="6" fillId="3" fontId="16" numFmtId="0" xfId="0" applyAlignment="1" applyBorder="1" applyFont="1">
      <alignment readingOrder="0" vertical="bottom"/>
    </xf>
    <xf borderId="24" fillId="31" fontId="18" numFmtId="0" xfId="0" applyAlignment="1" applyBorder="1" applyFont="1">
      <alignment readingOrder="0" vertical="bottom"/>
    </xf>
    <xf borderId="1" fillId="0" fontId="16" numFmtId="0" xfId="0" applyAlignment="1" applyBorder="1" applyFont="1">
      <alignment vertical="bottom"/>
    </xf>
    <xf borderId="4" fillId="41" fontId="16" numFmtId="0" xfId="0" applyAlignment="1" applyBorder="1" applyFill="1" applyFont="1">
      <alignment readingOrder="0" vertical="bottom"/>
    </xf>
    <xf borderId="0" fillId="32" fontId="16" numFmtId="168" xfId="0" applyAlignment="1" applyFont="1" applyNumberFormat="1">
      <alignment horizontal="right" readingOrder="0" vertical="bottom"/>
    </xf>
    <xf borderId="10" fillId="22" fontId="34" numFmtId="0" xfId="0" applyAlignment="1" applyBorder="1" applyFont="1">
      <alignment readingOrder="0" vertical="bottom"/>
    </xf>
    <xf borderId="0" fillId="0" fontId="24" numFmtId="168" xfId="0" applyFont="1" applyNumberFormat="1"/>
    <xf borderId="8" fillId="0" fontId="24" numFmtId="168" xfId="0" applyBorder="1" applyFont="1" applyNumberFormat="1"/>
    <xf borderId="6" fillId="3" fontId="17" numFmtId="168" xfId="0" applyAlignment="1" applyBorder="1" applyFont="1" applyNumberFormat="1">
      <alignment horizontal="right" vertical="bottom"/>
    </xf>
    <xf borderId="1" fillId="0" fontId="16" numFmtId="168" xfId="0" applyAlignment="1" applyBorder="1" applyFont="1" applyNumberFormat="1">
      <alignment horizontal="right" readingOrder="0" vertical="bottom"/>
    </xf>
    <xf borderId="9" fillId="22" fontId="16" numFmtId="0" xfId="0" applyAlignment="1" applyBorder="1" applyFont="1">
      <alignment readingOrder="0" vertical="bottom"/>
    </xf>
    <xf borderId="26" fillId="3" fontId="17" numFmtId="168" xfId="0" applyAlignment="1" applyBorder="1" applyFont="1" applyNumberFormat="1">
      <alignment horizontal="right" vertical="bottom"/>
    </xf>
    <xf borderId="9" fillId="22" fontId="16" numFmtId="0" xfId="0" applyAlignment="1" applyBorder="1" applyFont="1">
      <alignment readingOrder="0" vertical="bottom"/>
    </xf>
    <xf borderId="0" fillId="3" fontId="16" numFmtId="168" xfId="0" applyAlignment="1" applyFont="1" applyNumberFormat="1">
      <alignment horizontal="right" readingOrder="0" vertical="bottom"/>
    </xf>
    <xf borderId="27" fillId="3" fontId="17" numFmtId="168" xfId="0" applyAlignment="1" applyBorder="1" applyFont="1" applyNumberFormat="1">
      <alignment horizontal="right" vertical="bottom"/>
    </xf>
    <xf borderId="10" fillId="22" fontId="16" numFmtId="0" xfId="0" applyAlignment="1" applyBorder="1" applyFont="1">
      <alignment readingOrder="0" vertical="bottom"/>
    </xf>
    <xf borderId="1" fillId="3" fontId="16" numFmtId="168" xfId="0" applyAlignment="1" applyBorder="1" applyFont="1" applyNumberFormat="1">
      <alignment horizontal="right" readingOrder="0" vertical="bottom"/>
    </xf>
    <xf borderId="8" fillId="3" fontId="16" numFmtId="168" xfId="0" applyAlignment="1" applyBorder="1" applyFont="1" applyNumberFormat="1">
      <alignment horizontal="right" readingOrder="0" vertical="bottom"/>
    </xf>
    <xf borderId="0" fillId="34" fontId="16" numFmtId="168" xfId="0" applyAlignment="1" applyFont="1" applyNumberFormat="1">
      <alignment horizontal="right" readingOrder="0" vertical="bottom"/>
    </xf>
    <xf borderId="0" fillId="8" fontId="16" numFmtId="168" xfId="0" applyAlignment="1" applyFont="1" applyNumberFormat="1">
      <alignment horizontal="right" readingOrder="0" vertical="bottom"/>
    </xf>
    <xf borderId="13" fillId="34" fontId="34" numFmtId="0" xfId="0" applyAlignment="1" applyBorder="1" applyFont="1">
      <alignment readingOrder="0" vertical="bottom"/>
    </xf>
    <xf borderId="4" fillId="0" fontId="16" numFmtId="166" xfId="0" applyAlignment="1" applyBorder="1" applyFont="1" applyNumberFormat="1">
      <alignment horizontal="right" readingOrder="0" vertical="bottom"/>
    </xf>
    <xf borderId="28" fillId="34" fontId="34" numFmtId="0" xfId="0" applyAlignment="1" applyBorder="1" applyFont="1">
      <alignment readingOrder="0" vertical="bottom"/>
    </xf>
    <xf borderId="29" fillId="0" fontId="16" numFmtId="168" xfId="0" applyAlignment="1" applyBorder="1" applyFont="1" applyNumberFormat="1">
      <alignment horizontal="right" readingOrder="0" vertical="bottom"/>
    </xf>
    <xf borderId="16" fillId="0" fontId="16" numFmtId="10" xfId="0" applyAlignment="1" applyBorder="1" applyFont="1" applyNumberFormat="1">
      <alignment horizontal="right" readingOrder="0" vertical="bottom"/>
    </xf>
    <xf borderId="17" fillId="0" fontId="16" numFmtId="10" xfId="0" applyAlignment="1" applyBorder="1" applyFont="1" applyNumberFormat="1">
      <alignment horizontal="right" readingOrder="0" vertical="bottom"/>
    </xf>
    <xf borderId="13" fillId="4" fontId="34" numFmtId="0" xfId="0" applyAlignment="1" applyBorder="1" applyFont="1">
      <alignment readingOrder="0" vertical="bottom"/>
    </xf>
    <xf borderId="28" fillId="3" fontId="34" numFmtId="0" xfId="0" applyAlignment="1" applyBorder="1" applyFont="1">
      <alignment readingOrder="0" vertical="bottom"/>
    </xf>
    <xf borderId="1" fillId="4" fontId="41" numFmtId="0" xfId="0" applyAlignment="1" applyBorder="1" applyFont="1">
      <alignment readingOrder="0"/>
    </xf>
    <xf borderId="1" fillId="3" fontId="2" numFmtId="3" xfId="0" applyBorder="1" applyFont="1" applyNumberFormat="1"/>
    <xf borderId="0" fillId="4" fontId="41"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14" fillId="3" fontId="41" numFmtId="0" xfId="0" applyAlignment="1" applyBorder="1" applyFont="1">
      <alignment readingOrder="0" shrinkToFit="0" wrapText="1"/>
    </xf>
    <xf borderId="14" fillId="4" fontId="2" numFmtId="0" xfId="0" applyBorder="1" applyFont="1"/>
    <xf borderId="0" fillId="35" fontId="2" numFmtId="0" xfId="0" applyAlignment="1" applyFont="1">
      <alignment readingOrder="0"/>
    </xf>
    <xf borderId="0" fillId="35" fontId="2" numFmtId="10" xfId="0" applyFont="1" applyNumberFormat="1"/>
    <xf borderId="0" fillId="35" fontId="2" numFmtId="0" xfId="0" applyAlignment="1" applyFont="1">
      <alignment readingOrder="0" shrinkToFit="0" wrapText="1"/>
    </xf>
    <xf borderId="17" fillId="35" fontId="2" numFmtId="0" xfId="0" applyAlignment="1" applyBorder="1" applyFont="1">
      <alignment readingOrder="0" shrinkToFit="0" wrapText="1"/>
    </xf>
    <xf borderId="17" fillId="35" fontId="2" numFmtId="10" xfId="0" applyBorder="1" applyFont="1" applyNumberFormat="1"/>
    <xf borderId="8" fillId="0" fontId="2" numFmtId="0" xfId="0" applyAlignment="1" applyBorder="1" applyFont="1">
      <alignment readingOrder="0"/>
    </xf>
    <xf borderId="8" fillId="0" fontId="2" numFmtId="10" xfId="0" applyBorder="1" applyFont="1" applyNumberFormat="1"/>
    <xf borderId="0" fillId="4" fontId="41" numFmtId="0" xfId="0" applyAlignment="1" applyFont="1">
      <alignment readingOrder="0" shrinkToFit="0" wrapText="1"/>
    </xf>
    <xf borderId="0" fillId="4" fontId="2" numFmtId="0" xfId="0" applyFont="1"/>
    <xf borderId="0" fillId="4" fontId="14" numFmtId="0" xfId="0" applyFont="1"/>
    <xf borderId="1" fillId="4" fontId="41" numFmtId="0" xfId="0" applyAlignment="1" applyBorder="1" applyFont="1">
      <alignment readingOrder="0" shrinkToFit="0" wrapText="1"/>
    </xf>
    <xf borderId="1" fillId="4" fontId="2" numFmtId="10" xfId="0" applyBorder="1" applyFont="1" applyNumberFormat="1"/>
    <xf borderId="0" fillId="4" fontId="2" numFmtId="10" xfId="0" applyFont="1" applyNumberFormat="1"/>
    <xf borderId="0" fillId="0" fontId="2" numFmtId="49" xfId="0" applyAlignment="1" applyFont="1" applyNumberFormat="1">
      <alignment readingOrder="0"/>
    </xf>
    <xf borderId="0" fillId="0" fontId="2" numFmtId="9" xfId="0" applyFont="1" applyNumberFormat="1"/>
    <xf borderId="8" fillId="4" fontId="2" numFmtId="0" xfId="0" applyAlignment="1" applyBorder="1" applyFont="1">
      <alignment readingOrder="0"/>
    </xf>
    <xf borderId="8" fillId="4" fontId="2" numFmtId="10" xfId="0" applyBorder="1" applyFont="1" applyNumberFormat="1"/>
    <xf borderId="0" fillId="3" fontId="41" numFmtId="0" xfId="0" applyAlignment="1" applyFont="1">
      <alignment readingOrder="0" shrinkToFit="0" wrapText="1"/>
    </xf>
    <xf borderId="8" fillId="4" fontId="2" numFmtId="0" xfId="0" applyBorder="1" applyFont="1"/>
    <xf borderId="0" fillId="42" fontId="42" numFmtId="0" xfId="0" applyAlignment="1" applyFill="1" applyFont="1">
      <alignment horizontal="center" readingOrder="0"/>
    </xf>
    <xf borderId="8" fillId="42" fontId="43" numFmtId="165" xfId="0" applyAlignment="1" applyBorder="1" applyFont="1" applyNumberFormat="1">
      <alignment horizontal="right" readingOrder="0" vertical="bottom"/>
    </xf>
    <xf borderId="24" fillId="2" fontId="44" numFmtId="0" xfId="0" applyAlignment="1" applyBorder="1" applyFont="1">
      <alignment horizontal="center" readingOrder="0" vertical="bottom"/>
    </xf>
    <xf borderId="26" fillId="2" fontId="44" numFmtId="0" xfId="0" applyAlignment="1" applyBorder="1" applyFont="1">
      <alignment horizontal="center" readingOrder="0" vertical="bottom"/>
    </xf>
    <xf borderId="27" fillId="0" fontId="2" numFmtId="0" xfId="0" applyAlignment="1" applyBorder="1" applyFont="1">
      <alignment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1" fillId="0" fontId="1" numFmtId="3" xfId="0" applyAlignment="1" applyBorder="1" applyFont="1" applyNumberFormat="1">
      <alignment horizontal="center" readingOrder="0" vertical="bottom"/>
    </xf>
    <xf borderId="22" fillId="2" fontId="2"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0" fontId="2" numFmtId="0" xfId="0" applyAlignment="1" applyBorder="1" applyFont="1">
      <alignment readingOrder="0"/>
    </xf>
    <xf borderId="6" fillId="0" fontId="2" numFmtId="0" xfId="0" applyAlignment="1" applyBorder="1" applyFont="1">
      <alignment readingOrder="0"/>
    </xf>
    <xf borderId="0" fillId="27" fontId="41" numFmtId="0" xfId="0" applyAlignment="1" applyFont="1">
      <alignment horizontal="center" readingOrder="0"/>
    </xf>
    <xf borderId="0" fillId="27" fontId="41" numFmtId="3" xfId="0" applyAlignment="1" applyFont="1" applyNumberFormat="1">
      <alignment horizontal="center" readingOrder="0"/>
    </xf>
    <xf borderId="24" fillId="16" fontId="41" numFmtId="3" xfId="0" applyAlignment="1" applyBorder="1" applyFont="1" applyNumberFormat="1">
      <alignment horizontal="center" readingOrder="0"/>
    </xf>
    <xf borderId="24" fillId="16" fontId="41" numFmtId="10" xfId="0" applyAlignment="1" applyBorder="1" applyFont="1" applyNumberFormat="1">
      <alignment horizontal="center" readingOrder="0"/>
    </xf>
    <xf borderId="0" fillId="5" fontId="42" numFmtId="0" xfId="0" applyAlignment="1" applyFont="1">
      <alignment horizontal="center" readingOrder="0"/>
    </xf>
    <xf borderId="0" fillId="5" fontId="43" numFmtId="165" xfId="0" applyAlignment="1" applyFont="1" applyNumberFormat="1">
      <alignment horizontal="right" readingOrder="0" vertical="bottom"/>
    </xf>
    <xf borderId="22" fillId="2" fontId="41" numFmtId="10" xfId="0" applyAlignment="1" applyBorder="1" applyFont="1" applyNumberFormat="1">
      <alignment horizontal="center"/>
    </xf>
    <xf borderId="6" fillId="2" fontId="41" numFmtId="10" xfId="0" applyAlignment="1" applyBorder="1" applyFont="1" applyNumberFormat="1">
      <alignment horizontal="center"/>
    </xf>
    <xf borderId="6" fillId="35" fontId="2" numFmtId="0" xfId="0" applyAlignment="1" applyBorder="1" applyFont="1">
      <alignment readingOrder="0"/>
    </xf>
    <xf borderId="0" fillId="35" fontId="41" numFmtId="10" xfId="0" applyAlignment="1" applyFont="1" applyNumberFormat="1">
      <alignment horizontal="center"/>
    </xf>
    <xf borderId="6" fillId="35" fontId="2" numFmtId="0" xfId="0" applyAlignment="1" applyBorder="1" applyFont="1">
      <alignment readingOrder="0"/>
    </xf>
    <xf borderId="26" fillId="35" fontId="2" numFmtId="0" xfId="0" applyAlignment="1" applyBorder="1" applyFont="1">
      <alignment readingOrder="0"/>
    </xf>
    <xf borderId="1" fillId="0" fontId="41" numFmtId="10" xfId="0" applyAlignment="1" applyBorder="1" applyFont="1" applyNumberFormat="1">
      <alignment horizontal="center"/>
    </xf>
    <xf borderId="0" fillId="0" fontId="41" numFmtId="10" xfId="0" applyAlignment="1" applyFont="1" applyNumberFormat="1">
      <alignment horizontal="center"/>
    </xf>
    <xf borderId="0" fillId="9" fontId="42" numFmtId="0" xfId="0" applyAlignment="1" applyFont="1">
      <alignment horizontal="center" readingOrder="0"/>
    </xf>
    <xf borderId="0" fillId="9" fontId="43" numFmtId="165" xfId="0" applyAlignment="1" applyFont="1" applyNumberFormat="1">
      <alignment horizontal="right" readingOrder="0" vertical="bottom"/>
    </xf>
    <xf borderId="7" fillId="2" fontId="41" numFmtId="10" xfId="0" applyAlignment="1" applyBorder="1" applyFont="1" applyNumberFormat="1">
      <alignment horizontal="center"/>
    </xf>
    <xf borderId="26" fillId="2" fontId="41" numFmtId="10" xfId="0" applyAlignment="1" applyBorder="1" applyFont="1" applyNumberFormat="1">
      <alignment horizontal="center"/>
    </xf>
    <xf borderId="6" fillId="43" fontId="2" numFmtId="0" xfId="0" applyAlignment="1" applyBorder="1" applyFill="1" applyFont="1">
      <alignment readingOrder="0"/>
    </xf>
    <xf borderId="0" fillId="43" fontId="2" numFmtId="3" xfId="0" applyAlignment="1" applyFont="1" applyNumberFormat="1">
      <alignment horizontal="center" readingOrder="0"/>
    </xf>
    <xf borderId="27" fillId="16" fontId="41" numFmtId="3" xfId="0" applyAlignment="1" applyBorder="1" applyFont="1" applyNumberFormat="1">
      <alignment horizontal="center" readingOrder="0"/>
    </xf>
    <xf borderId="27" fillId="16" fontId="41" numFmtId="10" xfId="0" applyAlignment="1" applyBorder="1" applyFont="1" applyNumberFormat="1">
      <alignment horizontal="center" readingOrder="0"/>
    </xf>
    <xf borderId="27" fillId="2" fontId="2" numFmtId="0" xfId="0" applyAlignment="1" applyBorder="1" applyFont="1">
      <alignment horizontal="center"/>
    </xf>
    <xf borderId="27" fillId="2" fontId="41" numFmtId="10" xfId="0" applyAlignment="1" applyBorder="1" applyFont="1" applyNumberFormat="1">
      <alignment horizontal="center"/>
    </xf>
    <xf borderId="6" fillId="2" fontId="2" numFmtId="0" xfId="0" applyAlignment="1" applyBorder="1" applyFont="1">
      <alignment horizontal="center"/>
    </xf>
    <xf borderId="0" fillId="0" fontId="2" numFmtId="0" xfId="0" applyAlignment="1" applyFont="1">
      <alignment horizontal="center"/>
    </xf>
    <xf borderId="0" fillId="5" fontId="2" numFmtId="0" xfId="0" applyFont="1"/>
    <xf borderId="0" fillId="5" fontId="2" numFmtId="0" xfId="0" applyAlignment="1" applyFont="1">
      <alignment horizontal="center"/>
    </xf>
    <xf borderId="0" fillId="37" fontId="45" numFmtId="0" xfId="0" applyAlignment="1" applyFont="1">
      <alignment horizontal="center" readingOrder="0"/>
    </xf>
    <xf borderId="0" fillId="37" fontId="46" numFmtId="165" xfId="0" applyAlignment="1" applyFont="1" applyNumberFormat="1">
      <alignment horizontal="right" readingOrder="0" vertical="bottom"/>
    </xf>
    <xf borderId="6" fillId="2" fontId="2" numFmtId="3" xfId="0" applyAlignment="1" applyBorder="1" applyFont="1" applyNumberFormat="1">
      <alignment horizontal="center" readingOrder="0"/>
    </xf>
    <xf borderId="6" fillId="4" fontId="41" numFmtId="0" xfId="0" applyAlignment="1" applyBorder="1" applyFont="1">
      <alignment horizontal="center" readingOrder="0"/>
    </xf>
    <xf borderId="0" fillId="3" fontId="1" numFmtId="3" xfId="0" applyAlignment="1" applyFont="1" applyNumberFormat="1">
      <alignment horizontal="center" readingOrder="0" vertical="bottom"/>
    </xf>
    <xf borderId="0" fillId="3" fontId="2" numFmtId="3" xfId="0" applyAlignment="1" applyFont="1" applyNumberFormat="1">
      <alignment horizontal="center" readingOrder="0"/>
    </xf>
    <xf borderId="0" fillId="4" fontId="2" numFmtId="3" xfId="0" applyAlignment="1" applyFont="1" applyNumberFormat="1">
      <alignment horizontal="center" readingOrder="0"/>
    </xf>
    <xf borderId="0" fillId="4" fontId="1" numFmtId="3" xfId="0" applyAlignment="1" applyFont="1" applyNumberFormat="1">
      <alignment horizontal="center" readingOrder="0" vertical="bottom"/>
    </xf>
    <xf borderId="0" fillId="4" fontId="41" numFmtId="0" xfId="0" applyAlignment="1" applyFont="1">
      <alignment horizontal="center" readingOrder="0"/>
    </xf>
    <xf borderId="30" fillId="16" fontId="41" numFmtId="3" xfId="0" applyAlignment="1" applyBorder="1" applyFont="1" applyNumberFormat="1">
      <alignment horizontal="center" readingOrder="0"/>
    </xf>
    <xf borderId="0" fillId="4" fontId="2" numFmtId="3" xfId="0" applyAlignment="1" applyFont="1" applyNumberFormat="1">
      <alignment horizontal="center"/>
    </xf>
    <xf borderId="22" fillId="2" fontId="2" numFmtId="3" xfId="0" applyAlignment="1" applyBorder="1" applyFont="1" applyNumberFormat="1">
      <alignment horizontal="center"/>
    </xf>
    <xf borderId="6" fillId="2" fontId="2" numFmtId="3" xfId="0" applyAlignment="1" applyBorder="1" applyFont="1" applyNumberFormat="1">
      <alignment horizontal="center"/>
    </xf>
    <xf borderId="0" fillId="0" fontId="2" numFmtId="3" xfId="0" applyAlignment="1" applyFont="1" applyNumberFormat="1">
      <alignment horizontal="center"/>
    </xf>
    <xf borderId="0" fillId="43" fontId="2" numFmtId="0" xfId="0" applyAlignment="1" applyFont="1">
      <alignment readingOrder="0"/>
    </xf>
    <xf borderId="6" fillId="27" fontId="41" numFmtId="0" xfId="0" applyAlignment="1" applyBorder="1" applyFont="1">
      <alignment horizontal="center" readingOrder="0"/>
    </xf>
    <xf borderId="0" fillId="44" fontId="41" numFmtId="3" xfId="0" applyAlignment="1" applyFill="1" applyFont="1" applyNumberFormat="1">
      <alignment horizontal="center" readingOrder="0"/>
    </xf>
    <xf borderId="22" fillId="2" fontId="41" numFmtId="3" xfId="0" applyAlignment="1" applyBorder="1" applyFont="1" applyNumberFormat="1">
      <alignment horizontal="center" readingOrder="0"/>
    </xf>
    <xf borderId="6" fillId="2" fontId="41" numFmtId="3" xfId="0" applyAlignment="1" applyBorder="1" applyFont="1" applyNumberFormat="1">
      <alignment horizontal="center" readingOrder="0"/>
    </xf>
    <xf borderId="0" fillId="45" fontId="41" numFmtId="10" xfId="0" applyAlignment="1" applyFill="1" applyFont="1" applyNumberFormat="1">
      <alignment horizontal="center"/>
    </xf>
    <xf borderId="6" fillId="35" fontId="41" numFmtId="0" xfId="0" applyAlignment="1" applyBorder="1" applyFont="1">
      <alignment horizontal="center" readingOrder="0"/>
    </xf>
    <xf borderId="8" fillId="35" fontId="41" numFmtId="0" xfId="0" applyAlignment="1" applyBorder="1" applyFont="1">
      <alignment horizontal="center" readingOrder="0"/>
    </xf>
    <xf borderId="8" fillId="45" fontId="41" numFmtId="10" xfId="0" applyAlignment="1" applyBorder="1" applyFont="1" applyNumberFormat="1">
      <alignment horizontal="center"/>
    </xf>
    <xf borderId="0" fillId="35" fontId="41" numFmtId="0" xfId="0" applyAlignment="1" applyFont="1">
      <alignment horizontal="center" readingOrder="0"/>
    </xf>
    <xf borderId="22" fillId="2" fontId="2" numFmtId="0" xfId="0" applyAlignment="1" applyBorder="1" applyFont="1">
      <alignment horizontal="center"/>
    </xf>
    <xf borderId="0" fillId="2" fontId="2" numFmtId="0" xfId="0" applyFont="1"/>
    <xf borderId="0" fillId="2" fontId="2" numFmtId="0" xfId="0" applyAlignment="1" applyFont="1">
      <alignment horizontal="center"/>
    </xf>
    <xf borderId="6" fillId="4" fontId="2" numFmtId="0" xfId="0" applyAlignment="1" applyBorder="1" applyFont="1">
      <alignment horizontal="center" readingOrder="0"/>
    </xf>
    <xf borderId="0" fillId="3" fontId="41" numFmtId="3" xfId="0" applyAlignment="1" applyFont="1" applyNumberFormat="1">
      <alignment horizontal="center" readingOrder="0"/>
    </xf>
    <xf borderId="0" fillId="0" fontId="41" numFmtId="0" xfId="0" applyAlignment="1" applyFont="1">
      <alignment horizontal="center" readingOrder="0"/>
    </xf>
    <xf borderId="0" fillId="4" fontId="2" numFmtId="0" xfId="0" applyAlignment="1" applyFont="1">
      <alignment horizontal="center" readingOrder="0"/>
    </xf>
    <xf borderId="0" fillId="0" fontId="41" numFmtId="3" xfId="0" applyAlignment="1" applyFont="1" applyNumberFormat="1">
      <alignment horizontal="center" readingOrder="0"/>
    </xf>
    <xf borderId="0" fillId="43" fontId="2" numFmtId="0" xfId="0" applyFont="1"/>
    <xf borderId="0" fillId="43" fontId="2" numFmtId="0" xfId="0" applyAlignment="1" applyFont="1">
      <alignment horizontal="center"/>
    </xf>
    <xf borderId="6" fillId="45" fontId="41" numFmtId="0" xfId="0" applyAlignment="1" applyBorder="1" applyFont="1">
      <alignment horizontal="center" readingOrder="0"/>
    </xf>
    <xf borderId="0" fillId="45" fontId="1" numFmtId="3" xfId="0" applyAlignment="1" applyFont="1" applyNumberFormat="1">
      <alignment horizontal="center" readingOrder="0" vertical="bottom"/>
    </xf>
    <xf borderId="0" fillId="45" fontId="2" numFmtId="3" xfId="0" applyAlignment="1" applyFont="1" applyNumberFormat="1">
      <alignment horizontal="center" readingOrder="0"/>
    </xf>
    <xf borderId="6" fillId="45" fontId="2" numFmtId="0" xfId="0" applyAlignment="1" applyBorder="1" applyFont="1">
      <alignment readingOrder="0"/>
    </xf>
    <xf borderId="0" fillId="45" fontId="47" numFmtId="10" xfId="0" applyAlignment="1" applyFont="1" applyNumberFormat="1">
      <alignment horizontal="center" readingOrder="0" vertical="bottom"/>
    </xf>
    <xf borderId="0" fillId="45" fontId="41" numFmtId="0" xfId="0" applyAlignment="1" applyFont="1">
      <alignment horizontal="center" readingOrder="0"/>
    </xf>
    <xf borderId="0" fillId="45" fontId="47" numFmtId="3" xfId="0" applyAlignment="1" applyFont="1" applyNumberFormat="1">
      <alignment horizontal="center" readingOrder="0" vertical="bottom"/>
    </xf>
    <xf borderId="6" fillId="45" fontId="2" numFmtId="0" xfId="0" applyAlignment="1" applyBorder="1" applyFont="1">
      <alignment horizontal="center" readingOrder="0"/>
    </xf>
    <xf borderId="0" fillId="45" fontId="2" numFmtId="0" xfId="0" applyFont="1"/>
    <xf borderId="0" fillId="45" fontId="2" numFmtId="0" xfId="0" applyAlignment="1" applyFont="1">
      <alignment horizontal="center"/>
    </xf>
    <xf borderId="22" fillId="2" fontId="2" numFmtId="0" xfId="0" applyBorder="1" applyFont="1"/>
    <xf borderId="6" fillId="2" fontId="2" numFmtId="0" xfId="0" applyBorder="1" applyFont="1"/>
    <xf borderId="7" fillId="2" fontId="2" numFmtId="0" xfId="0" applyBorder="1" applyFont="1"/>
    <xf borderId="0" fillId="46" fontId="2" numFmtId="0" xfId="0" applyAlignment="1" applyFill="1" applyFont="1">
      <alignment horizontal="center" readingOrder="0"/>
    </xf>
    <xf borderId="0" fillId="10" fontId="48" numFmtId="0" xfId="0" applyAlignment="1" applyFont="1">
      <alignment horizontal="left" readingOrder="0"/>
    </xf>
    <xf borderId="30" fillId="42" fontId="38" numFmtId="0" xfId="0" applyAlignment="1" applyBorder="1" applyFont="1">
      <alignment horizontal="center" readingOrder="0"/>
    </xf>
    <xf borderId="31" fillId="0" fontId="49" numFmtId="0" xfId="0" applyBorder="1" applyFont="1"/>
    <xf borderId="30" fillId="42" fontId="8" numFmtId="0" xfId="0" applyAlignment="1" applyBorder="1" applyFont="1">
      <alignment horizontal="center" readingOrder="0"/>
    </xf>
    <xf borderId="0" fillId="43" fontId="8" numFmtId="0" xfId="0" applyAlignment="1" applyFont="1">
      <alignment horizontal="center" readingOrder="0"/>
    </xf>
    <xf borderId="0" fillId="43" fontId="41" numFmtId="0" xfId="0" applyAlignment="1" applyFont="1">
      <alignment horizontal="center" readingOrder="0"/>
    </xf>
    <xf borderId="0" fillId="10" fontId="8" numFmtId="0" xfId="0" applyAlignment="1" applyFont="1">
      <alignment horizontal="center" readingOrder="0"/>
    </xf>
    <xf borderId="30" fillId="42" fontId="50" numFmtId="0" xfId="0" applyAlignment="1" applyBorder="1" applyFont="1">
      <alignment horizontal="center" vertical="bottom"/>
    </xf>
    <xf borderId="0" fillId="10" fontId="50" numFmtId="0" xfId="0" applyAlignment="1" applyFont="1">
      <alignment horizontal="center" vertical="bottom"/>
    </xf>
    <xf borderId="0" fillId="10" fontId="51" numFmtId="166" xfId="0" applyAlignment="1" applyFont="1" applyNumberFormat="1">
      <alignment readingOrder="0"/>
    </xf>
    <xf borderId="24" fillId="10" fontId="51" numFmtId="0" xfId="0" applyAlignment="1" applyBorder="1" applyFont="1">
      <alignment readingOrder="0"/>
    </xf>
    <xf borderId="24" fillId="37" fontId="51" numFmtId="166" xfId="0" applyAlignment="1" applyBorder="1" applyFont="1" applyNumberFormat="1">
      <alignment horizontal="center" readingOrder="0"/>
    </xf>
    <xf borderId="0" fillId="0" fontId="52" numFmtId="166" xfId="0" applyAlignment="1" applyFont="1" applyNumberFormat="1">
      <alignment horizontal="center" readingOrder="0"/>
    </xf>
    <xf borderId="24" fillId="0" fontId="2" numFmtId="0" xfId="0" applyAlignment="1" applyBorder="1" applyFont="1">
      <alignment readingOrder="0"/>
    </xf>
    <xf borderId="24" fillId="37" fontId="2" numFmtId="10" xfId="0" applyAlignment="1" applyBorder="1" applyFont="1" applyNumberFormat="1">
      <alignment horizontal="center"/>
    </xf>
    <xf borderId="0" fillId="43" fontId="2" numFmtId="166" xfId="0" applyAlignment="1" applyFont="1" applyNumberFormat="1">
      <alignment readingOrder="0"/>
    </xf>
    <xf borderId="24" fillId="0" fontId="51" numFmtId="0" xfId="0" applyAlignment="1" applyBorder="1" applyFont="1">
      <alignment readingOrder="0"/>
    </xf>
    <xf borderId="24" fillId="37" fontId="2" numFmtId="166" xfId="0" applyAlignment="1" applyBorder="1" applyFont="1" applyNumberFormat="1">
      <alignment horizontal="center" readingOrder="0"/>
    </xf>
    <xf borderId="0" fillId="43" fontId="52" numFmtId="166" xfId="0" applyAlignment="1" applyFont="1" applyNumberFormat="1">
      <alignment horizontal="center" readingOrder="0"/>
    </xf>
    <xf borderId="24" fillId="43" fontId="51" numFmtId="0" xfId="0" applyAlignment="1" applyBorder="1" applyFont="1">
      <alignment readingOrder="0"/>
    </xf>
    <xf borderId="24" fillId="33" fontId="2" numFmtId="10" xfId="0" applyAlignment="1" applyBorder="1" applyFont="1" applyNumberFormat="1">
      <alignment horizontal="center" readingOrder="0"/>
    </xf>
    <xf borderId="24" fillId="37" fontId="51" numFmtId="10" xfId="0" applyAlignment="1" applyBorder="1" applyFont="1" applyNumberFormat="1">
      <alignment horizontal="center" readingOrder="0"/>
    </xf>
    <xf borderId="24" fillId="37" fontId="2" numFmtId="172" xfId="0" applyAlignment="1" applyBorder="1" applyFont="1" applyNumberFormat="1">
      <alignment horizontal="center" readingOrder="0"/>
    </xf>
    <xf borderId="0" fillId="10" fontId="2" numFmtId="172" xfId="0" applyAlignment="1" applyFont="1" applyNumberFormat="1">
      <alignment horizontal="center" readingOrder="0"/>
    </xf>
    <xf borderId="7" fillId="0" fontId="1" numFmtId="172" xfId="0" applyAlignment="1" applyBorder="1" applyFont="1" applyNumberFormat="1">
      <alignment vertical="bottom"/>
    </xf>
    <xf borderId="9" fillId="37" fontId="1" numFmtId="10" xfId="0" applyAlignment="1" applyBorder="1" applyFont="1" applyNumberFormat="1">
      <alignment horizontal="center" vertical="bottom"/>
    </xf>
    <xf borderId="0" fillId="10" fontId="53" numFmtId="0" xfId="0" applyAlignment="1" applyFont="1">
      <alignment horizontal="center" readingOrder="0" vertical="bottom"/>
    </xf>
    <xf borderId="0" fillId="43" fontId="41" numFmtId="0" xfId="0" applyAlignment="1" applyFont="1">
      <alignment horizontal="right" readingOrder="0"/>
    </xf>
    <xf borderId="24" fillId="37" fontId="2" numFmtId="10" xfId="0" applyAlignment="1" applyBorder="1" applyFont="1" applyNumberFormat="1">
      <alignment horizontal="center" readingOrder="0"/>
    </xf>
    <xf borderId="24" fillId="16" fontId="2" numFmtId="0" xfId="0" applyAlignment="1" applyBorder="1" applyFont="1">
      <alignment readingOrder="0"/>
    </xf>
    <xf borderId="24" fillId="16" fontId="2" numFmtId="10" xfId="0" applyAlignment="1" applyBorder="1" applyFont="1" applyNumberFormat="1">
      <alignment horizontal="center" readingOrder="0"/>
    </xf>
    <xf borderId="24" fillId="3" fontId="2" numFmtId="166" xfId="0" applyAlignment="1" applyBorder="1" applyFont="1" applyNumberFormat="1">
      <alignment horizontal="center" readingOrder="0"/>
    </xf>
    <xf borderId="24" fillId="37" fontId="2" numFmtId="175" xfId="0" applyAlignment="1" applyBorder="1" applyFont="1" applyNumberFormat="1">
      <alignment horizontal="center" readingOrder="0"/>
    </xf>
    <xf borderId="24" fillId="37" fontId="2" numFmtId="9" xfId="0" applyAlignment="1" applyBorder="1" applyFont="1" applyNumberFormat="1">
      <alignment horizontal="center" readingOrder="0"/>
    </xf>
    <xf borderId="0" fillId="10" fontId="2" numFmtId="9" xfId="0" applyAlignment="1" applyFont="1" applyNumberFormat="1">
      <alignment horizontal="center" readingOrder="0"/>
    </xf>
    <xf borderId="24" fillId="16" fontId="51" numFmtId="0" xfId="0" applyAlignment="1" applyBorder="1" applyFont="1">
      <alignment readingOrder="0"/>
    </xf>
    <xf borderId="24" fillId="16" fontId="2" numFmtId="166" xfId="0" applyAlignment="1" applyBorder="1" applyFont="1" applyNumberFormat="1">
      <alignment horizontal="center" readingOrder="0"/>
    </xf>
    <xf borderId="0" fillId="0" fontId="52" numFmtId="0" xfId="0" applyAlignment="1" applyFont="1">
      <alignment horizontal="center"/>
    </xf>
    <xf borderId="24" fillId="37"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4" numFmtId="0" xfId="0" applyAlignment="1" applyFont="1">
      <alignment readingOrder="0"/>
    </xf>
    <xf borderId="24" fillId="10" fontId="2" numFmtId="0" xfId="0" applyAlignment="1" applyBorder="1" applyFont="1">
      <alignment horizontal="left" readingOrder="0"/>
    </xf>
    <xf borderId="24" fillId="43" fontId="2" numFmtId="0" xfId="0" applyAlignment="1" applyBorder="1" applyFont="1">
      <alignment readingOrder="0"/>
    </xf>
    <xf borderId="0" fillId="10" fontId="51" numFmtId="178" xfId="0" applyAlignment="1" applyFont="1" applyNumberFormat="1">
      <alignment readingOrder="0"/>
    </xf>
    <xf borderId="24" fillId="33" fontId="2" numFmtId="0" xfId="0" applyAlignment="1" applyBorder="1" applyFont="1">
      <alignment readingOrder="0"/>
    </xf>
    <xf borderId="24" fillId="33" fontId="2" numFmtId="166" xfId="0" applyAlignment="1" applyBorder="1" applyFont="1" applyNumberFormat="1">
      <alignment horizontal="center" readingOrder="0"/>
    </xf>
    <xf borderId="24" fillId="37"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0" fontId="41" numFmtId="0" xfId="0" applyAlignment="1" applyFont="1">
      <alignment horizontal="center" vertical="center"/>
    </xf>
    <xf borderId="0" fillId="43" fontId="2" numFmtId="166" xfId="0" applyAlignment="1" applyFont="1" applyNumberFormat="1">
      <alignment horizontal="center" readingOrder="0"/>
    </xf>
    <xf borderId="0" fillId="10" fontId="41" numFmtId="166" xfId="0" applyAlignment="1" applyFont="1" applyNumberFormat="1">
      <alignment horizontal="center"/>
    </xf>
    <xf borderId="0" fillId="0" fontId="2" numFmtId="179" xfId="0" applyAlignment="1" applyFont="1" applyNumberFormat="1">
      <alignment readingOrder="0"/>
    </xf>
    <xf borderId="24" fillId="3" fontId="2" numFmtId="166" xfId="0" applyAlignment="1" applyBorder="1" applyFont="1" applyNumberFormat="1">
      <alignment readingOrder="0"/>
    </xf>
    <xf borderId="24" fillId="33" fontId="51" numFmtId="166" xfId="0" applyAlignment="1" applyBorder="1" applyFont="1" applyNumberFormat="1">
      <alignment horizontal="center" readingOrder="0"/>
    </xf>
    <xf borderId="0" fillId="43" fontId="51" numFmtId="166" xfId="0" applyAlignment="1" applyFont="1" applyNumberFormat="1">
      <alignment readingOrder="0"/>
    </xf>
    <xf borderId="24" fillId="0" fontId="2" numFmtId="166" xfId="0" applyAlignment="1" applyBorder="1" applyFont="1" applyNumberFormat="1">
      <alignment horizontal="center"/>
    </xf>
    <xf borderId="0" fillId="43" fontId="8" numFmtId="0" xfId="0" applyAlignment="1" applyFont="1">
      <alignment readingOrder="0"/>
    </xf>
    <xf borderId="24" fillId="42" fontId="8" numFmtId="0" xfId="0" applyAlignment="1" applyBorder="1" applyFont="1">
      <alignment readingOrder="0"/>
    </xf>
    <xf borderId="24" fillId="42" fontId="8" numFmtId="0" xfId="0" applyAlignment="1" applyBorder="1" applyFont="1">
      <alignment horizontal="center" readingOrder="0"/>
    </xf>
    <xf borderId="0" fillId="0" fontId="41" numFmtId="166" xfId="0" applyAlignment="1" applyFont="1" applyNumberFormat="1">
      <alignment horizontal="center" readingOrder="0"/>
    </xf>
    <xf borderId="24" fillId="10" fontId="51" numFmtId="10" xfId="0" applyAlignment="1" applyBorder="1" applyFont="1" applyNumberFormat="1">
      <alignment readingOrder="0"/>
    </xf>
    <xf borderId="0" fillId="0" fontId="2" numFmtId="180" xfId="0" applyFont="1" applyNumberFormat="1"/>
    <xf borderId="24" fillId="43" fontId="51" numFmtId="10" xfId="0" applyAlignment="1" applyBorder="1" applyFont="1" applyNumberFormat="1">
      <alignment readingOrder="0"/>
    </xf>
    <xf borderId="24" fillId="37" fontId="2" numFmtId="0" xfId="0" applyAlignment="1" applyBorder="1" applyFont="1">
      <alignment horizontal="center" readingOrder="0"/>
    </xf>
    <xf borderId="24" fillId="0" fontId="2" numFmtId="0" xfId="0" applyAlignment="1" applyBorder="1" applyFont="1">
      <alignment readingOrder="0"/>
    </xf>
    <xf borderId="24" fillId="0" fontId="41" numFmtId="0" xfId="0" applyAlignment="1" applyBorder="1" applyFont="1">
      <alignment readingOrder="0"/>
    </xf>
    <xf borderId="24" fillId="37" fontId="41" numFmtId="166" xfId="0" applyAlignment="1" applyBorder="1" applyFont="1" applyNumberFormat="1">
      <alignment horizontal="center"/>
    </xf>
    <xf borderId="24" fillId="16" fontId="41" numFmtId="0" xfId="0" applyAlignment="1" applyBorder="1" applyFont="1">
      <alignment readingOrder="0"/>
    </xf>
    <xf borderId="0" fillId="0" fontId="55" numFmtId="0" xfId="0" applyAlignment="1" applyFont="1">
      <alignment readingOrder="0"/>
    </xf>
    <xf borderId="0" fillId="43" fontId="2" numFmtId="172" xfId="0" applyAlignment="1" applyFont="1" applyNumberFormat="1">
      <alignment readingOrder="0"/>
    </xf>
    <xf borderId="0" fillId="43" fontId="51" numFmtId="0" xfId="0" applyFont="1"/>
    <xf borderId="0" fillId="43" fontId="51" numFmtId="10" xfId="0" applyAlignment="1" applyFont="1" applyNumberFormat="1">
      <alignment readingOrder="0"/>
    </xf>
    <xf borderId="24" fillId="43" fontId="51" numFmtId="166" xfId="0" applyAlignment="1" applyBorder="1" applyFont="1" applyNumberFormat="1">
      <alignment horizontal="center" readingOrder="0"/>
    </xf>
    <xf borderId="0" fillId="0" fontId="2" numFmtId="166" xfId="0" applyAlignment="1" applyFont="1" applyNumberFormat="1">
      <alignment horizontal="center" readingOrder="0"/>
    </xf>
    <xf borderId="0" fillId="43" fontId="2" numFmtId="166" xfId="0" applyAlignment="1" applyFont="1" applyNumberFormat="1">
      <alignment horizontal="center" readingOrder="0"/>
    </xf>
    <xf borderId="0" fillId="0" fontId="52" numFmtId="166" xfId="0" applyAlignment="1" applyFont="1" applyNumberFormat="1">
      <alignment horizontal="center"/>
    </xf>
    <xf borderId="30" fillId="43" fontId="51" numFmtId="166" xfId="0" applyAlignment="1" applyBorder="1" applyFont="1" applyNumberFormat="1">
      <alignment horizontal="center" readingOrder="0"/>
    </xf>
    <xf borderId="0" fillId="43" fontId="56" numFmtId="166" xfId="0" applyAlignment="1" applyFont="1" applyNumberFormat="1">
      <alignment horizontal="center" readingOrder="0"/>
    </xf>
    <xf borderId="0" fillId="0" fontId="57" numFmtId="0" xfId="0" applyAlignment="1" applyFont="1">
      <alignment readingOrder="0"/>
    </xf>
    <xf borderId="24" fillId="43" fontId="51" numFmtId="166" xfId="0" applyAlignment="1" applyBorder="1" applyFont="1" applyNumberFormat="1">
      <alignment horizontal="center" readingOrder="0"/>
    </xf>
    <xf borderId="0" fillId="43" fontId="58" numFmtId="0" xfId="0" applyAlignment="1" applyFont="1">
      <alignment horizontal="center" readingOrder="0" vertical="center"/>
    </xf>
    <xf borderId="0" fillId="0" fontId="2" numFmtId="172" xfId="0" applyAlignment="1" applyFont="1" applyNumberFormat="1">
      <alignment readingOrder="0"/>
    </xf>
    <xf borderId="0" fillId="0" fontId="52" numFmtId="166" xfId="0" applyAlignment="1" applyFont="1" applyNumberFormat="1">
      <alignment horizontal="center"/>
    </xf>
    <xf borderId="24" fillId="43" fontId="51" numFmtId="10" xfId="0" applyAlignment="1" applyBorder="1" applyFont="1" applyNumberFormat="1">
      <alignment horizontal="center" readingOrder="0"/>
    </xf>
    <xf borderId="0" fillId="0" fontId="52" numFmtId="0" xfId="0" applyFont="1"/>
    <xf borderId="24" fillId="0" fontId="2" numFmtId="166" xfId="0" applyAlignment="1" applyBorder="1" applyFont="1" applyNumberFormat="1">
      <alignment readingOrder="0"/>
    </xf>
    <xf borderId="24" fillId="0" fontId="2" numFmtId="166" xfId="0" applyBorder="1" applyFont="1" applyNumberFormat="1"/>
    <xf borderId="24" fillId="42" fontId="8" numFmtId="0" xfId="0" applyAlignment="1" applyBorder="1" applyFont="1">
      <alignment readingOrder="0" shrinkToFit="0" wrapText="0"/>
    </xf>
    <xf borderId="24" fillId="0" fontId="2" numFmtId="0" xfId="0" applyBorder="1" applyFont="1"/>
    <xf borderId="24" fillId="0" fontId="2" numFmtId="10" xfId="0" applyAlignment="1" applyBorder="1" applyFont="1" applyNumberFormat="1">
      <alignment readingOrder="0"/>
    </xf>
    <xf borderId="0" fillId="0" fontId="59" numFmtId="0" xfId="0" applyAlignment="1" applyFont="1">
      <alignment readingOrder="0"/>
    </xf>
    <xf borderId="27" fillId="47" fontId="57" numFmtId="0" xfId="0" applyAlignment="1" applyBorder="1" applyFill="1" applyFont="1">
      <alignment readingOrder="0" shrinkToFit="0" wrapText="1"/>
    </xf>
    <xf borderId="10" fillId="0" fontId="49" numFmtId="0" xfId="0" applyBorder="1" applyFont="1"/>
    <xf borderId="27" fillId="4" fontId="41" numFmtId="166" xfId="0" applyAlignment="1" applyBorder="1" applyFont="1" applyNumberFormat="1">
      <alignment horizontal="center" readingOrder="0"/>
    </xf>
    <xf borderId="1" fillId="0" fontId="49" numFmtId="0" xfId="0" applyBorder="1" applyFont="1"/>
    <xf borderId="6" fillId="3" fontId="2" numFmtId="0" xfId="0" applyAlignment="1" applyBorder="1" applyFont="1">
      <alignment readingOrder="0"/>
    </xf>
    <xf borderId="4" fillId="0" fontId="49" numFmtId="0" xfId="0" applyBorder="1" applyFont="1"/>
    <xf borderId="26" fillId="10" fontId="2" numFmtId="166" xfId="0" applyAlignment="1" applyBorder="1" applyFont="1" applyNumberFormat="1">
      <alignment readingOrder="0"/>
    </xf>
    <xf borderId="8" fillId="10" fontId="2" numFmtId="166" xfId="0" applyAlignment="1" applyBorder="1" applyFont="1" applyNumberFormat="1">
      <alignment readingOrder="0"/>
    </xf>
    <xf borderId="9" fillId="10" fontId="2" numFmtId="166" xfId="0" applyAlignment="1" applyBorder="1" applyFont="1" applyNumberFormat="1">
      <alignment readingOrder="0"/>
    </xf>
    <xf borderId="4" fillId="4" fontId="2" numFmtId="166" xfId="0" applyAlignment="1" applyBorder="1" applyFont="1" applyNumberFormat="1">
      <alignment readingOrder="0"/>
    </xf>
    <xf borderId="26" fillId="0" fontId="2" numFmtId="166" xfId="0" applyAlignment="1" applyBorder="1" applyFont="1" applyNumberFormat="1">
      <alignment readingOrder="0"/>
    </xf>
    <xf borderId="8" fillId="0" fontId="2" numFmtId="166" xfId="0" applyAlignment="1" applyBorder="1" applyFont="1" applyNumberFormat="1">
      <alignment readingOrder="0"/>
    </xf>
    <xf borderId="9" fillId="0" fontId="2" numFmtId="166" xfId="0" applyAlignment="1" applyBorder="1" applyFont="1" applyNumberFormat="1">
      <alignment readingOrder="0"/>
    </xf>
    <xf borderId="0" fillId="0" fontId="2" numFmtId="4" xfId="0" applyAlignment="1" applyFont="1" applyNumberFormat="1">
      <alignment readingOrder="0"/>
    </xf>
    <xf borderId="26" fillId="0" fontId="2" numFmtId="0" xfId="0" applyAlignment="1" applyBorder="1" applyFont="1">
      <alignment readingOrder="0"/>
    </xf>
    <xf borderId="9" fillId="4" fontId="2" numFmtId="166" xfId="0" applyAlignment="1" applyBorder="1" applyFont="1" applyNumberFormat="1">
      <alignment readingOrder="0"/>
    </xf>
    <xf borderId="0" fillId="0" fontId="2" numFmtId="9" xfId="0" applyAlignment="1" applyFont="1" applyNumberFormat="1">
      <alignment readingOrder="0"/>
    </xf>
    <xf borderId="32" fillId="0" fontId="60" numFmtId="0" xfId="0" applyAlignment="1" applyBorder="1" applyFont="1">
      <alignment readingOrder="0"/>
    </xf>
    <xf borderId="32" fillId="0" fontId="2" numFmtId="0" xfId="0" applyBorder="1" applyFont="1"/>
    <xf borderId="32" fillId="0" fontId="2" numFmtId="0" xfId="0" applyAlignment="1" applyBorder="1" applyFont="1">
      <alignment readingOrder="0" vertical="top"/>
    </xf>
    <xf borderId="32" fillId="0" fontId="8" numFmtId="0" xfId="0" applyAlignment="1" applyBorder="1" applyFont="1">
      <alignment readingOrder="0"/>
    </xf>
    <xf borderId="32" fillId="0" fontId="2" numFmtId="0" xfId="0" applyAlignment="1" applyBorder="1" applyFont="1">
      <alignment readingOrder="0"/>
    </xf>
    <xf borderId="32" fillId="0" fontId="61" numFmtId="0" xfId="0" applyBorder="1" applyFont="1"/>
    <xf borderId="33" fillId="0" fontId="2" numFmtId="0" xfId="0" applyAlignment="1" applyBorder="1" applyFont="1">
      <alignment readingOrder="0" shrinkToFit="0" vertical="top" wrapText="1"/>
    </xf>
    <xf borderId="34" fillId="0" fontId="49" numFmtId="0" xfId="0" applyBorder="1" applyFont="1"/>
    <xf borderId="35" fillId="0" fontId="49" numFmtId="0" xfId="0" applyBorder="1" applyFont="1"/>
    <xf borderId="36" fillId="0" fontId="49" numFmtId="0" xfId="0" applyBorder="1" applyFont="1"/>
    <xf borderId="37" fillId="0" fontId="49" numFmtId="0" xfId="0" applyBorder="1" applyFont="1"/>
    <xf borderId="38" fillId="0" fontId="49" numFmtId="0" xfId="0" applyBorder="1" applyFont="1"/>
    <xf borderId="32" fillId="0" fontId="8" numFmtId="0" xfId="0" applyAlignment="1" applyBorder="1" applyFont="1">
      <alignment readingOrder="0"/>
    </xf>
    <xf borderId="39" fillId="0" fontId="49" numFmtId="0" xfId="0" applyBorder="1" applyFont="1"/>
    <xf borderId="40" fillId="0" fontId="49" numFmtId="0" xfId="0" applyBorder="1" applyFont="1"/>
    <xf borderId="32" fillId="27" fontId="41" numFmtId="0" xfId="0" applyAlignment="1" applyBorder="1" applyFont="1">
      <alignment readingOrder="0"/>
    </xf>
    <xf borderId="32" fillId="27" fontId="41" numFmtId="0" xfId="0" applyBorder="1" applyFont="1"/>
    <xf borderId="0" fillId="0" fontId="51" numFmtId="0" xfId="0" applyAlignment="1" applyFont="1">
      <alignment readingOrder="0"/>
    </xf>
    <xf borderId="0" fillId="0" fontId="51" numFmtId="0" xfId="0" applyFont="1"/>
    <xf borderId="0" fillId="0" fontId="51" numFmtId="181" xfId="0" applyAlignment="1" applyFont="1" applyNumberFormat="1">
      <alignment readingOrder="0"/>
    </xf>
    <xf borderId="0" fillId="0" fontId="62" numFmtId="0" xfId="0" applyAlignment="1" applyFont="1">
      <alignment readingOrder="0"/>
    </xf>
    <xf borderId="0" fillId="0" fontId="51" numFmtId="0" xfId="0" applyAlignment="1" applyFont="1">
      <alignment readingOrder="0"/>
    </xf>
    <xf quotePrefix="1" borderId="0" fillId="0" fontId="51" numFmtId="0" xfId="0" applyAlignment="1" applyFont="1">
      <alignment readingOrder="0"/>
    </xf>
    <xf borderId="0" fillId="43" fontId="63" numFmtId="0" xfId="0" applyAlignment="1" applyFont="1">
      <alignment horizontal="center" readingOrder="0" shrinkToFit="0" vertical="bottom" wrapText="0"/>
    </xf>
    <xf borderId="0" fillId="43" fontId="63" numFmtId="182" xfId="0" applyAlignment="1" applyFont="1" applyNumberFormat="1">
      <alignment horizontal="center" readingOrder="0" shrinkToFit="0" vertical="bottom" wrapText="0"/>
    </xf>
    <xf borderId="0" fillId="43" fontId="63" numFmtId="0" xfId="0" applyAlignment="1" applyFont="1">
      <alignment horizontal="center" shrinkToFit="0" vertical="bottom" wrapText="0"/>
    </xf>
    <xf borderId="0" fillId="43" fontId="64" numFmtId="0" xfId="0" applyAlignment="1" applyFont="1">
      <alignment horizontal="center" readingOrder="0" shrinkToFit="0" vertical="bottom" wrapText="0"/>
    </xf>
    <xf borderId="24" fillId="48" fontId="63" numFmtId="0" xfId="0" applyAlignment="1" applyBorder="1" applyFill="1" applyFont="1">
      <alignment horizontal="center" readingOrder="0" shrinkToFit="0" vertical="bottom" wrapText="0"/>
    </xf>
    <xf borderId="24" fillId="48" fontId="63" numFmtId="182" xfId="0" applyAlignment="1" applyBorder="1" applyFont="1" applyNumberFormat="1">
      <alignment horizontal="center" readingOrder="0" shrinkToFit="0" vertical="bottom" wrapText="0"/>
    </xf>
    <xf borderId="24" fillId="48" fontId="63" numFmtId="0" xfId="0" applyAlignment="1" applyBorder="1" applyFont="1">
      <alignment horizontal="center" shrinkToFit="0" vertical="bottom" wrapText="0"/>
    </xf>
    <xf borderId="30" fillId="49" fontId="64" numFmtId="0" xfId="0" applyAlignment="1" applyBorder="1" applyFill="1" applyFont="1">
      <alignment horizontal="center" readingOrder="0" shrinkToFit="0" vertical="bottom" wrapText="0"/>
    </xf>
    <xf borderId="25" fillId="50" fontId="64" numFmtId="0" xfId="0" applyAlignment="1" applyBorder="1" applyFill="1" applyFont="1">
      <alignment horizontal="center" readingOrder="0" shrinkToFit="0" vertical="bottom" wrapText="0"/>
    </xf>
    <xf borderId="24" fillId="48" fontId="65" numFmtId="0" xfId="0" applyAlignment="1" applyBorder="1" applyFont="1">
      <alignment readingOrder="0" shrinkToFit="0" vertical="bottom" wrapText="0"/>
    </xf>
    <xf borderId="24" fillId="48" fontId="66" numFmtId="0" xfId="0" applyAlignment="1" applyBorder="1" applyFont="1">
      <alignment horizontal="center" readingOrder="0" shrinkToFit="0" vertical="bottom" wrapText="0"/>
    </xf>
    <xf borderId="27" fillId="48" fontId="67" numFmtId="0" xfId="0" applyAlignment="1" applyBorder="1" applyFont="1">
      <alignment horizontal="center" readingOrder="0" shrinkToFit="0" vertical="bottom" wrapText="0"/>
    </xf>
    <xf borderId="7" fillId="49" fontId="68" numFmtId="0" xfId="0" applyAlignment="1" applyBorder="1" applyFont="1">
      <alignment readingOrder="0" shrinkToFit="0" vertical="bottom" wrapText="0"/>
    </xf>
    <xf borderId="9" fillId="49" fontId="64" numFmtId="172" xfId="0" applyAlignment="1" applyBorder="1" applyFont="1" applyNumberFormat="1">
      <alignment horizontal="center" readingOrder="0" shrinkToFit="0" vertical="bottom" wrapText="0"/>
    </xf>
    <xf borderId="9" fillId="50" fontId="68" numFmtId="0" xfId="0" applyAlignment="1" applyBorder="1" applyFont="1">
      <alignment horizontal="left" readingOrder="0" shrinkToFit="0" vertical="bottom" wrapText="0"/>
    </xf>
    <xf borderId="9" fillId="50" fontId="64" numFmtId="172" xfId="0" applyAlignment="1" applyBorder="1" applyFont="1" applyNumberFormat="1">
      <alignment horizontal="center" readingOrder="0" shrinkToFit="0" vertical="bottom" wrapText="0"/>
    </xf>
    <xf borderId="24" fillId="33" fontId="66" numFmtId="0" xfId="0" applyAlignment="1" applyBorder="1" applyFont="1">
      <alignment horizontal="center" readingOrder="0" shrinkToFit="0" vertical="bottom" wrapText="0"/>
    </xf>
    <xf borderId="26" fillId="0" fontId="49" numFmtId="0" xfId="0" applyBorder="1" applyFont="1"/>
    <xf borderId="8" fillId="0" fontId="49" numFmtId="0" xfId="0" applyBorder="1" applyFont="1"/>
    <xf borderId="9" fillId="0" fontId="49" numFmtId="0" xfId="0" applyBorder="1" applyFont="1"/>
    <xf borderId="9" fillId="49" fontId="64" numFmtId="0" xfId="0" applyAlignment="1" applyBorder="1" applyFont="1">
      <alignment horizontal="center" readingOrder="0" shrinkToFit="0" vertical="bottom" wrapText="0"/>
    </xf>
    <xf borderId="9" fillId="50" fontId="64" numFmtId="0" xfId="0" applyAlignment="1" applyBorder="1" applyFont="1">
      <alignment horizontal="center" readingOrder="0" shrinkToFit="0" vertical="bottom" wrapText="0"/>
    </xf>
    <xf borderId="24" fillId="37" fontId="69" numFmtId="0" xfId="0" applyAlignment="1" applyBorder="1" applyFont="1">
      <alignment shrinkToFit="0" vertical="bottom" wrapText="0"/>
    </xf>
    <xf borderId="30" fillId="37" fontId="70" numFmtId="0" xfId="0" applyAlignment="1" applyBorder="1" applyFont="1">
      <alignment horizontal="center" readingOrder="0"/>
    </xf>
    <xf borderId="25" fillId="0" fontId="49" numFmtId="0" xfId="0" applyBorder="1" applyFont="1"/>
    <xf borderId="24" fillId="37" fontId="71" numFmtId="0" xfId="0" applyAlignment="1" applyBorder="1" applyFont="1">
      <alignment horizontal="center" readingOrder="0"/>
    </xf>
    <xf borderId="24" fillId="33" fontId="71" numFmtId="0" xfId="0" applyAlignment="1" applyBorder="1" applyFont="1">
      <alignment horizontal="center" readingOrder="0"/>
    </xf>
    <xf borderId="9" fillId="49" fontId="64" numFmtId="3" xfId="0" applyAlignment="1" applyBorder="1" applyFont="1" applyNumberFormat="1">
      <alignment horizontal="center" readingOrder="0" shrinkToFit="0" vertical="bottom" wrapText="0"/>
    </xf>
    <xf borderId="9" fillId="50" fontId="64" numFmtId="3" xfId="0" applyAlignment="1" applyBorder="1" applyFont="1" applyNumberFormat="1">
      <alignment horizontal="center" readingOrder="0" shrinkToFit="0" vertical="bottom" wrapText="0"/>
    </xf>
    <xf borderId="41" fillId="10" fontId="72" numFmtId="0" xfId="0" applyAlignment="1" applyBorder="1" applyFont="1">
      <alignment horizontal="center" readingOrder="0" shrinkToFit="0" vertical="bottom" wrapText="0"/>
    </xf>
    <xf borderId="42" fillId="10" fontId="73" numFmtId="172" xfId="0" applyAlignment="1" applyBorder="1" applyFont="1" applyNumberFormat="1">
      <alignment horizontal="center" readingOrder="0" shrinkToFit="0" vertical="bottom" wrapText="0"/>
    </xf>
    <xf borderId="42" fillId="10" fontId="73" numFmtId="172" xfId="0" applyAlignment="1" applyBorder="1" applyFont="1" applyNumberFormat="1">
      <alignment horizontal="center" shrinkToFit="0" vertical="bottom" wrapText="0"/>
    </xf>
    <xf borderId="43" fillId="10" fontId="73" numFmtId="172" xfId="0" applyAlignment="1" applyBorder="1" applyFont="1" applyNumberFormat="1">
      <alignment horizontal="center" readingOrder="0" shrinkToFit="0" vertical="bottom" wrapText="0"/>
    </xf>
    <xf borderId="43" fillId="10" fontId="74" numFmtId="9" xfId="0" applyAlignment="1" applyBorder="1" applyFont="1" applyNumberFormat="1">
      <alignment horizontal="center" readingOrder="0" shrinkToFit="0" vertical="bottom" wrapText="0"/>
    </xf>
    <xf borderId="42" fillId="10" fontId="72" numFmtId="172" xfId="0" applyAlignment="1" applyBorder="1" applyFont="1" applyNumberFormat="1">
      <alignment horizontal="center" readingOrder="0" shrinkToFit="0" vertical="bottom" wrapText="0"/>
    </xf>
    <xf borderId="9" fillId="50" fontId="68" numFmtId="0" xfId="0" applyAlignment="1" applyBorder="1" applyFont="1">
      <alignment horizontal="center" shrinkToFit="0" vertical="bottom" wrapText="0"/>
    </xf>
    <xf borderId="44" fillId="10" fontId="72" numFmtId="0" xfId="0" applyAlignment="1" applyBorder="1" applyFont="1">
      <alignment horizontal="center" readingOrder="0" shrinkToFit="0" vertical="bottom" wrapText="0"/>
    </xf>
    <xf borderId="45" fillId="2" fontId="73" numFmtId="172" xfId="0" applyAlignment="1" applyBorder="1" applyFont="1" applyNumberFormat="1">
      <alignment horizontal="center" readingOrder="0" shrinkToFit="0" vertical="bottom" wrapText="0"/>
    </xf>
    <xf borderId="45" fillId="2" fontId="73" numFmtId="172" xfId="0" applyAlignment="1" applyBorder="1" applyFont="1" applyNumberFormat="1">
      <alignment horizontal="center" shrinkToFit="0" vertical="bottom" wrapText="0"/>
    </xf>
    <xf borderId="46" fillId="10" fontId="74" numFmtId="9" xfId="0" applyAlignment="1" applyBorder="1" applyFont="1" applyNumberFormat="1">
      <alignment horizontal="center" readingOrder="0" shrinkToFit="0" vertical="bottom" wrapText="0"/>
    </xf>
    <xf borderId="45" fillId="10" fontId="72" numFmtId="172" xfId="0" applyAlignment="1" applyBorder="1" applyFont="1" applyNumberFormat="1">
      <alignment horizontal="center" readingOrder="0" shrinkToFit="0" vertical="bottom" wrapText="0"/>
    </xf>
    <xf borderId="9" fillId="49" fontId="64" numFmtId="9" xfId="0" applyAlignment="1" applyBorder="1" applyFont="1" applyNumberFormat="1">
      <alignment horizontal="center" readingOrder="0" shrinkToFit="0" vertical="bottom" wrapText="0"/>
    </xf>
    <xf borderId="9" fillId="50" fontId="75" numFmtId="0" xfId="0" applyAlignment="1" applyBorder="1" applyFont="1">
      <alignment horizontal="center" shrinkToFit="0" vertical="bottom" wrapText="0"/>
    </xf>
    <xf borderId="45" fillId="10" fontId="73" numFmtId="172" xfId="0" applyAlignment="1" applyBorder="1" applyFont="1" applyNumberFormat="1">
      <alignment horizontal="center" shrinkToFit="0" vertical="bottom" wrapText="0"/>
    </xf>
    <xf borderId="7" fillId="49" fontId="75" numFmtId="0" xfId="0" applyAlignment="1" applyBorder="1" applyFont="1">
      <alignment readingOrder="0" shrinkToFit="0" vertical="bottom" wrapText="0"/>
    </xf>
    <xf borderId="9" fillId="49" fontId="64" numFmtId="166" xfId="0" applyAlignment="1" applyBorder="1" applyFont="1" applyNumberFormat="1">
      <alignment horizontal="center" readingOrder="0" shrinkToFit="0" vertical="bottom" wrapText="0"/>
    </xf>
    <xf borderId="24" fillId="48" fontId="64" numFmtId="0" xfId="0" applyAlignment="1" applyBorder="1" applyFont="1">
      <alignment horizontal="left" readingOrder="0" shrinkToFit="0" vertical="bottom" wrapText="0"/>
    </xf>
    <xf borderId="24" fillId="48" fontId="64" numFmtId="0" xfId="0" applyAlignment="1" applyBorder="1" applyFont="1">
      <alignment horizontal="center" readingOrder="0" shrinkToFit="0" vertical="bottom" wrapText="0"/>
    </xf>
    <xf borderId="24" fillId="31" fontId="64" numFmtId="0" xfId="0" applyAlignment="1" applyBorder="1" applyFont="1">
      <alignment horizontal="center" readingOrder="0" shrinkToFit="0" vertical="bottom" wrapText="0"/>
    </xf>
    <xf borderId="7" fillId="0" fontId="68" numFmtId="0" xfId="0" applyAlignment="1" applyBorder="1" applyFont="1">
      <alignment readingOrder="0" shrinkToFit="0" vertical="bottom" wrapText="0"/>
    </xf>
    <xf borderId="9" fillId="51" fontId="68" numFmtId="172" xfId="0" applyAlignment="1" applyBorder="1" applyFill="1" applyFont="1" applyNumberFormat="1">
      <alignment horizontal="center" readingOrder="0" shrinkToFit="0" vertical="bottom" wrapText="0"/>
    </xf>
    <xf borderId="9" fillId="0" fontId="68" numFmtId="166" xfId="0" applyAlignment="1" applyBorder="1" applyFont="1" applyNumberFormat="1">
      <alignment horizontal="center" shrinkToFit="0" vertical="bottom" wrapText="0"/>
    </xf>
    <xf borderId="24" fillId="43" fontId="68" numFmtId="9" xfId="0" applyAlignment="1" applyBorder="1" applyFont="1" applyNumberFormat="1">
      <alignment horizontal="center" readingOrder="0" shrinkToFit="0" vertical="bottom" wrapText="0"/>
    </xf>
    <xf borderId="9" fillId="37" fontId="68" numFmtId="3" xfId="0" applyAlignment="1" applyBorder="1" applyFont="1" applyNumberFormat="1">
      <alignment horizontal="center" readingOrder="0" shrinkToFit="0" vertical="bottom" wrapText="0"/>
    </xf>
    <xf borderId="9" fillId="0" fontId="68" numFmtId="3" xfId="0" applyAlignment="1" applyBorder="1" applyFont="1" applyNumberFormat="1">
      <alignment horizontal="center" shrinkToFit="0" vertical="bottom" wrapText="0"/>
    </xf>
    <xf borderId="9" fillId="0" fontId="68" numFmtId="2" xfId="0" applyAlignment="1" applyBorder="1" applyFont="1" applyNumberFormat="1">
      <alignment horizontal="center" readingOrder="0" shrinkToFit="0" vertical="bottom" wrapText="0"/>
    </xf>
    <xf borderId="9" fillId="0" fontId="68" numFmtId="2" xfId="0" applyAlignment="1" applyBorder="1" applyFont="1" applyNumberFormat="1">
      <alignment horizontal="center" shrinkToFit="0" vertical="bottom" wrapText="0"/>
    </xf>
    <xf borderId="9" fillId="0" fontId="68" numFmtId="10" xfId="0" applyAlignment="1" applyBorder="1" applyFont="1" applyNumberFormat="1">
      <alignment horizontal="center" readingOrder="0" shrinkToFit="0" vertical="bottom" wrapText="0"/>
    </xf>
    <xf borderId="9" fillId="0" fontId="68" numFmtId="10" xfId="0" applyAlignment="1" applyBorder="1" applyFont="1" applyNumberFormat="1">
      <alignment horizontal="center" shrinkToFit="0" vertical="bottom" wrapText="0"/>
    </xf>
    <xf borderId="9" fillId="37" fontId="68" numFmtId="10" xfId="0" applyAlignment="1" applyBorder="1" applyFont="1" applyNumberFormat="1">
      <alignment horizontal="center" readingOrder="0" shrinkToFit="0" vertical="bottom" wrapText="0"/>
    </xf>
    <xf borderId="45" fillId="10" fontId="73" numFmtId="172" xfId="0" applyAlignment="1" applyBorder="1" applyFont="1" applyNumberFormat="1">
      <alignment horizontal="center" readingOrder="0" shrinkToFit="0" vertical="bottom" wrapText="0"/>
    </xf>
    <xf borderId="9" fillId="10" fontId="68" numFmtId="166" xfId="0" applyAlignment="1" applyBorder="1" applyFont="1" applyNumberFormat="1">
      <alignment horizontal="center" readingOrder="0" shrinkToFit="0" vertical="bottom" wrapText="0"/>
    </xf>
    <xf borderId="9" fillId="10" fontId="68" numFmtId="3" xfId="0" applyAlignment="1" applyBorder="1" applyFont="1" applyNumberFormat="1">
      <alignment horizontal="center" readingOrder="0" shrinkToFit="0" vertical="bottom" wrapText="0"/>
    </xf>
    <xf borderId="0" fillId="43" fontId="68" numFmtId="0" xfId="0" applyAlignment="1" applyFont="1">
      <alignment shrinkToFit="0" vertical="bottom" wrapText="0"/>
    </xf>
    <xf borderId="0" fillId="43" fontId="68" numFmtId="0" xfId="0" applyAlignment="1" applyFont="1">
      <alignment readingOrder="0" shrinkToFit="0" vertical="bottom" wrapText="0"/>
    </xf>
    <xf borderId="0" fillId="37" fontId="68" numFmtId="172" xfId="0" applyAlignment="1" applyFont="1" applyNumberFormat="1">
      <alignment horizontal="center" readingOrder="0" shrinkToFit="0" vertical="bottom" wrapText="0"/>
    </xf>
    <xf borderId="0" fillId="43" fontId="68" numFmtId="0" xfId="0" applyAlignment="1" applyFont="1">
      <alignment horizontal="center" readingOrder="0" shrinkToFit="0" vertical="bottom" wrapText="0"/>
    </xf>
    <xf borderId="0" fillId="43" fontId="68" numFmtId="3" xfId="0" applyAlignment="1" applyFont="1" applyNumberFormat="1">
      <alignment horizontal="center" readingOrder="0" shrinkToFit="0" vertical="bottom" wrapText="0"/>
    </xf>
    <xf borderId="0" fillId="43" fontId="68" numFmtId="9" xfId="0" applyAlignment="1" applyFont="1" applyNumberFormat="1">
      <alignment horizontal="center" readingOrder="0" shrinkToFit="0" vertical="bottom" wrapText="0"/>
    </xf>
    <xf borderId="0" fillId="43" fontId="68" numFmtId="10" xfId="0" applyAlignment="1" applyFont="1" applyNumberFormat="1">
      <alignment horizontal="center" readingOrder="0" shrinkToFit="0" vertical="bottom" wrapText="0"/>
    </xf>
    <xf borderId="0" fillId="43" fontId="68" numFmtId="2" xfId="0" applyAlignment="1" applyFont="1" applyNumberFormat="1">
      <alignment horizontal="center" readingOrder="0" shrinkToFit="0" vertical="bottom" wrapText="0"/>
    </xf>
    <xf borderId="0" fillId="43" fontId="75" numFmtId="0" xfId="0" applyAlignment="1" applyFont="1">
      <alignment readingOrder="0" shrinkToFit="0" vertical="bottom" wrapText="0"/>
    </xf>
    <xf borderId="0" fillId="43" fontId="68" numFmtId="166" xfId="0" applyAlignment="1" applyFont="1" applyNumberFormat="1">
      <alignment horizontal="center" readingOrder="0" shrinkToFit="0" vertical="bottom" wrapText="0"/>
    </xf>
    <xf borderId="6" fillId="10" fontId="72" numFmtId="0" xfId="0" applyAlignment="1" applyBorder="1" applyFont="1">
      <alignment horizontal="center" readingOrder="0" shrinkToFit="0" vertical="bottom" wrapText="0"/>
    </xf>
    <xf borderId="30" fillId="52" fontId="76" numFmtId="0" xfId="0" applyAlignment="1" applyBorder="1" applyFill="1" applyFont="1">
      <alignment readingOrder="0" shrinkToFit="0" vertical="bottom" wrapText="0"/>
    </xf>
    <xf borderId="31" fillId="52" fontId="76" numFmtId="166" xfId="0" applyAlignment="1" applyBorder="1" applyFont="1" applyNumberFormat="1">
      <alignment horizontal="center" readingOrder="0" shrinkToFit="0" vertical="bottom" wrapText="0"/>
    </xf>
    <xf borderId="25" fillId="52" fontId="76" numFmtId="166" xfId="0" applyAlignment="1" applyBorder="1" applyFont="1" applyNumberFormat="1">
      <alignment horizontal="center" readingOrder="0" shrinkToFit="0" vertical="bottom" wrapText="0"/>
    </xf>
    <xf borderId="25" fillId="52" fontId="76" numFmtId="10" xfId="0" applyAlignment="1" applyBorder="1" applyFont="1" applyNumberFormat="1">
      <alignment horizontal="center" readingOrder="0" shrinkToFit="0" vertical="bottom" wrapText="0"/>
    </xf>
    <xf borderId="25" fillId="3" fontId="77" numFmtId="10" xfId="0" applyAlignment="1" applyBorder="1" applyFont="1" applyNumberFormat="1">
      <alignment horizontal="center"/>
    </xf>
    <xf borderId="31" fillId="3" fontId="77" numFmtId="166" xfId="0" applyAlignment="1" applyBorder="1" applyFont="1" applyNumberFormat="1">
      <alignment horizontal="center"/>
    </xf>
    <xf borderId="0" fillId="10" fontId="8" numFmtId="0" xfId="0" applyFont="1"/>
    <xf borderId="42" fillId="10" fontId="73" numFmtId="3" xfId="0" applyAlignment="1" applyBorder="1" applyFont="1" applyNumberFormat="1">
      <alignment horizontal="center" shrinkToFit="0" vertical="bottom" wrapText="0"/>
    </xf>
    <xf borderId="42" fillId="10" fontId="73" numFmtId="0" xfId="0" applyAlignment="1" applyBorder="1" applyFont="1">
      <alignment horizontal="center" readingOrder="0" shrinkToFit="0" vertical="bottom" wrapText="0"/>
    </xf>
    <xf borderId="43" fillId="10" fontId="73" numFmtId="3" xfId="0" applyAlignment="1" applyBorder="1" applyFont="1" applyNumberFormat="1">
      <alignment horizontal="center" readingOrder="0" shrinkToFit="0" vertical="bottom" wrapText="0"/>
    </xf>
    <xf borderId="42" fillId="10" fontId="72" numFmtId="3" xfId="0" applyAlignment="1" applyBorder="1" applyFont="1" applyNumberFormat="1">
      <alignment horizontal="center" readingOrder="0" shrinkToFit="0" vertical="bottom" wrapText="0"/>
    </xf>
    <xf borderId="45" fillId="2" fontId="73" numFmtId="3" xfId="0" applyAlignment="1" applyBorder="1" applyFont="1" applyNumberFormat="1">
      <alignment horizontal="center" shrinkToFit="0" vertical="bottom" wrapText="0"/>
    </xf>
    <xf borderId="45" fillId="10" fontId="72" numFmtId="3" xfId="0" applyAlignment="1" applyBorder="1" applyFont="1" applyNumberFormat="1">
      <alignment horizontal="center" readingOrder="0" shrinkToFit="0" vertical="bottom" wrapText="0"/>
    </xf>
    <xf borderId="0" fillId="10" fontId="51" numFmtId="10" xfId="0" applyFont="1" applyNumberFormat="1"/>
    <xf borderId="0" fillId="10" fontId="8" numFmtId="1" xfId="0" applyFont="1" applyNumberFormat="1"/>
    <xf borderId="0" fillId="0" fontId="2" numFmtId="1" xfId="0" applyFont="1" applyNumberFormat="1"/>
    <xf borderId="42" fillId="10" fontId="73" numFmtId="3" xfId="0" applyAlignment="1" applyBorder="1" applyFont="1" applyNumberFormat="1">
      <alignment horizontal="center" readingOrder="0" shrinkToFit="0" vertical="bottom" wrapText="0"/>
    </xf>
    <xf borderId="4" fillId="10" fontId="73" numFmtId="3" xfId="0" applyAlignment="1" applyBorder="1" applyFont="1" applyNumberFormat="1">
      <alignment horizontal="center" readingOrder="0" shrinkToFit="0" vertical="bottom" wrapText="0"/>
    </xf>
    <xf borderId="31" fillId="52" fontId="76"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1" fillId="2" fontId="16" numFmtId="0" xfId="0" applyAlignment="1" applyBorder="1" applyFont="1">
      <alignment readingOrder="0"/>
    </xf>
    <xf borderId="5" fillId="3" fontId="16" numFmtId="168" xfId="0" applyAlignment="1" applyBorder="1" applyFont="1" applyNumberFormat="1">
      <alignment horizontal="right" vertical="bottom"/>
    </xf>
    <xf borderId="0" fillId="4" fontId="16" numFmtId="0" xfId="0" applyAlignment="1" applyFont="1">
      <alignment readingOrder="0"/>
    </xf>
    <xf borderId="4" fillId="53" fontId="16" numFmtId="0" xfId="0" applyAlignment="1" applyBorder="1" applyFill="1" applyFont="1">
      <alignment readingOrder="0" vertical="bottom"/>
    </xf>
    <xf borderId="0" fillId="30" fontId="18" numFmtId="0" xfId="0" applyAlignment="1" applyFont="1">
      <alignment readingOrder="0"/>
    </xf>
    <xf borderId="0" fillId="0" fontId="18" numFmtId="0" xfId="0" applyAlignment="1" applyFont="1">
      <alignment readingOrder="0"/>
    </xf>
    <xf borderId="11" fillId="3" fontId="1" numFmtId="0" xfId="0" applyAlignment="1" applyBorder="1" applyFont="1">
      <alignment vertical="bottom"/>
    </xf>
    <xf borderId="12" fillId="3" fontId="17" numFmtId="166" xfId="0" applyAlignment="1" applyBorder="1" applyFont="1" applyNumberFormat="1">
      <alignment horizontal="right" vertical="bottom"/>
    </xf>
    <xf borderId="0" fillId="0" fontId="16" numFmtId="10" xfId="0" applyAlignment="1" applyFont="1" applyNumberFormat="1">
      <alignment vertical="bottom"/>
    </xf>
    <xf borderId="0" fillId="2" fontId="16" numFmtId="3" xfId="0" applyAlignment="1" applyFont="1" applyNumberFormat="1">
      <alignment horizontal="right" readingOrder="0" vertical="bottom"/>
    </xf>
    <xf borderId="0" fillId="2" fontId="25" numFmtId="3" xfId="0" applyAlignment="1" applyFont="1" applyNumberFormat="1">
      <alignment horizontal="right" readingOrder="0" shrinkToFit="0" wrapText="0"/>
    </xf>
    <xf borderId="0" fillId="2" fontId="26" numFmtId="0" xfId="0" applyAlignment="1" applyFont="1">
      <alignment horizontal="right" readingOrder="0" shrinkToFit="0" wrapText="0"/>
    </xf>
    <xf borderId="0" fillId="2" fontId="16" numFmtId="3" xfId="0" applyAlignment="1" applyFont="1" applyNumberFormat="1">
      <alignment readingOrder="0" vertical="bottom"/>
    </xf>
    <xf borderId="9" fillId="25" fontId="18" numFmtId="0" xfId="0" applyAlignment="1" applyBorder="1" applyFont="1">
      <alignment readingOrder="0" vertical="bottom"/>
    </xf>
    <xf borderId="8" fillId="25" fontId="16" numFmtId="1" xfId="0" applyAlignment="1" applyBorder="1" applyFont="1" applyNumberFormat="1">
      <alignment horizontal="right" vertical="bottom"/>
    </xf>
    <xf borderId="12" fillId="3" fontId="17" numFmtId="3" xfId="0" applyAlignment="1" applyBorder="1" applyFont="1" applyNumberFormat="1">
      <alignment horizontal="right" vertical="bottom"/>
    </xf>
    <xf borderId="10" fillId="31" fontId="18" numFmtId="0" xfId="0" applyAlignment="1" applyBorder="1" applyFont="1">
      <alignment readingOrder="0" vertical="bottom"/>
    </xf>
    <xf borderId="9" fillId="41" fontId="18" numFmtId="0" xfId="0" applyAlignment="1" applyBorder="1" applyFont="1">
      <alignment readingOrder="0" vertical="bottom"/>
    </xf>
    <xf borderId="13" fillId="34" fontId="18" numFmtId="0" xfId="0" applyAlignment="1" applyBorder="1" applyFont="1">
      <alignment readingOrder="0" vertical="bottom"/>
    </xf>
    <xf borderId="4" fillId="34" fontId="18" numFmtId="0" xfId="0" applyAlignment="1" applyBorder="1" applyFont="1">
      <alignment readingOrder="0" vertical="bottom"/>
    </xf>
    <xf borderId="16" fillId="0" fontId="16" numFmtId="166" xfId="0" applyAlignment="1" applyBorder="1" applyFont="1" applyNumberFormat="1">
      <alignment horizontal="right" readingOrder="0" vertical="bottom"/>
    </xf>
    <xf borderId="6" fillId="0" fontId="16" numFmtId="0" xfId="0" applyAlignment="1" applyBorder="1" applyFont="1">
      <alignment vertical="bottom"/>
    </xf>
    <xf borderId="6" fillId="0" fontId="17" numFmtId="3" xfId="0" applyAlignment="1" applyBorder="1" applyFont="1" applyNumberFormat="1">
      <alignment horizontal="right" vertical="bottom"/>
    </xf>
    <xf borderId="0" fillId="4" fontId="16" numFmtId="168" xfId="0" applyAlignment="1" applyFont="1" applyNumberFormat="1">
      <alignment horizontal="right" vertical="bottom"/>
    </xf>
    <xf borderId="0" fillId="0" fontId="16" numFmtId="168" xfId="0" applyAlignment="1" applyFont="1" applyNumberFormat="1">
      <alignment horizontal="right" shrinkToFit="0" vertical="bottom" wrapText="1"/>
    </xf>
    <xf borderId="4" fillId="15" fontId="16" numFmtId="0" xfId="0" applyAlignment="1" applyBorder="1" applyFont="1">
      <alignment vertical="bottom"/>
    </xf>
    <xf borderId="6" fillId="0" fontId="22" numFmtId="0" xfId="0" applyBorder="1" applyFont="1"/>
    <xf borderId="0" fillId="4" fontId="16" numFmtId="0" xfId="0" applyAlignment="1" applyFont="1">
      <alignment horizontal="right" readingOrder="0" vertical="bottom"/>
    </xf>
    <xf borderId="6" fillId="0" fontId="17" numFmtId="168" xfId="0" applyAlignment="1" applyBorder="1" applyFont="1" applyNumberFormat="1">
      <alignment horizontal="right" vertical="bottom"/>
    </xf>
    <xf borderId="4" fillId="25" fontId="16" numFmtId="0" xfId="0" applyAlignment="1" applyBorder="1" applyFont="1">
      <alignment readingOrder="0" vertical="bottom"/>
    </xf>
    <xf borderId="6" fillId="0" fontId="16" numFmtId="0" xfId="0" applyAlignment="1" applyBorder="1" applyFont="1">
      <alignment readingOrder="0" vertical="bottom"/>
    </xf>
    <xf borderId="6" fillId="2" fontId="17" numFmtId="3" xfId="0" applyAlignment="1" applyBorder="1" applyFont="1" applyNumberFormat="1">
      <alignment horizontal="right" vertical="bottom"/>
    </xf>
    <xf borderId="0" fillId="0" fontId="16" numFmtId="0" xfId="0" applyAlignment="1" applyFont="1">
      <alignment horizontal="right" vertical="bottom"/>
    </xf>
    <xf borderId="6" fillId="6" fontId="17" numFmtId="3" xfId="0" applyAlignment="1" applyBorder="1" applyFont="1" applyNumberFormat="1">
      <alignment horizontal="right" vertical="bottom"/>
    </xf>
    <xf borderId="6" fillId="0" fontId="1" numFmtId="0" xfId="0" applyAlignment="1" applyBorder="1" applyFont="1">
      <alignment vertical="bottom"/>
    </xf>
    <xf borderId="4" fillId="8" fontId="16" numFmtId="0" xfId="0" applyAlignment="1" applyBorder="1" applyFont="1">
      <alignment readingOrder="0" vertical="bottom"/>
    </xf>
    <xf borderId="4" fillId="8" fontId="16" numFmtId="1" xfId="0" applyAlignment="1" applyBorder="1" applyFont="1" applyNumberFormat="1">
      <alignment horizontal="left" vertical="bottom"/>
    </xf>
    <xf borderId="6" fillId="0" fontId="17" numFmtId="166" xfId="0" applyAlignment="1" applyBorder="1" applyFont="1" applyNumberFormat="1">
      <alignment horizontal="right" vertical="bottom"/>
    </xf>
    <xf borderId="4" fillId="35" fontId="16" numFmtId="0" xfId="0" applyAlignment="1" applyBorder="1" applyFont="1">
      <alignment readingOrder="0" vertical="bottom"/>
    </xf>
    <xf borderId="6" fillId="0" fontId="17" numFmtId="168" xfId="0" applyAlignment="1" applyBorder="1" applyFont="1" applyNumberFormat="1">
      <alignment horizontal="right" readingOrder="0" vertical="bottom"/>
    </xf>
    <xf borderId="4" fillId="33" fontId="16" numFmtId="0" xfId="0" applyAlignment="1" applyBorder="1" applyFont="1">
      <alignment readingOrder="0" vertical="bottom"/>
    </xf>
    <xf borderId="0" fillId="0" fontId="16" numFmtId="167" xfId="0" applyAlignment="1" applyFont="1" applyNumberFormat="1">
      <alignment readingOrder="0" vertical="bottom"/>
    </xf>
    <xf borderId="0" fillId="0" fontId="30" numFmtId="167" xfId="0" applyAlignment="1" applyFont="1" applyNumberFormat="1">
      <alignment readingOrder="0" vertical="bottom"/>
    </xf>
    <xf borderId="9" fillId="4" fontId="16" numFmtId="0" xfId="0" applyAlignment="1" applyBorder="1" applyFont="1">
      <alignment readingOrder="0" vertical="bottom"/>
    </xf>
    <xf borderId="0" fillId="0" fontId="16" numFmtId="168" xfId="0" applyAlignment="1" applyFont="1" applyNumberFormat="1">
      <alignment readingOrder="0" vertical="bottom"/>
    </xf>
    <xf borderId="0" fillId="0" fontId="78" numFmtId="0" xfId="0" applyAlignment="1" applyFont="1">
      <alignment horizontal="left" readingOrder="0"/>
    </xf>
    <xf borderId="0" fillId="0" fontId="41" numFmtId="0" xfId="0" applyAlignment="1" applyFont="1">
      <alignment horizontal="left" readingOrder="0"/>
    </xf>
    <xf borderId="0" fillId="0" fontId="2" numFmtId="166" xfId="0" applyAlignment="1" applyFont="1" applyNumberFormat="1">
      <alignment horizontal="left" readingOrder="0"/>
    </xf>
    <xf borderId="0" fillId="0" fontId="27" numFmtId="0" xfId="0" applyAlignment="1" applyFont="1">
      <alignment horizontal="center" readingOrder="0"/>
    </xf>
    <xf borderId="1" fillId="0" fontId="27" numFmtId="0" xfId="0" applyAlignment="1" applyBorder="1" applyFont="1">
      <alignment horizontal="center" readingOrder="0"/>
    </xf>
    <xf borderId="1" fillId="0" fontId="2" numFmtId="0" xfId="0" applyAlignment="1" applyBorder="1" applyFont="1">
      <alignment readingOrder="0"/>
    </xf>
    <xf borderId="25" fillId="0" fontId="41" numFmtId="0" xfId="0" applyAlignment="1" applyBorder="1" applyFont="1">
      <alignment horizontal="center" readingOrder="0"/>
    </xf>
    <xf borderId="0" fillId="50" fontId="79" numFmtId="0" xfId="0" applyAlignment="1" applyFont="1">
      <alignment horizontal="center" readingOrder="0" vertical="center"/>
    </xf>
    <xf borderId="24" fillId="0" fontId="80" numFmtId="0" xfId="0" applyAlignment="1" applyBorder="1" applyFont="1">
      <alignment readingOrder="0" shrinkToFit="0" vertical="bottom" wrapText="0"/>
    </xf>
    <xf borderId="7" fillId="0" fontId="80"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4" fontId="70"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50" fontId="79"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Summary!$A$87</c:f>
            </c:strRef>
          </c:tx>
          <c:spPr>
            <a:solidFill>
              <a:srgbClr val="EA4335">
                <a:alpha val="30000"/>
              </a:srgbClr>
            </a:solidFill>
            <a:ln cmpd="sng">
              <a:solidFill>
                <a:srgbClr val="EA4335"/>
              </a:solidFill>
            </a:ln>
          </c:spPr>
          <c:cat>
            <c:strRef>
              <c:f>Summary!$B$1:$AF$1</c:f>
            </c:strRef>
          </c:cat>
          <c:val>
            <c:numRef>
              <c:f>Summary!$B$87:$AF$87</c:f>
              <c:numCache/>
            </c:numRef>
          </c:val>
        </c:ser>
        <c:axId val="1545793833"/>
        <c:axId val="1650137499"/>
      </c:areaChart>
      <c:catAx>
        <c:axId val="15457938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50137499"/>
      </c:catAx>
      <c:valAx>
        <c:axId val="16501374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579383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Summary!$A$112</c:f>
            </c:strRef>
          </c:tx>
          <c:spPr>
            <a:solidFill>
              <a:schemeClr val="accent1"/>
            </a:solidFill>
            <a:ln cmpd="sng">
              <a:noFill/>
            </a:ln>
          </c:spPr>
          <c:cat>
            <c:strRef>
              <c:f>Summary!$C$1:$AF$1</c:f>
            </c:strRef>
          </c:cat>
          <c:val>
            <c:numRef>
              <c:f>Summary!$B$112:$AF$112</c:f>
              <c:numCache/>
            </c:numRef>
          </c:val>
        </c:ser>
        <c:ser>
          <c:idx val="1"/>
          <c:order val="1"/>
          <c:tx>
            <c:strRef>
              <c:f>Summary!$A$113</c:f>
            </c:strRef>
          </c:tx>
          <c:spPr>
            <a:solidFill>
              <a:schemeClr val="accent2"/>
            </a:solidFill>
            <a:ln cmpd="sng">
              <a:noFill/>
            </a:ln>
          </c:spPr>
          <c:dPt>
            <c:idx val="3"/>
          </c:dPt>
          <c:dPt>
            <c:idx val="19"/>
          </c:dPt>
          <c:cat>
            <c:strRef>
              <c:f>Summary!$C$1:$AF$1</c:f>
            </c:strRef>
          </c:cat>
          <c:val>
            <c:numRef>
              <c:f>Summary!$B$113:$AF$113</c:f>
              <c:numCache/>
            </c:numRef>
          </c:val>
        </c:ser>
        <c:overlap val="100"/>
        <c:axId val="1468196710"/>
        <c:axId val="1336456364"/>
      </c:barChart>
      <c:catAx>
        <c:axId val="14681967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6456364"/>
      </c:catAx>
      <c:valAx>
        <c:axId val="13364563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819671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Summary!$B$81:$AF$81</c:f>
              <c:numCache/>
            </c:numRef>
          </c:val>
          <c:smooth val="0"/>
        </c:ser>
        <c:axId val="977615876"/>
        <c:axId val="1178175975"/>
      </c:lineChart>
      <c:catAx>
        <c:axId val="977615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8175975"/>
      </c:catAx>
      <c:valAx>
        <c:axId val="11781759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761587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Summary!$B$87:$AF$87</c:f>
              <c:numCache/>
            </c:numRef>
          </c:val>
          <c:smooth val="0"/>
        </c:ser>
        <c:axId val="738147451"/>
        <c:axId val="525041439"/>
      </c:lineChart>
      <c:catAx>
        <c:axId val="738147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25041439"/>
      </c:catAx>
      <c:valAx>
        <c:axId val="5250414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814745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70d82dc1-d846-4844-8b50-26938704c953}">
    <Anchor>
      <Comment id="{3683d356-d7a2-4f57-9468-ecbfe9f2b50a}"/>
    </Anchor>
    <History>
      <Event time="2024-03-11T20:52:19.00" id="{c338f258-818c-4477-a483-d18af0a1c1f8}">
        <Attribution userId="placeholder@email.com" userName="Benjamin Kumalić" userProvider="google-sheets"/>
        <Anchor>
          <Comment id="{3683d356-d7a2-4f57-9468-ecbfe9f2b50a}"/>
        </Anchor>
        <Create/>
      </Event>
      <Event time="2024-03-11T20:52:19.00" id="{fe3ff88b-257d-45b0-b9cf-7804a707b3dc}">
        <Attribution userId="placeholder@email.com" userName="Benjamin Kumalić" userProvider="google-sheets"/>
        <Anchor>
          <Comment id="{3683d356-d7a2-4f57-9468-ecbfe9f2b50a}"/>
        </Anchor>
        <Assign userId="ziga.skrabl@mybirdbuddy.com" userName="ziga.skrabl@mybirdbuddy.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6.png"/><Relationship Id="rId3" Type="http://schemas.openxmlformats.org/officeDocument/2006/relationships/image" Target="../media/image10.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149</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131</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131</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170</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190</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159</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3.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3185c3af-b654-492a-aa25-f8a0737c7f5a}" providerId="google-sheets"/>
  <x18tc:person displayName="benjamin@mybirdbuddy.com" id="{ce4221bd-466c-4734-8910-3a2a9a696bd5}" userId="benjamin@mybirdbuddy.com" providerId="google-sheets"/>
  <x18tc:person displayName="ziga.skrabl@mybirdbuddy.com" id="{148c1604-2b63-480d-8ed1-22d7180c9b97}" userId="ziga.skrabl@mybirdbuddy.com" providerId="google-sheets"/>
  <x18tc:person displayName="Žiga Škrabl" id="{abb33226-c5b7-4849-b0df-ca626ffb1b1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4-03-11T20:52:19.00" personId="{3185c3af-b654-492a-aa25-f8a0737c7f5a}" id="{3683d356-d7a2-4f57-9468-ecbfe9f2b50a}" done="1">
    <x18tc:text xml:space="preserve">@ziga.skrabl@mybirdbuddy.com - Glede na število prodanih seedsov dnevno se zdi revenue prenizek.
Assigned to ziga.skrabl@mybirdbuddy.com</x18tc:text>
    <x18tc:mentions>
      <x18tc:mention mentionpersonId="{148c1604-2b63-480d-8ed1-22d7180c9b97}" mentionId="{574f34c4-b9e0-4b47-a99f-3788f9b49133}" startIndex="0" length="28"/>
    </x18tc:mentions>
  </x18tc:threadedComment>
  <x18tc:threadedComment ref="A12" dT="2024-03-12T09:18:29.00" personId="{abb33226-c5b7-4849-b0df-ca626ffb1b1b}" id="{4d17ad9c-4457-4c8f-a632-4caaa711a59b}" parentId="{3683d356-d7a2-4f57-9468-ecbfe9f2b50a}">
    <x18tc:text xml:space="preserve">export se ujemajo z meteorikom, čeprav vidim da če delimo seeds sales / qty, pride res dosti nižji sales price kot ga imamo.  sedaj deep divam še enkrat sc renewale, ki so sicer vidni v naših daily exportih za summary.</x18tc:text>
  </x18tc:threadedComment>
  <x18tc:threadedComment ref="A12" dT="2024-03-12T09:33:58.00" personId="{abb33226-c5b7-4849-b0df-ca626ffb1b1b}" id="{472d904e-faa4-44b4-b09f-3999931b84dc}" parentId="{3683d356-d7a2-4f57-9468-ecbfe9f2b50a}">
    <x18tc:text xml:space="preserve">@benjamin@mybirdbuddy.com povsod kjer je stranka imela na orderju kupon "freebagsofseeds" (se pravi A/B testi), je line-item-total, ki ga jemljemo v Meteoriku = 0$, medtem ko se qty zabeleži. Zaradi tega je tudi manjši sales price na seedsih</x18tc:text>
    <x18tc:mentions>
      <x18tc:mention mentionpersonId="{ce4221bd-466c-4734-8910-3a2a9a696bd5}" mentionId="{c6b89292-570b-4bb2-9cb4-c28900779d5d}" startIndex="0" length="25"/>
    </x18tc:mentions>
  </x18tc:threadedComment>
  <x18tc:threadedComment ref="A12" dT="2024-03-12T10:24:51.00" personId="{3185c3af-b654-492a-aa25-f8a0737c7f5a}" id="{f3125d5e-460d-4245-93f3-63f527695016}" parentId="{3683d356-d7a2-4f57-9468-ecbfe9f2b50a}">
    <x18tc:text xml:space="preserve">Got it. Potem pa je good.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8.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
        <v>45352.0</v>
      </c>
      <c r="B1" s="2">
        <v>45352.0</v>
      </c>
      <c r="C1" s="2">
        <v>45353.0</v>
      </c>
      <c r="D1" s="2">
        <v>45354.0</v>
      </c>
      <c r="E1" s="2">
        <v>45355.0</v>
      </c>
      <c r="F1" s="2">
        <v>45356.0</v>
      </c>
      <c r="G1" s="2">
        <v>45357.0</v>
      </c>
      <c r="H1" s="2">
        <v>45358.0</v>
      </c>
      <c r="I1" s="2">
        <v>45359.0</v>
      </c>
      <c r="J1" s="2">
        <v>45360.0</v>
      </c>
      <c r="K1" s="2">
        <v>45361.0</v>
      </c>
      <c r="L1" s="2">
        <v>45362.0</v>
      </c>
      <c r="M1" s="2">
        <v>45363.0</v>
      </c>
      <c r="N1" s="2">
        <v>45364.0</v>
      </c>
      <c r="O1" s="2">
        <v>45365.0</v>
      </c>
      <c r="P1" s="2">
        <v>45366.0</v>
      </c>
      <c r="Q1" s="2">
        <v>45367.0</v>
      </c>
      <c r="R1" s="2">
        <v>45368.0</v>
      </c>
      <c r="S1" s="2">
        <v>45369.0</v>
      </c>
      <c r="T1" s="2">
        <v>45370.0</v>
      </c>
      <c r="U1" s="2">
        <v>45371.0</v>
      </c>
      <c r="V1" s="2">
        <v>45372.0</v>
      </c>
      <c r="W1" s="2">
        <v>45373.0</v>
      </c>
      <c r="X1" s="2">
        <v>45374.0</v>
      </c>
      <c r="Y1" s="2">
        <v>45375.0</v>
      </c>
      <c r="Z1" s="2">
        <v>45376.0</v>
      </c>
      <c r="AA1" s="2">
        <v>45377.0</v>
      </c>
      <c r="AB1" s="2">
        <v>45378.0</v>
      </c>
      <c r="AC1" s="2">
        <v>45379.0</v>
      </c>
      <c r="AD1" s="2">
        <v>45380.0</v>
      </c>
      <c r="AE1" s="2">
        <v>45381.0</v>
      </c>
      <c r="AF1" s="2">
        <v>45382.0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3">
      <c r="A3" s="4" t="s">
        <v>7</v>
      </c>
      <c r="E3" s="5"/>
      <c r="K3" s="5"/>
      <c r="Z3" s="5"/>
    </row>
    <row r="4" ht="29.25" customHeight="1">
      <c r="A4" s="6" t="s">
        <v>8</v>
      </c>
      <c r="B4" s="7" t="s">
        <v>9</v>
      </c>
      <c r="M4" s="8"/>
      <c r="N4" s="8"/>
      <c r="O4" s="8"/>
      <c r="P4" s="8"/>
      <c r="Q4" s="8"/>
      <c r="R4" s="8"/>
      <c r="S4" s="8"/>
      <c r="T4" s="9" t="s">
        <v>10</v>
      </c>
    </row>
    <row r="5" ht="15.75" customHeight="1">
      <c r="B5" s="7" t="s">
        <v>11</v>
      </c>
      <c r="C5" s="8"/>
      <c r="D5" s="8"/>
      <c r="E5" s="8"/>
      <c r="F5" s="8"/>
      <c r="G5" s="8"/>
      <c r="H5" s="8"/>
      <c r="I5" s="7" t="s">
        <v>12</v>
      </c>
      <c r="T5" s="8"/>
      <c r="U5" s="8"/>
      <c r="V5" s="8"/>
      <c r="W5" s="10" t="s">
        <v>13</v>
      </c>
      <c r="X5" s="8"/>
      <c r="Y5" s="8"/>
      <c r="Z5" s="8"/>
      <c r="AA5" s="8"/>
      <c r="AB5" s="8"/>
      <c r="AC5" s="8"/>
      <c r="AD5" s="8"/>
      <c r="AE5" s="8"/>
      <c r="AF5" s="8"/>
    </row>
    <row r="6">
      <c r="B6" s="9" t="s">
        <v>14</v>
      </c>
      <c r="I6" s="8"/>
      <c r="J6" s="8"/>
      <c r="K6" s="8"/>
      <c r="L6" s="10" t="s">
        <v>15</v>
      </c>
      <c r="M6" s="8"/>
      <c r="N6" s="8"/>
      <c r="O6" s="8"/>
      <c r="P6" s="10" t="s">
        <v>16</v>
      </c>
      <c r="Q6" s="8"/>
      <c r="R6" s="8"/>
      <c r="S6" s="8"/>
      <c r="T6" s="10" t="s">
        <v>17</v>
      </c>
      <c r="U6" s="8"/>
      <c r="V6" s="8"/>
      <c r="W6" s="8"/>
      <c r="X6" s="8"/>
      <c r="Y6" s="8"/>
      <c r="Z6" s="10" t="s">
        <v>18</v>
      </c>
      <c r="AA6" s="8"/>
      <c r="AB6" s="10" t="s">
        <v>19</v>
      </c>
      <c r="AC6" s="8"/>
      <c r="AD6" s="8"/>
      <c r="AE6" s="8"/>
      <c r="AF6" s="8"/>
    </row>
    <row r="7">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c r="A8" s="11" t="s">
        <v>20</v>
      </c>
      <c r="B8" s="12">
        <v>609995.61</v>
      </c>
      <c r="C8" s="13">
        <v>107937.13</v>
      </c>
      <c r="D8" s="13">
        <v>92285.37</v>
      </c>
      <c r="E8" s="13">
        <v>79668.99</v>
      </c>
      <c r="F8" s="13">
        <v>60001.2</v>
      </c>
      <c r="G8" s="13">
        <v>52648.98</v>
      </c>
      <c r="H8" s="13">
        <v>53600.39</v>
      </c>
      <c r="I8" s="13">
        <v>53298.97</v>
      </c>
      <c r="J8" s="13">
        <v>65507.46</v>
      </c>
      <c r="K8" s="13">
        <v>58345.32</v>
      </c>
      <c r="L8" s="12">
        <v>50106.48</v>
      </c>
      <c r="M8" s="13">
        <v>34630.63</v>
      </c>
      <c r="N8" s="13">
        <v>24539.57</v>
      </c>
      <c r="O8" s="13">
        <v>30839.36</v>
      </c>
      <c r="P8" s="13">
        <v>23481.39</v>
      </c>
      <c r="Q8" s="14">
        <v>31403.37</v>
      </c>
      <c r="R8" s="14">
        <v>24365.3</v>
      </c>
      <c r="S8" s="13">
        <v>22034.68</v>
      </c>
      <c r="T8" s="13">
        <v>18596.67</v>
      </c>
      <c r="U8" s="13">
        <v>19772.38</v>
      </c>
      <c r="V8" s="13">
        <v>21328.09</v>
      </c>
      <c r="W8" s="13">
        <v>37898.11</v>
      </c>
      <c r="X8" s="13">
        <v>30815.28</v>
      </c>
      <c r="Y8" s="15">
        <v>36859.86</v>
      </c>
      <c r="Z8" s="13">
        <v>27394.52</v>
      </c>
      <c r="AA8" s="13">
        <v>19602.23</v>
      </c>
      <c r="AB8" s="13">
        <v>19436.72</v>
      </c>
      <c r="AC8" s="13">
        <v>24112.65</v>
      </c>
      <c r="AD8" s="13">
        <v>17000.55</v>
      </c>
      <c r="AE8" s="13">
        <v>21890.63</v>
      </c>
      <c r="AF8" s="13">
        <v>18471.44</v>
      </c>
    </row>
    <row r="9" outlineLevel="1">
      <c r="A9" s="16" t="s">
        <v>21</v>
      </c>
      <c r="B9" s="17">
        <v>530409.79</v>
      </c>
      <c r="C9" s="17">
        <v>88002.25</v>
      </c>
      <c r="D9" s="17">
        <v>75538.45</v>
      </c>
      <c r="E9" s="17">
        <v>64103.35</v>
      </c>
      <c r="F9" s="17">
        <v>47621.15</v>
      </c>
      <c r="G9" s="17">
        <v>40596.8</v>
      </c>
      <c r="H9" s="17">
        <v>42030.65</v>
      </c>
      <c r="I9" s="17">
        <v>42613.85</v>
      </c>
      <c r="J9" s="17">
        <v>50880.3</v>
      </c>
      <c r="K9" s="17">
        <v>45034.4</v>
      </c>
      <c r="L9" s="17">
        <v>39398.15</v>
      </c>
      <c r="M9" s="17">
        <v>26600.8</v>
      </c>
      <c r="N9" s="17">
        <v>19285.15</v>
      </c>
      <c r="O9" s="17">
        <v>24270.41</v>
      </c>
      <c r="P9" s="17">
        <v>17622.85</v>
      </c>
      <c r="Q9" s="17">
        <v>23523.2</v>
      </c>
      <c r="R9" s="17">
        <v>18560.9</v>
      </c>
      <c r="S9" s="17">
        <v>16112.0</v>
      </c>
      <c r="T9" s="17">
        <v>14364.78</v>
      </c>
      <c r="U9" s="17">
        <v>15242.2</v>
      </c>
      <c r="V9" s="17">
        <v>16516.9</v>
      </c>
      <c r="W9" s="17">
        <v>29456.48</v>
      </c>
      <c r="X9" s="17">
        <v>22808.32</v>
      </c>
      <c r="Y9" s="17">
        <v>27946.78</v>
      </c>
      <c r="Z9" s="17">
        <v>20592.23</v>
      </c>
      <c r="AA9" s="17">
        <v>14732.3</v>
      </c>
      <c r="AB9" s="17">
        <v>14201.2</v>
      </c>
      <c r="AC9" s="17">
        <v>17713.9</v>
      </c>
      <c r="AD9" s="17">
        <v>12605.4</v>
      </c>
      <c r="AE9" s="17">
        <v>16185.45</v>
      </c>
      <c r="AF9" s="17">
        <v>13825.11</v>
      </c>
    </row>
    <row r="10" outlineLevel="1">
      <c r="A10" s="16" t="s">
        <v>22</v>
      </c>
      <c r="B10" s="17">
        <v>9746.98</v>
      </c>
      <c r="C10" s="17">
        <v>5478.6</v>
      </c>
      <c r="D10" s="17">
        <v>4169.45</v>
      </c>
      <c r="E10" s="17">
        <v>4300.95</v>
      </c>
      <c r="F10" s="17">
        <v>3500.8</v>
      </c>
      <c r="G10" s="17">
        <v>3624.5</v>
      </c>
      <c r="H10" s="17">
        <v>3175.6</v>
      </c>
      <c r="I10" s="17">
        <v>2564.55</v>
      </c>
      <c r="J10" s="17">
        <v>4382.3</v>
      </c>
      <c r="K10" s="17">
        <v>4216.4</v>
      </c>
      <c r="L10" s="17">
        <v>3437.05</v>
      </c>
      <c r="M10" s="17">
        <v>3063.25</v>
      </c>
      <c r="N10" s="17">
        <v>1927.25</v>
      </c>
      <c r="O10" s="17">
        <v>2231.89</v>
      </c>
      <c r="P10" s="17">
        <v>2344.15</v>
      </c>
      <c r="Q10" s="17">
        <v>3365.45</v>
      </c>
      <c r="R10" s="17">
        <v>2138.25</v>
      </c>
      <c r="S10" s="17">
        <v>2508.2</v>
      </c>
      <c r="T10" s="17">
        <v>1598.74</v>
      </c>
      <c r="U10" s="17">
        <v>1579.25</v>
      </c>
      <c r="V10" s="17">
        <v>1644.9</v>
      </c>
      <c r="W10" s="17">
        <v>3179.37</v>
      </c>
      <c r="X10" s="17">
        <v>3285.08</v>
      </c>
      <c r="Y10" s="17">
        <v>3053.62</v>
      </c>
      <c r="Z10" s="17">
        <v>2515.22</v>
      </c>
      <c r="AA10" s="17">
        <v>1697.6</v>
      </c>
      <c r="AB10" s="17">
        <v>2289.2</v>
      </c>
      <c r="AC10" s="17">
        <v>2550.1</v>
      </c>
      <c r="AD10" s="17">
        <v>1848.2</v>
      </c>
      <c r="AE10" s="17">
        <v>2282.2</v>
      </c>
      <c r="AF10" s="17">
        <v>1741.99</v>
      </c>
    </row>
    <row r="11" outlineLevel="1">
      <c r="A11" s="16" t="s">
        <v>23</v>
      </c>
      <c r="B11" s="17">
        <v>0.0</v>
      </c>
      <c r="C11" s="17">
        <v>0.0</v>
      </c>
      <c r="D11" s="17">
        <v>0.0</v>
      </c>
      <c r="E11" s="17">
        <v>0.0</v>
      </c>
      <c r="F11" s="17">
        <v>0.0</v>
      </c>
      <c r="G11" s="17">
        <v>184.94</v>
      </c>
      <c r="H11" s="17">
        <v>0.0</v>
      </c>
      <c r="I11" s="17">
        <v>0.0</v>
      </c>
      <c r="J11" s="17">
        <v>0.0</v>
      </c>
      <c r="K11" s="17">
        <v>0.0</v>
      </c>
      <c r="L11" s="17">
        <v>0.0</v>
      </c>
      <c r="M11" s="17">
        <v>0.0</v>
      </c>
      <c r="N11" s="17">
        <v>0.0</v>
      </c>
      <c r="O11" s="17">
        <v>0.0</v>
      </c>
      <c r="P11" s="17">
        <v>0.0</v>
      </c>
      <c r="Q11" s="17">
        <v>39.99</v>
      </c>
      <c r="R11" s="17">
        <v>0.0</v>
      </c>
      <c r="S11" s="17">
        <v>0.0</v>
      </c>
      <c r="T11" s="17">
        <v>29.99</v>
      </c>
      <c r="U11" s="17">
        <v>0.0</v>
      </c>
      <c r="V11" s="17">
        <v>0.0</v>
      </c>
      <c r="W11" s="17">
        <v>0.0</v>
      </c>
      <c r="X11" s="17">
        <v>39.99</v>
      </c>
      <c r="Y11" s="17">
        <v>0.0</v>
      </c>
      <c r="Z11" s="17">
        <v>0.0</v>
      </c>
      <c r="AA11" s="17">
        <v>0.0</v>
      </c>
      <c r="AB11" s="17">
        <v>0.0</v>
      </c>
      <c r="AC11" s="17">
        <v>0.0</v>
      </c>
      <c r="AD11" s="17">
        <v>0.0</v>
      </c>
      <c r="AE11" s="17">
        <v>39.99</v>
      </c>
      <c r="AF11" s="17">
        <v>0.0</v>
      </c>
    </row>
    <row r="12" outlineLevel="1">
      <c r="A12" s="16" t="s">
        <v>24</v>
      </c>
      <c r="B12" s="17">
        <v>434.04</v>
      </c>
      <c r="C12" s="17">
        <v>310.57</v>
      </c>
      <c r="D12" s="17">
        <v>225.0</v>
      </c>
      <c r="E12" s="17">
        <v>357.48</v>
      </c>
      <c r="F12" s="17">
        <v>360.4</v>
      </c>
      <c r="G12" s="17">
        <v>247.87</v>
      </c>
      <c r="H12" s="17">
        <v>244.33</v>
      </c>
      <c r="I12" s="17">
        <v>108.94</v>
      </c>
      <c r="J12" s="17">
        <v>213.14</v>
      </c>
      <c r="K12" s="17">
        <v>124.07</v>
      </c>
      <c r="L12" s="17">
        <v>143.4</v>
      </c>
      <c r="M12" s="17">
        <v>205.81</v>
      </c>
      <c r="N12" s="17">
        <v>146.4</v>
      </c>
      <c r="O12" s="17">
        <v>209.87</v>
      </c>
      <c r="P12" s="17">
        <v>354.81</v>
      </c>
      <c r="Q12" s="17">
        <v>160.07</v>
      </c>
      <c r="R12" s="17">
        <v>188.1</v>
      </c>
      <c r="S12" s="17">
        <v>218.9</v>
      </c>
      <c r="T12" s="17">
        <v>0.0</v>
      </c>
      <c r="U12" s="17">
        <v>182.47</v>
      </c>
      <c r="V12" s="17">
        <v>225.0</v>
      </c>
      <c r="W12" s="17">
        <v>376.6</v>
      </c>
      <c r="X12" s="17">
        <v>448.4</v>
      </c>
      <c r="Y12" s="17">
        <v>704.37</v>
      </c>
      <c r="Z12" s="17">
        <v>476.0</v>
      </c>
      <c r="AA12" s="17">
        <v>374.3</v>
      </c>
      <c r="AB12" s="17">
        <v>368.4</v>
      </c>
      <c r="AC12" s="17">
        <v>467.1</v>
      </c>
      <c r="AD12" s="17">
        <v>76.67</v>
      </c>
      <c r="AE12" s="17">
        <v>180.1</v>
      </c>
      <c r="AF12" s="17">
        <v>260.1</v>
      </c>
    </row>
    <row r="13" outlineLevel="1">
      <c r="A13" s="16" t="s">
        <v>25</v>
      </c>
      <c r="B13" s="18"/>
      <c r="C13" s="18"/>
      <c r="D13" s="18"/>
      <c r="E13" s="18"/>
      <c r="F13" s="18"/>
      <c r="G13" s="18"/>
      <c r="H13" s="18"/>
      <c r="I13" s="18"/>
      <c r="J13" s="18"/>
      <c r="K13" s="18"/>
      <c r="L13" s="18"/>
      <c r="M13" s="18"/>
      <c r="N13" s="18"/>
      <c r="O13" s="18"/>
      <c r="P13" s="18"/>
      <c r="Q13" s="18"/>
      <c r="R13" s="18"/>
      <c r="S13" s="17">
        <v>90.0</v>
      </c>
      <c r="T13" s="17">
        <v>58.33</v>
      </c>
      <c r="U13" s="17">
        <v>30.0</v>
      </c>
      <c r="V13" s="17">
        <v>0.0</v>
      </c>
      <c r="W13" s="17">
        <v>60.0</v>
      </c>
      <c r="X13" s="17">
        <v>0.0</v>
      </c>
      <c r="Y13" s="17">
        <v>180.0</v>
      </c>
      <c r="Z13" s="17">
        <v>90.0</v>
      </c>
      <c r="AA13" s="17">
        <v>25.0</v>
      </c>
      <c r="AB13" s="17">
        <v>90.0</v>
      </c>
      <c r="AC13" s="17">
        <v>180.0</v>
      </c>
      <c r="AD13" s="17">
        <v>120.0</v>
      </c>
      <c r="AE13" s="17">
        <v>180.0</v>
      </c>
      <c r="AF13" s="17">
        <v>120.0</v>
      </c>
    </row>
    <row r="14" outlineLevel="1">
      <c r="A14" s="16" t="s">
        <v>26</v>
      </c>
      <c r="B14" s="17">
        <v>37467.8</v>
      </c>
      <c r="C14" s="17">
        <v>6623.71</v>
      </c>
      <c r="D14" s="17">
        <v>5640.47</v>
      </c>
      <c r="E14" s="17">
        <v>4787.21</v>
      </c>
      <c r="F14" s="17">
        <v>3534.85</v>
      </c>
      <c r="G14" s="17">
        <v>3154.87</v>
      </c>
      <c r="H14" s="17">
        <v>3158.81</v>
      </c>
      <c r="I14" s="17">
        <v>3131.63</v>
      </c>
      <c r="J14" s="17">
        <v>3951.72</v>
      </c>
      <c r="K14" s="17">
        <v>3605.45</v>
      </c>
      <c r="L14" s="17">
        <v>3002.88</v>
      </c>
      <c r="M14" s="17">
        <v>2120.77</v>
      </c>
      <c r="N14" s="17">
        <v>1375.77</v>
      </c>
      <c r="O14" s="17">
        <v>1877.19</v>
      </c>
      <c r="P14" s="17">
        <v>1399.58</v>
      </c>
      <c r="Q14" s="17">
        <v>1854.66</v>
      </c>
      <c r="R14" s="17">
        <v>1538.05</v>
      </c>
      <c r="S14" s="17">
        <v>1230.58</v>
      </c>
      <c r="T14" s="17">
        <v>1114.83</v>
      </c>
      <c r="U14" s="17">
        <v>1166.46</v>
      </c>
      <c r="V14" s="17">
        <v>1359.29</v>
      </c>
      <c r="W14" s="17">
        <v>2195.66</v>
      </c>
      <c r="X14" s="17">
        <v>2008.49</v>
      </c>
      <c r="Y14" s="17">
        <v>2240.09</v>
      </c>
      <c r="Z14" s="17">
        <v>1659.07</v>
      </c>
      <c r="AA14" s="17">
        <v>1266.03</v>
      </c>
      <c r="AB14" s="17">
        <v>1100.92</v>
      </c>
      <c r="AC14" s="17">
        <v>1384.55</v>
      </c>
      <c r="AD14" s="17">
        <v>1050.28</v>
      </c>
      <c r="AE14" s="17">
        <v>1340.89</v>
      </c>
      <c r="AF14" s="17">
        <v>1079.24</v>
      </c>
    </row>
    <row r="15" outlineLevel="1">
      <c r="A15" s="16" t="s">
        <v>27</v>
      </c>
      <c r="B15" s="17">
        <v>31937.0</v>
      </c>
      <c r="C15" s="17">
        <v>7522.0</v>
      </c>
      <c r="D15" s="17">
        <v>6712.0</v>
      </c>
      <c r="E15" s="17">
        <v>6120.0</v>
      </c>
      <c r="F15" s="17">
        <v>4984.0</v>
      </c>
      <c r="G15" s="17">
        <v>4840.0</v>
      </c>
      <c r="H15" s="17">
        <v>4991.0</v>
      </c>
      <c r="I15" s="17">
        <v>4880.0</v>
      </c>
      <c r="J15" s="17">
        <v>6080.0</v>
      </c>
      <c r="K15" s="17">
        <v>5365.0</v>
      </c>
      <c r="L15" s="17">
        <v>4125.0</v>
      </c>
      <c r="M15" s="17">
        <v>2640.0</v>
      </c>
      <c r="N15" s="17">
        <v>1805.0</v>
      </c>
      <c r="O15" s="17">
        <v>2250.0</v>
      </c>
      <c r="P15" s="17">
        <v>1760.0</v>
      </c>
      <c r="Q15" s="17">
        <v>2460.0</v>
      </c>
      <c r="R15" s="17">
        <v>1940.0</v>
      </c>
      <c r="S15" s="17">
        <v>1875.0</v>
      </c>
      <c r="T15" s="17">
        <v>1430.0</v>
      </c>
      <c r="U15" s="17">
        <v>1572.0</v>
      </c>
      <c r="V15" s="17">
        <v>1582.0</v>
      </c>
      <c r="W15" s="17">
        <v>2630.0</v>
      </c>
      <c r="X15" s="17">
        <v>2225.0</v>
      </c>
      <c r="Y15" s="17">
        <v>2735.0</v>
      </c>
      <c r="Z15" s="17">
        <v>2062.0</v>
      </c>
      <c r="AA15" s="17">
        <v>1507.0</v>
      </c>
      <c r="AB15" s="17">
        <v>1387.0</v>
      </c>
      <c r="AC15" s="17">
        <v>1817.0</v>
      </c>
      <c r="AD15" s="17">
        <v>1300.0</v>
      </c>
      <c r="AE15" s="17">
        <v>1682.0</v>
      </c>
      <c r="AF15" s="17">
        <v>1445.0</v>
      </c>
    </row>
    <row r="16">
      <c r="A16" s="11" t="s">
        <v>28</v>
      </c>
      <c r="B16" s="12">
        <f t="shared" ref="B16:AF16" si="1">B17+B18+B19+B20+B21</f>
        <v>19348.49</v>
      </c>
      <c r="C16" s="12">
        <f t="shared" si="1"/>
        <v>22322.39</v>
      </c>
      <c r="D16" s="12">
        <f t="shared" si="1"/>
        <v>16109.48</v>
      </c>
      <c r="E16" s="12">
        <f t="shared" si="1"/>
        <v>9416.58</v>
      </c>
      <c r="F16" s="12">
        <f t="shared" si="1"/>
        <v>6365.8</v>
      </c>
      <c r="G16" s="12">
        <f t="shared" si="1"/>
        <v>11506.81</v>
      </c>
      <c r="H16" s="12">
        <f t="shared" si="1"/>
        <v>17570.37</v>
      </c>
      <c r="I16" s="12">
        <f t="shared" si="1"/>
        <v>16642.54</v>
      </c>
      <c r="J16" s="12">
        <f t="shared" si="1"/>
        <v>21343.47</v>
      </c>
      <c r="K16" s="12">
        <f t="shared" si="1"/>
        <v>22258.69</v>
      </c>
      <c r="L16" s="12">
        <f t="shared" si="1"/>
        <v>9253.85</v>
      </c>
      <c r="M16" s="12">
        <f t="shared" si="1"/>
        <v>9130.35</v>
      </c>
      <c r="N16" s="12">
        <f t="shared" si="1"/>
        <v>10453.74</v>
      </c>
      <c r="O16" s="12">
        <f t="shared" si="1"/>
        <v>11895.08</v>
      </c>
      <c r="P16" s="12">
        <f t="shared" si="1"/>
        <v>13269.9</v>
      </c>
      <c r="Q16" s="12">
        <f t="shared" si="1"/>
        <v>12414.95</v>
      </c>
      <c r="R16" s="12">
        <f t="shared" si="1"/>
        <v>14317.82</v>
      </c>
      <c r="S16" s="12">
        <f t="shared" si="1"/>
        <v>6864.62</v>
      </c>
      <c r="T16" s="12">
        <f t="shared" si="1"/>
        <v>12108.13</v>
      </c>
      <c r="U16" s="12">
        <f t="shared" si="1"/>
        <v>14234.66</v>
      </c>
      <c r="V16" s="12">
        <f t="shared" si="1"/>
        <v>10905.79</v>
      </c>
      <c r="W16" s="12">
        <f t="shared" si="1"/>
        <v>9266.85</v>
      </c>
      <c r="X16" s="12">
        <f t="shared" si="1"/>
        <v>11009.35</v>
      </c>
      <c r="Y16" s="12">
        <f t="shared" si="1"/>
        <v>11513.68</v>
      </c>
      <c r="Z16" s="12">
        <f t="shared" si="1"/>
        <v>8350.69</v>
      </c>
      <c r="AA16" s="12">
        <f t="shared" si="1"/>
        <v>9183.44</v>
      </c>
      <c r="AB16" s="12">
        <f t="shared" si="1"/>
        <v>7992.33</v>
      </c>
      <c r="AC16" s="12">
        <f t="shared" si="1"/>
        <v>7570.74</v>
      </c>
      <c r="AD16" s="12">
        <f t="shared" si="1"/>
        <v>7060.85</v>
      </c>
      <c r="AE16" s="12">
        <f t="shared" si="1"/>
        <v>7665.47</v>
      </c>
      <c r="AF16" s="12">
        <f t="shared" si="1"/>
        <v>4451.22</v>
      </c>
    </row>
    <row r="17" outlineLevel="1">
      <c r="A17" s="16" t="s">
        <v>21</v>
      </c>
      <c r="B17" s="17">
        <v>16689.8</v>
      </c>
      <c r="C17" s="17">
        <v>18894.12</v>
      </c>
      <c r="D17" s="17">
        <v>13167.68</v>
      </c>
      <c r="E17" s="17">
        <v>7392.24</v>
      </c>
      <c r="F17" s="17">
        <v>4950.56</v>
      </c>
      <c r="G17" s="17">
        <v>9849.0</v>
      </c>
      <c r="H17" s="17">
        <v>15173.56</v>
      </c>
      <c r="I17" s="17">
        <v>14651.68</v>
      </c>
      <c r="J17" s="17">
        <v>17400.12</v>
      </c>
      <c r="K17" s="17">
        <v>19281.12</v>
      </c>
      <c r="L17" s="17">
        <v>7612.12</v>
      </c>
      <c r="M17" s="17">
        <v>7593.0</v>
      </c>
      <c r="N17" s="17">
        <v>8849.0</v>
      </c>
      <c r="O17" s="17">
        <v>10045.0</v>
      </c>
      <c r="P17" s="17">
        <v>11655.12</v>
      </c>
      <c r="Q17" s="17">
        <v>9624.56</v>
      </c>
      <c r="R17" s="17">
        <v>11836.56</v>
      </c>
      <c r="S17" s="17">
        <v>5440.0</v>
      </c>
      <c r="T17" s="17">
        <v>10463.0</v>
      </c>
      <c r="U17" s="17">
        <v>12247.24</v>
      </c>
      <c r="V17" s="17">
        <v>9084.56</v>
      </c>
      <c r="W17" s="17">
        <v>7771.0</v>
      </c>
      <c r="X17" s="17">
        <v>8962.12</v>
      </c>
      <c r="Y17" s="17">
        <v>9145.0</v>
      </c>
      <c r="Z17" s="17">
        <v>6631.56</v>
      </c>
      <c r="AA17" s="17">
        <v>7647.12</v>
      </c>
      <c r="AB17" s="17">
        <v>6745.24</v>
      </c>
      <c r="AC17" s="17">
        <v>6091.12</v>
      </c>
      <c r="AD17" s="17">
        <v>5679.0</v>
      </c>
      <c r="AE17" s="17">
        <v>5082.0</v>
      </c>
      <c r="AF17" s="17">
        <v>2989.0</v>
      </c>
    </row>
    <row r="18" outlineLevel="1">
      <c r="A18" s="16" t="s">
        <v>22</v>
      </c>
      <c r="B18" s="17">
        <v>1424.56</v>
      </c>
      <c r="C18" s="17">
        <v>1915.56</v>
      </c>
      <c r="D18" s="17">
        <v>1792.68</v>
      </c>
      <c r="E18" s="17">
        <v>1421.56</v>
      </c>
      <c r="F18" s="17">
        <v>1009.0</v>
      </c>
      <c r="G18" s="17">
        <v>906.0</v>
      </c>
      <c r="H18" s="17">
        <v>1285.56</v>
      </c>
      <c r="I18" s="17">
        <v>897.0</v>
      </c>
      <c r="J18" s="17">
        <v>2501.12</v>
      </c>
      <c r="K18" s="17">
        <v>1509.0</v>
      </c>
      <c r="L18" s="17">
        <v>1082.12</v>
      </c>
      <c r="M18" s="17">
        <v>966.0</v>
      </c>
      <c r="N18" s="17">
        <v>954.0</v>
      </c>
      <c r="O18" s="17">
        <v>999.68</v>
      </c>
      <c r="P18" s="17">
        <v>819.0</v>
      </c>
      <c r="Q18" s="17">
        <v>1898.24</v>
      </c>
      <c r="R18" s="17">
        <v>1582.68</v>
      </c>
      <c r="S18" s="17">
        <v>974.0</v>
      </c>
      <c r="T18" s="17">
        <v>850.0</v>
      </c>
      <c r="U18" s="17">
        <v>1110.0</v>
      </c>
      <c r="V18" s="17">
        <v>1075.12</v>
      </c>
      <c r="W18" s="17">
        <v>889.0</v>
      </c>
      <c r="X18" s="17">
        <v>1348.56</v>
      </c>
      <c r="Y18" s="17">
        <v>1547.0</v>
      </c>
      <c r="Z18" s="17">
        <v>1146.56</v>
      </c>
      <c r="AA18" s="17">
        <v>929.0</v>
      </c>
      <c r="AB18" s="17">
        <v>724.0</v>
      </c>
      <c r="AC18" s="17">
        <v>969.12</v>
      </c>
      <c r="AD18" s="17">
        <v>889.0</v>
      </c>
      <c r="AE18" s="17">
        <v>2055.0</v>
      </c>
      <c r="AF18" s="17">
        <v>1130.0</v>
      </c>
    </row>
    <row r="19" outlineLevel="1">
      <c r="A19" s="16" t="s">
        <v>29</v>
      </c>
      <c r="B19" s="17">
        <v>1193.49</v>
      </c>
      <c r="C19" s="17">
        <v>1464.05</v>
      </c>
      <c r="D19" s="17">
        <v>1131.65</v>
      </c>
      <c r="E19" s="17">
        <v>586.52</v>
      </c>
      <c r="F19" s="17">
        <v>392.02</v>
      </c>
      <c r="G19" s="17">
        <v>741.83</v>
      </c>
      <c r="H19" s="17">
        <v>1064.89</v>
      </c>
      <c r="I19" s="17">
        <v>1027.39</v>
      </c>
      <c r="J19" s="17">
        <v>1409.3</v>
      </c>
      <c r="K19" s="17">
        <v>1407.52</v>
      </c>
      <c r="L19" s="17">
        <v>554.12</v>
      </c>
      <c r="M19" s="17">
        <v>553.37</v>
      </c>
      <c r="N19" s="17">
        <v>641.76</v>
      </c>
      <c r="O19" s="17">
        <v>827.5</v>
      </c>
      <c r="P19" s="17">
        <v>790.79</v>
      </c>
      <c r="Q19" s="17">
        <v>881.92</v>
      </c>
      <c r="R19" s="17">
        <v>879.12</v>
      </c>
      <c r="S19" s="17">
        <v>450.62</v>
      </c>
      <c r="T19" s="17">
        <v>777.17</v>
      </c>
      <c r="U19" s="17">
        <v>818.35</v>
      </c>
      <c r="V19" s="17">
        <v>740.37</v>
      </c>
      <c r="W19" s="17">
        <v>598.37</v>
      </c>
      <c r="X19" s="17">
        <v>683.95</v>
      </c>
      <c r="Y19" s="17">
        <v>760.41</v>
      </c>
      <c r="Z19" s="17">
        <v>571.28</v>
      </c>
      <c r="AA19" s="17">
        <v>579.31</v>
      </c>
      <c r="AB19" s="17">
        <v>510.61</v>
      </c>
      <c r="AC19" s="17">
        <v>493.53</v>
      </c>
      <c r="AD19" s="17">
        <v>479.38</v>
      </c>
      <c r="AE19" s="17">
        <v>491.05</v>
      </c>
      <c r="AF19" s="17">
        <v>320.74</v>
      </c>
    </row>
    <row r="20" outlineLevel="1">
      <c r="A20" s="16" t="s">
        <v>27</v>
      </c>
      <c r="B20" s="17">
        <v>26.65</v>
      </c>
      <c r="C20" s="17">
        <v>21.21</v>
      </c>
      <c r="D20" s="17">
        <v>7.47</v>
      </c>
      <c r="E20" s="17">
        <v>10.42</v>
      </c>
      <c r="F20" s="17">
        <v>0.08</v>
      </c>
      <c r="G20" s="17">
        <v>0.0</v>
      </c>
      <c r="H20" s="17">
        <v>29.06</v>
      </c>
      <c r="I20" s="17">
        <v>51.99</v>
      </c>
      <c r="J20" s="17">
        <v>10.3</v>
      </c>
      <c r="K20" s="17">
        <v>56.22</v>
      </c>
      <c r="L20" s="17">
        <v>0.32</v>
      </c>
      <c r="M20" s="17">
        <v>12.99</v>
      </c>
      <c r="N20" s="17">
        <v>0.0</v>
      </c>
      <c r="O20" s="17">
        <v>13.41</v>
      </c>
      <c r="P20" s="17">
        <v>0.16</v>
      </c>
      <c r="Q20" s="17">
        <v>0.4</v>
      </c>
      <c r="R20" s="17">
        <v>0.32</v>
      </c>
      <c r="S20" s="17">
        <v>0.0</v>
      </c>
      <c r="T20" s="17">
        <v>0.0</v>
      </c>
      <c r="U20" s="17">
        <v>44.42</v>
      </c>
      <c r="V20" s="17">
        <v>0.24</v>
      </c>
      <c r="W20" s="17">
        <v>0.0</v>
      </c>
      <c r="X20" s="17">
        <v>0.24</v>
      </c>
      <c r="Y20" s="17">
        <v>31.84</v>
      </c>
      <c r="Z20" s="17">
        <v>0.95</v>
      </c>
      <c r="AA20" s="17">
        <v>18.69</v>
      </c>
      <c r="AB20" s="17">
        <v>7.31</v>
      </c>
      <c r="AC20" s="17">
        <v>7.31</v>
      </c>
      <c r="AD20" s="17">
        <v>0.0</v>
      </c>
      <c r="AE20" s="17">
        <v>37.42</v>
      </c>
      <c r="AF20" s="17">
        <v>6.99</v>
      </c>
    </row>
    <row r="21" outlineLevel="1">
      <c r="A21" s="16" t="s">
        <v>30</v>
      </c>
      <c r="B21" s="17">
        <v>13.99</v>
      </c>
      <c r="C21" s="17">
        <v>27.45</v>
      </c>
      <c r="D21" s="17">
        <v>10.0</v>
      </c>
      <c r="E21" s="17">
        <v>5.84</v>
      </c>
      <c r="F21" s="17">
        <v>14.14</v>
      </c>
      <c r="G21" s="17">
        <v>9.98</v>
      </c>
      <c r="H21" s="17">
        <v>17.3</v>
      </c>
      <c r="I21" s="17">
        <v>14.48</v>
      </c>
      <c r="J21" s="17">
        <v>22.63</v>
      </c>
      <c r="K21" s="17">
        <v>4.83</v>
      </c>
      <c r="L21" s="17">
        <v>5.17</v>
      </c>
      <c r="M21" s="17">
        <v>4.99</v>
      </c>
      <c r="N21" s="17">
        <v>8.98</v>
      </c>
      <c r="O21" s="17">
        <v>9.49</v>
      </c>
      <c r="P21" s="17">
        <v>4.83</v>
      </c>
      <c r="Q21" s="17">
        <v>9.83</v>
      </c>
      <c r="R21" s="17">
        <v>19.14</v>
      </c>
      <c r="S21" s="17">
        <v>0.0</v>
      </c>
      <c r="T21" s="17">
        <v>17.96</v>
      </c>
      <c r="U21" s="17">
        <v>14.65</v>
      </c>
      <c r="V21" s="17">
        <v>5.5</v>
      </c>
      <c r="W21" s="17">
        <v>8.48</v>
      </c>
      <c r="X21" s="17">
        <v>14.48</v>
      </c>
      <c r="Y21" s="17">
        <v>29.43</v>
      </c>
      <c r="Z21" s="17">
        <v>0.34</v>
      </c>
      <c r="AA21" s="17">
        <v>9.32</v>
      </c>
      <c r="AB21" s="17">
        <v>5.17</v>
      </c>
      <c r="AC21" s="17">
        <v>9.66</v>
      </c>
      <c r="AD21" s="17">
        <v>13.47</v>
      </c>
      <c r="AE21" s="17">
        <v>0.0</v>
      </c>
      <c r="AF21" s="17">
        <v>4.49</v>
      </c>
    </row>
    <row r="22">
      <c r="A22" s="11" t="s">
        <v>31</v>
      </c>
      <c r="B22" s="12">
        <f t="shared" ref="B22:AF22" si="2">SUM(B27,B23)</f>
        <v>403.310772</v>
      </c>
      <c r="C22" s="12">
        <f t="shared" si="2"/>
        <v>222.883386</v>
      </c>
      <c r="D22" s="12">
        <f t="shared" si="2"/>
        <v>0</v>
      </c>
      <c r="E22" s="12">
        <f t="shared" si="2"/>
        <v>0</v>
      </c>
      <c r="F22" s="12">
        <f t="shared" si="2"/>
        <v>0</v>
      </c>
      <c r="G22" s="12">
        <f t="shared" si="2"/>
        <v>222.883386</v>
      </c>
      <c r="H22" s="12">
        <f t="shared" si="2"/>
        <v>317.3586</v>
      </c>
      <c r="I22" s="12">
        <f t="shared" si="2"/>
        <v>445.766772</v>
      </c>
      <c r="J22" s="12">
        <f t="shared" si="2"/>
        <v>0</v>
      </c>
      <c r="K22" s="12">
        <f t="shared" si="2"/>
        <v>1071.96093</v>
      </c>
      <c r="L22" s="12">
        <f t="shared" si="2"/>
        <v>540.241986</v>
      </c>
      <c r="M22" s="12">
        <f t="shared" si="2"/>
        <v>222.883386</v>
      </c>
      <c r="N22" s="12">
        <f t="shared" si="2"/>
        <v>0</v>
      </c>
      <c r="O22" s="12">
        <f t="shared" si="2"/>
        <v>0</v>
      </c>
      <c r="P22" s="12">
        <f t="shared" si="2"/>
        <v>0</v>
      </c>
      <c r="Q22" s="12">
        <f t="shared" si="2"/>
        <v>0</v>
      </c>
      <c r="R22" s="12">
        <f t="shared" si="2"/>
        <v>0</v>
      </c>
      <c r="S22" s="12">
        <f t="shared" si="2"/>
        <v>0</v>
      </c>
      <c r="T22" s="12">
        <f t="shared" si="2"/>
        <v>0</v>
      </c>
      <c r="U22" s="12">
        <f t="shared" si="2"/>
        <v>0</v>
      </c>
      <c r="V22" s="12">
        <f t="shared" si="2"/>
        <v>0</v>
      </c>
      <c r="W22" s="12">
        <f t="shared" si="2"/>
        <v>0</v>
      </c>
      <c r="X22" s="12">
        <f t="shared" si="2"/>
        <v>0</v>
      </c>
      <c r="Y22" s="12">
        <f t="shared" si="2"/>
        <v>0</v>
      </c>
      <c r="Z22" s="12">
        <f t="shared" si="2"/>
        <v>507.3492</v>
      </c>
      <c r="AA22" s="12">
        <f t="shared" si="2"/>
        <v>0</v>
      </c>
      <c r="AB22" s="12">
        <f t="shared" si="2"/>
        <v>0</v>
      </c>
      <c r="AC22" s="12">
        <f t="shared" si="2"/>
        <v>318.409386</v>
      </c>
      <c r="AD22" s="12">
        <f t="shared" si="2"/>
        <v>0</v>
      </c>
      <c r="AE22" s="12">
        <f t="shared" si="2"/>
        <v>0</v>
      </c>
      <c r="AF22" s="12">
        <f t="shared" si="2"/>
        <v>0</v>
      </c>
    </row>
    <row r="23" outlineLevel="1">
      <c r="A23" s="19" t="s">
        <v>32</v>
      </c>
      <c r="B23" s="20">
        <f t="shared" ref="B23:AF23" si="3">SUM(B24:B25)</f>
        <v>403.310772</v>
      </c>
      <c r="C23" s="20">
        <f t="shared" si="3"/>
        <v>222.883386</v>
      </c>
      <c r="D23" s="20">
        <f t="shared" si="3"/>
        <v>0</v>
      </c>
      <c r="E23" s="20">
        <f t="shared" si="3"/>
        <v>0</v>
      </c>
      <c r="F23" s="20">
        <f t="shared" si="3"/>
        <v>0</v>
      </c>
      <c r="G23" s="20">
        <f t="shared" si="3"/>
        <v>222.883386</v>
      </c>
      <c r="H23" s="20">
        <f t="shared" si="3"/>
        <v>0</v>
      </c>
      <c r="I23" s="20">
        <f t="shared" si="3"/>
        <v>445.766772</v>
      </c>
      <c r="J23" s="20">
        <f t="shared" si="3"/>
        <v>0</v>
      </c>
      <c r="K23" s="20">
        <f t="shared" si="3"/>
        <v>1071.96093</v>
      </c>
      <c r="L23" s="20">
        <f t="shared" si="3"/>
        <v>222.883386</v>
      </c>
      <c r="M23" s="20">
        <f t="shared" si="3"/>
        <v>222.883386</v>
      </c>
      <c r="N23" s="20">
        <f t="shared" si="3"/>
        <v>0</v>
      </c>
      <c r="O23" s="20">
        <f t="shared" si="3"/>
        <v>0</v>
      </c>
      <c r="P23" s="20">
        <f t="shared" si="3"/>
        <v>0</v>
      </c>
      <c r="Q23" s="20">
        <f t="shared" si="3"/>
        <v>0</v>
      </c>
      <c r="R23" s="20">
        <f t="shared" si="3"/>
        <v>0</v>
      </c>
      <c r="S23" s="20">
        <f t="shared" si="3"/>
        <v>0</v>
      </c>
      <c r="T23" s="20">
        <f t="shared" si="3"/>
        <v>0</v>
      </c>
      <c r="U23" s="20">
        <f t="shared" si="3"/>
        <v>0</v>
      </c>
      <c r="V23" s="20">
        <f t="shared" si="3"/>
        <v>0</v>
      </c>
      <c r="W23" s="20">
        <f t="shared" si="3"/>
        <v>0</v>
      </c>
      <c r="X23" s="20">
        <f t="shared" si="3"/>
        <v>0</v>
      </c>
      <c r="Y23" s="20">
        <f t="shared" si="3"/>
        <v>0</v>
      </c>
      <c r="Z23" s="20">
        <f t="shared" si="3"/>
        <v>0</v>
      </c>
      <c r="AA23" s="20">
        <f t="shared" si="3"/>
        <v>0</v>
      </c>
      <c r="AB23" s="20">
        <f t="shared" si="3"/>
        <v>0</v>
      </c>
      <c r="AC23" s="20">
        <f t="shared" si="3"/>
        <v>318.409386</v>
      </c>
      <c r="AD23" s="20">
        <f t="shared" si="3"/>
        <v>0</v>
      </c>
      <c r="AE23" s="20">
        <f t="shared" si="3"/>
        <v>0</v>
      </c>
      <c r="AF23" s="20">
        <f t="shared" si="3"/>
        <v>0</v>
      </c>
    </row>
    <row r="24" outlineLevel="1">
      <c r="A24" s="16" t="s">
        <v>21</v>
      </c>
      <c r="B24" s="17">
        <v>379.98</v>
      </c>
      <c r="C24" s="17">
        <v>209.99</v>
      </c>
      <c r="D24" s="17">
        <v>0.0</v>
      </c>
      <c r="E24" s="17">
        <v>0.0</v>
      </c>
      <c r="F24" s="17">
        <v>0.0</v>
      </c>
      <c r="G24" s="17">
        <v>209.99</v>
      </c>
      <c r="H24" s="17">
        <v>0.0</v>
      </c>
      <c r="I24" s="17">
        <v>419.98</v>
      </c>
      <c r="J24" s="17">
        <v>0.0</v>
      </c>
      <c r="K24" s="17">
        <v>1009.95</v>
      </c>
      <c r="L24" s="17">
        <v>209.99</v>
      </c>
      <c r="M24" s="17">
        <v>209.99</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299.99</v>
      </c>
      <c r="AD24" s="17">
        <v>0.0</v>
      </c>
      <c r="AE24" s="17">
        <v>0.0</v>
      </c>
      <c r="AF24" s="17">
        <v>0.0</v>
      </c>
    </row>
    <row r="25" outlineLevel="1">
      <c r="A25" s="16" t="s">
        <v>29</v>
      </c>
      <c r="B25" s="17">
        <f t="shared" ref="B25:AF25" si="4">0.0614*B24</f>
        <v>23.330772</v>
      </c>
      <c r="C25" s="17">
        <f t="shared" si="4"/>
        <v>12.893386</v>
      </c>
      <c r="D25" s="17">
        <f t="shared" si="4"/>
        <v>0</v>
      </c>
      <c r="E25" s="17">
        <f t="shared" si="4"/>
        <v>0</v>
      </c>
      <c r="F25" s="17">
        <f t="shared" si="4"/>
        <v>0</v>
      </c>
      <c r="G25" s="17">
        <f t="shared" si="4"/>
        <v>12.893386</v>
      </c>
      <c r="H25" s="17">
        <f t="shared" si="4"/>
        <v>0</v>
      </c>
      <c r="I25" s="17">
        <f t="shared" si="4"/>
        <v>25.786772</v>
      </c>
      <c r="J25" s="17">
        <f t="shared" si="4"/>
        <v>0</v>
      </c>
      <c r="K25" s="17">
        <f t="shared" si="4"/>
        <v>62.01093</v>
      </c>
      <c r="L25" s="17">
        <f t="shared" si="4"/>
        <v>12.893386</v>
      </c>
      <c r="M25" s="17">
        <f t="shared" si="4"/>
        <v>12.893386</v>
      </c>
      <c r="N25" s="17">
        <f t="shared" si="4"/>
        <v>0</v>
      </c>
      <c r="O25" s="17">
        <f t="shared" si="4"/>
        <v>0</v>
      </c>
      <c r="P25" s="17">
        <f t="shared" si="4"/>
        <v>0</v>
      </c>
      <c r="Q25" s="17">
        <f t="shared" si="4"/>
        <v>0</v>
      </c>
      <c r="R25" s="17">
        <f t="shared" si="4"/>
        <v>0</v>
      </c>
      <c r="S25" s="17">
        <f t="shared" si="4"/>
        <v>0</v>
      </c>
      <c r="T25" s="17">
        <f t="shared" si="4"/>
        <v>0</v>
      </c>
      <c r="U25" s="17">
        <f t="shared" si="4"/>
        <v>0</v>
      </c>
      <c r="V25" s="17">
        <f t="shared" si="4"/>
        <v>0</v>
      </c>
      <c r="W25" s="17">
        <f t="shared" si="4"/>
        <v>0</v>
      </c>
      <c r="X25" s="17">
        <f t="shared" si="4"/>
        <v>0</v>
      </c>
      <c r="Y25" s="17">
        <f t="shared" si="4"/>
        <v>0</v>
      </c>
      <c r="Z25" s="17">
        <f t="shared" si="4"/>
        <v>0</v>
      </c>
      <c r="AA25" s="17">
        <f t="shared" si="4"/>
        <v>0</v>
      </c>
      <c r="AB25" s="17">
        <f t="shared" si="4"/>
        <v>0</v>
      </c>
      <c r="AC25" s="17">
        <f t="shared" si="4"/>
        <v>18.419386</v>
      </c>
      <c r="AD25" s="17">
        <f t="shared" si="4"/>
        <v>0</v>
      </c>
      <c r="AE25" s="17">
        <f t="shared" si="4"/>
        <v>0</v>
      </c>
      <c r="AF25" s="17">
        <f t="shared" si="4"/>
        <v>0</v>
      </c>
    </row>
    <row r="26" outlineLevel="1">
      <c r="A26" s="21" t="s">
        <v>27</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row>
    <row r="27" outlineLevel="1">
      <c r="A27" s="16" t="s">
        <v>33</v>
      </c>
      <c r="B27" s="17">
        <f t="shared" ref="B27:AF27" si="5">SUM(B28:B29)</f>
        <v>0</v>
      </c>
      <c r="C27" s="17">
        <f t="shared" si="5"/>
        <v>0</v>
      </c>
      <c r="D27" s="17">
        <f t="shared" si="5"/>
        <v>0</v>
      </c>
      <c r="E27" s="17">
        <f t="shared" si="5"/>
        <v>0</v>
      </c>
      <c r="F27" s="17">
        <f t="shared" si="5"/>
        <v>0</v>
      </c>
      <c r="G27" s="17">
        <f t="shared" si="5"/>
        <v>0</v>
      </c>
      <c r="H27" s="17">
        <f t="shared" si="5"/>
        <v>317.3586</v>
      </c>
      <c r="I27" s="17">
        <f t="shared" si="5"/>
        <v>0</v>
      </c>
      <c r="J27" s="17">
        <f t="shared" si="5"/>
        <v>0</v>
      </c>
      <c r="K27" s="17">
        <f t="shared" si="5"/>
        <v>0</v>
      </c>
      <c r="L27" s="17">
        <f t="shared" si="5"/>
        <v>317.3586</v>
      </c>
      <c r="M27" s="17">
        <f t="shared" si="5"/>
        <v>0</v>
      </c>
      <c r="N27" s="17">
        <f t="shared" si="5"/>
        <v>0</v>
      </c>
      <c r="O27" s="17">
        <f t="shared" si="5"/>
        <v>0</v>
      </c>
      <c r="P27" s="17">
        <f t="shared" si="5"/>
        <v>0</v>
      </c>
      <c r="Q27" s="17">
        <f t="shared" si="5"/>
        <v>0</v>
      </c>
      <c r="R27" s="17">
        <f t="shared" si="5"/>
        <v>0</v>
      </c>
      <c r="S27" s="17">
        <f t="shared" si="5"/>
        <v>0</v>
      </c>
      <c r="T27" s="17">
        <f t="shared" si="5"/>
        <v>0</v>
      </c>
      <c r="U27" s="17">
        <f t="shared" si="5"/>
        <v>0</v>
      </c>
      <c r="V27" s="17">
        <f t="shared" si="5"/>
        <v>0</v>
      </c>
      <c r="W27" s="17">
        <f t="shared" si="5"/>
        <v>0</v>
      </c>
      <c r="X27" s="17">
        <f t="shared" si="5"/>
        <v>0</v>
      </c>
      <c r="Y27" s="17">
        <f t="shared" si="5"/>
        <v>0</v>
      </c>
      <c r="Z27" s="17">
        <f t="shared" si="5"/>
        <v>507.3492</v>
      </c>
      <c r="AA27" s="17">
        <f t="shared" si="5"/>
        <v>0</v>
      </c>
      <c r="AB27" s="17">
        <f t="shared" si="5"/>
        <v>0</v>
      </c>
      <c r="AC27" s="17">
        <f t="shared" si="5"/>
        <v>0</v>
      </c>
      <c r="AD27" s="17">
        <f t="shared" si="5"/>
        <v>0</v>
      </c>
      <c r="AE27" s="17">
        <f t="shared" si="5"/>
        <v>0</v>
      </c>
      <c r="AF27" s="17">
        <f t="shared" si="5"/>
        <v>0</v>
      </c>
    </row>
    <row r="28" outlineLevel="1">
      <c r="A28" s="16" t="s">
        <v>21</v>
      </c>
      <c r="B28" s="17">
        <v>0.0</v>
      </c>
      <c r="C28" s="17">
        <v>0.0</v>
      </c>
      <c r="D28" s="17">
        <v>0.0</v>
      </c>
      <c r="E28" s="17">
        <v>0.0</v>
      </c>
      <c r="F28" s="17">
        <v>0.0</v>
      </c>
      <c r="G28" s="17">
        <v>0.0</v>
      </c>
      <c r="H28" s="17">
        <v>299.0</v>
      </c>
      <c r="I28" s="17">
        <v>0.0</v>
      </c>
      <c r="J28" s="17">
        <v>0.0</v>
      </c>
      <c r="K28" s="17">
        <v>0.0</v>
      </c>
      <c r="L28" s="17">
        <v>299.0</v>
      </c>
      <c r="M28" s="17">
        <v>0.0</v>
      </c>
      <c r="N28" s="17">
        <v>0.0</v>
      </c>
      <c r="O28" s="17">
        <v>0.0</v>
      </c>
      <c r="P28" s="17">
        <v>0.0</v>
      </c>
      <c r="Q28" s="17">
        <v>0.0</v>
      </c>
      <c r="R28" s="17">
        <v>0.0</v>
      </c>
      <c r="S28" s="17">
        <v>0.0</v>
      </c>
      <c r="T28" s="17">
        <v>0.0</v>
      </c>
      <c r="U28" s="17">
        <v>0.0</v>
      </c>
      <c r="V28" s="17">
        <v>0.0</v>
      </c>
      <c r="W28" s="17">
        <v>0.0</v>
      </c>
      <c r="X28" s="17">
        <v>0.0</v>
      </c>
      <c r="Y28" s="17">
        <v>0.0</v>
      </c>
      <c r="Z28" s="17">
        <v>478.0</v>
      </c>
      <c r="AA28" s="17">
        <v>0.0</v>
      </c>
      <c r="AB28" s="17">
        <v>0.0</v>
      </c>
      <c r="AC28" s="17">
        <v>0.0</v>
      </c>
      <c r="AD28" s="17">
        <v>0.0</v>
      </c>
      <c r="AE28" s="17">
        <v>0.0</v>
      </c>
      <c r="AF28" s="17">
        <v>0.0</v>
      </c>
    </row>
    <row r="29" outlineLevel="1">
      <c r="A29" s="16" t="s">
        <v>29</v>
      </c>
      <c r="B29" s="17">
        <f t="shared" ref="B29:AF29" si="6">0.0614*B28</f>
        <v>0</v>
      </c>
      <c r="C29" s="17">
        <f t="shared" si="6"/>
        <v>0</v>
      </c>
      <c r="D29" s="17">
        <f t="shared" si="6"/>
        <v>0</v>
      </c>
      <c r="E29" s="17">
        <f t="shared" si="6"/>
        <v>0</v>
      </c>
      <c r="F29" s="17">
        <f t="shared" si="6"/>
        <v>0</v>
      </c>
      <c r="G29" s="17">
        <f t="shared" si="6"/>
        <v>0</v>
      </c>
      <c r="H29" s="17">
        <f t="shared" si="6"/>
        <v>18.3586</v>
      </c>
      <c r="I29" s="17">
        <f t="shared" si="6"/>
        <v>0</v>
      </c>
      <c r="J29" s="17">
        <f t="shared" si="6"/>
        <v>0</v>
      </c>
      <c r="K29" s="17">
        <f t="shared" si="6"/>
        <v>0</v>
      </c>
      <c r="L29" s="17">
        <f t="shared" si="6"/>
        <v>18.3586</v>
      </c>
      <c r="M29" s="17">
        <f t="shared" si="6"/>
        <v>0</v>
      </c>
      <c r="N29" s="17">
        <f t="shared" si="6"/>
        <v>0</v>
      </c>
      <c r="O29" s="17">
        <f t="shared" si="6"/>
        <v>0</v>
      </c>
      <c r="P29" s="17">
        <f t="shared" si="6"/>
        <v>0</v>
      </c>
      <c r="Q29" s="17">
        <f t="shared" si="6"/>
        <v>0</v>
      </c>
      <c r="R29" s="17">
        <f t="shared" si="6"/>
        <v>0</v>
      </c>
      <c r="S29" s="17">
        <f t="shared" si="6"/>
        <v>0</v>
      </c>
      <c r="T29" s="17">
        <f t="shared" si="6"/>
        <v>0</v>
      </c>
      <c r="U29" s="17">
        <f t="shared" si="6"/>
        <v>0</v>
      </c>
      <c r="V29" s="17">
        <f t="shared" si="6"/>
        <v>0</v>
      </c>
      <c r="W29" s="17">
        <f t="shared" si="6"/>
        <v>0</v>
      </c>
      <c r="X29" s="17">
        <f t="shared" si="6"/>
        <v>0</v>
      </c>
      <c r="Y29" s="17">
        <f t="shared" si="6"/>
        <v>0</v>
      </c>
      <c r="Z29" s="17">
        <f t="shared" si="6"/>
        <v>29.3492</v>
      </c>
      <c r="AA29" s="17">
        <f t="shared" si="6"/>
        <v>0</v>
      </c>
      <c r="AB29" s="17">
        <f t="shared" si="6"/>
        <v>0</v>
      </c>
      <c r="AC29" s="17">
        <f t="shared" si="6"/>
        <v>0</v>
      </c>
      <c r="AD29" s="17">
        <f t="shared" si="6"/>
        <v>0</v>
      </c>
      <c r="AE29" s="17">
        <f t="shared" si="6"/>
        <v>0</v>
      </c>
      <c r="AF29" s="17">
        <f t="shared" si="6"/>
        <v>0</v>
      </c>
    </row>
    <row r="30" outlineLevel="1">
      <c r="A30" s="21" t="s">
        <v>27</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row>
    <row r="31">
      <c r="A31" s="23" t="s">
        <v>34</v>
      </c>
      <c r="B31" s="24">
        <f t="shared" ref="B31:AF31" si="7">SUM(B8+B16+B22)</f>
        <v>629747.4108</v>
      </c>
      <c r="C31" s="24">
        <f t="shared" si="7"/>
        <v>130482.4034</v>
      </c>
      <c r="D31" s="24">
        <f t="shared" si="7"/>
        <v>108394.85</v>
      </c>
      <c r="E31" s="24">
        <f t="shared" si="7"/>
        <v>89085.57</v>
      </c>
      <c r="F31" s="24">
        <f t="shared" si="7"/>
        <v>66367</v>
      </c>
      <c r="G31" s="24">
        <f t="shared" si="7"/>
        <v>64378.67339</v>
      </c>
      <c r="H31" s="24">
        <f t="shared" si="7"/>
        <v>71488.1186</v>
      </c>
      <c r="I31" s="24">
        <f t="shared" si="7"/>
        <v>70387.27677</v>
      </c>
      <c r="J31" s="24">
        <f t="shared" si="7"/>
        <v>86850.93</v>
      </c>
      <c r="K31" s="24">
        <f t="shared" si="7"/>
        <v>81675.97093</v>
      </c>
      <c r="L31" s="24">
        <f t="shared" si="7"/>
        <v>59900.57199</v>
      </c>
      <c r="M31" s="24">
        <f t="shared" si="7"/>
        <v>43983.86339</v>
      </c>
      <c r="N31" s="24">
        <f t="shared" si="7"/>
        <v>34993.31</v>
      </c>
      <c r="O31" s="24">
        <f t="shared" si="7"/>
        <v>42734.44</v>
      </c>
      <c r="P31" s="24">
        <f t="shared" si="7"/>
        <v>36751.29</v>
      </c>
      <c r="Q31" s="24">
        <f t="shared" si="7"/>
        <v>43818.32</v>
      </c>
      <c r="R31" s="24">
        <f t="shared" si="7"/>
        <v>38683.12</v>
      </c>
      <c r="S31" s="24">
        <f t="shared" si="7"/>
        <v>28899.3</v>
      </c>
      <c r="T31" s="24">
        <f t="shared" si="7"/>
        <v>30704.8</v>
      </c>
      <c r="U31" s="24">
        <f t="shared" si="7"/>
        <v>34007.04</v>
      </c>
      <c r="V31" s="24">
        <f t="shared" si="7"/>
        <v>32233.88</v>
      </c>
      <c r="W31" s="24">
        <f t="shared" si="7"/>
        <v>47164.96</v>
      </c>
      <c r="X31" s="24">
        <f t="shared" si="7"/>
        <v>41824.63</v>
      </c>
      <c r="Y31" s="24">
        <f t="shared" si="7"/>
        <v>48373.54</v>
      </c>
      <c r="Z31" s="24">
        <f t="shared" si="7"/>
        <v>36252.5592</v>
      </c>
      <c r="AA31" s="24">
        <f t="shared" si="7"/>
        <v>28785.67</v>
      </c>
      <c r="AB31" s="24">
        <f t="shared" si="7"/>
        <v>27429.05</v>
      </c>
      <c r="AC31" s="24">
        <f t="shared" si="7"/>
        <v>32001.79939</v>
      </c>
      <c r="AD31" s="24">
        <f t="shared" si="7"/>
        <v>24061.4</v>
      </c>
      <c r="AE31" s="24">
        <f t="shared" si="7"/>
        <v>29556.1</v>
      </c>
      <c r="AF31" s="24">
        <f t="shared" si="7"/>
        <v>22922.66</v>
      </c>
    </row>
    <row r="33">
      <c r="A33" s="11" t="s">
        <v>35</v>
      </c>
    </row>
    <row r="34" collapsed="1">
      <c r="A34" s="25" t="s">
        <v>36</v>
      </c>
      <c r="B34" s="26">
        <f>iferror(sum(B35:B37),"")</f>
        <v>3992.9868</v>
      </c>
      <c r="C34" s="26">
        <f t="shared" ref="C34:AF34" si="8">sum(C35:C37)</f>
        <v>4880.3172</v>
      </c>
      <c r="D34" s="26">
        <f t="shared" si="8"/>
        <v>0</v>
      </c>
      <c r="E34" s="26">
        <f t="shared" si="8"/>
        <v>665.4978</v>
      </c>
      <c r="F34" s="26">
        <f t="shared" si="8"/>
        <v>4658.4846</v>
      </c>
      <c r="G34" s="26">
        <f t="shared" si="8"/>
        <v>3105.6564</v>
      </c>
      <c r="H34" s="26">
        <f t="shared" si="8"/>
        <v>2440.1586</v>
      </c>
      <c r="I34" s="26">
        <f t="shared" si="8"/>
        <v>2440.1586</v>
      </c>
      <c r="J34" s="26">
        <f t="shared" si="8"/>
        <v>1996.4934</v>
      </c>
      <c r="K34" s="26">
        <f t="shared" si="8"/>
        <v>0</v>
      </c>
      <c r="L34" s="26">
        <f t="shared" si="8"/>
        <v>1330.9956</v>
      </c>
      <c r="M34" s="26">
        <f t="shared" si="8"/>
        <v>5712.4548</v>
      </c>
      <c r="N34" s="26">
        <f t="shared" si="8"/>
        <v>3173.586</v>
      </c>
      <c r="O34" s="26">
        <f t="shared" si="8"/>
        <v>1269.4344</v>
      </c>
      <c r="P34" s="26">
        <f t="shared" si="8"/>
        <v>2221.5102</v>
      </c>
      <c r="Q34" s="26">
        <f t="shared" si="8"/>
        <v>1269.4344</v>
      </c>
      <c r="R34" s="26">
        <f t="shared" si="8"/>
        <v>0</v>
      </c>
      <c r="S34" s="26">
        <f t="shared" si="8"/>
        <v>2538.8688</v>
      </c>
      <c r="T34" s="26">
        <f t="shared" si="8"/>
        <v>19041.516</v>
      </c>
      <c r="U34" s="26">
        <f t="shared" si="8"/>
        <v>17772.0816</v>
      </c>
      <c r="V34" s="26">
        <f t="shared" si="8"/>
        <v>3490.9446</v>
      </c>
      <c r="W34" s="26">
        <f t="shared" si="8"/>
        <v>5712.4548</v>
      </c>
      <c r="X34" s="26">
        <f t="shared" si="8"/>
        <v>6029.8134</v>
      </c>
      <c r="Y34" s="26">
        <f t="shared" si="8"/>
        <v>0</v>
      </c>
      <c r="Z34" s="26">
        <f t="shared" si="8"/>
        <v>3173.586</v>
      </c>
      <c r="AA34" s="26">
        <f t="shared" si="8"/>
        <v>8568.6822</v>
      </c>
      <c r="AB34" s="26">
        <f t="shared" si="8"/>
        <v>7299.2478</v>
      </c>
      <c r="AC34" s="26">
        <f t="shared" si="8"/>
        <v>7616.6064</v>
      </c>
      <c r="AD34" s="26">
        <f t="shared" si="8"/>
        <v>12059.6268</v>
      </c>
      <c r="AE34" s="26">
        <f t="shared" si="8"/>
        <v>12376.9854</v>
      </c>
      <c r="AF34" s="26">
        <f t="shared" si="8"/>
        <v>0</v>
      </c>
    </row>
    <row r="35" hidden="1" outlineLevel="1">
      <c r="A35" s="16" t="s">
        <v>21</v>
      </c>
      <c r="B35" s="13">
        <v>3762.0</v>
      </c>
      <c r="C35" s="13">
        <v>4598.0</v>
      </c>
      <c r="D35" s="13">
        <v>0.0</v>
      </c>
      <c r="E35" s="13">
        <v>627.0</v>
      </c>
      <c r="F35" s="13">
        <v>4389.0</v>
      </c>
      <c r="G35" s="13">
        <v>2926.0</v>
      </c>
      <c r="H35" s="13">
        <v>2299.0</v>
      </c>
      <c r="I35" s="13">
        <v>2299.0</v>
      </c>
      <c r="J35" s="13">
        <v>1881.0</v>
      </c>
      <c r="K35" s="13">
        <v>0.0</v>
      </c>
      <c r="L35" s="13">
        <v>1254.0</v>
      </c>
      <c r="M35" s="13">
        <v>5382.0</v>
      </c>
      <c r="N35" s="13">
        <v>2990.0</v>
      </c>
      <c r="O35" s="13">
        <v>1196.0</v>
      </c>
      <c r="P35" s="13">
        <v>2093.0</v>
      </c>
      <c r="Q35" s="13">
        <v>1196.0</v>
      </c>
      <c r="R35" s="13">
        <v>0.0</v>
      </c>
      <c r="S35" s="13">
        <v>2392.0</v>
      </c>
      <c r="T35" s="13">
        <v>17940.0</v>
      </c>
      <c r="U35" s="13">
        <v>16744.0</v>
      </c>
      <c r="V35" s="13">
        <v>3289.0</v>
      </c>
      <c r="W35" s="13">
        <v>5382.0</v>
      </c>
      <c r="X35" s="13">
        <v>5681.0</v>
      </c>
      <c r="Y35" s="13">
        <v>0.0</v>
      </c>
      <c r="Z35" s="13">
        <v>2990.0</v>
      </c>
      <c r="AA35" s="13">
        <v>8073.0</v>
      </c>
      <c r="AB35" s="13">
        <v>6877.0</v>
      </c>
      <c r="AC35" s="13">
        <v>7176.0</v>
      </c>
      <c r="AD35" s="13">
        <v>11362.0</v>
      </c>
      <c r="AE35" s="13">
        <v>11661.0</v>
      </c>
      <c r="AF35" s="13">
        <v>0.0</v>
      </c>
    </row>
    <row r="36" hidden="1" outlineLevel="1">
      <c r="A36" s="16" t="s">
        <v>29</v>
      </c>
      <c r="B36" s="13">
        <f>B35*'Data - P&amp;L'!$U$3</f>
        <v>230.9868</v>
      </c>
      <c r="C36" s="13">
        <f>C35*'Data - P&amp;L'!$U$3</f>
        <v>282.3172</v>
      </c>
      <c r="D36" s="13">
        <f>D35*'Data - P&amp;L'!$U$3</f>
        <v>0</v>
      </c>
      <c r="E36" s="13">
        <f>E35*'Data - P&amp;L'!$U$3</f>
        <v>38.4978</v>
      </c>
      <c r="F36" s="13">
        <f>F35*'Data - P&amp;L'!$U$3</f>
        <v>269.4846</v>
      </c>
      <c r="G36" s="13">
        <f>G35*'Data - P&amp;L'!$U$3</f>
        <v>179.6564</v>
      </c>
      <c r="H36" s="13">
        <f>H35*'Data - P&amp;L'!$U$3</f>
        <v>141.1586</v>
      </c>
      <c r="I36" s="13">
        <f>I35*'Data - P&amp;L'!$U$3</f>
        <v>141.1586</v>
      </c>
      <c r="J36" s="13">
        <f>J35*'Data - P&amp;L'!$U$3</f>
        <v>115.4934</v>
      </c>
      <c r="K36" s="13">
        <f>K35*'Data - P&amp;L'!$U$3</f>
        <v>0</v>
      </c>
      <c r="L36" s="13">
        <f>L35*'Data - P&amp;L'!$U$3</f>
        <v>76.9956</v>
      </c>
      <c r="M36" s="13">
        <f>M35*'Data - P&amp;L'!$U$3</f>
        <v>330.4548</v>
      </c>
      <c r="N36" s="13">
        <f>N35*'Data - P&amp;L'!$U$3</f>
        <v>183.586</v>
      </c>
      <c r="O36" s="13">
        <f>O35*'Data - P&amp;L'!$U$3</f>
        <v>73.4344</v>
      </c>
      <c r="P36" s="13">
        <f>P35*'Data - P&amp;L'!$U$3</f>
        <v>128.5102</v>
      </c>
      <c r="Q36" s="13">
        <f>Q35*'Data - P&amp;L'!$U$3</f>
        <v>73.4344</v>
      </c>
      <c r="R36" s="13">
        <f>R35*'Data - P&amp;L'!$U$3</f>
        <v>0</v>
      </c>
      <c r="S36" s="13">
        <f>S35*'Data - P&amp;L'!$U$3</f>
        <v>146.8688</v>
      </c>
      <c r="T36" s="13">
        <f>T35*'Data - P&amp;L'!$U$3</f>
        <v>1101.516</v>
      </c>
      <c r="U36" s="13">
        <f>U35*'Data - P&amp;L'!$U$3</f>
        <v>1028.0816</v>
      </c>
      <c r="V36" s="13">
        <f>V35*'Data - P&amp;L'!$U$3</f>
        <v>201.9446</v>
      </c>
      <c r="W36" s="13">
        <f>W35*'Data - P&amp;L'!$U$3</f>
        <v>330.4548</v>
      </c>
      <c r="X36" s="13">
        <f>X35*'Data - P&amp;L'!$U$3</f>
        <v>348.8134</v>
      </c>
      <c r="Y36" s="13">
        <f>Y35*'Data - P&amp;L'!$U$3</f>
        <v>0</v>
      </c>
      <c r="Z36" s="13">
        <f>Z35*'Data - P&amp;L'!$U$3</f>
        <v>183.586</v>
      </c>
      <c r="AA36" s="13">
        <f>AA35*'Data - P&amp;L'!$U$3</f>
        <v>495.6822</v>
      </c>
      <c r="AB36" s="13">
        <f>AB35*'Data - P&amp;L'!$U$3</f>
        <v>422.2478</v>
      </c>
      <c r="AC36" s="13">
        <f>AC35*'Data - P&amp;L'!$U$3</f>
        <v>440.6064</v>
      </c>
      <c r="AD36" s="13">
        <f>AD35*'Data - P&amp;L'!$U$3</f>
        <v>697.6268</v>
      </c>
      <c r="AE36" s="13">
        <f>AE35*'Data - P&amp;L'!$U$3</f>
        <v>715.9854</v>
      </c>
      <c r="AF36" s="13">
        <f>AF35*'Data - P&amp;L'!$U$3</f>
        <v>0</v>
      </c>
    </row>
    <row r="37" hidden="1" outlineLevel="1">
      <c r="A37" s="16" t="s">
        <v>27</v>
      </c>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8"/>
      <c r="AE37" s="28"/>
      <c r="AF37" s="28"/>
    </row>
    <row r="38">
      <c r="A38" s="16" t="s">
        <v>37</v>
      </c>
      <c r="B38" s="29">
        <f t="shared" ref="B38:AF38" si="9">sum(B39:B41)</f>
        <v>361.9374</v>
      </c>
      <c r="C38" s="29">
        <f t="shared" si="9"/>
        <v>1826.6694</v>
      </c>
      <c r="D38" s="29">
        <f t="shared" si="9"/>
        <v>496.7352</v>
      </c>
      <c r="E38" s="29">
        <f t="shared" si="9"/>
        <v>254.736</v>
      </c>
      <c r="F38" s="29">
        <f t="shared" si="9"/>
        <v>254.736</v>
      </c>
      <c r="G38" s="29">
        <f t="shared" si="9"/>
        <v>241.9992</v>
      </c>
      <c r="H38" s="29">
        <f t="shared" si="9"/>
        <v>254.736</v>
      </c>
      <c r="I38" s="29">
        <f t="shared" si="9"/>
        <v>507.3492</v>
      </c>
      <c r="J38" s="29">
        <f t="shared" si="9"/>
        <v>954.1986</v>
      </c>
      <c r="K38" s="29">
        <f t="shared" si="9"/>
        <v>496.7352</v>
      </c>
      <c r="L38" s="29">
        <f t="shared" si="9"/>
        <v>254.736</v>
      </c>
      <c r="M38" s="29">
        <f t="shared" si="9"/>
        <v>680.3574</v>
      </c>
      <c r="N38" s="29">
        <f t="shared" si="9"/>
        <v>496.7352</v>
      </c>
      <c r="O38" s="29">
        <f t="shared" si="9"/>
        <v>762.0852</v>
      </c>
      <c r="P38" s="29">
        <f t="shared" si="9"/>
        <v>458.5248</v>
      </c>
      <c r="Q38" s="29">
        <f t="shared" si="9"/>
        <v>1487.0214</v>
      </c>
      <c r="R38" s="29">
        <f t="shared" si="9"/>
        <v>254.736</v>
      </c>
      <c r="S38" s="29">
        <f t="shared" si="9"/>
        <v>500.9808</v>
      </c>
      <c r="T38" s="29">
        <f t="shared" si="9"/>
        <v>0</v>
      </c>
      <c r="U38" s="29">
        <f t="shared" si="9"/>
        <v>684.603</v>
      </c>
      <c r="V38" s="29">
        <f t="shared" si="9"/>
        <v>850.1814</v>
      </c>
      <c r="W38" s="29">
        <f t="shared" si="9"/>
        <v>2357.3694</v>
      </c>
      <c r="X38" s="29">
        <f t="shared" si="9"/>
        <v>3419.8308</v>
      </c>
      <c r="Y38" s="29">
        <f t="shared" si="9"/>
        <v>2728.8594</v>
      </c>
      <c r="Z38" s="29">
        <f t="shared" si="9"/>
        <v>2183.2998</v>
      </c>
      <c r="AA38" s="29">
        <f t="shared" si="9"/>
        <v>2849.859</v>
      </c>
      <c r="AB38" s="29">
        <f t="shared" si="9"/>
        <v>2424.2376</v>
      </c>
      <c r="AC38" s="29">
        <f t="shared" si="9"/>
        <v>1966.7742</v>
      </c>
      <c r="AD38" s="29">
        <f t="shared" si="9"/>
        <v>2271.396</v>
      </c>
      <c r="AE38" s="29">
        <f t="shared" si="9"/>
        <v>2882.7624</v>
      </c>
      <c r="AF38" s="29">
        <f t="shared" si="9"/>
        <v>0</v>
      </c>
    </row>
    <row r="39" outlineLevel="1">
      <c r="A39" s="16" t="s">
        <v>21</v>
      </c>
      <c r="B39" s="13">
        <v>341.0</v>
      </c>
      <c r="C39" s="13">
        <v>1721.0</v>
      </c>
      <c r="D39" s="13">
        <v>468.0</v>
      </c>
      <c r="E39" s="13">
        <v>240.0</v>
      </c>
      <c r="F39" s="13">
        <v>240.0</v>
      </c>
      <c r="G39" s="13">
        <v>228.0</v>
      </c>
      <c r="H39" s="13">
        <v>240.0</v>
      </c>
      <c r="I39" s="13">
        <v>478.0</v>
      </c>
      <c r="J39" s="13">
        <v>899.0</v>
      </c>
      <c r="K39" s="13">
        <v>468.0</v>
      </c>
      <c r="L39" s="13">
        <v>240.0</v>
      </c>
      <c r="M39" s="13">
        <v>641.0</v>
      </c>
      <c r="N39" s="13">
        <v>468.0</v>
      </c>
      <c r="O39" s="13">
        <v>718.0</v>
      </c>
      <c r="P39" s="13">
        <v>432.0</v>
      </c>
      <c r="Q39" s="13">
        <v>1401.0</v>
      </c>
      <c r="R39" s="13">
        <v>240.0</v>
      </c>
      <c r="S39" s="13">
        <v>472.0</v>
      </c>
      <c r="T39" s="13">
        <v>0.0</v>
      </c>
      <c r="U39" s="13">
        <v>645.0</v>
      </c>
      <c r="V39" s="13">
        <v>801.0</v>
      </c>
      <c r="W39" s="13">
        <v>2221.0</v>
      </c>
      <c r="X39" s="13">
        <v>3222.0</v>
      </c>
      <c r="Y39" s="13">
        <v>2571.0</v>
      </c>
      <c r="Z39" s="13">
        <v>2057.0</v>
      </c>
      <c r="AA39" s="13">
        <v>2685.0</v>
      </c>
      <c r="AB39" s="13">
        <v>2284.0</v>
      </c>
      <c r="AC39" s="13">
        <v>1853.0</v>
      </c>
      <c r="AD39" s="13">
        <v>2140.0</v>
      </c>
      <c r="AE39" s="13">
        <v>2716.0</v>
      </c>
      <c r="AF39" s="13">
        <v>0.0</v>
      </c>
    </row>
    <row r="40" outlineLevel="1">
      <c r="A40" s="16" t="s">
        <v>29</v>
      </c>
      <c r="B40" s="13">
        <f>B39*'Data - P&amp;L'!$U$3</f>
        <v>20.9374</v>
      </c>
      <c r="C40" s="13">
        <f>C39*'Data - P&amp;L'!$U$3</f>
        <v>105.6694</v>
      </c>
      <c r="D40" s="13">
        <f>D39*'Data - P&amp;L'!$U$3</f>
        <v>28.7352</v>
      </c>
      <c r="E40" s="13">
        <f>E39*'Data - P&amp;L'!$U$3</f>
        <v>14.736</v>
      </c>
      <c r="F40" s="13">
        <f>F39*'Data - P&amp;L'!$U$3</f>
        <v>14.736</v>
      </c>
      <c r="G40" s="13">
        <f>G39*'Data - P&amp;L'!$U$3</f>
        <v>13.9992</v>
      </c>
      <c r="H40" s="13">
        <f>H39*'Data - P&amp;L'!$U$3</f>
        <v>14.736</v>
      </c>
      <c r="I40" s="13">
        <f>I39*'Data - P&amp;L'!$U$3</f>
        <v>29.3492</v>
      </c>
      <c r="J40" s="13">
        <f>J39*'Data - P&amp;L'!$U$3</f>
        <v>55.1986</v>
      </c>
      <c r="K40" s="13">
        <f>K39*'Data - P&amp;L'!$U$3</f>
        <v>28.7352</v>
      </c>
      <c r="L40" s="13">
        <f>L39*'Data - P&amp;L'!$U$3</f>
        <v>14.736</v>
      </c>
      <c r="M40" s="13">
        <f>M39*'Data - P&amp;L'!$U$3</f>
        <v>39.3574</v>
      </c>
      <c r="N40" s="13">
        <f>N39*'Data - P&amp;L'!$U$3</f>
        <v>28.7352</v>
      </c>
      <c r="O40" s="13">
        <f>O39*'Data - P&amp;L'!$U$3</f>
        <v>44.0852</v>
      </c>
      <c r="P40" s="13">
        <f>P39*'Data - P&amp;L'!$U$3</f>
        <v>26.5248</v>
      </c>
      <c r="Q40" s="13">
        <f>Q39*'Data - P&amp;L'!$U$3</f>
        <v>86.0214</v>
      </c>
      <c r="R40" s="13">
        <f>R39*'Data - P&amp;L'!$U$3</f>
        <v>14.736</v>
      </c>
      <c r="S40" s="13">
        <f>S39*'Data - P&amp;L'!$U$3</f>
        <v>28.9808</v>
      </c>
      <c r="T40" s="13">
        <f>T39*'Data - P&amp;L'!$U$3</f>
        <v>0</v>
      </c>
      <c r="U40" s="13">
        <f>U39*'Data - P&amp;L'!$U$3</f>
        <v>39.603</v>
      </c>
      <c r="V40" s="13">
        <f>V39*'Data - P&amp;L'!$U$3</f>
        <v>49.1814</v>
      </c>
      <c r="W40" s="13">
        <f>W39*'Data - P&amp;L'!$U$3</f>
        <v>136.3694</v>
      </c>
      <c r="X40" s="13">
        <f>X39*'Data - P&amp;L'!$U$3</f>
        <v>197.8308</v>
      </c>
      <c r="Y40" s="13">
        <f>Y39*'Data - P&amp;L'!$U$3</f>
        <v>157.8594</v>
      </c>
      <c r="Z40" s="13">
        <f>Z39*'Data - P&amp;L'!$U$3</f>
        <v>126.2998</v>
      </c>
      <c r="AA40" s="13">
        <f>AA39*'Data - P&amp;L'!$U$3</f>
        <v>164.859</v>
      </c>
      <c r="AB40" s="13">
        <f>AB39*'Data - P&amp;L'!$U$3</f>
        <v>140.2376</v>
      </c>
      <c r="AC40" s="13">
        <f>AC39*'Data - P&amp;L'!$U$3</f>
        <v>113.7742</v>
      </c>
      <c r="AD40" s="13">
        <f>AD39*'Data - P&amp;L'!$U$3</f>
        <v>131.396</v>
      </c>
      <c r="AE40" s="13">
        <f>AE39*'Data - P&amp;L'!$U$3</f>
        <v>166.7624</v>
      </c>
      <c r="AF40" s="13">
        <f>AF39*'Data - P&amp;L'!$U$3</f>
        <v>0</v>
      </c>
    </row>
    <row r="41" outlineLevel="1">
      <c r="A41" s="16" t="s">
        <v>27</v>
      </c>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8"/>
      <c r="AE41" s="28"/>
      <c r="AF41" s="28"/>
    </row>
    <row r="42">
      <c r="A42" s="23" t="s">
        <v>34</v>
      </c>
      <c r="B42" s="24">
        <f t="shared" ref="B42:AF42" si="10">B34+B38</f>
        <v>4354.9242</v>
      </c>
      <c r="C42" s="24">
        <f t="shared" si="10"/>
        <v>6706.9866</v>
      </c>
      <c r="D42" s="24">
        <f t="shared" si="10"/>
        <v>496.7352</v>
      </c>
      <c r="E42" s="24">
        <f t="shared" si="10"/>
        <v>920.2338</v>
      </c>
      <c r="F42" s="24">
        <f t="shared" si="10"/>
        <v>4913.2206</v>
      </c>
      <c r="G42" s="24">
        <f t="shared" si="10"/>
        <v>3347.6556</v>
      </c>
      <c r="H42" s="24">
        <f t="shared" si="10"/>
        <v>2694.8946</v>
      </c>
      <c r="I42" s="24">
        <f t="shared" si="10"/>
        <v>2947.5078</v>
      </c>
      <c r="J42" s="24">
        <f t="shared" si="10"/>
        <v>2950.692</v>
      </c>
      <c r="K42" s="24">
        <f t="shared" si="10"/>
        <v>496.7352</v>
      </c>
      <c r="L42" s="24">
        <f t="shared" si="10"/>
        <v>1585.7316</v>
      </c>
      <c r="M42" s="24">
        <f t="shared" si="10"/>
        <v>6392.8122</v>
      </c>
      <c r="N42" s="24">
        <f t="shared" si="10"/>
        <v>3670.3212</v>
      </c>
      <c r="O42" s="24">
        <f t="shared" si="10"/>
        <v>2031.5196</v>
      </c>
      <c r="P42" s="24">
        <f t="shared" si="10"/>
        <v>2680.035</v>
      </c>
      <c r="Q42" s="24">
        <f t="shared" si="10"/>
        <v>2756.4558</v>
      </c>
      <c r="R42" s="24">
        <f t="shared" si="10"/>
        <v>254.736</v>
      </c>
      <c r="S42" s="24">
        <f t="shared" si="10"/>
        <v>3039.8496</v>
      </c>
      <c r="T42" s="24">
        <f t="shared" si="10"/>
        <v>19041.516</v>
      </c>
      <c r="U42" s="24">
        <f t="shared" si="10"/>
        <v>18456.6846</v>
      </c>
      <c r="V42" s="24">
        <f t="shared" si="10"/>
        <v>4341.126</v>
      </c>
      <c r="W42" s="24">
        <f t="shared" si="10"/>
        <v>8069.8242</v>
      </c>
      <c r="X42" s="24">
        <f t="shared" si="10"/>
        <v>9449.6442</v>
      </c>
      <c r="Y42" s="24">
        <f t="shared" si="10"/>
        <v>2728.8594</v>
      </c>
      <c r="Z42" s="24">
        <f t="shared" si="10"/>
        <v>5356.8858</v>
      </c>
      <c r="AA42" s="24">
        <f t="shared" si="10"/>
        <v>11418.5412</v>
      </c>
      <c r="AB42" s="24">
        <f t="shared" si="10"/>
        <v>9723.4854</v>
      </c>
      <c r="AC42" s="24">
        <f t="shared" si="10"/>
        <v>9583.3806</v>
      </c>
      <c r="AD42" s="24">
        <f t="shared" si="10"/>
        <v>14331.0228</v>
      </c>
      <c r="AE42" s="24">
        <f t="shared" si="10"/>
        <v>15259.7478</v>
      </c>
      <c r="AF42" s="24">
        <f t="shared" si="10"/>
        <v>0</v>
      </c>
    </row>
    <row r="44">
      <c r="A44" s="11" t="s">
        <v>38</v>
      </c>
      <c r="L44" s="30"/>
    </row>
    <row r="45" outlineLevel="1">
      <c r="A45" s="25" t="s">
        <v>39</v>
      </c>
      <c r="B45" s="31">
        <f>'App - P&amp;L'!B90</f>
        <v>1148.99</v>
      </c>
      <c r="C45" s="31">
        <f>'App - P&amp;L'!C90</f>
        <v>1062.7825</v>
      </c>
      <c r="D45" s="31">
        <f>'App - P&amp;L'!D90</f>
        <v>803.7795</v>
      </c>
      <c r="E45" s="31">
        <f>'App - P&amp;L'!E90</f>
        <v>1208.662</v>
      </c>
      <c r="F45" s="31">
        <f>'App - P&amp;L'!F90</f>
        <v>879.806</v>
      </c>
      <c r="G45" s="31">
        <f>'App - P&amp;L'!G90</f>
        <v>423.688</v>
      </c>
      <c r="H45" s="31">
        <f>'App - P&amp;L'!H90</f>
        <v>376.123</v>
      </c>
      <c r="I45" s="31">
        <f>'App - P&amp;L'!I90</f>
        <v>502.873</v>
      </c>
      <c r="J45" s="31">
        <f>'App - P&amp;L'!J90</f>
        <v>586.2965</v>
      </c>
      <c r="K45" s="31">
        <f>'App - P&amp;L'!K90</f>
        <v>699.3165</v>
      </c>
      <c r="L45" s="31">
        <f>'App - P&amp;L'!L90</f>
        <v>436.1435</v>
      </c>
      <c r="M45" s="31">
        <f>'App - P&amp;L'!M90</f>
        <v>461.0205</v>
      </c>
      <c r="N45" s="31">
        <f>'App - P&amp;L'!N90</f>
        <v>485.6005</v>
      </c>
      <c r="O45" s="31">
        <f>'App - P&amp;L'!O90</f>
        <v>458.558</v>
      </c>
      <c r="P45" s="31">
        <f>'App - P&amp;L'!P90</f>
        <v>508.818</v>
      </c>
      <c r="Q45" s="31">
        <f>'App - P&amp;L'!Q90</f>
        <v>602.6585</v>
      </c>
      <c r="R45" s="31">
        <f>'App - P&amp;L'!R90</f>
        <v>813.3955</v>
      </c>
      <c r="S45" s="31">
        <f>'App - P&amp;L'!S90</f>
        <v>404.384</v>
      </c>
      <c r="T45" s="31">
        <f>'App - P&amp;L'!T90</f>
        <v>409.1005</v>
      </c>
      <c r="U45" s="31">
        <f>'App - P&amp;L'!U90</f>
        <v>238.735</v>
      </c>
      <c r="V45" s="31">
        <f>'App - P&amp;L'!V90</f>
        <v>396.3415</v>
      </c>
      <c r="W45" s="31">
        <f>'App - P&amp;L'!W90</f>
        <v>142.78</v>
      </c>
      <c r="X45" s="31">
        <f>'App - P&amp;L'!X90</f>
        <v>285.684</v>
      </c>
      <c r="Y45" s="31">
        <f>'App - P&amp;L'!Y90</f>
        <v>655.0555</v>
      </c>
      <c r="Z45" s="31">
        <f>'App - P&amp;L'!Z90</f>
        <v>408.6515</v>
      </c>
      <c r="AA45" s="31">
        <f>'App - P&amp;L'!AA90</f>
        <v>288.215</v>
      </c>
      <c r="AB45" s="31">
        <f>'App - P&amp;L'!AB90</f>
        <v>405.875</v>
      </c>
      <c r="AC45" s="31">
        <f>'App - P&amp;L'!AC90</f>
        <v>267.9315</v>
      </c>
      <c r="AD45" s="31">
        <f>'App - P&amp;L'!AD90</f>
        <v>521.273</v>
      </c>
      <c r="AE45" s="31">
        <f>'App - P&amp;L'!AE90</f>
        <v>400.146</v>
      </c>
      <c r="AF45" s="31">
        <f>'App - P&amp;L'!AF90</f>
        <v>301.444</v>
      </c>
    </row>
    <row r="46" outlineLevel="1">
      <c r="A46" s="25" t="s">
        <v>40</v>
      </c>
      <c r="B46" s="31">
        <f>'App - P&amp;L'!B91</f>
        <v>4805.3448</v>
      </c>
      <c r="C46" s="31">
        <f>'App - P&amp;L'!C91</f>
        <v>3872.035388</v>
      </c>
      <c r="D46" s="31">
        <f>'App - P&amp;L'!D91</f>
        <v>4707.414</v>
      </c>
      <c r="E46" s="31">
        <f>'App - P&amp;L'!E91</f>
        <v>7576.724</v>
      </c>
      <c r="F46" s="31">
        <f>'App - P&amp;L'!F91</f>
        <v>3176.945</v>
      </c>
      <c r="G46" s="31">
        <f>'App - P&amp;L'!G91</f>
        <v>1647.187</v>
      </c>
      <c r="H46" s="31">
        <f>'App - P&amp;L'!H91</f>
        <v>1655.751605</v>
      </c>
      <c r="I46" s="31">
        <f>'App - P&amp;L'!I91</f>
        <v>1757.745652</v>
      </c>
      <c r="J46" s="31">
        <f>'App - P&amp;L'!J91</f>
        <v>2157.114</v>
      </c>
      <c r="K46" s="31">
        <f>'App - P&amp;L'!K91</f>
        <v>3023.356</v>
      </c>
      <c r="L46" s="31">
        <f>'App - P&amp;L'!L91</f>
        <v>1711.495378</v>
      </c>
      <c r="M46" s="31">
        <f>'App - P&amp;L'!M91</f>
        <v>1766.400478</v>
      </c>
      <c r="N46" s="31">
        <f>'App - P&amp;L'!N91</f>
        <v>1575.126</v>
      </c>
      <c r="O46" s="31">
        <f>'App - P&amp;L'!O91</f>
        <v>1628.489926</v>
      </c>
      <c r="P46" s="31">
        <f>'App - P&amp;L'!P91</f>
        <v>1411.375614</v>
      </c>
      <c r="Q46" s="31">
        <f>'App - P&amp;L'!Q91</f>
        <v>2482.181955</v>
      </c>
      <c r="R46" s="31">
        <f>'App - P&amp;L'!R91</f>
        <v>2293.105</v>
      </c>
      <c r="S46" s="31">
        <f>'App - P&amp;L'!S91</f>
        <v>1400.426</v>
      </c>
      <c r="T46" s="31">
        <f>'App - P&amp;L'!T91</f>
        <v>1299.786</v>
      </c>
      <c r="U46" s="31">
        <f>'App - P&amp;L'!U91</f>
        <v>1327.735</v>
      </c>
      <c r="V46" s="31">
        <f>'App - P&amp;L'!V91</f>
        <v>1059.158891</v>
      </c>
      <c r="W46" s="31">
        <f>'App - P&amp;L'!W91</f>
        <v>1395.431612</v>
      </c>
      <c r="X46" s="31">
        <f>'App - P&amp;L'!X91</f>
        <v>1972.535823</v>
      </c>
      <c r="Y46" s="31">
        <f>'App - P&amp;L'!Y91</f>
        <v>2299.335</v>
      </c>
      <c r="Z46" s="31">
        <f>'App - P&amp;L'!Z91</f>
        <v>1648.931</v>
      </c>
      <c r="AA46" s="31">
        <f>'App - P&amp;L'!AA91</f>
        <v>1969.173</v>
      </c>
      <c r="AB46" s="31">
        <f>'App - P&amp;L'!AB91</f>
        <v>1414.949</v>
      </c>
      <c r="AC46" s="31">
        <f>'App - P&amp;L'!AC91</f>
        <v>1162.761266</v>
      </c>
      <c r="AD46" s="31">
        <f>'App - P&amp;L'!AD91</f>
        <v>1424.279868</v>
      </c>
      <c r="AE46" s="31">
        <f>'App - P&amp;L'!AE91</f>
        <v>2045.559515</v>
      </c>
      <c r="AF46" s="31">
        <f>'App - P&amp;L'!AF91</f>
        <v>2474.893883</v>
      </c>
    </row>
    <row r="47" outlineLevel="1">
      <c r="A47" s="25" t="s">
        <v>41</v>
      </c>
      <c r="B47" s="31">
        <f>'App - P&amp;L'!B67</f>
        <v>2266.677771</v>
      </c>
      <c r="C47" s="31">
        <f>'App - P&amp;L'!C67</f>
        <v>1852.231238</v>
      </c>
      <c r="D47" s="31">
        <f>'App - P&amp;L'!D67</f>
        <v>2160.7665</v>
      </c>
      <c r="E47" s="31">
        <f>'App - P&amp;L'!E67</f>
        <v>3462.054</v>
      </c>
      <c r="F47" s="31">
        <f>'App - P&amp;L'!F67</f>
        <v>1518.249</v>
      </c>
      <c r="G47" s="31">
        <f>'App - P&amp;L'!G67</f>
        <v>782.805</v>
      </c>
      <c r="H47" s="31">
        <f>'App - P&amp;L'!H67</f>
        <v>779.7619737</v>
      </c>
      <c r="I47" s="31">
        <f>'App - P&amp;L'!I67</f>
        <v>846.1108509</v>
      </c>
      <c r="J47" s="31">
        <f>'App - P&amp;L'!J67</f>
        <v>1037.0295</v>
      </c>
      <c r="K47" s="31">
        <f>'App - P&amp;L'!K67</f>
        <v>1437.5175</v>
      </c>
      <c r="L47" s="31">
        <f>'App - P&amp;L'!L67</f>
        <v>810.9530907</v>
      </c>
      <c r="M47" s="31">
        <f>'App - P&amp;L'!M67</f>
        <v>842.6211336</v>
      </c>
      <c r="N47" s="31">
        <f>'App - P&amp;L'!N67</f>
        <v>767.6535</v>
      </c>
      <c r="O47" s="31">
        <f>'App - P&amp;L'!O67</f>
        <v>780.6633969</v>
      </c>
      <c r="P47" s="31">
        <f>'App - P&amp;L'!P67</f>
        <v>700.2829773</v>
      </c>
      <c r="Q47" s="31">
        <f>'App - P&amp;L'!Q67</f>
        <v>1178.239481</v>
      </c>
      <c r="R47" s="31">
        <f>'App - P&amp;L'!R67</f>
        <v>1130.8395</v>
      </c>
      <c r="S47" s="31">
        <f>'App - P&amp;L'!S67</f>
        <v>675.93</v>
      </c>
      <c r="T47" s="31">
        <f>'App - P&amp;L'!T67</f>
        <v>630.9735</v>
      </c>
      <c r="U47" s="31">
        <f>'App - P&amp;L'!U67</f>
        <v>612.66</v>
      </c>
      <c r="V47" s="31">
        <f>'App - P&amp;L'!V67</f>
        <v>526.1251677</v>
      </c>
      <c r="W47" s="31">
        <f>'App - P&amp;L'!W67</f>
        <v>624.9006909</v>
      </c>
      <c r="X47" s="31">
        <f>'App - P&amp;L'!X67</f>
        <v>908.4084954</v>
      </c>
      <c r="Y47" s="31">
        <f>'App - P&amp;L'!Y67</f>
        <v>1107.0495</v>
      </c>
      <c r="Z47" s="31">
        <f>'App - P&amp;L'!Z67</f>
        <v>786.4875</v>
      </c>
      <c r="AA47" s="31">
        <f>'App - P&amp;L'!AA67</f>
        <v>901.362</v>
      </c>
      <c r="AB47" s="31">
        <f>'App - P&amp;L'!AB67</f>
        <v>682.926</v>
      </c>
      <c r="AC47" s="31">
        <f>'App - P&amp;L'!AC67</f>
        <v>552.5218998</v>
      </c>
      <c r="AD47" s="31">
        <f>'App - P&amp;L'!AD67</f>
        <v>705.7898004</v>
      </c>
      <c r="AE47" s="31">
        <f>'App - P&amp;L'!AE67</f>
        <v>952.6352205</v>
      </c>
      <c r="AF47" s="31">
        <f>'App - P&amp;L'!AF67</f>
        <v>1116.16195</v>
      </c>
    </row>
    <row r="48" outlineLevel="1">
      <c r="A48" s="25" t="s">
        <v>42</v>
      </c>
      <c r="B48" s="31">
        <f>'App - P&amp;L'!B68</f>
        <v>17.18</v>
      </c>
      <c r="C48" s="31">
        <f>'App - P&amp;L'!C68</f>
        <v>12.98</v>
      </c>
      <c r="D48" s="31">
        <f>'App - P&amp;L'!D68</f>
        <v>4.63</v>
      </c>
      <c r="E48" s="31">
        <f>'App - P&amp;L'!E68</f>
        <v>4.7</v>
      </c>
      <c r="F48" s="31">
        <f>'App - P&amp;L'!F68</f>
        <v>3.71</v>
      </c>
      <c r="G48" s="31">
        <f>'App - P&amp;L'!G68</f>
        <v>5.91</v>
      </c>
      <c r="H48" s="31">
        <f>'App - P&amp;L'!H68</f>
        <v>9.76</v>
      </c>
      <c r="I48" s="31">
        <f>'App - P&amp;L'!I68</f>
        <v>11.43</v>
      </c>
      <c r="J48" s="31">
        <f>'App - P&amp;L'!J68</f>
        <v>22.17</v>
      </c>
      <c r="K48" s="31">
        <f>'App - P&amp;L'!K68</f>
        <v>44.18</v>
      </c>
      <c r="L48" s="31">
        <f>'App - P&amp;L'!L68</f>
        <v>1.14</v>
      </c>
      <c r="M48" s="31">
        <f>'App - P&amp;L'!M68</f>
        <v>10.66</v>
      </c>
      <c r="N48" s="31">
        <f>'App - P&amp;L'!N68</f>
        <v>16.43</v>
      </c>
      <c r="O48" s="31">
        <f>'App - P&amp;L'!O68</f>
        <v>4.24</v>
      </c>
      <c r="P48" s="31">
        <f>'App - P&amp;L'!P68</f>
        <v>18.64</v>
      </c>
      <c r="Q48" s="31">
        <f>'App - P&amp;L'!Q68</f>
        <v>35.99</v>
      </c>
      <c r="R48" s="31">
        <f>'App - P&amp;L'!R68</f>
        <v>17.34</v>
      </c>
      <c r="S48" s="31">
        <f>'App - P&amp;L'!S68</f>
        <v>10.58</v>
      </c>
      <c r="T48" s="31">
        <f>'App - P&amp;L'!T68</f>
        <v>4.75</v>
      </c>
      <c r="U48" s="31">
        <f>'App - P&amp;L'!U68</f>
        <v>7.12</v>
      </c>
      <c r="V48" s="31">
        <f>'App - P&amp;L'!V68</f>
        <v>5.92</v>
      </c>
      <c r="W48" s="31">
        <f>'App - P&amp;L'!W68</f>
        <v>4.49</v>
      </c>
      <c r="X48" s="31">
        <f>'App - P&amp;L'!X68</f>
        <v>39.02</v>
      </c>
      <c r="Y48" s="31">
        <f>'App - P&amp;L'!Y68</f>
        <v>17.94</v>
      </c>
      <c r="Z48" s="31">
        <f>'App - P&amp;L'!Z68</f>
        <v>25.35</v>
      </c>
      <c r="AA48" s="31">
        <f>'App - P&amp;L'!AA68</f>
        <v>15.64</v>
      </c>
      <c r="AB48" s="31">
        <f>'App - P&amp;L'!AB68</f>
        <v>11.42</v>
      </c>
      <c r="AC48" s="31">
        <f>'App - P&amp;L'!AC68</f>
        <v>17.52</v>
      </c>
      <c r="AD48" s="31">
        <f>'App - P&amp;L'!AD68</f>
        <v>15.38</v>
      </c>
      <c r="AE48" s="31">
        <f>'App - P&amp;L'!AE68</f>
        <v>16.19</v>
      </c>
      <c r="AF48" s="31">
        <f>'App - P&amp;L'!AF68</f>
        <v>5.36</v>
      </c>
    </row>
    <row r="49">
      <c r="A49" s="23" t="s">
        <v>34</v>
      </c>
      <c r="B49" s="32">
        <f t="shared" ref="B49:AF49" si="11">sum(B45:B48)</f>
        <v>8238.192571</v>
      </c>
      <c r="C49" s="32">
        <f t="shared" si="11"/>
        <v>6800.029125</v>
      </c>
      <c r="D49" s="32">
        <f t="shared" si="11"/>
        <v>7676.59</v>
      </c>
      <c r="E49" s="32">
        <f t="shared" si="11"/>
        <v>12252.14</v>
      </c>
      <c r="F49" s="32">
        <f t="shared" si="11"/>
        <v>5578.71</v>
      </c>
      <c r="G49" s="32">
        <f t="shared" si="11"/>
        <v>2859.59</v>
      </c>
      <c r="H49" s="32">
        <f t="shared" si="11"/>
        <v>2821.396579</v>
      </c>
      <c r="I49" s="32">
        <f t="shared" si="11"/>
        <v>3118.159503</v>
      </c>
      <c r="J49" s="32">
        <f t="shared" si="11"/>
        <v>3802.61</v>
      </c>
      <c r="K49" s="32">
        <f t="shared" si="11"/>
        <v>5204.37</v>
      </c>
      <c r="L49" s="32">
        <f t="shared" si="11"/>
        <v>2959.731969</v>
      </c>
      <c r="M49" s="32">
        <f t="shared" si="11"/>
        <v>3080.702112</v>
      </c>
      <c r="N49" s="32">
        <f t="shared" si="11"/>
        <v>2844.81</v>
      </c>
      <c r="O49" s="32">
        <f t="shared" si="11"/>
        <v>2871.951323</v>
      </c>
      <c r="P49" s="32">
        <f t="shared" si="11"/>
        <v>2639.116591</v>
      </c>
      <c r="Q49" s="32">
        <f t="shared" si="11"/>
        <v>4299.069935</v>
      </c>
      <c r="R49" s="32">
        <f t="shared" si="11"/>
        <v>4254.68</v>
      </c>
      <c r="S49" s="32">
        <f t="shared" si="11"/>
        <v>2491.32</v>
      </c>
      <c r="T49" s="32">
        <f t="shared" si="11"/>
        <v>2344.61</v>
      </c>
      <c r="U49" s="32">
        <f t="shared" si="11"/>
        <v>2186.25</v>
      </c>
      <c r="V49" s="32">
        <f t="shared" si="11"/>
        <v>1987.545559</v>
      </c>
      <c r="W49" s="32">
        <f t="shared" si="11"/>
        <v>2167.602303</v>
      </c>
      <c r="X49" s="32">
        <f t="shared" si="11"/>
        <v>3205.648318</v>
      </c>
      <c r="Y49" s="32">
        <f t="shared" si="11"/>
        <v>4079.38</v>
      </c>
      <c r="Z49" s="32">
        <f t="shared" si="11"/>
        <v>2869.42</v>
      </c>
      <c r="AA49" s="32">
        <f t="shared" si="11"/>
        <v>3174.39</v>
      </c>
      <c r="AB49" s="32">
        <f t="shared" si="11"/>
        <v>2515.17</v>
      </c>
      <c r="AC49" s="32">
        <f t="shared" si="11"/>
        <v>2000.734666</v>
      </c>
      <c r="AD49" s="32">
        <f t="shared" si="11"/>
        <v>2666.722668</v>
      </c>
      <c r="AE49" s="32">
        <f t="shared" si="11"/>
        <v>3414.530735</v>
      </c>
      <c r="AF49" s="32">
        <f t="shared" si="11"/>
        <v>3897.859833</v>
      </c>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row>
    <row r="52">
      <c r="A52" s="11" t="s">
        <v>43</v>
      </c>
      <c r="B52" s="34">
        <v>1961.0</v>
      </c>
      <c r="C52" s="4">
        <v>416.0</v>
      </c>
      <c r="D52" s="4">
        <v>347.0</v>
      </c>
      <c r="E52" s="4">
        <v>312.0</v>
      </c>
      <c r="F52" s="4">
        <v>247.0</v>
      </c>
      <c r="G52" s="34">
        <v>214.0</v>
      </c>
      <c r="H52" s="34">
        <v>208.0</v>
      </c>
      <c r="I52" s="34">
        <v>200.0</v>
      </c>
      <c r="J52" s="34">
        <v>269.0</v>
      </c>
      <c r="K52" s="34">
        <v>237.0</v>
      </c>
      <c r="L52" s="34">
        <v>183.0</v>
      </c>
      <c r="M52" s="34">
        <v>125.0</v>
      </c>
      <c r="N52" s="34">
        <v>93.0</v>
      </c>
      <c r="O52" s="4">
        <v>107.0</v>
      </c>
      <c r="P52" s="4">
        <v>90.0</v>
      </c>
      <c r="Q52" s="4">
        <v>118.0</v>
      </c>
      <c r="R52" s="4">
        <v>91.0</v>
      </c>
      <c r="S52" s="4">
        <v>93.0</v>
      </c>
      <c r="T52" s="4">
        <v>71.0</v>
      </c>
      <c r="U52" s="4">
        <v>82.0</v>
      </c>
      <c r="V52" s="4">
        <v>82.0</v>
      </c>
      <c r="W52" s="34">
        <v>100.0</v>
      </c>
      <c r="X52" s="34">
        <v>117.0</v>
      </c>
      <c r="Y52" s="34">
        <v>137.0</v>
      </c>
      <c r="Z52" s="34">
        <v>112.0</v>
      </c>
      <c r="AA52" s="34">
        <v>79.0</v>
      </c>
      <c r="AB52" s="34">
        <v>79.0</v>
      </c>
      <c r="AC52" s="34">
        <v>93.0</v>
      </c>
      <c r="AD52" s="34">
        <v>57.0</v>
      </c>
      <c r="AE52" s="34">
        <v>87.0</v>
      </c>
      <c r="AF52" s="34">
        <v>80.0</v>
      </c>
    </row>
    <row r="53" outlineLevel="1">
      <c r="A53" s="16" t="s">
        <v>44</v>
      </c>
      <c r="B53" s="16">
        <v>1942.0</v>
      </c>
      <c r="C53" s="16">
        <v>355.0</v>
      </c>
      <c r="D53" s="16">
        <v>314.0</v>
      </c>
      <c r="E53" s="16">
        <v>274.0</v>
      </c>
      <c r="F53" s="16">
        <v>210.0</v>
      </c>
      <c r="G53" s="16">
        <v>180.0</v>
      </c>
      <c r="H53" s="16">
        <v>184.0</v>
      </c>
      <c r="I53" s="16">
        <v>186.0</v>
      </c>
      <c r="J53" s="16">
        <v>221.0</v>
      </c>
      <c r="K53" s="16">
        <v>192.0</v>
      </c>
      <c r="L53" s="16">
        <v>147.0</v>
      </c>
      <c r="M53" s="16">
        <v>88.0</v>
      </c>
      <c r="N53" s="16">
        <v>67.0</v>
      </c>
      <c r="O53" s="16">
        <v>83.0</v>
      </c>
      <c r="P53" s="16">
        <v>64.0</v>
      </c>
      <c r="Q53" s="16">
        <v>81.0</v>
      </c>
      <c r="R53" s="16">
        <v>64.0</v>
      </c>
      <c r="S53" s="16">
        <v>56.0</v>
      </c>
      <c r="T53" s="16">
        <v>49.0</v>
      </c>
      <c r="U53" s="16">
        <v>54.0</v>
      </c>
      <c r="V53" s="16">
        <v>55.0</v>
      </c>
      <c r="W53" s="16">
        <v>103.0</v>
      </c>
      <c r="X53" s="16">
        <v>80.0</v>
      </c>
      <c r="Y53" s="16">
        <v>95.0</v>
      </c>
      <c r="Z53" s="16">
        <v>69.0</v>
      </c>
      <c r="AA53" s="16">
        <v>51.0</v>
      </c>
      <c r="AB53" s="16">
        <v>49.0</v>
      </c>
      <c r="AC53" s="16">
        <v>61.0</v>
      </c>
      <c r="AD53" s="16">
        <v>44.0</v>
      </c>
      <c r="AE53" s="16">
        <v>55.0</v>
      </c>
      <c r="AF53" s="16">
        <v>47.0</v>
      </c>
    </row>
    <row r="54" outlineLevel="1">
      <c r="A54" s="16" t="s">
        <v>45</v>
      </c>
      <c r="B54" s="16">
        <v>452.0</v>
      </c>
      <c r="C54" s="16">
        <v>305.0</v>
      </c>
      <c r="D54" s="16">
        <v>286.0</v>
      </c>
      <c r="E54" s="16">
        <v>272.0</v>
      </c>
      <c r="F54" s="16">
        <v>224.0</v>
      </c>
      <c r="G54" s="16">
        <v>228.0</v>
      </c>
      <c r="H54" s="16">
        <v>201.0</v>
      </c>
      <c r="I54" s="16">
        <v>183.0</v>
      </c>
      <c r="J54" s="16">
        <v>256.0</v>
      </c>
      <c r="K54" s="16">
        <v>242.0</v>
      </c>
      <c r="L54" s="16">
        <v>138.0</v>
      </c>
      <c r="M54" s="16">
        <v>83.0</v>
      </c>
      <c r="N54" s="16">
        <v>47.0</v>
      </c>
      <c r="O54" s="16">
        <v>67.0</v>
      </c>
      <c r="P54" s="16">
        <v>60.0</v>
      </c>
      <c r="Q54" s="16">
        <v>91.0</v>
      </c>
      <c r="R54" s="16">
        <v>65.0</v>
      </c>
      <c r="S54" s="16">
        <v>70.0</v>
      </c>
      <c r="T54" s="16">
        <v>51.0</v>
      </c>
      <c r="U54" s="16">
        <v>47.0</v>
      </c>
      <c r="V54" s="16">
        <v>55.0</v>
      </c>
      <c r="W54" s="16">
        <v>100.0</v>
      </c>
      <c r="X54" s="16">
        <v>86.0</v>
      </c>
      <c r="Y54" s="16">
        <v>93.0</v>
      </c>
      <c r="Z54" s="16">
        <v>74.0</v>
      </c>
      <c r="AA54" s="16">
        <v>53.0</v>
      </c>
      <c r="AB54" s="16">
        <v>63.0</v>
      </c>
      <c r="AC54" s="16">
        <v>72.0</v>
      </c>
      <c r="AD54" s="16">
        <v>58.0</v>
      </c>
      <c r="AE54" s="16">
        <v>67.0</v>
      </c>
      <c r="AF54" s="16">
        <v>48.0</v>
      </c>
    </row>
    <row r="55" outlineLevel="1">
      <c r="A55" s="16" t="s">
        <v>46</v>
      </c>
      <c r="B55" s="16">
        <v>0.0</v>
      </c>
      <c r="C55" s="16">
        <v>0.0</v>
      </c>
      <c r="D55" s="16">
        <v>0.0</v>
      </c>
      <c r="E55" s="16">
        <v>0.0</v>
      </c>
      <c r="F55" s="16">
        <v>0.0</v>
      </c>
      <c r="G55" s="16">
        <v>6.0</v>
      </c>
      <c r="H55" s="16">
        <v>0.0</v>
      </c>
      <c r="I55" s="16">
        <v>0.0</v>
      </c>
      <c r="J55" s="16">
        <v>0.0</v>
      </c>
      <c r="K55" s="16">
        <v>0.0</v>
      </c>
      <c r="L55" s="16">
        <v>0.0</v>
      </c>
      <c r="M55" s="16">
        <v>0.0</v>
      </c>
      <c r="N55" s="16">
        <v>0.0</v>
      </c>
      <c r="O55" s="16">
        <v>0.0</v>
      </c>
      <c r="P55" s="16">
        <v>0.0</v>
      </c>
      <c r="Q55" s="16">
        <v>1.0</v>
      </c>
      <c r="R55" s="16">
        <v>0.0</v>
      </c>
      <c r="S55" s="16">
        <v>2.0</v>
      </c>
      <c r="T55" s="16">
        <v>1.0</v>
      </c>
      <c r="U55" s="16">
        <v>0.0</v>
      </c>
      <c r="V55" s="16">
        <v>0.0</v>
      </c>
      <c r="W55" s="16">
        <v>0.0</v>
      </c>
      <c r="X55" s="16">
        <v>1.0</v>
      </c>
      <c r="Y55" s="16">
        <v>0.0</v>
      </c>
      <c r="Z55" s="16">
        <v>0.0</v>
      </c>
      <c r="AA55" s="16">
        <v>0.0</v>
      </c>
      <c r="AB55" s="16">
        <v>0.0</v>
      </c>
      <c r="AC55" s="16">
        <v>0.0</v>
      </c>
      <c r="AD55" s="16">
        <v>0.0</v>
      </c>
      <c r="AE55" s="16">
        <v>1.0</v>
      </c>
      <c r="AF55" s="16">
        <v>0.0</v>
      </c>
    </row>
    <row r="56" outlineLevel="1">
      <c r="A56" s="16" t="s">
        <v>47</v>
      </c>
      <c r="B56" s="16">
        <v>51.0</v>
      </c>
      <c r="C56" s="16">
        <v>36.0</v>
      </c>
      <c r="D56" s="16">
        <v>31.0</v>
      </c>
      <c r="E56" s="16">
        <v>35.0</v>
      </c>
      <c r="F56" s="16">
        <v>44.0</v>
      </c>
      <c r="G56" s="16">
        <v>29.0</v>
      </c>
      <c r="H56" s="16">
        <v>27.0</v>
      </c>
      <c r="I56" s="16">
        <v>22.0</v>
      </c>
      <c r="J56" s="16">
        <v>33.0</v>
      </c>
      <c r="K56" s="16">
        <v>21.0</v>
      </c>
      <c r="L56" s="16">
        <v>22.0</v>
      </c>
      <c r="M56" s="16">
        <v>17.0</v>
      </c>
      <c r="N56" s="16">
        <v>9.0</v>
      </c>
      <c r="O56" s="16">
        <v>13.0</v>
      </c>
      <c r="P56" s="16">
        <v>23.0</v>
      </c>
      <c r="Q56" s="16">
        <v>14.0</v>
      </c>
      <c r="R56" s="16">
        <v>9.0</v>
      </c>
      <c r="S56" s="16">
        <v>14.0</v>
      </c>
      <c r="T56" s="16">
        <v>1.0</v>
      </c>
      <c r="U56" s="16">
        <v>6.0</v>
      </c>
      <c r="V56" s="16">
        <v>8.0</v>
      </c>
      <c r="W56" s="16">
        <v>14.0</v>
      </c>
      <c r="X56" s="16">
        <v>16.0</v>
      </c>
      <c r="Y56" s="16">
        <v>26.0</v>
      </c>
      <c r="Z56" s="16">
        <v>18.0</v>
      </c>
      <c r="AA56" s="16">
        <v>14.0</v>
      </c>
      <c r="AB56" s="16">
        <v>14.0</v>
      </c>
      <c r="AC56" s="16">
        <v>17.0</v>
      </c>
      <c r="AD56" s="16">
        <v>3.0</v>
      </c>
      <c r="AE56" s="16">
        <v>7.0</v>
      </c>
      <c r="AF56" s="16">
        <v>9.0</v>
      </c>
    </row>
    <row r="57" outlineLevel="1">
      <c r="A57" s="16" t="s">
        <v>48</v>
      </c>
      <c r="B57" s="11"/>
      <c r="C57" s="11"/>
      <c r="D57" s="11"/>
      <c r="E57" s="11"/>
      <c r="F57" s="11"/>
      <c r="G57" s="11"/>
      <c r="H57" s="11"/>
      <c r="I57" s="11"/>
      <c r="J57" s="11"/>
      <c r="K57" s="11"/>
      <c r="L57" s="11"/>
      <c r="M57" s="11"/>
      <c r="N57" s="11"/>
      <c r="O57" s="11"/>
      <c r="P57" s="11"/>
      <c r="Q57" s="11"/>
      <c r="R57" s="11"/>
      <c r="S57" s="16">
        <v>3.0</v>
      </c>
      <c r="T57" s="16">
        <v>2.0</v>
      </c>
      <c r="U57" s="16">
        <v>2.0</v>
      </c>
      <c r="V57" s="16">
        <v>3.0</v>
      </c>
      <c r="W57" s="16">
        <v>13.0</v>
      </c>
      <c r="X57" s="16">
        <v>4.0</v>
      </c>
      <c r="Y57" s="16">
        <v>13.0</v>
      </c>
      <c r="Z57" s="16">
        <v>8.0</v>
      </c>
      <c r="AA57" s="16">
        <v>6.0</v>
      </c>
      <c r="AB57" s="16">
        <v>8.0</v>
      </c>
      <c r="AC57" s="16">
        <v>11.0</v>
      </c>
      <c r="AD57" s="16">
        <v>14.0</v>
      </c>
      <c r="AE57" s="16">
        <v>15.0</v>
      </c>
      <c r="AF57" s="16">
        <v>9.0</v>
      </c>
    </row>
    <row r="58">
      <c r="A58" s="11" t="s">
        <v>49</v>
      </c>
      <c r="B58" s="4">
        <v>153.0</v>
      </c>
      <c r="C58" s="4">
        <v>171.0</v>
      </c>
      <c r="D58" s="4">
        <v>147.0</v>
      </c>
      <c r="E58" s="4">
        <v>97.0</v>
      </c>
      <c r="F58" s="4">
        <v>60.0</v>
      </c>
      <c r="G58" s="4">
        <v>114.0</v>
      </c>
      <c r="H58" s="4">
        <v>121.0</v>
      </c>
      <c r="I58" s="4">
        <v>110.0</v>
      </c>
      <c r="J58" s="4">
        <v>184.0</v>
      </c>
      <c r="K58" s="4">
        <v>175.0</v>
      </c>
      <c r="L58" s="4">
        <v>41.0</v>
      </c>
      <c r="M58" s="4">
        <v>69.0</v>
      </c>
      <c r="N58" s="4">
        <v>66.0</v>
      </c>
      <c r="O58" s="4">
        <v>53.0</v>
      </c>
      <c r="P58" s="4">
        <v>78.0</v>
      </c>
      <c r="Q58" s="4">
        <v>75.0</v>
      </c>
      <c r="R58" s="35">
        <v>84.0</v>
      </c>
      <c r="S58" s="4">
        <v>53.0</v>
      </c>
      <c r="T58" s="4">
        <v>75.0</v>
      </c>
      <c r="U58" s="4">
        <v>76.0</v>
      </c>
      <c r="V58" s="4">
        <v>62.0</v>
      </c>
      <c r="W58" s="4">
        <v>61.0</v>
      </c>
      <c r="X58" s="4">
        <v>88.0</v>
      </c>
      <c r="Y58" s="34">
        <v>75.0</v>
      </c>
      <c r="Z58" s="34">
        <v>56.0</v>
      </c>
      <c r="AA58" s="34">
        <v>60.0</v>
      </c>
      <c r="AB58" s="4">
        <v>46.0</v>
      </c>
      <c r="AC58" s="4">
        <v>54.0</v>
      </c>
      <c r="AD58" s="4">
        <v>63.0</v>
      </c>
      <c r="AE58" s="4">
        <v>77.0</v>
      </c>
      <c r="AF58" s="4">
        <v>56.0</v>
      </c>
    </row>
    <row r="59" outlineLevel="1">
      <c r="A59" s="16" t="s">
        <v>44</v>
      </c>
      <c r="B59" s="36">
        <f>SUM('AMAZON - P&amp;L'!B28:B31)</f>
        <v>78</v>
      </c>
      <c r="C59" s="36">
        <f>SUM('AMAZON - P&amp;L'!C28:C31)</f>
        <v>91</v>
      </c>
      <c r="D59" s="36">
        <f>SUM('AMAZON - P&amp;L'!D28:D31)</f>
        <v>65</v>
      </c>
      <c r="E59" s="36">
        <f>SUM('AMAZON - P&amp;L'!E28:E31)</f>
        <v>38</v>
      </c>
      <c r="F59" s="36">
        <f>SUM('AMAZON - P&amp;L'!F28:F31)</f>
        <v>27</v>
      </c>
      <c r="G59" s="36">
        <f>SUM('AMAZON - P&amp;L'!G28:G31)</f>
        <v>52</v>
      </c>
      <c r="H59" s="36">
        <f>SUM('AMAZON - P&amp;L'!H28:H31)</f>
        <v>74</v>
      </c>
      <c r="I59" s="36">
        <f>SUM('AMAZON - P&amp;L'!I28:I31)</f>
        <v>71</v>
      </c>
      <c r="J59" s="36">
        <f>SUM('AMAZON - P&amp;L'!J28:J31)</f>
        <v>86</v>
      </c>
      <c r="K59" s="36">
        <f>SUM('AMAZON - P&amp;L'!K28:K31)</f>
        <v>96</v>
      </c>
      <c r="L59" s="36">
        <f>SUM('AMAZON - P&amp;L'!L28:L31)</f>
        <v>35</v>
      </c>
      <c r="M59" s="36">
        <f>SUM('AMAZON - P&amp;L'!M28:M31)</f>
        <v>27</v>
      </c>
      <c r="N59" s="36">
        <f>SUM('AMAZON - P&amp;L'!N28:N31)</f>
        <v>32</v>
      </c>
      <c r="O59" s="36">
        <f>SUM('AMAZON - P&amp;L'!O28:O31)</f>
        <v>35</v>
      </c>
      <c r="P59" s="36">
        <f>SUM('AMAZON - P&amp;L'!P28:P31)</f>
        <v>43</v>
      </c>
      <c r="Q59" s="36">
        <f>SUM('AMAZON - P&amp;L'!Q28:Q31)</f>
        <v>33</v>
      </c>
      <c r="R59" s="36">
        <f>SUM('AMAZON - P&amp;L'!R28:R31)</f>
        <v>41</v>
      </c>
      <c r="S59" s="36">
        <f>SUM('AMAZON - P&amp;L'!S28:S31)</f>
        <v>21</v>
      </c>
      <c r="T59" s="36">
        <f>SUM('AMAZON - P&amp;L'!T28:T31)</f>
        <v>38</v>
      </c>
      <c r="U59" s="36">
        <f>SUM('AMAZON - P&amp;L'!U28:U31)</f>
        <v>43</v>
      </c>
      <c r="V59" s="36">
        <f>SUM('AMAZON - P&amp;L'!V28:V31)</f>
        <v>35</v>
      </c>
      <c r="W59" s="36">
        <f>SUM('AMAZON - P&amp;L'!W28:W31)</f>
        <v>29</v>
      </c>
      <c r="X59" s="36">
        <f>SUM('AMAZON - P&amp;L'!X28:X31)</f>
        <v>33</v>
      </c>
      <c r="Y59" s="36">
        <f>SUM('AMAZON - P&amp;L'!Y28:Y31)</f>
        <v>36</v>
      </c>
      <c r="Z59" s="36">
        <f>SUM('AMAZON - P&amp;L'!Z28:Z31)</f>
        <v>26</v>
      </c>
      <c r="AA59" s="36">
        <f>SUM('AMAZON - P&amp;L'!AA28:AA31)</f>
        <v>28</v>
      </c>
      <c r="AB59" s="36">
        <f>SUM('AMAZON - P&amp;L'!AB28:AB31)</f>
        <v>25</v>
      </c>
      <c r="AC59" s="36">
        <f>SUM('AMAZON - P&amp;L'!AC28:AC31)</f>
        <v>24</v>
      </c>
      <c r="AD59" s="36">
        <f>SUM('AMAZON - P&amp;L'!AD28:AD31)</f>
        <v>21</v>
      </c>
      <c r="AE59" s="36">
        <f>SUM('AMAZON - P&amp;L'!AE28:AE31)</f>
        <v>19</v>
      </c>
      <c r="AF59" s="36">
        <f>SUM('AMAZON - P&amp;L'!AF28:AF31)</f>
        <v>11</v>
      </c>
    </row>
    <row r="60" outlineLevel="1">
      <c r="A60" s="16" t="s">
        <v>45</v>
      </c>
      <c r="B60" s="36">
        <f>SUM('AMAZON - P&amp;L'!B34:B41)</f>
        <v>58</v>
      </c>
      <c r="C60" s="36">
        <f>SUM('AMAZON - P&amp;L'!C34:C41)</f>
        <v>87</v>
      </c>
      <c r="D60" s="36">
        <f>SUM('AMAZON - P&amp;L'!D34:D41)</f>
        <v>95</v>
      </c>
      <c r="E60" s="36">
        <f>SUM('AMAZON - P&amp;L'!E34:E41)</f>
        <v>61</v>
      </c>
      <c r="F60" s="36">
        <f>SUM('AMAZON - P&amp;L'!F34:F41)</f>
        <v>51</v>
      </c>
      <c r="G60" s="36">
        <f>SUM('AMAZON - P&amp;L'!G34:G41)</f>
        <v>49</v>
      </c>
      <c r="H60" s="36">
        <f>SUM('AMAZON - P&amp;L'!H34:H41)</f>
        <v>52</v>
      </c>
      <c r="I60" s="36">
        <f>SUM('AMAZON - P&amp;L'!I34:I41)</f>
        <v>48</v>
      </c>
      <c r="J60" s="36">
        <f>SUM('AMAZON - P&amp;L'!J34:J41)</f>
        <v>104</v>
      </c>
      <c r="K60" s="36">
        <f>SUM('AMAZON - P&amp;L'!K34:K41)</f>
        <v>81</v>
      </c>
      <c r="L60" s="16">
        <v>1.0</v>
      </c>
      <c r="M60" s="16">
        <f>SUM('AMAZON - P&amp;L'!M34:M41)</f>
        <v>34</v>
      </c>
      <c r="N60" s="16">
        <f>SUM('AMAZON - P&amp;L'!N34:N41)</f>
        <v>36</v>
      </c>
      <c r="O60" s="16">
        <f>SUM('AMAZON - P&amp;L'!O34:O41)</f>
        <v>28</v>
      </c>
      <c r="P60" s="16">
        <f>SUM('AMAZON - P&amp;L'!P34:P41)</f>
        <v>31</v>
      </c>
      <c r="Q60" s="16">
        <f>SUM('AMAZON - P&amp;L'!Q34:Q41)</f>
        <v>52</v>
      </c>
      <c r="R60" s="16">
        <f>SUM('AMAZON - P&amp;L'!R34:R41)</f>
        <v>40</v>
      </c>
      <c r="S60" s="16">
        <f>SUM('AMAZON - P&amp;L'!S34:S41)</f>
        <v>36</v>
      </c>
      <c r="T60" s="16">
        <v>2.0</v>
      </c>
      <c r="U60" s="16">
        <f>SUM('AMAZON - P&amp;L'!U34:U41)</f>
        <v>40</v>
      </c>
      <c r="V60" s="16">
        <f>SUM('AMAZON - P&amp;L'!V34:V41)</f>
        <v>40</v>
      </c>
      <c r="W60" s="16">
        <f>SUM('AMAZON - P&amp;L'!W34:W41)</f>
        <v>31</v>
      </c>
      <c r="X60" s="16">
        <f>SUM('AMAZON - P&amp;L'!X34:X41)</f>
        <v>49</v>
      </c>
      <c r="Y60" s="16">
        <f>SUM('AMAZON - P&amp;L'!Y34:Y41)</f>
        <v>54</v>
      </c>
      <c r="Z60" s="16">
        <f>SUM('AMAZON - P&amp;L'!Z34:Z41)</f>
        <v>31</v>
      </c>
      <c r="AA60" s="16">
        <f>SUM('AMAZON - P&amp;L'!AA34:AA41)</f>
        <v>31</v>
      </c>
      <c r="AB60" s="16">
        <f>SUM('AMAZON - P&amp;L'!AB34:AB41)</f>
        <v>26</v>
      </c>
      <c r="AC60" s="16">
        <f>SUM('AMAZON - P&amp;L'!AC34:AC41)</f>
        <v>36</v>
      </c>
      <c r="AD60" s="16">
        <f>SUM('AMAZON - P&amp;L'!AD34:AD41)</f>
        <v>31</v>
      </c>
      <c r="AE60" s="16">
        <f>SUM('AMAZON - P&amp;L'!AE34:AE41)</f>
        <v>75</v>
      </c>
      <c r="AF60" s="16">
        <f>SUM('AMAZON - P&amp;L'!AF34:AF41)</f>
        <v>40</v>
      </c>
    </row>
    <row r="61">
      <c r="A61" s="11" t="s">
        <v>50</v>
      </c>
      <c r="B61" s="37">
        <f t="shared" ref="B61:AF61" si="12">SUM(B62:B63)</f>
        <v>2</v>
      </c>
      <c r="C61" s="37">
        <f t="shared" si="12"/>
        <v>1</v>
      </c>
      <c r="D61" s="37">
        <f t="shared" si="12"/>
        <v>0</v>
      </c>
      <c r="E61" s="37">
        <f t="shared" si="12"/>
        <v>0</v>
      </c>
      <c r="F61" s="37">
        <f t="shared" si="12"/>
        <v>0</v>
      </c>
      <c r="G61" s="37">
        <f t="shared" si="12"/>
        <v>1</v>
      </c>
      <c r="H61" s="37">
        <f t="shared" si="12"/>
        <v>1</v>
      </c>
      <c r="I61" s="37">
        <f t="shared" si="12"/>
        <v>2</v>
      </c>
      <c r="J61" s="37">
        <f t="shared" si="12"/>
        <v>0</v>
      </c>
      <c r="K61" s="37">
        <f t="shared" si="12"/>
        <v>5</v>
      </c>
      <c r="L61" s="37">
        <f t="shared" si="12"/>
        <v>2</v>
      </c>
      <c r="M61" s="37">
        <f t="shared" si="12"/>
        <v>1</v>
      </c>
      <c r="N61" s="37">
        <f t="shared" si="12"/>
        <v>0</v>
      </c>
      <c r="O61" s="37">
        <f t="shared" si="12"/>
        <v>0</v>
      </c>
      <c r="P61" s="37">
        <f t="shared" si="12"/>
        <v>0</v>
      </c>
      <c r="Q61" s="37">
        <f t="shared" si="12"/>
        <v>0</v>
      </c>
      <c r="R61" s="37">
        <f t="shared" si="12"/>
        <v>0</v>
      </c>
      <c r="S61" s="37">
        <f t="shared" si="12"/>
        <v>0</v>
      </c>
      <c r="T61" s="37">
        <f t="shared" si="12"/>
        <v>0</v>
      </c>
      <c r="U61" s="37">
        <f t="shared" si="12"/>
        <v>0</v>
      </c>
      <c r="V61" s="37">
        <f t="shared" si="12"/>
        <v>0</v>
      </c>
      <c r="W61" s="37">
        <f t="shared" si="12"/>
        <v>0</v>
      </c>
      <c r="X61" s="37">
        <f t="shared" si="12"/>
        <v>0</v>
      </c>
      <c r="Y61" s="37">
        <f t="shared" si="12"/>
        <v>0</v>
      </c>
      <c r="Z61" s="37">
        <f t="shared" si="12"/>
        <v>2</v>
      </c>
      <c r="AA61" s="37">
        <f t="shared" si="12"/>
        <v>0</v>
      </c>
      <c r="AB61" s="37">
        <f t="shared" si="12"/>
        <v>0</v>
      </c>
      <c r="AC61" s="37">
        <f t="shared" si="12"/>
        <v>1</v>
      </c>
      <c r="AD61" s="37">
        <f t="shared" si="12"/>
        <v>0</v>
      </c>
      <c r="AE61" s="37">
        <f t="shared" si="12"/>
        <v>0</v>
      </c>
      <c r="AF61" s="37">
        <f t="shared" si="12"/>
        <v>0</v>
      </c>
    </row>
    <row r="62" outlineLevel="1">
      <c r="A62" s="19" t="s">
        <v>51</v>
      </c>
      <c r="B62" s="19">
        <v>2.0</v>
      </c>
      <c r="C62" s="19">
        <v>1.0</v>
      </c>
      <c r="D62" s="19">
        <v>0.0</v>
      </c>
      <c r="E62" s="19">
        <v>0.0</v>
      </c>
      <c r="F62" s="19">
        <v>0.0</v>
      </c>
      <c r="G62" s="19">
        <v>1.0</v>
      </c>
      <c r="H62" s="19">
        <v>0.0</v>
      </c>
      <c r="I62" s="19">
        <v>2.0</v>
      </c>
      <c r="J62" s="19">
        <v>0.0</v>
      </c>
      <c r="K62" s="19">
        <v>5.0</v>
      </c>
      <c r="L62" s="19">
        <v>1.0</v>
      </c>
      <c r="M62" s="19">
        <v>1.0</v>
      </c>
      <c r="N62" s="19">
        <v>0.0</v>
      </c>
      <c r="O62" s="19">
        <v>0.0</v>
      </c>
      <c r="P62" s="19">
        <v>0.0</v>
      </c>
      <c r="Q62" s="19">
        <v>0.0</v>
      </c>
      <c r="R62" s="19">
        <v>0.0</v>
      </c>
      <c r="S62" s="19">
        <v>0.0</v>
      </c>
      <c r="T62" s="19">
        <v>0.0</v>
      </c>
      <c r="U62" s="19">
        <v>0.0</v>
      </c>
      <c r="V62" s="19">
        <v>0.0</v>
      </c>
      <c r="W62" s="19">
        <v>0.0</v>
      </c>
      <c r="X62" s="19">
        <v>0.0</v>
      </c>
      <c r="Y62" s="19">
        <v>0.0</v>
      </c>
      <c r="Z62" s="19">
        <v>0.0</v>
      </c>
      <c r="AA62" s="19">
        <v>0.0</v>
      </c>
      <c r="AB62" s="19">
        <v>0.0</v>
      </c>
      <c r="AC62" s="19">
        <v>1.0</v>
      </c>
      <c r="AD62" s="19">
        <v>0.0</v>
      </c>
      <c r="AE62" s="19">
        <v>0.0</v>
      </c>
      <c r="AF62" s="19">
        <v>0.0</v>
      </c>
    </row>
    <row r="63" outlineLevel="1">
      <c r="A63" s="16" t="s">
        <v>52</v>
      </c>
      <c r="B63" s="16">
        <v>0.0</v>
      </c>
      <c r="C63" s="16">
        <v>0.0</v>
      </c>
      <c r="D63" s="16">
        <v>0.0</v>
      </c>
      <c r="E63" s="16">
        <v>0.0</v>
      </c>
      <c r="F63" s="16">
        <v>0.0</v>
      </c>
      <c r="G63" s="16">
        <v>0.0</v>
      </c>
      <c r="H63" s="16">
        <v>1.0</v>
      </c>
      <c r="I63" s="16">
        <v>0.0</v>
      </c>
      <c r="J63" s="16">
        <v>0.0</v>
      </c>
      <c r="K63" s="16">
        <v>0.0</v>
      </c>
      <c r="L63" s="16">
        <v>1.0</v>
      </c>
      <c r="M63" s="16">
        <v>0.0</v>
      </c>
      <c r="N63" s="16">
        <v>0.0</v>
      </c>
      <c r="O63" s="16">
        <v>0.0</v>
      </c>
      <c r="P63" s="16">
        <v>0.0</v>
      </c>
      <c r="Q63" s="16">
        <v>0.0</v>
      </c>
      <c r="R63" s="16">
        <v>0.0</v>
      </c>
      <c r="S63" s="16">
        <v>0.0</v>
      </c>
      <c r="T63" s="16">
        <v>0.0</v>
      </c>
      <c r="U63" s="16">
        <v>0.0</v>
      </c>
      <c r="V63" s="16">
        <v>0.0</v>
      </c>
      <c r="W63" s="16">
        <v>0.0</v>
      </c>
      <c r="X63" s="16">
        <v>0.0</v>
      </c>
      <c r="Y63" s="16">
        <v>0.0</v>
      </c>
      <c r="Z63" s="16">
        <v>2.0</v>
      </c>
      <c r="AA63" s="16">
        <v>0.0</v>
      </c>
      <c r="AB63" s="16">
        <v>0.0</v>
      </c>
      <c r="AC63" s="16">
        <v>0.0</v>
      </c>
      <c r="AD63" s="16">
        <v>0.0</v>
      </c>
      <c r="AE63" s="16">
        <v>0.0</v>
      </c>
      <c r="AF63" s="16">
        <v>0.0</v>
      </c>
    </row>
    <row r="64">
      <c r="A64" s="23" t="s">
        <v>53</v>
      </c>
      <c r="B64" s="38">
        <f t="shared" ref="B64:AF64" si="13">SUM(B52+B58+B62+B63)</f>
        <v>2116</v>
      </c>
      <c r="C64" s="38">
        <f t="shared" si="13"/>
        <v>588</v>
      </c>
      <c r="D64" s="38">
        <f t="shared" si="13"/>
        <v>494</v>
      </c>
      <c r="E64" s="38">
        <f t="shared" si="13"/>
        <v>409</v>
      </c>
      <c r="F64" s="38">
        <f t="shared" si="13"/>
        <v>307</v>
      </c>
      <c r="G64" s="38">
        <f t="shared" si="13"/>
        <v>329</v>
      </c>
      <c r="H64" s="38">
        <f t="shared" si="13"/>
        <v>330</v>
      </c>
      <c r="I64" s="38">
        <f t="shared" si="13"/>
        <v>312</v>
      </c>
      <c r="J64" s="38">
        <f t="shared" si="13"/>
        <v>453</v>
      </c>
      <c r="K64" s="38">
        <f t="shared" si="13"/>
        <v>417</v>
      </c>
      <c r="L64" s="38">
        <f t="shared" si="13"/>
        <v>226</v>
      </c>
      <c r="M64" s="38">
        <f t="shared" si="13"/>
        <v>195</v>
      </c>
      <c r="N64" s="38">
        <f t="shared" si="13"/>
        <v>159</v>
      </c>
      <c r="O64" s="38">
        <f t="shared" si="13"/>
        <v>160</v>
      </c>
      <c r="P64" s="38">
        <f t="shared" si="13"/>
        <v>168</v>
      </c>
      <c r="Q64" s="38">
        <f t="shared" si="13"/>
        <v>193</v>
      </c>
      <c r="R64" s="38">
        <f t="shared" si="13"/>
        <v>175</v>
      </c>
      <c r="S64" s="38">
        <f t="shared" si="13"/>
        <v>146</v>
      </c>
      <c r="T64" s="38">
        <f t="shared" si="13"/>
        <v>146</v>
      </c>
      <c r="U64" s="38">
        <f t="shared" si="13"/>
        <v>158</v>
      </c>
      <c r="V64" s="38">
        <f t="shared" si="13"/>
        <v>144</v>
      </c>
      <c r="W64" s="38">
        <f t="shared" si="13"/>
        <v>161</v>
      </c>
      <c r="X64" s="38">
        <f t="shared" si="13"/>
        <v>205</v>
      </c>
      <c r="Y64" s="38">
        <f t="shared" si="13"/>
        <v>212</v>
      </c>
      <c r="Z64" s="38">
        <f t="shared" si="13"/>
        <v>170</v>
      </c>
      <c r="AA64" s="38">
        <f t="shared" si="13"/>
        <v>139</v>
      </c>
      <c r="AB64" s="38">
        <f t="shared" si="13"/>
        <v>125</v>
      </c>
      <c r="AC64" s="38">
        <f t="shared" si="13"/>
        <v>148</v>
      </c>
      <c r="AD64" s="38">
        <f t="shared" si="13"/>
        <v>120</v>
      </c>
      <c r="AE64" s="38">
        <f t="shared" si="13"/>
        <v>164</v>
      </c>
      <c r="AF64" s="38">
        <f t="shared" si="13"/>
        <v>136</v>
      </c>
    </row>
    <row r="66">
      <c r="A66" s="11" t="s">
        <v>54</v>
      </c>
    </row>
    <row r="67">
      <c r="A67" s="25" t="s">
        <v>36</v>
      </c>
      <c r="B67" s="4">
        <v>18.0</v>
      </c>
      <c r="C67" s="4">
        <v>22.0</v>
      </c>
      <c r="D67" s="4">
        <v>0.0</v>
      </c>
      <c r="E67" s="4">
        <v>3.0</v>
      </c>
      <c r="F67" s="4">
        <v>21.0</v>
      </c>
      <c r="G67" s="4">
        <v>14.0</v>
      </c>
      <c r="H67" s="4">
        <v>11.0</v>
      </c>
      <c r="I67" s="4">
        <v>11.0</v>
      </c>
      <c r="J67" s="4">
        <v>9.0</v>
      </c>
      <c r="K67" s="4">
        <v>0.0</v>
      </c>
      <c r="L67" s="4">
        <v>6.0</v>
      </c>
      <c r="M67" s="4">
        <v>18.0</v>
      </c>
      <c r="N67" s="4">
        <v>10.0</v>
      </c>
      <c r="O67" s="4">
        <v>4.0</v>
      </c>
      <c r="P67" s="4">
        <v>7.0</v>
      </c>
      <c r="Q67" s="4">
        <v>4.0</v>
      </c>
      <c r="R67" s="4">
        <v>0.0</v>
      </c>
      <c r="S67" s="4">
        <v>8.0</v>
      </c>
      <c r="T67" s="4">
        <v>60.0</v>
      </c>
      <c r="U67" s="4">
        <v>56.0</v>
      </c>
      <c r="V67" s="4">
        <v>11.0</v>
      </c>
      <c r="W67" s="4">
        <v>18.0</v>
      </c>
      <c r="X67" s="4">
        <v>19.0</v>
      </c>
      <c r="Y67" s="4">
        <v>0.0</v>
      </c>
      <c r="Z67" s="4">
        <v>10.0</v>
      </c>
      <c r="AA67" s="4">
        <v>27.0</v>
      </c>
      <c r="AB67" s="4">
        <v>23.0</v>
      </c>
      <c r="AC67" s="4">
        <v>24.0</v>
      </c>
      <c r="AD67" s="4">
        <v>38.0</v>
      </c>
      <c r="AE67" s="4">
        <v>39.0</v>
      </c>
      <c r="AF67" s="4">
        <v>0.0</v>
      </c>
    </row>
    <row r="68">
      <c r="A68" s="25" t="s">
        <v>37</v>
      </c>
      <c r="B68" s="4">
        <v>2.0</v>
      </c>
      <c r="C68" s="4">
        <v>8.0</v>
      </c>
      <c r="D68" s="4">
        <v>2.0</v>
      </c>
      <c r="E68" s="4">
        <v>1.0</v>
      </c>
      <c r="F68" s="4">
        <v>1.0</v>
      </c>
      <c r="G68" s="4">
        <v>1.0</v>
      </c>
      <c r="H68" s="4">
        <v>1.0</v>
      </c>
      <c r="I68" s="4">
        <v>2.0</v>
      </c>
      <c r="J68" s="4">
        <v>4.0</v>
      </c>
      <c r="K68" s="4">
        <v>2.0</v>
      </c>
      <c r="L68" s="4">
        <v>1.0</v>
      </c>
      <c r="M68" s="4">
        <v>3.0</v>
      </c>
      <c r="N68" s="4">
        <v>2.0</v>
      </c>
      <c r="O68" s="4">
        <v>3.0</v>
      </c>
      <c r="P68" s="4">
        <v>2.0</v>
      </c>
      <c r="Q68" s="4">
        <v>6.0</v>
      </c>
      <c r="R68" s="4">
        <v>1.0</v>
      </c>
      <c r="S68" s="4">
        <v>2.0</v>
      </c>
      <c r="T68" s="4">
        <v>0.0</v>
      </c>
      <c r="U68" s="4">
        <v>3.0</v>
      </c>
      <c r="V68" s="4">
        <v>4.0</v>
      </c>
      <c r="W68" s="4">
        <v>12.0</v>
      </c>
      <c r="X68" s="4">
        <v>17.0</v>
      </c>
      <c r="Y68" s="4">
        <v>14.0</v>
      </c>
      <c r="Z68" s="4">
        <v>11.0</v>
      </c>
      <c r="AA68" s="4">
        <v>14.0</v>
      </c>
      <c r="AB68" s="4">
        <v>11.0</v>
      </c>
      <c r="AC68" s="4">
        <v>10.0</v>
      </c>
      <c r="AD68" s="4">
        <v>11.0</v>
      </c>
      <c r="AE68" s="4">
        <v>14.0</v>
      </c>
      <c r="AF68" s="4">
        <v>0.0</v>
      </c>
    </row>
    <row r="69">
      <c r="A69" s="23" t="s">
        <v>53</v>
      </c>
      <c r="B69" s="39">
        <f t="shared" ref="B69:AF69" si="14">B67+B68</f>
        <v>20</v>
      </c>
      <c r="C69" s="39">
        <f t="shared" si="14"/>
        <v>30</v>
      </c>
      <c r="D69" s="39">
        <f t="shared" si="14"/>
        <v>2</v>
      </c>
      <c r="E69" s="39">
        <f t="shared" si="14"/>
        <v>4</v>
      </c>
      <c r="F69" s="39">
        <f t="shared" si="14"/>
        <v>22</v>
      </c>
      <c r="G69" s="39">
        <f t="shared" si="14"/>
        <v>15</v>
      </c>
      <c r="H69" s="39">
        <f t="shared" si="14"/>
        <v>12</v>
      </c>
      <c r="I69" s="39">
        <f t="shared" si="14"/>
        <v>13</v>
      </c>
      <c r="J69" s="39">
        <f t="shared" si="14"/>
        <v>13</v>
      </c>
      <c r="K69" s="39">
        <f t="shared" si="14"/>
        <v>2</v>
      </c>
      <c r="L69" s="39">
        <f t="shared" si="14"/>
        <v>7</v>
      </c>
      <c r="M69" s="39">
        <f t="shared" si="14"/>
        <v>21</v>
      </c>
      <c r="N69" s="39">
        <f t="shared" si="14"/>
        <v>12</v>
      </c>
      <c r="O69" s="39">
        <f t="shared" si="14"/>
        <v>7</v>
      </c>
      <c r="P69" s="39">
        <f t="shared" si="14"/>
        <v>9</v>
      </c>
      <c r="Q69" s="39">
        <f t="shared" si="14"/>
        <v>10</v>
      </c>
      <c r="R69" s="39">
        <f t="shared" si="14"/>
        <v>1</v>
      </c>
      <c r="S69" s="39">
        <f t="shared" si="14"/>
        <v>10</v>
      </c>
      <c r="T69" s="39">
        <f t="shared" si="14"/>
        <v>60</v>
      </c>
      <c r="U69" s="39">
        <f t="shared" si="14"/>
        <v>59</v>
      </c>
      <c r="V69" s="39">
        <f t="shared" si="14"/>
        <v>15</v>
      </c>
      <c r="W69" s="39">
        <f t="shared" si="14"/>
        <v>30</v>
      </c>
      <c r="X69" s="39">
        <f t="shared" si="14"/>
        <v>36</v>
      </c>
      <c r="Y69" s="39">
        <f t="shared" si="14"/>
        <v>14</v>
      </c>
      <c r="Z69" s="39">
        <f t="shared" si="14"/>
        <v>21</v>
      </c>
      <c r="AA69" s="39">
        <f t="shared" si="14"/>
        <v>41</v>
      </c>
      <c r="AB69" s="39">
        <f t="shared" si="14"/>
        <v>34</v>
      </c>
      <c r="AC69" s="39">
        <f t="shared" si="14"/>
        <v>34</v>
      </c>
      <c r="AD69" s="39">
        <f t="shared" si="14"/>
        <v>49</v>
      </c>
      <c r="AE69" s="39">
        <f t="shared" si="14"/>
        <v>53</v>
      </c>
      <c r="AF69" s="39">
        <f t="shared" si="14"/>
        <v>0</v>
      </c>
    </row>
    <row r="71" collapsed="1">
      <c r="A71" s="11" t="s">
        <v>55</v>
      </c>
      <c r="L71" s="30"/>
    </row>
    <row r="72" hidden="1" outlineLevel="1">
      <c r="A72" s="25" t="s">
        <v>39</v>
      </c>
      <c r="B72" s="40">
        <f>'App - P&amp;L'!B17</f>
        <v>35</v>
      </c>
      <c r="C72" s="40">
        <f>'App - P&amp;L'!C17</f>
        <v>39</v>
      </c>
      <c r="D72" s="40">
        <f>'App - P&amp;L'!D17</f>
        <v>39</v>
      </c>
      <c r="E72" s="40">
        <f>'App - P&amp;L'!E17</f>
        <v>51</v>
      </c>
      <c r="F72" s="40">
        <f>'App - P&amp;L'!F17</f>
        <v>32</v>
      </c>
      <c r="G72" s="40">
        <f>'App - P&amp;L'!G17</f>
        <v>20</v>
      </c>
      <c r="H72" s="40">
        <f>'App - P&amp;L'!H17</f>
        <v>20</v>
      </c>
      <c r="I72" s="40">
        <f>'App - P&amp;L'!I17</f>
        <v>31</v>
      </c>
      <c r="J72" s="40">
        <f>'App - P&amp;L'!J17</f>
        <v>31</v>
      </c>
      <c r="K72" s="40">
        <f>'App - P&amp;L'!K17</f>
        <v>28</v>
      </c>
      <c r="L72" s="40">
        <f>'App - P&amp;L'!L17</f>
        <v>18</v>
      </c>
      <c r="M72" s="40">
        <f>'App - P&amp;L'!M17</f>
        <v>21</v>
      </c>
      <c r="N72" s="40">
        <f>'App - P&amp;L'!N17</f>
        <v>20</v>
      </c>
      <c r="O72" s="40">
        <f>'App - P&amp;L'!O17</f>
        <v>24</v>
      </c>
      <c r="P72" s="40">
        <f>'App - P&amp;L'!P17</f>
        <v>28</v>
      </c>
      <c r="Q72" s="40">
        <f>'App - P&amp;L'!Q17</f>
        <v>24</v>
      </c>
      <c r="R72" s="40">
        <f>'App - P&amp;L'!R17</f>
        <v>31</v>
      </c>
      <c r="S72" s="40">
        <f>'App - P&amp;L'!S17</f>
        <v>23</v>
      </c>
      <c r="T72" s="40">
        <f>'App - P&amp;L'!T17</f>
        <v>21</v>
      </c>
      <c r="U72" s="40">
        <f>'App - P&amp;L'!U17</f>
        <v>21</v>
      </c>
      <c r="V72" s="40">
        <f>'App - P&amp;L'!V17</f>
        <v>22</v>
      </c>
      <c r="W72" s="40">
        <f>'App - P&amp;L'!W17</f>
        <v>12</v>
      </c>
      <c r="X72" s="40">
        <f>'App - P&amp;L'!X17</f>
        <v>19</v>
      </c>
      <c r="Y72" s="40">
        <f>'App - P&amp;L'!Y17</f>
        <v>29</v>
      </c>
      <c r="Z72" s="40">
        <f>'App - P&amp;L'!Z17</f>
        <v>29</v>
      </c>
      <c r="AA72" s="40">
        <f>'App - P&amp;L'!AA17</f>
        <v>27</v>
      </c>
      <c r="AB72" s="40">
        <f>'App - P&amp;L'!AB17</f>
        <v>31</v>
      </c>
      <c r="AC72" s="40">
        <f>'App - P&amp;L'!AC17</f>
        <v>25</v>
      </c>
      <c r="AD72" s="40">
        <f>'App - P&amp;L'!AD17</f>
        <v>38</v>
      </c>
      <c r="AE72" s="40">
        <f>'App - P&amp;L'!AE17</f>
        <v>18</v>
      </c>
      <c r="AF72" s="40">
        <f>'App - P&amp;L'!AF17</f>
        <v>11</v>
      </c>
    </row>
    <row r="73" hidden="1" outlineLevel="1">
      <c r="A73" s="25" t="s">
        <v>40</v>
      </c>
      <c r="B73" s="40">
        <f>'App - P&amp;L'!B14</f>
        <v>208</v>
      </c>
      <c r="C73" s="40">
        <f>'App - P&amp;L'!C14</f>
        <v>180</v>
      </c>
      <c r="D73" s="40">
        <f>'App - P&amp;L'!D14</f>
        <v>238</v>
      </c>
      <c r="E73" s="40">
        <f>'App - P&amp;L'!E14</f>
        <v>274</v>
      </c>
      <c r="F73" s="40">
        <f>'App - P&amp;L'!F14</f>
        <v>132</v>
      </c>
      <c r="G73" s="40">
        <f>'App - P&amp;L'!G14</f>
        <v>108</v>
      </c>
      <c r="H73" s="40">
        <f>'App - P&amp;L'!H14</f>
        <v>115</v>
      </c>
      <c r="I73" s="40">
        <f>'App - P&amp;L'!I14</f>
        <v>113</v>
      </c>
      <c r="J73" s="40">
        <f>'App - P&amp;L'!J14</f>
        <v>134</v>
      </c>
      <c r="K73" s="40">
        <f>'App - P&amp;L'!K14</f>
        <v>168</v>
      </c>
      <c r="L73" s="40">
        <f>'App - P&amp;L'!L14</f>
        <v>101</v>
      </c>
      <c r="M73" s="40">
        <f>'App - P&amp;L'!M14</f>
        <v>111</v>
      </c>
      <c r="N73" s="40">
        <f>'App - P&amp;L'!N14</f>
        <v>93</v>
      </c>
      <c r="O73" s="40">
        <f>'App - P&amp;L'!O14</f>
        <v>122</v>
      </c>
      <c r="P73" s="40">
        <f>'App - P&amp;L'!P14</f>
        <v>92</v>
      </c>
      <c r="Q73" s="40">
        <f>'App - P&amp;L'!Q14</f>
        <v>150</v>
      </c>
      <c r="R73" s="40">
        <f>'App - P&amp;L'!R14</f>
        <v>148</v>
      </c>
      <c r="S73" s="40">
        <f>'App - P&amp;L'!S14</f>
        <v>89</v>
      </c>
      <c r="T73" s="40">
        <f>'App - P&amp;L'!T14</f>
        <v>83</v>
      </c>
      <c r="U73" s="40">
        <f>'App - P&amp;L'!U14</f>
        <v>90</v>
      </c>
      <c r="V73" s="40">
        <f>'App - P&amp;L'!V14</f>
        <v>84</v>
      </c>
      <c r="W73" s="40">
        <f>'App - P&amp;L'!W14</f>
        <v>80</v>
      </c>
      <c r="X73" s="40">
        <f>'App - P&amp;L'!X14</f>
        <v>126</v>
      </c>
      <c r="Y73" s="40">
        <f>'App - P&amp;L'!Y14</f>
        <v>159</v>
      </c>
      <c r="Z73" s="40">
        <f>'App - P&amp;L'!Z14</f>
        <v>190</v>
      </c>
      <c r="AA73" s="40">
        <f>'App - P&amp;L'!AA14</f>
        <v>189</v>
      </c>
      <c r="AB73" s="40">
        <f>'App - P&amp;L'!AB14</f>
        <v>131</v>
      </c>
      <c r="AC73" s="40">
        <f>'App - P&amp;L'!AC14</f>
        <v>123</v>
      </c>
      <c r="AD73" s="40">
        <f>'App - P&amp;L'!AD14</f>
        <v>126</v>
      </c>
      <c r="AE73" s="40">
        <f>'App - P&amp;L'!AE14</f>
        <v>134</v>
      </c>
      <c r="AF73" s="40">
        <f>'App - P&amp;L'!AF14</f>
        <v>144</v>
      </c>
    </row>
    <row r="74">
      <c r="A74" s="23" t="s">
        <v>53</v>
      </c>
      <c r="B74" s="40">
        <f t="shared" ref="B74:AF74" si="15">sum(B72:B73)</f>
        <v>243</v>
      </c>
      <c r="C74" s="40">
        <f t="shared" si="15"/>
        <v>219</v>
      </c>
      <c r="D74" s="40">
        <f t="shared" si="15"/>
        <v>277</v>
      </c>
      <c r="E74" s="40">
        <f t="shared" si="15"/>
        <v>325</v>
      </c>
      <c r="F74" s="40">
        <f t="shared" si="15"/>
        <v>164</v>
      </c>
      <c r="G74" s="40">
        <f t="shared" si="15"/>
        <v>128</v>
      </c>
      <c r="H74" s="40">
        <f t="shared" si="15"/>
        <v>135</v>
      </c>
      <c r="I74" s="40">
        <f t="shared" si="15"/>
        <v>144</v>
      </c>
      <c r="J74" s="40">
        <f t="shared" si="15"/>
        <v>165</v>
      </c>
      <c r="K74" s="40">
        <f t="shared" si="15"/>
        <v>196</v>
      </c>
      <c r="L74" s="40">
        <f t="shared" si="15"/>
        <v>119</v>
      </c>
      <c r="M74" s="40">
        <f t="shared" si="15"/>
        <v>132</v>
      </c>
      <c r="N74" s="40">
        <f t="shared" si="15"/>
        <v>113</v>
      </c>
      <c r="O74" s="40">
        <f t="shared" si="15"/>
        <v>146</v>
      </c>
      <c r="P74" s="40">
        <f t="shared" si="15"/>
        <v>120</v>
      </c>
      <c r="Q74" s="40">
        <f t="shared" si="15"/>
        <v>174</v>
      </c>
      <c r="R74" s="40">
        <f t="shared" si="15"/>
        <v>179</v>
      </c>
      <c r="S74" s="40">
        <f t="shared" si="15"/>
        <v>112</v>
      </c>
      <c r="T74" s="40">
        <f t="shared" si="15"/>
        <v>104</v>
      </c>
      <c r="U74" s="40">
        <f t="shared" si="15"/>
        <v>111</v>
      </c>
      <c r="V74" s="40">
        <f t="shared" si="15"/>
        <v>106</v>
      </c>
      <c r="W74" s="40">
        <f t="shared" si="15"/>
        <v>92</v>
      </c>
      <c r="X74" s="40">
        <f t="shared" si="15"/>
        <v>145</v>
      </c>
      <c r="Y74" s="40">
        <f t="shared" si="15"/>
        <v>188</v>
      </c>
      <c r="Z74" s="40">
        <f t="shared" si="15"/>
        <v>219</v>
      </c>
      <c r="AA74" s="40">
        <f t="shared" si="15"/>
        <v>216</v>
      </c>
      <c r="AB74" s="40">
        <f t="shared" si="15"/>
        <v>162</v>
      </c>
      <c r="AC74" s="40">
        <f t="shared" si="15"/>
        <v>148</v>
      </c>
      <c r="AD74" s="40">
        <f t="shared" si="15"/>
        <v>164</v>
      </c>
      <c r="AE74" s="40">
        <f t="shared" si="15"/>
        <v>152</v>
      </c>
      <c r="AF74" s="40">
        <f t="shared" si="15"/>
        <v>155</v>
      </c>
    </row>
    <row r="75" collapsed="1">
      <c r="A75" s="41" t="s">
        <v>56</v>
      </c>
      <c r="B75" s="42">
        <v>14427.0</v>
      </c>
      <c r="C75" s="42">
        <v>13873.35</v>
      </c>
      <c r="D75" s="42">
        <v>13491.29</v>
      </c>
      <c r="E75" s="42">
        <v>11066.51</v>
      </c>
      <c r="F75" s="42">
        <v>8954.58</v>
      </c>
      <c r="G75" s="42">
        <v>7594.1</v>
      </c>
      <c r="H75" s="42">
        <v>7442.0</v>
      </c>
      <c r="I75" s="42">
        <v>8115.37</v>
      </c>
      <c r="J75" s="42">
        <v>8470.55</v>
      </c>
      <c r="K75" s="42">
        <v>8952.74</v>
      </c>
      <c r="L75" s="42">
        <v>7835.58</v>
      </c>
      <c r="M75" s="42">
        <v>5980.95</v>
      </c>
      <c r="N75" s="42">
        <v>5492.61</v>
      </c>
      <c r="O75" s="42">
        <v>5507.35</v>
      </c>
      <c r="P75" s="42">
        <v>0.0</v>
      </c>
      <c r="Q75" s="42">
        <v>0.0</v>
      </c>
      <c r="R75" s="42">
        <v>0.0</v>
      </c>
      <c r="S75" s="42">
        <v>0.0</v>
      </c>
      <c r="T75" s="42"/>
      <c r="U75" s="42">
        <v>0.0</v>
      </c>
      <c r="V75" s="42">
        <v>0.0</v>
      </c>
      <c r="W75" s="42">
        <v>0.0</v>
      </c>
      <c r="X75" s="42">
        <v>0.0</v>
      </c>
      <c r="Y75" s="42">
        <v>0.0</v>
      </c>
      <c r="Z75" s="42">
        <v>0.0</v>
      </c>
      <c r="AA75" s="42">
        <v>0.0</v>
      </c>
      <c r="AB75" s="42">
        <v>0.0</v>
      </c>
      <c r="AC75" s="42">
        <v>0.0</v>
      </c>
      <c r="AD75" s="42">
        <v>0.0</v>
      </c>
      <c r="AE75" s="42">
        <v>0.0</v>
      </c>
      <c r="AF75" s="42">
        <v>0.0</v>
      </c>
    </row>
    <row r="76" hidden="1" outlineLevel="1">
      <c r="A76" s="43" t="s">
        <v>57</v>
      </c>
      <c r="B76" s="44">
        <v>1.0846</v>
      </c>
      <c r="C76" s="44">
        <v>1.0846</v>
      </c>
      <c r="D76" s="44">
        <v>1.0843</v>
      </c>
      <c r="E76" s="44">
        <v>1.0855</v>
      </c>
      <c r="F76" s="44">
        <v>1.0855</v>
      </c>
      <c r="G76" s="44">
        <v>1.0867</v>
      </c>
      <c r="H76" s="44">
        <v>1.095</v>
      </c>
      <c r="I76" s="44">
        <v>1.0944</v>
      </c>
      <c r="J76" s="44">
        <v>1.0944</v>
      </c>
      <c r="K76" s="44">
        <v>1.0942</v>
      </c>
      <c r="L76" s="44">
        <v>1.093</v>
      </c>
      <c r="M76" s="44">
        <v>1.0928</v>
      </c>
      <c r="N76" s="44">
        <v>1.0952</v>
      </c>
      <c r="O76" s="44">
        <v>1.0883</v>
      </c>
      <c r="P76" s="44">
        <v>1.0899</v>
      </c>
      <c r="Q76" s="44">
        <v>1.0891</v>
      </c>
      <c r="R76" s="44">
        <v>1.0882</v>
      </c>
      <c r="S76" s="44">
        <v>1.0871</v>
      </c>
      <c r="T76" s="44">
        <v>1.0866</v>
      </c>
      <c r="U76" s="44">
        <v>1.0937</v>
      </c>
      <c r="V76" s="45">
        <v>1.0862</v>
      </c>
      <c r="W76" s="45">
        <v>1.0858</v>
      </c>
      <c r="X76" s="45">
        <v>1.0858</v>
      </c>
      <c r="Y76" s="45">
        <v>1.0808</v>
      </c>
      <c r="Z76" s="45">
        <v>1.0838</v>
      </c>
      <c r="AA76" s="45">
        <v>1.0832</v>
      </c>
      <c r="AB76" s="45">
        <v>1.0813</v>
      </c>
      <c r="AC76" s="45">
        <v>1.0792</v>
      </c>
      <c r="AD76" s="45">
        <v>1.08</v>
      </c>
      <c r="AE76" s="45">
        <v>1.08</v>
      </c>
      <c r="AF76" s="45">
        <v>1.0787</v>
      </c>
    </row>
    <row r="77">
      <c r="A77" s="16" t="s">
        <v>58</v>
      </c>
      <c r="B77" s="46">
        <f t="shared" ref="B77:AF77" si="16">B75*B76</f>
        <v>15647.5242</v>
      </c>
      <c r="C77" s="46">
        <f t="shared" si="16"/>
        <v>15047.03541</v>
      </c>
      <c r="D77" s="46">
        <f t="shared" si="16"/>
        <v>14628.60575</v>
      </c>
      <c r="E77" s="46">
        <f t="shared" si="16"/>
        <v>12012.69661</v>
      </c>
      <c r="F77" s="46">
        <f t="shared" si="16"/>
        <v>9720.19659</v>
      </c>
      <c r="G77" s="46">
        <f t="shared" si="16"/>
        <v>8252.50847</v>
      </c>
      <c r="H77" s="46">
        <f t="shared" si="16"/>
        <v>8148.99</v>
      </c>
      <c r="I77" s="46">
        <f t="shared" si="16"/>
        <v>8881.460928</v>
      </c>
      <c r="J77" s="46">
        <f t="shared" si="16"/>
        <v>9270.16992</v>
      </c>
      <c r="K77" s="46">
        <f t="shared" si="16"/>
        <v>9796.088108</v>
      </c>
      <c r="L77" s="46">
        <f t="shared" si="16"/>
        <v>8564.28894</v>
      </c>
      <c r="M77" s="46">
        <f t="shared" si="16"/>
        <v>6535.98216</v>
      </c>
      <c r="N77" s="46">
        <f t="shared" si="16"/>
        <v>6015.506472</v>
      </c>
      <c r="O77" s="46">
        <f t="shared" si="16"/>
        <v>5993.649005</v>
      </c>
      <c r="P77" s="46">
        <f t="shared" si="16"/>
        <v>0</v>
      </c>
      <c r="Q77" s="46">
        <f t="shared" si="16"/>
        <v>0</v>
      </c>
      <c r="R77" s="46">
        <f t="shared" si="16"/>
        <v>0</v>
      </c>
      <c r="S77" s="46">
        <f t="shared" si="16"/>
        <v>0</v>
      </c>
      <c r="T77" s="46">
        <f t="shared" si="16"/>
        <v>0</v>
      </c>
      <c r="U77" s="46">
        <f t="shared" si="16"/>
        <v>0</v>
      </c>
      <c r="V77" s="46">
        <f t="shared" si="16"/>
        <v>0</v>
      </c>
      <c r="W77" s="46">
        <f t="shared" si="16"/>
        <v>0</v>
      </c>
      <c r="X77" s="46">
        <f t="shared" si="16"/>
        <v>0</v>
      </c>
      <c r="Y77" s="46">
        <f t="shared" si="16"/>
        <v>0</v>
      </c>
      <c r="Z77" s="46">
        <f t="shared" si="16"/>
        <v>0</v>
      </c>
      <c r="AA77" s="46">
        <f t="shared" si="16"/>
        <v>0</v>
      </c>
      <c r="AB77" s="46">
        <f t="shared" si="16"/>
        <v>0</v>
      </c>
      <c r="AC77" s="46">
        <f t="shared" si="16"/>
        <v>0</v>
      </c>
      <c r="AD77" s="46">
        <f t="shared" si="16"/>
        <v>0</v>
      </c>
      <c r="AE77" s="46">
        <f t="shared" si="16"/>
        <v>0</v>
      </c>
      <c r="AF77" s="46">
        <f t="shared" si="16"/>
        <v>0</v>
      </c>
    </row>
    <row r="78">
      <c r="A78" s="16" t="s">
        <v>59</v>
      </c>
      <c r="B78" s="13">
        <f>3166.71-253.24</f>
        <v>2913.47</v>
      </c>
      <c r="C78" s="13">
        <f>3408.36-100.94</f>
        <v>3307.42</v>
      </c>
      <c r="D78" s="13">
        <f>3986.76-126.99</f>
        <v>3859.77</v>
      </c>
      <c r="E78" s="13">
        <v>3297.42</v>
      </c>
      <c r="F78" s="13">
        <f>3108.25-211.69</f>
        <v>2896.56</v>
      </c>
      <c r="G78" s="13">
        <f>3273.1-260.09</f>
        <v>3013.01</v>
      </c>
      <c r="H78" s="13">
        <f>3138.61-145.38</f>
        <v>2993.23</v>
      </c>
      <c r="I78" s="13">
        <f>3304.23-236.77</f>
        <v>3067.46</v>
      </c>
      <c r="J78" s="13">
        <f>3922.15-99.19</f>
        <v>3822.96</v>
      </c>
      <c r="K78" s="13">
        <f>3673.48-42.57</f>
        <v>3630.91</v>
      </c>
      <c r="L78" s="13">
        <f>2933.36-60.28</f>
        <v>2873.08</v>
      </c>
      <c r="M78" s="13">
        <f>2865.1-20.16</f>
        <v>2844.94</v>
      </c>
      <c r="N78" s="13">
        <v>2634.7</v>
      </c>
      <c r="O78" s="13">
        <v>2511.62</v>
      </c>
      <c r="P78" s="13">
        <v>2617.8</v>
      </c>
      <c r="Q78" s="13">
        <v>2644.31</v>
      </c>
      <c r="R78" s="13">
        <v>2301.66</v>
      </c>
      <c r="S78" s="13">
        <v>2333.56</v>
      </c>
      <c r="T78" s="13">
        <v>1951.12</v>
      </c>
      <c r="U78" s="13">
        <v>1644.55</v>
      </c>
      <c r="V78" s="13">
        <v>2043.91</v>
      </c>
      <c r="W78" s="13">
        <v>1894.16</v>
      </c>
      <c r="X78" s="13">
        <v>3309.39</v>
      </c>
      <c r="Y78" s="13">
        <v>2664.13</v>
      </c>
      <c r="Z78" s="13">
        <v>1960.13</v>
      </c>
      <c r="AA78" s="13">
        <v>1425.05</v>
      </c>
      <c r="AB78" s="13">
        <v>1553.35</v>
      </c>
      <c r="AC78" s="13">
        <v>1624.95</v>
      </c>
      <c r="AD78" s="13">
        <v>1566.94</v>
      </c>
      <c r="AE78" s="13">
        <v>1676.18</v>
      </c>
      <c r="AF78" s="13">
        <v>1712.75</v>
      </c>
    </row>
    <row r="79">
      <c r="A79" s="16" t="s">
        <v>60</v>
      </c>
      <c r="B79" s="13">
        <v>315.68</v>
      </c>
      <c r="C79" s="13">
        <v>248.85</v>
      </c>
      <c r="D79" s="13">
        <v>243.12</v>
      </c>
      <c r="E79" s="13">
        <v>248.21</v>
      </c>
      <c r="F79" s="13">
        <v>225.84</v>
      </c>
      <c r="G79" s="13">
        <v>230.1</v>
      </c>
      <c r="H79" s="13">
        <v>312.0</v>
      </c>
      <c r="I79" s="13">
        <v>296.96</v>
      </c>
      <c r="J79" s="13">
        <v>248.99</v>
      </c>
      <c r="K79" s="13">
        <v>240.58</v>
      </c>
      <c r="L79" s="13">
        <v>181.76</v>
      </c>
      <c r="M79" s="13">
        <v>290.55</v>
      </c>
      <c r="N79" s="13">
        <v>303.94</v>
      </c>
      <c r="O79" s="13">
        <v>208.61</v>
      </c>
      <c r="P79" s="13">
        <v>237.36</v>
      </c>
      <c r="Q79" s="13">
        <v>173.44</v>
      </c>
      <c r="R79" s="13">
        <v>179.26</v>
      </c>
      <c r="S79" s="13">
        <v>176.66</v>
      </c>
      <c r="T79" s="13">
        <v>172.1</v>
      </c>
      <c r="U79" s="13">
        <v>170.55</v>
      </c>
      <c r="V79" s="13">
        <v>206.94</v>
      </c>
      <c r="W79" s="13">
        <v>150.73</v>
      </c>
      <c r="X79" s="13">
        <v>159.54</v>
      </c>
      <c r="Y79" s="13">
        <v>197.9</v>
      </c>
      <c r="Z79" s="13">
        <v>164.62</v>
      </c>
      <c r="AA79" s="13">
        <v>131.18</v>
      </c>
      <c r="AB79" s="13">
        <v>218.82</v>
      </c>
      <c r="AC79" s="13">
        <v>243.1</v>
      </c>
      <c r="AD79" s="13">
        <v>153.59</v>
      </c>
      <c r="AE79" s="13">
        <v>133.01</v>
      </c>
      <c r="AF79" s="13">
        <v>152.56</v>
      </c>
    </row>
    <row r="80">
      <c r="A80" s="16" t="s">
        <v>61</v>
      </c>
      <c r="B80" s="13">
        <v>0.0</v>
      </c>
      <c r="C80" s="13">
        <v>0.0</v>
      </c>
      <c r="D80" s="13">
        <v>0.0</v>
      </c>
      <c r="E80" s="13">
        <v>0.0</v>
      </c>
      <c r="F80" s="13">
        <v>0.0</v>
      </c>
      <c r="G80" s="13">
        <v>0.0</v>
      </c>
      <c r="H80" s="13">
        <v>0.0</v>
      </c>
      <c r="I80" s="13">
        <v>62.08</v>
      </c>
      <c r="J80" s="13">
        <v>618.21</v>
      </c>
      <c r="K80" s="13">
        <v>501.33</v>
      </c>
      <c r="L80" s="13">
        <v>504.13</v>
      </c>
      <c r="M80" s="13">
        <v>402.38</v>
      </c>
      <c r="N80" s="13">
        <v>595.27</v>
      </c>
      <c r="O80" s="13">
        <v>500.22</v>
      </c>
      <c r="P80" s="13">
        <v>500.48</v>
      </c>
      <c r="Q80" s="13">
        <v>493.61</v>
      </c>
      <c r="R80" s="13">
        <v>500.87</v>
      </c>
      <c r="S80" s="13">
        <v>490.48</v>
      </c>
      <c r="T80" s="13">
        <v>510.24</v>
      </c>
      <c r="U80" s="13">
        <v>501.34</v>
      </c>
      <c r="V80" s="13">
        <v>407.09</v>
      </c>
      <c r="W80" s="13">
        <v>527.79</v>
      </c>
      <c r="X80" s="13">
        <v>596.27</v>
      </c>
      <c r="Y80" s="13">
        <v>491.54</v>
      </c>
      <c r="Z80" s="13">
        <v>487.15</v>
      </c>
      <c r="AA80" s="13">
        <v>500.76</v>
      </c>
      <c r="AB80" s="13">
        <v>562.64</v>
      </c>
      <c r="AC80" s="13">
        <v>562.7</v>
      </c>
      <c r="AD80" s="13">
        <v>481.95</v>
      </c>
      <c r="AE80" s="13">
        <v>247.35</v>
      </c>
      <c r="AF80" s="13">
        <v>251.21</v>
      </c>
    </row>
    <row r="81">
      <c r="A81" s="16" t="s">
        <v>62</v>
      </c>
      <c r="B81" s="13">
        <v>1348.28</v>
      </c>
      <c r="C81" s="12">
        <v>1385.43</v>
      </c>
      <c r="D81" s="13">
        <v>1102.46</v>
      </c>
      <c r="E81" s="13">
        <v>752.89</v>
      </c>
      <c r="F81" s="13">
        <v>700.89</v>
      </c>
      <c r="G81" s="13">
        <v>2163.8</v>
      </c>
      <c r="H81" s="13">
        <v>3196.98</v>
      </c>
      <c r="I81" s="13">
        <v>2585.22</v>
      </c>
      <c r="J81" s="13">
        <v>2860.98</v>
      </c>
      <c r="K81" s="13">
        <v>2868.07</v>
      </c>
      <c r="L81" s="13">
        <v>1575.67</v>
      </c>
      <c r="M81" s="13">
        <v>1813.72</v>
      </c>
      <c r="N81" s="13">
        <v>1855.46</v>
      </c>
      <c r="O81" s="13">
        <v>1949.79</v>
      </c>
      <c r="P81" s="13">
        <v>2177.64</v>
      </c>
      <c r="Q81" s="13">
        <v>2457.0</v>
      </c>
      <c r="R81" s="13">
        <v>2314.72</v>
      </c>
      <c r="S81" s="13">
        <v>1846.92</v>
      </c>
      <c r="T81" s="13">
        <v>1591.02</v>
      </c>
      <c r="U81" s="13">
        <v>2164.62</v>
      </c>
      <c r="V81" s="13">
        <v>2214.03</v>
      </c>
      <c r="W81" s="13">
        <v>1993.47</v>
      </c>
      <c r="X81" s="13">
        <v>2286.97</v>
      </c>
      <c r="Y81" s="13">
        <v>2110.61</v>
      </c>
      <c r="Z81" s="13">
        <v>621.13</v>
      </c>
      <c r="AA81" s="13">
        <v>415.09</v>
      </c>
      <c r="AB81" s="13">
        <v>390.6</v>
      </c>
      <c r="AC81" s="13">
        <v>370.26</v>
      </c>
      <c r="AD81" s="13">
        <v>359.58</v>
      </c>
      <c r="AE81" s="13">
        <v>443.94</v>
      </c>
      <c r="AF81" s="13">
        <v>430.21</v>
      </c>
    </row>
    <row r="82">
      <c r="A82" s="16" t="s">
        <v>63</v>
      </c>
      <c r="B82" s="26"/>
      <c r="C82" s="26"/>
      <c r="D82" s="26"/>
      <c r="E82" s="26"/>
      <c r="F82" s="26"/>
      <c r="G82" s="26"/>
      <c r="H82" s="26"/>
      <c r="I82" s="26"/>
      <c r="J82" s="26"/>
      <c r="K82" s="26"/>
      <c r="L82" s="26"/>
      <c r="M82" s="26"/>
      <c r="N82" s="26"/>
      <c r="O82" s="26"/>
      <c r="P82" s="26"/>
      <c r="Q82" s="26"/>
      <c r="R82" s="26"/>
      <c r="S82" s="26"/>
      <c r="T82" s="26"/>
      <c r="U82" s="47"/>
      <c r="V82" s="47"/>
      <c r="W82" s="47"/>
      <c r="X82" s="47"/>
      <c r="Y82" s="47"/>
      <c r="Z82" s="26"/>
      <c r="AA82" s="47"/>
      <c r="AB82" s="47"/>
      <c r="AC82" s="47"/>
      <c r="AD82" s="26"/>
      <c r="AE82" s="26"/>
      <c r="AF82" s="26"/>
    </row>
    <row r="83">
      <c r="A83" s="16" t="s">
        <v>64</v>
      </c>
      <c r="B83" s="26"/>
      <c r="C83" s="26"/>
      <c r="D83" s="26"/>
      <c r="E83" s="26"/>
      <c r="F83" s="26"/>
      <c r="G83" s="26"/>
      <c r="H83" s="26"/>
      <c r="I83" s="26"/>
      <c r="J83" s="26"/>
      <c r="K83" s="26"/>
      <c r="L83" s="26"/>
      <c r="M83" s="26"/>
      <c r="N83" s="26"/>
      <c r="O83" s="26"/>
      <c r="P83" s="26"/>
      <c r="Q83" s="26"/>
      <c r="R83" s="26"/>
      <c r="S83" s="26"/>
      <c r="T83" s="26"/>
      <c r="U83" s="47"/>
      <c r="V83" s="47"/>
      <c r="W83" s="47"/>
      <c r="X83" s="47"/>
      <c r="Y83" s="47"/>
      <c r="Z83" s="26"/>
      <c r="AA83" s="47"/>
      <c r="AB83" s="47"/>
      <c r="AC83" s="47"/>
      <c r="AD83" s="26"/>
      <c r="AE83" s="26"/>
      <c r="AF83" s="26"/>
    </row>
    <row r="84">
      <c r="A84" s="16" t="s">
        <v>65</v>
      </c>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row>
    <row r="85">
      <c r="A85" s="16" t="s">
        <v>66</v>
      </c>
      <c r="B85" s="13">
        <f t="shared" ref="B85:AF85" si="17">B23*0.2</f>
        <v>80.6621544</v>
      </c>
      <c r="C85" s="13">
        <f t="shared" si="17"/>
        <v>44.5766772</v>
      </c>
      <c r="D85" s="13">
        <f t="shared" si="17"/>
        <v>0</v>
      </c>
      <c r="E85" s="13">
        <f t="shared" si="17"/>
        <v>0</v>
      </c>
      <c r="F85" s="13">
        <f t="shared" si="17"/>
        <v>0</v>
      </c>
      <c r="G85" s="13">
        <f t="shared" si="17"/>
        <v>44.5766772</v>
      </c>
      <c r="H85" s="13">
        <f t="shared" si="17"/>
        <v>0</v>
      </c>
      <c r="I85" s="13">
        <f t="shared" si="17"/>
        <v>89.1533544</v>
      </c>
      <c r="J85" s="13">
        <f t="shared" si="17"/>
        <v>0</v>
      </c>
      <c r="K85" s="13">
        <f t="shared" si="17"/>
        <v>214.392186</v>
      </c>
      <c r="L85" s="13">
        <f t="shared" si="17"/>
        <v>44.5766772</v>
      </c>
      <c r="M85" s="13">
        <f t="shared" si="17"/>
        <v>44.5766772</v>
      </c>
      <c r="N85" s="13">
        <f t="shared" si="17"/>
        <v>0</v>
      </c>
      <c r="O85" s="13">
        <f t="shared" si="17"/>
        <v>0</v>
      </c>
      <c r="P85" s="13">
        <f t="shared" si="17"/>
        <v>0</v>
      </c>
      <c r="Q85" s="13">
        <f t="shared" si="17"/>
        <v>0</v>
      </c>
      <c r="R85" s="13">
        <f t="shared" si="17"/>
        <v>0</v>
      </c>
      <c r="S85" s="13">
        <f t="shared" si="17"/>
        <v>0</v>
      </c>
      <c r="T85" s="13">
        <f t="shared" si="17"/>
        <v>0</v>
      </c>
      <c r="U85" s="13">
        <f t="shared" si="17"/>
        <v>0</v>
      </c>
      <c r="V85" s="13">
        <f t="shared" si="17"/>
        <v>0</v>
      </c>
      <c r="W85" s="13">
        <f t="shared" si="17"/>
        <v>0</v>
      </c>
      <c r="X85" s="13">
        <f t="shared" si="17"/>
        <v>0</v>
      </c>
      <c r="Y85" s="13">
        <f t="shared" si="17"/>
        <v>0</v>
      </c>
      <c r="Z85" s="13">
        <f t="shared" si="17"/>
        <v>0</v>
      </c>
      <c r="AA85" s="13">
        <f t="shared" si="17"/>
        <v>0</v>
      </c>
      <c r="AB85" s="13">
        <f t="shared" si="17"/>
        <v>0</v>
      </c>
      <c r="AC85" s="13">
        <f t="shared" si="17"/>
        <v>63.6818772</v>
      </c>
      <c r="AD85" s="13">
        <f t="shared" si="17"/>
        <v>0</v>
      </c>
      <c r="AE85" s="13">
        <f t="shared" si="17"/>
        <v>0</v>
      </c>
      <c r="AF85" s="13">
        <f t="shared" si="17"/>
        <v>0</v>
      </c>
    </row>
    <row r="86">
      <c r="A86" s="16" t="s">
        <v>67</v>
      </c>
      <c r="B86" s="48">
        <f t="shared" ref="B86:AF86" si="18">B27*0.15</f>
        <v>0</v>
      </c>
      <c r="C86" s="48">
        <f t="shared" si="18"/>
        <v>0</v>
      </c>
      <c r="D86" s="48">
        <f t="shared" si="18"/>
        <v>0</v>
      </c>
      <c r="E86" s="48">
        <f t="shared" si="18"/>
        <v>0</v>
      </c>
      <c r="F86" s="48">
        <f t="shared" si="18"/>
        <v>0</v>
      </c>
      <c r="G86" s="48">
        <f t="shared" si="18"/>
        <v>0</v>
      </c>
      <c r="H86" s="48">
        <f t="shared" si="18"/>
        <v>47.60379</v>
      </c>
      <c r="I86" s="48">
        <f t="shared" si="18"/>
        <v>0</v>
      </c>
      <c r="J86" s="48">
        <f t="shared" si="18"/>
        <v>0</v>
      </c>
      <c r="K86" s="48">
        <f t="shared" si="18"/>
        <v>0</v>
      </c>
      <c r="L86" s="48">
        <f t="shared" si="18"/>
        <v>47.60379</v>
      </c>
      <c r="M86" s="48">
        <f t="shared" si="18"/>
        <v>0</v>
      </c>
      <c r="N86" s="48">
        <f t="shared" si="18"/>
        <v>0</v>
      </c>
      <c r="O86" s="48">
        <f t="shared" si="18"/>
        <v>0</v>
      </c>
      <c r="P86" s="48">
        <f t="shared" si="18"/>
        <v>0</v>
      </c>
      <c r="Q86" s="48">
        <f t="shared" si="18"/>
        <v>0</v>
      </c>
      <c r="R86" s="48">
        <f t="shared" si="18"/>
        <v>0</v>
      </c>
      <c r="S86" s="48">
        <f t="shared" si="18"/>
        <v>0</v>
      </c>
      <c r="T86" s="48">
        <f t="shared" si="18"/>
        <v>0</v>
      </c>
      <c r="U86" s="48">
        <f t="shared" si="18"/>
        <v>0</v>
      </c>
      <c r="V86" s="48">
        <f t="shared" si="18"/>
        <v>0</v>
      </c>
      <c r="W86" s="48">
        <f t="shared" si="18"/>
        <v>0</v>
      </c>
      <c r="X86" s="48">
        <f t="shared" si="18"/>
        <v>0</v>
      </c>
      <c r="Y86" s="48">
        <f t="shared" si="18"/>
        <v>0</v>
      </c>
      <c r="Z86" s="48">
        <f t="shared" si="18"/>
        <v>76.10238</v>
      </c>
      <c r="AA86" s="48">
        <f t="shared" si="18"/>
        <v>0</v>
      </c>
      <c r="AB86" s="48">
        <f t="shared" si="18"/>
        <v>0</v>
      </c>
      <c r="AC86" s="48">
        <f t="shared" si="18"/>
        <v>0</v>
      </c>
      <c r="AD86" s="48">
        <f t="shared" si="18"/>
        <v>0</v>
      </c>
      <c r="AE86" s="48">
        <f t="shared" si="18"/>
        <v>0</v>
      </c>
      <c r="AF86" s="48">
        <f t="shared" si="18"/>
        <v>0</v>
      </c>
    </row>
    <row r="87">
      <c r="A87" s="49" t="s">
        <v>68</v>
      </c>
      <c r="B87" s="50">
        <f t="shared" ref="B87:AF87" si="19">B77+B78+B79+B80+B82+B84</f>
        <v>18876.6742</v>
      </c>
      <c r="C87" s="50">
        <f t="shared" si="19"/>
        <v>18603.30541</v>
      </c>
      <c r="D87" s="50">
        <f t="shared" si="19"/>
        <v>18731.49575</v>
      </c>
      <c r="E87" s="50">
        <f t="shared" si="19"/>
        <v>15558.32661</v>
      </c>
      <c r="F87" s="50">
        <f t="shared" si="19"/>
        <v>12842.59659</v>
      </c>
      <c r="G87" s="50">
        <f t="shared" si="19"/>
        <v>11495.61847</v>
      </c>
      <c r="H87" s="50">
        <f t="shared" si="19"/>
        <v>11454.22</v>
      </c>
      <c r="I87" s="50">
        <f t="shared" si="19"/>
        <v>12307.96093</v>
      </c>
      <c r="J87" s="50">
        <f t="shared" si="19"/>
        <v>13960.32992</v>
      </c>
      <c r="K87" s="50">
        <f t="shared" si="19"/>
        <v>14168.90811</v>
      </c>
      <c r="L87" s="50">
        <f t="shared" si="19"/>
        <v>12123.25894</v>
      </c>
      <c r="M87" s="50">
        <f t="shared" si="19"/>
        <v>10073.85216</v>
      </c>
      <c r="N87" s="50">
        <f t="shared" si="19"/>
        <v>9549.416472</v>
      </c>
      <c r="O87" s="50">
        <f t="shared" si="19"/>
        <v>9214.099005</v>
      </c>
      <c r="P87" s="50">
        <f t="shared" si="19"/>
        <v>3355.64</v>
      </c>
      <c r="Q87" s="50">
        <f t="shared" si="19"/>
        <v>3311.36</v>
      </c>
      <c r="R87" s="50">
        <f t="shared" si="19"/>
        <v>2981.79</v>
      </c>
      <c r="S87" s="50">
        <f t="shared" si="19"/>
        <v>3000.7</v>
      </c>
      <c r="T87" s="50">
        <f t="shared" si="19"/>
        <v>2633.46</v>
      </c>
      <c r="U87" s="50">
        <f t="shared" si="19"/>
        <v>2316.44</v>
      </c>
      <c r="V87" s="50">
        <f t="shared" si="19"/>
        <v>2657.94</v>
      </c>
      <c r="W87" s="50">
        <f t="shared" si="19"/>
        <v>2572.68</v>
      </c>
      <c r="X87" s="50">
        <f t="shared" si="19"/>
        <v>4065.2</v>
      </c>
      <c r="Y87" s="50">
        <f t="shared" si="19"/>
        <v>3353.57</v>
      </c>
      <c r="Z87" s="50">
        <f t="shared" si="19"/>
        <v>2611.9</v>
      </c>
      <c r="AA87" s="50">
        <f t="shared" si="19"/>
        <v>2056.99</v>
      </c>
      <c r="AB87" s="50">
        <f t="shared" si="19"/>
        <v>2334.81</v>
      </c>
      <c r="AC87" s="50">
        <f t="shared" si="19"/>
        <v>2430.75</v>
      </c>
      <c r="AD87" s="50">
        <f t="shared" si="19"/>
        <v>2202.48</v>
      </c>
      <c r="AE87" s="50">
        <f t="shared" si="19"/>
        <v>2056.54</v>
      </c>
      <c r="AF87" s="50">
        <f t="shared" si="19"/>
        <v>2116.52</v>
      </c>
    </row>
    <row r="88">
      <c r="A88" s="51" t="s">
        <v>69</v>
      </c>
      <c r="B88" s="52">
        <f t="shared" ref="B88:AF88" si="20">SUM(B77:B86)</f>
        <v>20305.61635</v>
      </c>
      <c r="C88" s="52">
        <f t="shared" si="20"/>
        <v>20033.31209</v>
      </c>
      <c r="D88" s="52">
        <f t="shared" si="20"/>
        <v>19833.95575</v>
      </c>
      <c r="E88" s="52">
        <f t="shared" si="20"/>
        <v>16311.21661</v>
      </c>
      <c r="F88" s="52">
        <f t="shared" si="20"/>
        <v>13543.48659</v>
      </c>
      <c r="G88" s="52">
        <f t="shared" si="20"/>
        <v>13703.99515</v>
      </c>
      <c r="H88" s="52">
        <f t="shared" si="20"/>
        <v>14698.80379</v>
      </c>
      <c r="I88" s="52">
        <f t="shared" si="20"/>
        <v>14982.33428</v>
      </c>
      <c r="J88" s="52">
        <f t="shared" si="20"/>
        <v>16821.30992</v>
      </c>
      <c r="K88" s="52">
        <f t="shared" si="20"/>
        <v>17251.37029</v>
      </c>
      <c r="L88" s="52">
        <f t="shared" si="20"/>
        <v>13791.10941</v>
      </c>
      <c r="M88" s="52">
        <f t="shared" si="20"/>
        <v>11932.14884</v>
      </c>
      <c r="N88" s="52">
        <f t="shared" si="20"/>
        <v>11404.87647</v>
      </c>
      <c r="O88" s="52">
        <f t="shared" si="20"/>
        <v>11163.88901</v>
      </c>
      <c r="P88" s="52">
        <f t="shared" si="20"/>
        <v>5533.28</v>
      </c>
      <c r="Q88" s="52">
        <f t="shared" si="20"/>
        <v>5768.36</v>
      </c>
      <c r="R88" s="52">
        <f t="shared" si="20"/>
        <v>5296.51</v>
      </c>
      <c r="S88" s="52">
        <f t="shared" si="20"/>
        <v>4847.62</v>
      </c>
      <c r="T88" s="52">
        <f t="shared" si="20"/>
        <v>4224.48</v>
      </c>
      <c r="U88" s="52">
        <f t="shared" si="20"/>
        <v>4481.06</v>
      </c>
      <c r="V88" s="52">
        <f t="shared" si="20"/>
        <v>4871.97</v>
      </c>
      <c r="W88" s="52">
        <f t="shared" si="20"/>
        <v>4566.15</v>
      </c>
      <c r="X88" s="52">
        <f t="shared" si="20"/>
        <v>6352.17</v>
      </c>
      <c r="Y88" s="52">
        <f t="shared" si="20"/>
        <v>5464.18</v>
      </c>
      <c r="Z88" s="52">
        <f t="shared" si="20"/>
        <v>3309.13238</v>
      </c>
      <c r="AA88" s="52">
        <f t="shared" si="20"/>
        <v>2472.08</v>
      </c>
      <c r="AB88" s="52">
        <f t="shared" si="20"/>
        <v>2725.41</v>
      </c>
      <c r="AC88" s="52">
        <f t="shared" si="20"/>
        <v>2864.691877</v>
      </c>
      <c r="AD88" s="52">
        <f t="shared" si="20"/>
        <v>2562.06</v>
      </c>
      <c r="AE88" s="52">
        <f t="shared" si="20"/>
        <v>2500.48</v>
      </c>
      <c r="AF88" s="52">
        <f t="shared" si="20"/>
        <v>2546.73</v>
      </c>
    </row>
    <row r="90">
      <c r="A90" s="11" t="s">
        <v>70</v>
      </c>
      <c r="B90" s="53">
        <v>268.22</v>
      </c>
      <c r="C90" s="53">
        <v>268.78</v>
      </c>
      <c r="D90" s="53">
        <v>311.87</v>
      </c>
      <c r="E90" s="53">
        <v>283.91</v>
      </c>
      <c r="F90" s="53">
        <v>285.04</v>
      </c>
      <c r="G90" s="53">
        <v>281.26</v>
      </c>
      <c r="H90" s="53">
        <v>126.35</v>
      </c>
      <c r="I90" s="53">
        <v>0.0</v>
      </c>
      <c r="J90" s="53">
        <v>0.0</v>
      </c>
      <c r="K90" s="53">
        <v>0.0</v>
      </c>
      <c r="L90" s="53">
        <v>0.0</v>
      </c>
      <c r="M90" s="53">
        <v>0.0</v>
      </c>
      <c r="N90" s="53">
        <v>0.0</v>
      </c>
      <c r="O90" s="53">
        <v>0.0</v>
      </c>
      <c r="P90" s="53">
        <v>0.0</v>
      </c>
      <c r="Q90" s="53">
        <v>0.0</v>
      </c>
      <c r="R90" s="53">
        <v>0.0</v>
      </c>
      <c r="S90" s="53">
        <v>0.0</v>
      </c>
      <c r="T90" s="53">
        <v>0.0</v>
      </c>
      <c r="U90" s="53">
        <v>0.0</v>
      </c>
      <c r="V90" s="53">
        <v>0.0</v>
      </c>
      <c r="W90" s="53">
        <v>27.26</v>
      </c>
      <c r="X90" s="53">
        <v>27.95</v>
      </c>
      <c r="Y90" s="53">
        <v>28.67</v>
      </c>
      <c r="Z90" s="54"/>
      <c r="AA90" s="54"/>
      <c r="AB90" s="54"/>
      <c r="AC90" s="54"/>
      <c r="AD90" s="54"/>
      <c r="AE90" s="54"/>
      <c r="AF90" s="54"/>
    </row>
    <row r="91">
      <c r="A91" s="4" t="s">
        <v>58</v>
      </c>
      <c r="B91" s="13">
        <v>0.0</v>
      </c>
      <c r="C91" s="13">
        <v>0.0</v>
      </c>
      <c r="D91" s="13">
        <v>0.0</v>
      </c>
      <c r="E91" s="13">
        <v>0.0</v>
      </c>
      <c r="F91" s="13">
        <v>0.0</v>
      </c>
      <c r="G91" s="13">
        <v>0.0</v>
      </c>
      <c r="H91" s="13">
        <v>0.0</v>
      </c>
      <c r="I91" s="13">
        <v>0.0</v>
      </c>
      <c r="J91" s="13">
        <v>0.0</v>
      </c>
      <c r="K91" s="13">
        <v>0.0</v>
      </c>
      <c r="L91" s="13">
        <v>0.0</v>
      </c>
      <c r="M91" s="13">
        <v>0.0</v>
      </c>
      <c r="N91" s="13">
        <v>0.0</v>
      </c>
      <c r="O91" s="13">
        <v>0.0</v>
      </c>
      <c r="P91" s="13">
        <v>0.0</v>
      </c>
      <c r="Q91" s="13">
        <v>0.0</v>
      </c>
      <c r="R91" s="13">
        <v>0.0</v>
      </c>
      <c r="S91" s="13">
        <v>0.0</v>
      </c>
      <c r="T91" s="13">
        <v>0.0</v>
      </c>
      <c r="U91" s="13">
        <v>0.0</v>
      </c>
      <c r="V91" s="13">
        <v>0.0</v>
      </c>
      <c r="W91" s="13">
        <f t="shared" ref="W91:Y91" si="21">W76*W90</f>
        <v>29.598908</v>
      </c>
      <c r="X91" s="13">
        <f t="shared" si="21"/>
        <v>30.34811</v>
      </c>
      <c r="Y91" s="13">
        <f t="shared" si="21"/>
        <v>30.986536</v>
      </c>
      <c r="Z91" s="13">
        <v>0.0</v>
      </c>
      <c r="AA91" s="13">
        <v>0.0</v>
      </c>
      <c r="AB91" s="13">
        <v>0.0</v>
      </c>
      <c r="AC91" s="13">
        <v>0.0</v>
      </c>
      <c r="AD91" s="13">
        <v>0.0</v>
      </c>
      <c r="AE91" s="13">
        <v>0.0</v>
      </c>
      <c r="AF91" s="13">
        <v>0.0</v>
      </c>
    </row>
    <row r="92">
      <c r="A92" s="4" t="s">
        <v>71</v>
      </c>
      <c r="B92" s="13">
        <v>83.14</v>
      </c>
      <c r="C92" s="13">
        <v>58.72</v>
      </c>
      <c r="D92" s="13">
        <v>50.98</v>
      </c>
      <c r="E92" s="13">
        <v>64.64</v>
      </c>
      <c r="F92" s="13">
        <v>61.9</v>
      </c>
      <c r="G92" s="13">
        <v>51.55</v>
      </c>
      <c r="H92" s="13">
        <v>81.9</v>
      </c>
      <c r="I92" s="13">
        <v>87.85</v>
      </c>
      <c r="J92" s="13">
        <v>69.57</v>
      </c>
      <c r="K92" s="13">
        <v>80.04</v>
      </c>
      <c r="L92" s="13">
        <v>73.72</v>
      </c>
      <c r="M92" s="13">
        <v>69.87</v>
      </c>
      <c r="N92" s="13">
        <v>54.8</v>
      </c>
      <c r="O92" s="13">
        <v>42.72</v>
      </c>
      <c r="P92" s="13">
        <v>52.88</v>
      </c>
      <c r="Q92" s="13">
        <v>43.23</v>
      </c>
      <c r="R92" s="13">
        <v>75.69</v>
      </c>
      <c r="S92" s="13">
        <v>57.04</v>
      </c>
      <c r="T92" s="13">
        <v>54.35</v>
      </c>
      <c r="U92" s="13">
        <v>54.19</v>
      </c>
      <c r="V92" s="13">
        <v>39.68</v>
      </c>
      <c r="W92" s="13">
        <v>39.36</v>
      </c>
      <c r="X92" s="13">
        <v>50.1</v>
      </c>
      <c r="Y92" s="13">
        <v>45.2</v>
      </c>
      <c r="Z92" s="13">
        <v>53.65</v>
      </c>
      <c r="AA92" s="13">
        <v>44.75</v>
      </c>
      <c r="AB92" s="13">
        <v>28.62</v>
      </c>
      <c r="AC92" s="13">
        <v>38.82</v>
      </c>
      <c r="AD92" s="13">
        <v>45.95</v>
      </c>
      <c r="AE92" s="13">
        <v>47.56</v>
      </c>
      <c r="AF92" s="13">
        <v>52.2</v>
      </c>
    </row>
    <row r="93">
      <c r="A93" s="4" t="s">
        <v>59</v>
      </c>
      <c r="B93" s="13">
        <v>0.0</v>
      </c>
      <c r="C93" s="13">
        <v>0.0</v>
      </c>
      <c r="D93" s="13">
        <v>0.0</v>
      </c>
      <c r="E93" s="13">
        <v>0.0</v>
      </c>
      <c r="F93" s="13">
        <v>0.0</v>
      </c>
      <c r="G93" s="13">
        <v>0.0</v>
      </c>
      <c r="H93" s="13">
        <v>0.0</v>
      </c>
      <c r="I93" s="13">
        <v>0.0</v>
      </c>
      <c r="J93" s="13">
        <v>0.0</v>
      </c>
      <c r="K93" s="13">
        <v>0.0</v>
      </c>
      <c r="L93" s="13">
        <v>0.0</v>
      </c>
      <c r="M93" s="13">
        <v>0.0</v>
      </c>
      <c r="N93" s="13">
        <v>0.0</v>
      </c>
      <c r="O93" s="13">
        <v>0.0</v>
      </c>
      <c r="P93" s="13">
        <v>0.0</v>
      </c>
      <c r="Q93" s="13">
        <v>0.0</v>
      </c>
      <c r="R93" s="13">
        <v>0.0</v>
      </c>
      <c r="S93" s="13">
        <v>0.0</v>
      </c>
      <c r="T93" s="13">
        <v>0.0</v>
      </c>
      <c r="U93" s="13">
        <v>0.0</v>
      </c>
      <c r="V93" s="13">
        <v>0.0</v>
      </c>
      <c r="W93" s="13">
        <v>0.0</v>
      </c>
      <c r="X93" s="13">
        <v>0.0</v>
      </c>
      <c r="Y93" s="13">
        <v>0.0</v>
      </c>
      <c r="Z93" s="13">
        <v>0.0</v>
      </c>
      <c r="AA93" s="13">
        <v>0.0</v>
      </c>
      <c r="AB93" s="13">
        <v>0.0</v>
      </c>
      <c r="AC93" s="13">
        <v>0.0</v>
      </c>
      <c r="AD93" s="13">
        <v>0.0</v>
      </c>
      <c r="AE93" s="13">
        <v>0.0</v>
      </c>
      <c r="AF93" s="13">
        <v>0.0</v>
      </c>
    </row>
    <row r="94">
      <c r="A94" s="55" t="s">
        <v>72</v>
      </c>
      <c r="B94" s="56">
        <f t="shared" ref="B94:AF94" si="22">SUM(B91:B92)</f>
        <v>83.14</v>
      </c>
      <c r="C94" s="56">
        <f t="shared" si="22"/>
        <v>58.72</v>
      </c>
      <c r="D94" s="56">
        <f t="shared" si="22"/>
        <v>50.98</v>
      </c>
      <c r="E94" s="56">
        <f t="shared" si="22"/>
        <v>64.64</v>
      </c>
      <c r="F94" s="56">
        <f t="shared" si="22"/>
        <v>61.9</v>
      </c>
      <c r="G94" s="56">
        <f t="shared" si="22"/>
        <v>51.55</v>
      </c>
      <c r="H94" s="56">
        <f t="shared" si="22"/>
        <v>81.9</v>
      </c>
      <c r="I94" s="56">
        <f t="shared" si="22"/>
        <v>87.85</v>
      </c>
      <c r="J94" s="56">
        <f t="shared" si="22"/>
        <v>69.57</v>
      </c>
      <c r="K94" s="56">
        <f t="shared" si="22"/>
        <v>80.04</v>
      </c>
      <c r="L94" s="56">
        <f t="shared" si="22"/>
        <v>73.72</v>
      </c>
      <c r="M94" s="56">
        <f t="shared" si="22"/>
        <v>69.87</v>
      </c>
      <c r="N94" s="56">
        <f t="shared" si="22"/>
        <v>54.8</v>
      </c>
      <c r="O94" s="56">
        <f t="shared" si="22"/>
        <v>42.72</v>
      </c>
      <c r="P94" s="56">
        <f t="shared" si="22"/>
        <v>52.88</v>
      </c>
      <c r="Q94" s="56">
        <f t="shared" si="22"/>
        <v>43.23</v>
      </c>
      <c r="R94" s="56">
        <f t="shared" si="22"/>
        <v>75.69</v>
      </c>
      <c r="S94" s="56">
        <f t="shared" si="22"/>
        <v>57.04</v>
      </c>
      <c r="T94" s="56">
        <f t="shared" si="22"/>
        <v>54.35</v>
      </c>
      <c r="U94" s="56">
        <f t="shared" si="22"/>
        <v>54.19</v>
      </c>
      <c r="V94" s="56">
        <f t="shared" si="22"/>
        <v>39.68</v>
      </c>
      <c r="W94" s="56">
        <f t="shared" si="22"/>
        <v>68.958908</v>
      </c>
      <c r="X94" s="56">
        <f t="shared" si="22"/>
        <v>80.44811</v>
      </c>
      <c r="Y94" s="56">
        <f t="shared" si="22"/>
        <v>76.186536</v>
      </c>
      <c r="Z94" s="56">
        <f t="shared" si="22"/>
        <v>53.65</v>
      </c>
      <c r="AA94" s="56">
        <f t="shared" si="22"/>
        <v>44.75</v>
      </c>
      <c r="AB94" s="56">
        <f t="shared" si="22"/>
        <v>28.62</v>
      </c>
      <c r="AC94" s="56">
        <f t="shared" si="22"/>
        <v>38.82</v>
      </c>
      <c r="AD94" s="56">
        <f t="shared" si="22"/>
        <v>45.95</v>
      </c>
      <c r="AE94" s="56">
        <f t="shared" si="22"/>
        <v>47.56</v>
      </c>
      <c r="AF94" s="56">
        <f t="shared" si="22"/>
        <v>52.2</v>
      </c>
    </row>
    <row r="96">
      <c r="A96" s="57" t="s">
        <v>73</v>
      </c>
      <c r="B96" s="58">
        <f t="shared" ref="B96:AF96" si="23">B31/B88</f>
        <v>31.01345952</v>
      </c>
      <c r="C96" s="58">
        <f t="shared" si="23"/>
        <v>6.513271636</v>
      </c>
      <c r="D96" s="58">
        <f t="shared" si="23"/>
        <v>5.465115047</v>
      </c>
      <c r="E96" s="58">
        <f t="shared" si="23"/>
        <v>5.461614063</v>
      </c>
      <c r="F96" s="58">
        <f t="shared" si="23"/>
        <v>4.900289121</v>
      </c>
      <c r="G96" s="58">
        <f t="shared" si="23"/>
        <v>4.697803283</v>
      </c>
      <c r="H96" s="58">
        <f t="shared" si="23"/>
        <v>4.863533089</v>
      </c>
      <c r="I96" s="58">
        <f t="shared" si="23"/>
        <v>4.698018042</v>
      </c>
      <c r="J96" s="58">
        <f t="shared" si="23"/>
        <v>5.16314903</v>
      </c>
      <c r="K96" s="58">
        <f t="shared" si="23"/>
        <v>4.734462801</v>
      </c>
      <c r="L96" s="58">
        <f t="shared" si="23"/>
        <v>4.343419388</v>
      </c>
      <c r="M96" s="58">
        <f t="shared" si="23"/>
        <v>3.686164494</v>
      </c>
      <c r="N96" s="58">
        <f t="shared" si="23"/>
        <v>3.068276109</v>
      </c>
      <c r="O96" s="58">
        <f t="shared" si="23"/>
        <v>3.827916954</v>
      </c>
      <c r="P96" s="58">
        <f t="shared" si="23"/>
        <v>6.641863416</v>
      </c>
      <c r="Q96" s="58">
        <f t="shared" si="23"/>
        <v>7.596322005</v>
      </c>
      <c r="R96" s="58">
        <f t="shared" si="23"/>
        <v>7.30351118</v>
      </c>
      <c r="S96" s="58">
        <f t="shared" si="23"/>
        <v>5.961544015</v>
      </c>
      <c r="T96" s="58">
        <f t="shared" si="23"/>
        <v>7.268302844</v>
      </c>
      <c r="U96" s="58">
        <f t="shared" si="23"/>
        <v>7.589061517</v>
      </c>
      <c r="V96" s="58">
        <f t="shared" si="23"/>
        <v>6.616190165</v>
      </c>
      <c r="W96" s="58">
        <f t="shared" si="23"/>
        <v>10.32926207</v>
      </c>
      <c r="X96" s="58">
        <f t="shared" si="23"/>
        <v>6.584305836</v>
      </c>
      <c r="Y96" s="58">
        <f t="shared" si="23"/>
        <v>8.852845258</v>
      </c>
      <c r="Z96" s="58">
        <f t="shared" si="23"/>
        <v>10.95530642</v>
      </c>
      <c r="AA96" s="58">
        <f t="shared" si="23"/>
        <v>11.64431167</v>
      </c>
      <c r="AB96" s="58">
        <f t="shared" si="23"/>
        <v>10.06419218</v>
      </c>
      <c r="AC96" s="58">
        <f t="shared" si="23"/>
        <v>11.17111395</v>
      </c>
      <c r="AD96" s="58">
        <f t="shared" si="23"/>
        <v>9.391427211</v>
      </c>
      <c r="AE96" s="58">
        <f t="shared" si="23"/>
        <v>11.82017053</v>
      </c>
      <c r="AF96" s="58">
        <f t="shared" si="23"/>
        <v>9.00082066</v>
      </c>
    </row>
    <row r="97">
      <c r="A97" s="16" t="s">
        <v>74</v>
      </c>
      <c r="B97" s="58">
        <f t="shared" ref="B97:AF97" si="24">B8/B87</f>
        <v>32.31478191</v>
      </c>
      <c r="C97" s="58">
        <f t="shared" si="24"/>
        <v>5.802040424</v>
      </c>
      <c r="D97" s="58">
        <f t="shared" si="24"/>
        <v>4.926748576</v>
      </c>
      <c r="E97" s="58">
        <f t="shared" si="24"/>
        <v>5.120665739</v>
      </c>
      <c r="F97" s="58">
        <f t="shared" si="24"/>
        <v>4.672045842</v>
      </c>
      <c r="G97" s="58">
        <f t="shared" si="24"/>
        <v>4.579917134</v>
      </c>
      <c r="H97" s="58">
        <f t="shared" si="24"/>
        <v>4.679532085</v>
      </c>
      <c r="I97" s="58">
        <f t="shared" si="24"/>
        <v>4.330446799</v>
      </c>
      <c r="J97" s="58">
        <f t="shared" si="24"/>
        <v>4.692400565</v>
      </c>
      <c r="K97" s="58">
        <f t="shared" si="24"/>
        <v>4.117841654</v>
      </c>
      <c r="L97" s="58">
        <f t="shared" si="24"/>
        <v>4.133086676</v>
      </c>
      <c r="M97" s="58">
        <f t="shared" si="24"/>
        <v>3.437675027</v>
      </c>
      <c r="N97" s="58">
        <f t="shared" si="24"/>
        <v>2.569745499</v>
      </c>
      <c r="O97" s="58">
        <f t="shared" si="24"/>
        <v>3.346975107</v>
      </c>
      <c r="P97" s="58">
        <f t="shared" si="24"/>
        <v>6.997589134</v>
      </c>
      <c r="Q97" s="58">
        <f t="shared" si="24"/>
        <v>9.483526406</v>
      </c>
      <c r="R97" s="58">
        <f t="shared" si="24"/>
        <v>8.171366864</v>
      </c>
      <c r="S97" s="58">
        <f t="shared" si="24"/>
        <v>7.343179925</v>
      </c>
      <c r="T97" s="58">
        <f t="shared" si="24"/>
        <v>7.061686906</v>
      </c>
      <c r="U97" s="58">
        <f t="shared" si="24"/>
        <v>8.535675433</v>
      </c>
      <c r="V97" s="58">
        <f t="shared" si="24"/>
        <v>8.02429325</v>
      </c>
      <c r="W97" s="58">
        <f t="shared" si="24"/>
        <v>14.73098481</v>
      </c>
      <c r="X97" s="58">
        <f t="shared" si="24"/>
        <v>7.580261734</v>
      </c>
      <c r="Y97" s="58">
        <f t="shared" si="24"/>
        <v>10.99123024</v>
      </c>
      <c r="Z97" s="58">
        <f t="shared" si="24"/>
        <v>10.48834948</v>
      </c>
      <c r="AA97" s="58">
        <f t="shared" si="24"/>
        <v>9.529569906</v>
      </c>
      <c r="AB97" s="58">
        <f t="shared" si="24"/>
        <v>8.324754477</v>
      </c>
      <c r="AC97" s="58">
        <f t="shared" si="24"/>
        <v>9.919839556</v>
      </c>
      <c r="AD97" s="58">
        <f t="shared" si="24"/>
        <v>7.71882151</v>
      </c>
      <c r="AE97" s="58">
        <f t="shared" si="24"/>
        <v>10.64439787</v>
      </c>
      <c r="AF97" s="58">
        <f t="shared" si="24"/>
        <v>8.727269291</v>
      </c>
    </row>
    <row r="98">
      <c r="A98" s="16" t="s">
        <v>75</v>
      </c>
      <c r="B98" s="58">
        <f t="shared" ref="B98:AF98" si="25">B16/B81</f>
        <v>14.35049841</v>
      </c>
      <c r="C98" s="58">
        <f t="shared" si="25"/>
        <v>16.11224674</v>
      </c>
      <c r="D98" s="58">
        <f t="shared" si="25"/>
        <v>14.61230339</v>
      </c>
      <c r="E98" s="58">
        <f t="shared" si="25"/>
        <v>12.50724541</v>
      </c>
      <c r="F98" s="58">
        <f t="shared" si="25"/>
        <v>9.082452311</v>
      </c>
      <c r="G98" s="58">
        <f t="shared" si="25"/>
        <v>5.317871337</v>
      </c>
      <c r="H98" s="58">
        <f t="shared" si="25"/>
        <v>5.495927406</v>
      </c>
      <c r="I98" s="58">
        <f t="shared" si="25"/>
        <v>6.437572044</v>
      </c>
      <c r="J98" s="58">
        <f t="shared" si="25"/>
        <v>7.460195458</v>
      </c>
      <c r="K98" s="58">
        <f t="shared" si="25"/>
        <v>7.760860091</v>
      </c>
      <c r="L98" s="58">
        <f t="shared" si="25"/>
        <v>5.872961978</v>
      </c>
      <c r="M98" s="58">
        <f t="shared" si="25"/>
        <v>5.034046049</v>
      </c>
      <c r="N98" s="58">
        <f t="shared" si="25"/>
        <v>5.634042232</v>
      </c>
      <c r="O98" s="58">
        <f t="shared" si="25"/>
        <v>6.100698024</v>
      </c>
      <c r="P98" s="58">
        <f t="shared" si="25"/>
        <v>6.093706949</v>
      </c>
      <c r="Q98" s="58">
        <f t="shared" si="25"/>
        <v>5.052889703</v>
      </c>
      <c r="R98" s="58">
        <f t="shared" si="25"/>
        <v>6.1855516</v>
      </c>
      <c r="S98" s="58">
        <f t="shared" si="25"/>
        <v>3.716793364</v>
      </c>
      <c r="T98" s="58">
        <f t="shared" si="25"/>
        <v>7.610294025</v>
      </c>
      <c r="U98" s="58">
        <f t="shared" si="25"/>
        <v>6.57605492</v>
      </c>
      <c r="V98" s="58">
        <f t="shared" si="25"/>
        <v>4.92576433</v>
      </c>
      <c r="W98" s="58">
        <f t="shared" si="25"/>
        <v>4.648602688</v>
      </c>
      <c r="X98" s="58">
        <f t="shared" si="25"/>
        <v>4.813945963</v>
      </c>
      <c r="Y98" s="58">
        <f t="shared" si="25"/>
        <v>5.4551433</v>
      </c>
      <c r="Z98" s="58">
        <f t="shared" si="25"/>
        <v>13.44435142</v>
      </c>
      <c r="AA98" s="58">
        <f t="shared" si="25"/>
        <v>22.12397311</v>
      </c>
      <c r="AB98" s="58">
        <f t="shared" si="25"/>
        <v>20.46167435</v>
      </c>
      <c r="AC98" s="58">
        <f t="shared" si="25"/>
        <v>20.44709123</v>
      </c>
      <c r="AD98" s="58">
        <f t="shared" si="25"/>
        <v>19.63638133</v>
      </c>
      <c r="AE98" s="58">
        <f t="shared" si="25"/>
        <v>17.26690544</v>
      </c>
      <c r="AF98" s="58">
        <f t="shared" si="25"/>
        <v>10.34662142</v>
      </c>
    </row>
    <row r="99">
      <c r="A99" s="16" t="s">
        <v>76</v>
      </c>
      <c r="B99" s="59">
        <f t="shared" ref="B99:AF99" si="26">B49/B94</f>
        <v>99.08819547</v>
      </c>
      <c r="C99" s="59">
        <f t="shared" si="26"/>
        <v>115.8043107</v>
      </c>
      <c r="D99" s="59">
        <f t="shared" si="26"/>
        <v>150.5804237</v>
      </c>
      <c r="E99" s="59">
        <f t="shared" si="26"/>
        <v>189.544245</v>
      </c>
      <c r="F99" s="59">
        <f t="shared" si="26"/>
        <v>90.12455574</v>
      </c>
      <c r="G99" s="59">
        <f t="shared" si="26"/>
        <v>55.47216295</v>
      </c>
      <c r="H99" s="59">
        <f t="shared" si="26"/>
        <v>34.44928668</v>
      </c>
      <c r="I99" s="59">
        <f t="shared" si="26"/>
        <v>35.49413208</v>
      </c>
      <c r="J99" s="59">
        <f t="shared" si="26"/>
        <v>54.65876096</v>
      </c>
      <c r="K99" s="59">
        <f t="shared" si="26"/>
        <v>65.02211394</v>
      </c>
      <c r="L99" s="59">
        <f t="shared" si="26"/>
        <v>40.14829041</v>
      </c>
      <c r="M99" s="59">
        <f t="shared" si="26"/>
        <v>44.09191516</v>
      </c>
      <c r="N99" s="59">
        <f t="shared" si="26"/>
        <v>51.91259124</v>
      </c>
      <c r="O99" s="59">
        <f t="shared" si="26"/>
        <v>67.22732498</v>
      </c>
      <c r="P99" s="59">
        <f t="shared" si="26"/>
        <v>49.90765112</v>
      </c>
      <c r="Q99" s="59">
        <f t="shared" si="26"/>
        <v>99.44644772</v>
      </c>
      <c r="R99" s="59">
        <f t="shared" si="26"/>
        <v>56.21191703</v>
      </c>
      <c r="S99" s="59">
        <f t="shared" si="26"/>
        <v>43.67671809</v>
      </c>
      <c r="T99" s="59">
        <f t="shared" si="26"/>
        <v>43.13909844</v>
      </c>
      <c r="U99" s="59">
        <f t="shared" si="26"/>
        <v>40.34415944</v>
      </c>
      <c r="V99" s="59">
        <f t="shared" si="26"/>
        <v>50.08935381</v>
      </c>
      <c r="W99" s="59">
        <f t="shared" si="26"/>
        <v>31.43324577</v>
      </c>
      <c r="X99" s="59">
        <f t="shared" si="26"/>
        <v>39.84740372</v>
      </c>
      <c r="Y99" s="59">
        <f t="shared" si="26"/>
        <v>53.54463156</v>
      </c>
      <c r="Z99" s="59">
        <f t="shared" si="26"/>
        <v>53.48406337</v>
      </c>
      <c r="AA99" s="59">
        <f t="shared" si="26"/>
        <v>70.93608939</v>
      </c>
      <c r="AB99" s="59">
        <f t="shared" si="26"/>
        <v>87.88155136</v>
      </c>
      <c r="AC99" s="59">
        <f t="shared" si="26"/>
        <v>51.53876007</v>
      </c>
      <c r="AD99" s="59">
        <f t="shared" si="26"/>
        <v>58.03531378</v>
      </c>
      <c r="AE99" s="59">
        <f t="shared" si="26"/>
        <v>71.79417021</v>
      </c>
      <c r="AF99" s="59">
        <f t="shared" si="26"/>
        <v>74.67164431</v>
      </c>
    </row>
    <row r="101">
      <c r="A101" s="57" t="s">
        <v>77</v>
      </c>
      <c r="B101" s="46">
        <f>B88/SUM('DTC - P&amp;L'!B59,'DTC - P&amp;L'!B63,'AMAZON - P&amp;L'!B32,'Digital Marketplaces - P&amp;L'!B17,'Digital Marketplaces - P&amp;L'!B129)</f>
        <v>10.04234241</v>
      </c>
      <c r="C101" s="46">
        <f>C88/SUM('DTC - P&amp;L'!C59,'DTC - P&amp;L'!C63,'AMAZON - P&amp;L'!C32,'Digital Marketplaces - P&amp;L'!C17,'Digital Marketplaces - P&amp;L'!C129)</f>
        <v>44.81725299</v>
      </c>
      <c r="D101" s="46">
        <f>D88/SUM('DTC - P&amp;L'!D59,'DTC - P&amp;L'!D63,'AMAZON - P&amp;L'!D32,'Digital Marketplaces - P&amp;L'!D17,'Digital Marketplaces - P&amp;L'!D129)</f>
        <v>52.33233706</v>
      </c>
      <c r="E101" s="46">
        <f>E88/SUM('DTC - P&amp;L'!E59,'DTC - P&amp;L'!E63,'AMAZON - P&amp;L'!E32,'Digital Marketplaces - P&amp;L'!E17,'Digital Marketplaces - P&amp;L'!E129)</f>
        <v>52.2795404</v>
      </c>
      <c r="F101" s="46">
        <f>F88/SUM('DTC - P&amp;L'!F59,'DTC - P&amp;L'!F63,'AMAZON - P&amp;L'!F32,'Digital Marketplaces - P&amp;L'!F17,'Digital Marketplaces - P&amp;L'!F129)</f>
        <v>57.14551304</v>
      </c>
      <c r="G101" s="46">
        <f>G88/SUM('DTC - P&amp;L'!G59,'DTC - P&amp;L'!G63,'AMAZON - P&amp;L'!G32,'Digital Marketplaces - P&amp;L'!G17,'Digital Marketplaces - P&amp;L'!G129)</f>
        <v>58.81542982</v>
      </c>
      <c r="H101" s="46">
        <f>H88/SUM('DTC - P&amp;L'!H59,'DTC - P&amp;L'!H63,'AMAZON - P&amp;L'!H32,'Digital Marketplaces - P&amp;L'!H17,'Digital Marketplaces - P&amp;L'!H129)</f>
        <v>56.75213819</v>
      </c>
      <c r="I101" s="46">
        <f>I88/SUM('DTC - P&amp;L'!I59,'DTC - P&amp;L'!I63,'AMAZON - P&amp;L'!I32,'Digital Marketplaces - P&amp;L'!I17,'Digital Marketplaces - P&amp;L'!I129)</f>
        <v>57.84685051</v>
      </c>
      <c r="J101" s="46">
        <f>J88/SUM('DTC - P&amp;L'!J59,'DTC - P&amp;L'!J63,'AMAZON - P&amp;L'!J32,'Digital Marketplaces - P&amp;L'!J17,'Digital Marketplaces - P&amp;L'!J129)</f>
        <v>54.79254046</v>
      </c>
      <c r="K101" s="46">
        <f>K88/SUM('DTC - P&amp;L'!K59,'DTC - P&amp;L'!K63,'AMAZON - P&amp;L'!K32,'Digital Marketplaces - P&amp;L'!K17,'Digital Marketplaces - P&amp;L'!K129)</f>
        <v>58.87839691</v>
      </c>
      <c r="L101" s="46">
        <f>L88/SUM('DTC - P&amp;L'!L59,'DTC - P&amp;L'!L63,'AMAZON - P&amp;L'!L32,'Digital Marketplaces - P&amp;L'!L17,'Digital Marketplaces - P&amp;L'!L129)</f>
        <v>74.54653734</v>
      </c>
      <c r="M101" s="46">
        <f>M88/SUM('DTC - P&amp;L'!M59,'DTC - P&amp;L'!M63,'AMAZON - P&amp;L'!M32,'Digital Marketplaces - P&amp;L'!M17,'Digital Marketplaces - P&amp;L'!M129)</f>
        <v>102.863352</v>
      </c>
      <c r="N101" s="46">
        <f>N88/SUM('DTC - P&amp;L'!N59,'DTC - P&amp;L'!N63,'AMAZON - P&amp;L'!N32,'Digital Marketplaces - P&amp;L'!N17,'Digital Marketplaces - P&amp;L'!N129)</f>
        <v>115.2007724</v>
      </c>
      <c r="O101" s="46">
        <f>O88/SUM('DTC - P&amp;L'!O59,'DTC - P&amp;L'!O63,'AMAZON - P&amp;L'!O32,'Digital Marketplaces - P&amp;L'!O17,'Digital Marketplaces - P&amp;L'!O129)</f>
        <v>94.60922886</v>
      </c>
      <c r="P101" s="46">
        <f>P88/SUM('DTC - P&amp;L'!P59,'DTC - P&amp;L'!P63,'AMAZON - P&amp;L'!P32,'Digital Marketplaces - P&amp;L'!P17,'Digital Marketplaces - P&amp;L'!P129)</f>
        <v>51.7128972</v>
      </c>
      <c r="Q101" s="46">
        <f>Q88/SUM('DTC - P&amp;L'!Q59,'DTC - P&amp;L'!Q63,'AMAZON - P&amp;L'!Q32,'Digital Marketplaces - P&amp;L'!Q17,'Digital Marketplaces - P&amp;L'!Q129)</f>
        <v>50.59964912</v>
      </c>
      <c r="R101" s="46">
        <f>R88/SUM('DTC - P&amp;L'!R59,'DTC - P&amp;L'!R63,'AMAZON - P&amp;L'!R32,'Digital Marketplaces - P&amp;L'!R17,'Digital Marketplaces - P&amp;L'!R129)</f>
        <v>50.44295238</v>
      </c>
      <c r="S101" s="46">
        <f>S88/SUM('DTC - P&amp;L'!S59,'DTC - P&amp;L'!S63,'AMAZON - P&amp;L'!S32,'Digital Marketplaces - P&amp;L'!S17,'Digital Marketplaces - P&amp;L'!S129)</f>
        <v>62.9561039</v>
      </c>
      <c r="T101" s="46">
        <f>T88/SUM('DTC - P&amp;L'!T59,'DTC - P&amp;L'!T63,'AMAZON - P&amp;L'!T32,'Digital Marketplaces - P&amp;L'!T17,'Digital Marketplaces - P&amp;L'!T129)</f>
        <v>48.55724138</v>
      </c>
      <c r="U101" s="46">
        <f>U88/SUM('DTC - P&amp;L'!U59,'DTC - P&amp;L'!U63,'AMAZON - P&amp;L'!U32,'Digital Marketplaces - P&amp;L'!U17,'Digital Marketplaces - P&amp;L'!U129)</f>
        <v>46.19649485</v>
      </c>
      <c r="V101" s="46">
        <f>V88/SUM('DTC - P&amp;L'!V59,'DTC - P&amp;L'!V63,'AMAZON - P&amp;L'!V32,'Digital Marketplaces - P&amp;L'!V17,'Digital Marketplaces - P&amp;L'!V129)</f>
        <v>54.133</v>
      </c>
      <c r="W101" s="46">
        <f>W88/SUM('DTC - P&amp;L'!W59,'DTC - P&amp;L'!W63,'AMAZON - P&amp;L'!W32,'Digital Marketplaces - P&amp;L'!W17,'Digital Marketplaces - P&amp;L'!W129)</f>
        <v>34.59204545</v>
      </c>
      <c r="X101" s="46">
        <f>X88/SUM('DTC - P&amp;L'!X59,'DTC - P&amp;L'!X63,'AMAZON - P&amp;L'!X32,'Digital Marketplaces - P&amp;L'!X17,'Digital Marketplaces - P&amp;L'!X129)</f>
        <v>56.21389381</v>
      </c>
      <c r="Y101" s="46">
        <f>Y88/SUM('DTC - P&amp;L'!Y59,'DTC - P&amp;L'!Y63,'AMAZON - P&amp;L'!Y32,'Digital Marketplaces - P&amp;L'!Y17,'Digital Marketplaces - P&amp;L'!Y129)</f>
        <v>41.71129771</v>
      </c>
      <c r="Z101" s="46">
        <f>Z88/SUM('DTC - P&amp;L'!Z59,'DTC - P&amp;L'!Z63,'AMAZON - P&amp;L'!Z32,'Digital Marketplaces - P&amp;L'!Z17,'Digital Marketplaces - P&amp;L'!Z129)</f>
        <v>34.1147668</v>
      </c>
      <c r="AA101" s="46">
        <f>AA88/SUM('DTC - P&amp;L'!AA59,'DTC - P&amp;L'!AA63,'AMAZON - P&amp;L'!AA32,'Digital Marketplaces - P&amp;L'!AA17,'Digital Marketplaces - P&amp;L'!AA129)</f>
        <v>31.2921519</v>
      </c>
      <c r="AB101" s="46">
        <f>AB88/SUM('DTC - P&amp;L'!AB59,'DTC - P&amp;L'!AB63,'AMAZON - P&amp;L'!AB32,'Digital Marketplaces - P&amp;L'!AB17,'Digital Marketplaces - P&amp;L'!AB129)</f>
        <v>36.82986486</v>
      </c>
      <c r="AC101" s="46">
        <f>AC88/SUM('DTC - P&amp;L'!AC59,'DTC - P&amp;L'!AC63,'AMAZON - P&amp;L'!AC32,'Digital Marketplaces - P&amp;L'!AC17,'Digital Marketplaces - P&amp;L'!AC129)</f>
        <v>33.31037067</v>
      </c>
      <c r="AD101" s="46">
        <f>AD88/SUM('DTC - P&amp;L'!AD59,'DTC - P&amp;L'!AD63,'AMAZON - P&amp;L'!AD32,'Digital Marketplaces - P&amp;L'!AD17,'Digital Marketplaces - P&amp;L'!AD129)</f>
        <v>39.41630769</v>
      </c>
      <c r="AE101" s="46">
        <f>AE88/SUM('DTC - P&amp;L'!AE59,'DTC - P&amp;L'!AE63,'AMAZON - P&amp;L'!AE32,'Digital Marketplaces - P&amp;L'!AE17,'Digital Marketplaces - P&amp;L'!AE129)</f>
        <v>33.79027027</v>
      </c>
      <c r="AF101" s="46">
        <f>AF88/SUM('DTC - P&amp;L'!AF59,'DTC - P&amp;L'!AF63,'AMAZON - P&amp;L'!AF32,'Digital Marketplaces - P&amp;L'!AF17,'Digital Marketplaces - P&amp;L'!AF129)</f>
        <v>43.90913793</v>
      </c>
    </row>
    <row r="102">
      <c r="A102" s="16" t="s">
        <v>78</v>
      </c>
      <c r="B102" s="46">
        <f>B87/SUM('DTC - P&amp;L'!B59,'DTC - P&amp;L'!B63)</f>
        <v>9.720223584</v>
      </c>
      <c r="C102" s="46">
        <f>C87/SUM('DTC - P&amp;L'!C59,'DTC - P&amp;L'!C63)</f>
        <v>52.40367721</v>
      </c>
      <c r="D102" s="46">
        <f>D87/SUM('DTC - P&amp;L'!D59,'DTC - P&amp;L'!D63)</f>
        <v>59.65444505</v>
      </c>
      <c r="E102" s="46">
        <f>E87/SUM('DTC - P&amp;L'!E59,'DTC - P&amp;L'!E63)</f>
        <v>56.78221389</v>
      </c>
      <c r="F102" s="46">
        <f>F87/SUM('DTC - P&amp;L'!F59,'DTC - P&amp;L'!F63)</f>
        <v>61.15522186</v>
      </c>
      <c r="G102" s="46">
        <f>G87/SUM('DTC - P&amp;L'!G59,'DTC - P&amp;L'!G63)</f>
        <v>63.86454706</v>
      </c>
      <c r="H102" s="46">
        <f>H87/SUM('DTC - P&amp;L'!H59,'DTC - P&amp;L'!H63)</f>
        <v>62.25119565</v>
      </c>
      <c r="I102" s="46">
        <f>I87/SUM('DTC - P&amp;L'!I59,'DTC - P&amp;L'!I63)</f>
        <v>66.17183295</v>
      </c>
      <c r="J102" s="46">
        <f>J87/SUM('DTC - P&amp;L'!J59,'DTC - P&amp;L'!J63)</f>
        <v>63.16891367</v>
      </c>
      <c r="K102" s="46">
        <f>K87/SUM('DTC - P&amp;L'!K59,'DTC - P&amp;L'!K63)</f>
        <v>73.7963964</v>
      </c>
      <c r="L102" s="46">
        <f>L87/SUM('DTC - P&amp;L'!L59,'DTC - P&amp;L'!L63)</f>
        <v>82.47114925</v>
      </c>
      <c r="M102" s="46">
        <f>M87/SUM('DTC - P&amp;L'!M59,'DTC - P&amp;L'!M63)</f>
        <v>114.4755927</v>
      </c>
      <c r="N102" s="46">
        <f>N87/SUM('DTC - P&amp;L'!N59,'DTC - P&amp;L'!N63)</f>
        <v>142.5286041</v>
      </c>
      <c r="O102" s="46">
        <f>O87/SUM('DTC - P&amp;L'!O59,'DTC - P&amp;L'!O63)</f>
        <v>111.013241</v>
      </c>
      <c r="P102" s="46">
        <f>P87/SUM('DTC - P&amp;L'!P59,'DTC - P&amp;L'!P63)</f>
        <v>52.431875</v>
      </c>
      <c r="Q102" s="46">
        <f>Q87/SUM('DTC - P&amp;L'!Q59,'DTC - P&amp;L'!Q63)</f>
        <v>40.88098765</v>
      </c>
      <c r="R102" s="46">
        <f>R87/SUM('DTC - P&amp;L'!R59,'DTC - P&amp;L'!R63)</f>
        <v>46.59046875</v>
      </c>
      <c r="S102" s="46">
        <f>S87/SUM('DTC - P&amp;L'!S59,'DTC - P&amp;L'!S63)</f>
        <v>53.58392857</v>
      </c>
      <c r="T102" s="46">
        <f>T87/SUM('DTC - P&amp;L'!T59,'DTC - P&amp;L'!T63)</f>
        <v>53.74408163</v>
      </c>
      <c r="U102" s="46">
        <f>U87/SUM('DTC - P&amp;L'!U59,'DTC - P&amp;L'!U63)</f>
        <v>42.89703704</v>
      </c>
      <c r="V102" s="46">
        <f>V87/SUM('DTC - P&amp;L'!V59,'DTC - P&amp;L'!V63)</f>
        <v>48.32618182</v>
      </c>
      <c r="W102" s="46">
        <f>W87/SUM('DTC - P&amp;L'!W59,'DTC - P&amp;L'!W63)</f>
        <v>24.97747573</v>
      </c>
      <c r="X102" s="46">
        <f>X87/SUM('DTC - P&amp;L'!X59,'DTC - P&amp;L'!X63)</f>
        <v>50.815</v>
      </c>
      <c r="Y102" s="46">
        <f>Y87/SUM('DTC - P&amp;L'!Y59,'DTC - P&amp;L'!Y63)</f>
        <v>35.30073684</v>
      </c>
      <c r="Z102" s="46">
        <f>Z87/SUM('DTC - P&amp;L'!Z59,'DTC - P&amp;L'!Z63)</f>
        <v>37.85362319</v>
      </c>
      <c r="AA102" s="46">
        <f>AA87/SUM('DTC - P&amp;L'!AA59,'DTC - P&amp;L'!AA63)</f>
        <v>40.33313725</v>
      </c>
      <c r="AB102" s="46">
        <f>AB87/SUM('DTC - P&amp;L'!AB59,'DTC - P&amp;L'!AB63)</f>
        <v>47.64918367</v>
      </c>
      <c r="AC102" s="46">
        <f>AC87/SUM('DTC - P&amp;L'!AC59,'DTC - P&amp;L'!AC63)</f>
        <v>39.84836066</v>
      </c>
      <c r="AD102" s="46">
        <f>AD87/SUM('DTC - P&amp;L'!AD59,'DTC - P&amp;L'!AD63)</f>
        <v>50.05636364</v>
      </c>
      <c r="AE102" s="46">
        <f>AE87/SUM('DTC - P&amp;L'!AE59,'DTC - P&amp;L'!AE63)</f>
        <v>37.39163636</v>
      </c>
      <c r="AF102" s="46">
        <f>AF87/SUM('DTC - P&amp;L'!AF59,'DTC - P&amp;L'!AF63)</f>
        <v>45.03234043</v>
      </c>
    </row>
    <row r="103">
      <c r="A103" s="16" t="s">
        <v>79</v>
      </c>
      <c r="B103" s="46">
        <f>B81/'AMAZON - P&amp;L'!B32</f>
        <v>17.28564103</v>
      </c>
      <c r="C103" s="46">
        <f>C81/'AMAZON - P&amp;L'!C32</f>
        <v>15.22450549</v>
      </c>
      <c r="D103" s="46">
        <f>D81/'AMAZON - P&amp;L'!D32</f>
        <v>16.96092308</v>
      </c>
      <c r="E103" s="46">
        <f>E81/'AMAZON - P&amp;L'!E32</f>
        <v>19.81289474</v>
      </c>
      <c r="F103" s="46">
        <f>F81/'AMAZON - P&amp;L'!F32</f>
        <v>25.95888889</v>
      </c>
      <c r="G103" s="46">
        <f>G81/'AMAZON - P&amp;L'!G32</f>
        <v>41.61153846</v>
      </c>
      <c r="H103" s="46">
        <f>H81/'AMAZON - P&amp;L'!H32</f>
        <v>43.20243243</v>
      </c>
      <c r="I103" s="46">
        <f>I81/'AMAZON - P&amp;L'!I32</f>
        <v>36.4115493</v>
      </c>
      <c r="J103" s="46">
        <f>J81/'AMAZON - P&amp;L'!J32</f>
        <v>33.2672093</v>
      </c>
      <c r="K103" s="46">
        <f>K81/'AMAZON - P&amp;L'!K32</f>
        <v>29.87572917</v>
      </c>
      <c r="L103" s="46">
        <f>L81/'AMAZON - P&amp;L'!L32</f>
        <v>45.01914286</v>
      </c>
      <c r="M103" s="46">
        <f>M81/'AMAZON - P&amp;L'!M32</f>
        <v>67.17481481</v>
      </c>
      <c r="N103" s="46">
        <f>N81/'AMAZON - P&amp;L'!N32</f>
        <v>57.983125</v>
      </c>
      <c r="O103" s="46">
        <f>O81/'AMAZON - P&amp;L'!O32</f>
        <v>55.70828571</v>
      </c>
      <c r="P103" s="46">
        <f>P81/'AMAZON - P&amp;L'!P32</f>
        <v>50.6427907</v>
      </c>
      <c r="Q103" s="46">
        <f>Q81/'AMAZON - P&amp;L'!Q32</f>
        <v>74.45454545</v>
      </c>
      <c r="R103" s="46">
        <f>R81/'AMAZON - P&amp;L'!R32</f>
        <v>56.45658537</v>
      </c>
      <c r="S103" s="46">
        <f>S81/'AMAZON - P&amp;L'!S32</f>
        <v>87.94857143</v>
      </c>
      <c r="T103" s="46">
        <f>T81/'AMAZON - P&amp;L'!T32</f>
        <v>41.86894737</v>
      </c>
      <c r="U103" s="46">
        <f>U81/'AMAZON - P&amp;L'!U32</f>
        <v>50.34</v>
      </c>
      <c r="V103" s="46">
        <f>V81/'AMAZON - P&amp;L'!V32</f>
        <v>63.258</v>
      </c>
      <c r="W103" s="46">
        <f>W81/'AMAZON - P&amp;L'!W32</f>
        <v>68.74034483</v>
      </c>
      <c r="X103" s="46">
        <f>X81/'AMAZON - P&amp;L'!X32</f>
        <v>69.30212121</v>
      </c>
      <c r="Y103" s="46">
        <f>Y81/'AMAZON - P&amp;L'!Y32</f>
        <v>58.62805556</v>
      </c>
      <c r="Z103" s="46">
        <f>Z81/'AMAZON - P&amp;L'!Z32</f>
        <v>23.88961538</v>
      </c>
      <c r="AA103" s="46">
        <f>AA81/'AMAZON - P&amp;L'!AA32</f>
        <v>14.82464286</v>
      </c>
      <c r="AB103" s="46">
        <f>AB81/'AMAZON - P&amp;L'!AB32</f>
        <v>15.624</v>
      </c>
      <c r="AC103" s="46">
        <f>AC81/'AMAZON - P&amp;L'!AC32</f>
        <v>15.4275</v>
      </c>
      <c r="AD103" s="46">
        <f>AD81/'AMAZON - P&amp;L'!AD32</f>
        <v>17.12285714</v>
      </c>
      <c r="AE103" s="46">
        <f>AE81/'AMAZON - P&amp;L'!AE32</f>
        <v>23.36526316</v>
      </c>
      <c r="AF103" s="46">
        <f>AF81/'AMAZON - P&amp;L'!AF32</f>
        <v>39.11</v>
      </c>
    </row>
    <row r="104">
      <c r="A104" s="16" t="s">
        <v>80</v>
      </c>
      <c r="B104" s="46">
        <f t="shared" ref="B104:AF104" si="27">B94/B74</f>
        <v>0.3421399177</v>
      </c>
      <c r="C104" s="46">
        <f t="shared" si="27"/>
        <v>0.2681278539</v>
      </c>
      <c r="D104" s="46">
        <f t="shared" si="27"/>
        <v>0.1840433213</v>
      </c>
      <c r="E104" s="46">
        <f t="shared" si="27"/>
        <v>0.1988923077</v>
      </c>
      <c r="F104" s="46">
        <f t="shared" si="27"/>
        <v>0.3774390244</v>
      </c>
      <c r="G104" s="46">
        <f t="shared" si="27"/>
        <v>0.402734375</v>
      </c>
      <c r="H104" s="46">
        <f t="shared" si="27"/>
        <v>0.6066666667</v>
      </c>
      <c r="I104" s="46">
        <f t="shared" si="27"/>
        <v>0.6100694444</v>
      </c>
      <c r="J104" s="46">
        <f t="shared" si="27"/>
        <v>0.4216363636</v>
      </c>
      <c r="K104" s="46">
        <f t="shared" si="27"/>
        <v>0.4083673469</v>
      </c>
      <c r="L104" s="46">
        <f t="shared" si="27"/>
        <v>0.6194957983</v>
      </c>
      <c r="M104" s="46">
        <f t="shared" si="27"/>
        <v>0.5293181818</v>
      </c>
      <c r="N104" s="46">
        <f t="shared" si="27"/>
        <v>0.4849557522</v>
      </c>
      <c r="O104" s="46">
        <f t="shared" si="27"/>
        <v>0.2926027397</v>
      </c>
      <c r="P104" s="46">
        <f t="shared" si="27"/>
        <v>0.4406666667</v>
      </c>
      <c r="Q104" s="46">
        <f t="shared" si="27"/>
        <v>0.2484482759</v>
      </c>
      <c r="R104" s="46">
        <f t="shared" si="27"/>
        <v>0.422849162</v>
      </c>
      <c r="S104" s="46">
        <f t="shared" si="27"/>
        <v>0.5092857143</v>
      </c>
      <c r="T104" s="46">
        <f t="shared" si="27"/>
        <v>0.5225961538</v>
      </c>
      <c r="U104" s="46">
        <f t="shared" si="27"/>
        <v>0.4881981982</v>
      </c>
      <c r="V104" s="46">
        <f t="shared" si="27"/>
        <v>0.3743396226</v>
      </c>
      <c r="W104" s="46">
        <f t="shared" si="27"/>
        <v>0.7495533478</v>
      </c>
      <c r="X104" s="46">
        <f t="shared" si="27"/>
        <v>0.5548145517</v>
      </c>
      <c r="Y104" s="46">
        <f t="shared" si="27"/>
        <v>0.4052475319</v>
      </c>
      <c r="Z104" s="46">
        <f t="shared" si="27"/>
        <v>0.2449771689</v>
      </c>
      <c r="AA104" s="46">
        <f t="shared" si="27"/>
        <v>0.2071759259</v>
      </c>
      <c r="AB104" s="46">
        <f t="shared" si="27"/>
        <v>0.1766666667</v>
      </c>
      <c r="AC104" s="46">
        <f t="shared" si="27"/>
        <v>0.2622972973</v>
      </c>
      <c r="AD104" s="46">
        <f t="shared" si="27"/>
        <v>0.2801829268</v>
      </c>
      <c r="AE104" s="46">
        <f t="shared" si="27"/>
        <v>0.3128947368</v>
      </c>
      <c r="AF104" s="46">
        <f t="shared" si="27"/>
        <v>0.3367741935</v>
      </c>
    </row>
    <row r="105">
      <c r="C105" s="60"/>
      <c r="M105" s="8"/>
      <c r="N105" s="8"/>
      <c r="O105" s="8"/>
      <c r="P105" s="8"/>
      <c r="Q105" s="8"/>
    </row>
    <row r="106">
      <c r="A106" s="16" t="s">
        <v>81</v>
      </c>
      <c r="B106" s="60">
        <v>0.0754</v>
      </c>
      <c r="C106" s="60">
        <v>0.0272</v>
      </c>
      <c r="D106" s="60">
        <v>0.0236</v>
      </c>
      <c r="E106" s="60">
        <v>0.0269</v>
      </c>
      <c r="F106" s="60">
        <v>0.0264</v>
      </c>
      <c r="G106" s="60">
        <v>0.026</v>
      </c>
      <c r="H106" s="60">
        <v>0.0218</v>
      </c>
      <c r="I106" s="60">
        <v>0.0182</v>
      </c>
      <c r="J106" s="60">
        <v>0.0224</v>
      </c>
      <c r="K106" s="60">
        <v>0.0198</v>
      </c>
      <c r="L106" s="60">
        <v>0.0183</v>
      </c>
      <c r="M106" s="60">
        <v>0.0148</v>
      </c>
      <c r="N106" s="60">
        <v>0.0118</v>
      </c>
      <c r="O106" s="60">
        <v>0.0139</v>
      </c>
      <c r="P106" s="60">
        <v>0.0167</v>
      </c>
      <c r="Q106" s="60">
        <v>0.0219</v>
      </c>
      <c r="R106" s="60">
        <v>0.0177</v>
      </c>
      <c r="S106" s="60">
        <v>0.0186</v>
      </c>
      <c r="T106" s="60">
        <v>0.0147</v>
      </c>
      <c r="U106" s="60">
        <v>0.0193</v>
      </c>
      <c r="V106" s="60">
        <v>0.0186</v>
      </c>
      <c r="W106" s="60">
        <v>0.0223</v>
      </c>
      <c r="X106" s="60">
        <v>0.017</v>
      </c>
      <c r="Y106" s="60">
        <v>0.0229</v>
      </c>
      <c r="Z106" s="60">
        <v>0.0234</v>
      </c>
      <c r="AA106" s="60">
        <v>0.0188</v>
      </c>
      <c r="AB106" s="60">
        <v>0.019</v>
      </c>
      <c r="AC106" s="60">
        <v>0.019</v>
      </c>
      <c r="AD106" s="60">
        <v>0.0134</v>
      </c>
      <c r="AE106" s="60">
        <v>0.0207</v>
      </c>
      <c r="AF106" s="60">
        <v>0.0177</v>
      </c>
    </row>
    <row r="107">
      <c r="A107" s="16" t="s">
        <v>82</v>
      </c>
      <c r="B107" s="13">
        <f t="shared" ref="B107:AF107" si="28">B8/B52</f>
        <v>311.0635441</v>
      </c>
      <c r="C107" s="13">
        <f t="shared" si="28"/>
        <v>259.4642548</v>
      </c>
      <c r="D107" s="13">
        <f t="shared" si="28"/>
        <v>265.9520749</v>
      </c>
      <c r="E107" s="13">
        <f t="shared" si="28"/>
        <v>255.3493269</v>
      </c>
      <c r="F107" s="13">
        <f t="shared" si="28"/>
        <v>242.9198381</v>
      </c>
      <c r="G107" s="13">
        <f t="shared" si="28"/>
        <v>246.023271</v>
      </c>
      <c r="H107" s="13">
        <f t="shared" si="28"/>
        <v>257.6941827</v>
      </c>
      <c r="I107" s="13">
        <f t="shared" si="28"/>
        <v>266.49485</v>
      </c>
      <c r="J107" s="13">
        <f t="shared" si="28"/>
        <v>243.5221561</v>
      </c>
      <c r="K107" s="13">
        <f t="shared" si="28"/>
        <v>246.1827848</v>
      </c>
      <c r="L107" s="13">
        <f t="shared" si="28"/>
        <v>273.8059016</v>
      </c>
      <c r="M107" s="13">
        <f t="shared" si="28"/>
        <v>277.04504</v>
      </c>
      <c r="N107" s="13">
        <f t="shared" si="28"/>
        <v>263.8663441</v>
      </c>
      <c r="O107" s="13">
        <f t="shared" si="28"/>
        <v>288.2183178</v>
      </c>
      <c r="P107" s="13">
        <f t="shared" si="28"/>
        <v>260.9043333</v>
      </c>
      <c r="Q107" s="13">
        <f t="shared" si="28"/>
        <v>266.1302542</v>
      </c>
      <c r="R107" s="13">
        <f t="shared" si="28"/>
        <v>267.7505495</v>
      </c>
      <c r="S107" s="13">
        <f t="shared" si="28"/>
        <v>236.932043</v>
      </c>
      <c r="T107" s="13">
        <f t="shared" si="28"/>
        <v>261.9249296</v>
      </c>
      <c r="U107" s="13">
        <f t="shared" si="28"/>
        <v>241.1265854</v>
      </c>
      <c r="V107" s="13">
        <f t="shared" si="28"/>
        <v>260.0986585</v>
      </c>
      <c r="W107" s="13">
        <f t="shared" si="28"/>
        <v>378.9811</v>
      </c>
      <c r="X107" s="13">
        <f t="shared" si="28"/>
        <v>263.3784615</v>
      </c>
      <c r="Y107" s="13">
        <f t="shared" si="28"/>
        <v>269.050073</v>
      </c>
      <c r="Z107" s="13">
        <f t="shared" si="28"/>
        <v>244.5939286</v>
      </c>
      <c r="AA107" s="13">
        <f t="shared" si="28"/>
        <v>248.1294937</v>
      </c>
      <c r="AB107" s="13">
        <f t="shared" si="28"/>
        <v>246.0344304</v>
      </c>
      <c r="AC107" s="13">
        <f t="shared" si="28"/>
        <v>259.2758065</v>
      </c>
      <c r="AD107" s="13">
        <f t="shared" si="28"/>
        <v>298.2552632</v>
      </c>
      <c r="AE107" s="13">
        <f t="shared" si="28"/>
        <v>251.6164368</v>
      </c>
      <c r="AF107" s="13">
        <f t="shared" si="28"/>
        <v>230.893</v>
      </c>
    </row>
    <row r="108">
      <c r="A108" s="16" t="s">
        <v>83</v>
      </c>
      <c r="B108" s="48">
        <v>310.35</v>
      </c>
      <c r="C108" s="13">
        <v>255.77</v>
      </c>
      <c r="D108" s="61">
        <v>262.65</v>
      </c>
      <c r="E108" s="61">
        <v>265.26</v>
      </c>
      <c r="F108" s="13">
        <v>252.78</v>
      </c>
      <c r="G108" s="13">
        <v>249.95</v>
      </c>
      <c r="H108" s="13">
        <v>258.33</v>
      </c>
      <c r="I108" s="13">
        <v>274.97</v>
      </c>
      <c r="J108" s="13">
        <v>252.55</v>
      </c>
      <c r="K108" s="13">
        <v>251.41</v>
      </c>
      <c r="L108" s="13">
        <v>292.25</v>
      </c>
      <c r="M108" s="13">
        <v>307.6</v>
      </c>
      <c r="N108" s="13">
        <v>290.79</v>
      </c>
      <c r="O108" s="13">
        <v>306.21</v>
      </c>
      <c r="P108" s="13">
        <v>296.55</v>
      </c>
      <c r="Q108" s="13">
        <v>283.33</v>
      </c>
      <c r="R108" s="62">
        <v>268.14</v>
      </c>
      <c r="S108" s="13">
        <v>260.28</v>
      </c>
      <c r="T108" s="13">
        <v>268.81</v>
      </c>
      <c r="U108" s="13">
        <v>276.66</v>
      </c>
      <c r="V108" s="13">
        <v>289.45</v>
      </c>
      <c r="W108" s="13">
        <v>320.68</v>
      </c>
      <c r="X108" s="13">
        <v>310.36</v>
      </c>
      <c r="Y108" s="13">
        <v>321.08</v>
      </c>
      <c r="Z108" s="13">
        <v>283.76</v>
      </c>
      <c r="AA108" s="13">
        <v>300.9</v>
      </c>
      <c r="AB108" s="13">
        <v>296.02</v>
      </c>
      <c r="AC108" s="13">
        <v>282.06</v>
      </c>
      <c r="AD108" s="13">
        <v>297.1</v>
      </c>
      <c r="AE108" s="13">
        <v>264.89</v>
      </c>
      <c r="AF108" s="13">
        <v>255.57</v>
      </c>
    </row>
    <row r="109">
      <c r="A109" s="16" t="s">
        <v>84</v>
      </c>
      <c r="B109" s="13">
        <v>312.09</v>
      </c>
      <c r="C109" s="13">
        <v>266.27</v>
      </c>
      <c r="D109" s="61">
        <v>270.41</v>
      </c>
      <c r="E109" s="61">
        <v>219.33</v>
      </c>
      <c r="F109" s="13">
        <v>185.21</v>
      </c>
      <c r="G109" s="13">
        <v>204.46</v>
      </c>
      <c r="H109" s="13">
        <v>250.83</v>
      </c>
      <c r="I109" s="13">
        <v>221.62</v>
      </c>
      <c r="J109" s="13">
        <v>176.91</v>
      </c>
      <c r="K109" s="13">
        <v>206.29</v>
      </c>
      <c r="L109" s="13">
        <v>200.47</v>
      </c>
      <c r="M109" s="13">
        <v>151.35</v>
      </c>
      <c r="N109" s="13">
        <v>183.84</v>
      </c>
      <c r="O109" s="13">
        <v>199.96</v>
      </c>
      <c r="P109" s="13">
        <v>144.2</v>
      </c>
      <c r="Q109" s="63">
        <v>205.31</v>
      </c>
      <c r="R109" s="13">
        <v>256.94</v>
      </c>
      <c r="S109" s="13">
        <v>147.65</v>
      </c>
      <c r="T109" s="13">
        <v>232.04</v>
      </c>
      <c r="U109" s="13">
        <v>155.25</v>
      </c>
      <c r="V109" s="13">
        <v>157.03</v>
      </c>
      <c r="W109" s="13">
        <v>126.02</v>
      </c>
      <c r="X109" s="13">
        <v>156.91</v>
      </c>
      <c r="Y109" s="13">
        <v>135.4</v>
      </c>
      <c r="Z109" s="13">
        <v>158.43</v>
      </c>
      <c r="AA109" s="13">
        <v>142.51</v>
      </c>
      <c r="AB109" s="13">
        <v>118.5</v>
      </c>
      <c r="AC109" s="13">
        <v>203.58</v>
      </c>
      <c r="AD109" s="13">
        <v>306.48</v>
      </c>
      <c r="AE109" s="13">
        <v>192.71</v>
      </c>
      <c r="AF109" s="13">
        <v>132.19</v>
      </c>
    </row>
    <row r="111">
      <c r="A111" s="16" t="s">
        <v>85</v>
      </c>
    </row>
    <row r="112">
      <c r="A112" s="60" t="s">
        <v>86</v>
      </c>
      <c r="B112" s="60">
        <v>0.289</v>
      </c>
      <c r="C112" s="60">
        <v>0.198</v>
      </c>
      <c r="D112" s="60">
        <v>0.16</v>
      </c>
      <c r="E112" s="60">
        <v>0.222</v>
      </c>
      <c r="F112" s="60">
        <v>0.16</v>
      </c>
      <c r="G112" s="60">
        <v>0.126</v>
      </c>
      <c r="H112" s="60">
        <v>0.198</v>
      </c>
      <c r="I112" s="60">
        <v>0.156</v>
      </c>
      <c r="J112" s="60">
        <v>0.16</v>
      </c>
      <c r="K112" s="60">
        <v>0.14</v>
      </c>
      <c r="L112" s="60">
        <v>0.224</v>
      </c>
      <c r="M112" s="60">
        <v>0.246</v>
      </c>
      <c r="N112" s="60">
        <v>0.222</v>
      </c>
      <c r="O112" s="60">
        <v>0.247</v>
      </c>
      <c r="P112" s="60">
        <v>0.233</v>
      </c>
      <c r="Q112" s="60">
        <v>0.235</v>
      </c>
      <c r="R112" s="60">
        <v>0.284</v>
      </c>
      <c r="S112" s="60">
        <v>0.239</v>
      </c>
      <c r="T112" s="60">
        <v>0.27</v>
      </c>
      <c r="U112" s="60">
        <v>0.266</v>
      </c>
      <c r="V112" s="60">
        <v>0.231</v>
      </c>
      <c r="W112" s="60">
        <v>0.271</v>
      </c>
      <c r="X112" s="60">
        <v>0.295</v>
      </c>
      <c r="Y112" s="60">
        <v>0.285</v>
      </c>
      <c r="Z112" s="60">
        <v>0.306</v>
      </c>
      <c r="AA112" s="60">
        <v>0.346</v>
      </c>
      <c r="AB112" s="60">
        <v>0.286</v>
      </c>
      <c r="AC112" s="60">
        <v>0.294</v>
      </c>
      <c r="AD112" s="60">
        <v>0.125</v>
      </c>
      <c r="AE112" s="60">
        <v>0.184</v>
      </c>
      <c r="AF112" s="60">
        <v>0.192</v>
      </c>
    </row>
    <row r="113">
      <c r="A113" s="4" t="s">
        <v>87</v>
      </c>
      <c r="B113" s="60">
        <f t="shared" ref="B113:AF113" si="29">1-B112</f>
        <v>0.711</v>
      </c>
      <c r="C113" s="60">
        <f t="shared" si="29"/>
        <v>0.802</v>
      </c>
      <c r="D113" s="60">
        <f t="shared" si="29"/>
        <v>0.84</v>
      </c>
      <c r="E113" s="60">
        <f t="shared" si="29"/>
        <v>0.778</v>
      </c>
      <c r="F113" s="60">
        <f t="shared" si="29"/>
        <v>0.84</v>
      </c>
      <c r="G113" s="60">
        <f t="shared" si="29"/>
        <v>0.874</v>
      </c>
      <c r="H113" s="60">
        <f t="shared" si="29"/>
        <v>0.802</v>
      </c>
      <c r="I113" s="60">
        <f t="shared" si="29"/>
        <v>0.844</v>
      </c>
      <c r="J113" s="60">
        <f t="shared" si="29"/>
        <v>0.84</v>
      </c>
      <c r="K113" s="60">
        <f t="shared" si="29"/>
        <v>0.86</v>
      </c>
      <c r="L113" s="60">
        <f t="shared" si="29"/>
        <v>0.776</v>
      </c>
      <c r="M113" s="60">
        <f t="shared" si="29"/>
        <v>0.754</v>
      </c>
      <c r="N113" s="60">
        <f t="shared" si="29"/>
        <v>0.778</v>
      </c>
      <c r="O113" s="60">
        <f t="shared" si="29"/>
        <v>0.753</v>
      </c>
      <c r="P113" s="60">
        <f t="shared" si="29"/>
        <v>0.767</v>
      </c>
      <c r="Q113" s="60">
        <f t="shared" si="29"/>
        <v>0.765</v>
      </c>
      <c r="R113" s="60">
        <f t="shared" si="29"/>
        <v>0.716</v>
      </c>
      <c r="S113" s="60">
        <f t="shared" si="29"/>
        <v>0.761</v>
      </c>
      <c r="T113" s="60">
        <f t="shared" si="29"/>
        <v>0.73</v>
      </c>
      <c r="U113" s="60">
        <f t="shared" si="29"/>
        <v>0.734</v>
      </c>
      <c r="V113" s="60">
        <f t="shared" si="29"/>
        <v>0.769</v>
      </c>
      <c r="W113" s="60">
        <f t="shared" si="29"/>
        <v>0.729</v>
      </c>
      <c r="X113" s="60">
        <f t="shared" si="29"/>
        <v>0.705</v>
      </c>
      <c r="Y113" s="60">
        <f t="shared" si="29"/>
        <v>0.715</v>
      </c>
      <c r="Z113" s="60">
        <f t="shared" si="29"/>
        <v>0.694</v>
      </c>
      <c r="AA113" s="60">
        <f t="shared" si="29"/>
        <v>0.654</v>
      </c>
      <c r="AB113" s="60">
        <f t="shared" si="29"/>
        <v>0.714</v>
      </c>
      <c r="AC113" s="60">
        <f t="shared" si="29"/>
        <v>0.706</v>
      </c>
      <c r="AD113" s="60">
        <f t="shared" si="29"/>
        <v>0.875</v>
      </c>
      <c r="AE113" s="60">
        <f t="shared" si="29"/>
        <v>0.816</v>
      </c>
      <c r="AF113" s="60">
        <f t="shared" si="29"/>
        <v>0.808</v>
      </c>
    </row>
    <row r="115">
      <c r="B115" s="64">
        <v>45352.0</v>
      </c>
      <c r="C115" s="65" t="s">
        <v>88</v>
      </c>
      <c r="D115" s="65" t="s">
        <v>89</v>
      </c>
    </row>
    <row r="116">
      <c r="A116" s="4" t="s">
        <v>90</v>
      </c>
      <c r="B116" s="46">
        <f>SUM(B31:AF31)+SUM(B49:AF49)</f>
        <v>2284243.542</v>
      </c>
      <c r="C116" s="66">
        <v>1800000.0</v>
      </c>
      <c r="D116" s="67">
        <f t="shared" ref="D116:D118" si="30">B116/C116</f>
        <v>1.26902419</v>
      </c>
      <c r="X116" s="68"/>
      <c r="AA116" s="58"/>
    </row>
    <row r="117">
      <c r="A117" s="4" t="s">
        <v>91</v>
      </c>
      <c r="B117" s="46">
        <f>SUM(B88:AF88)+SUM(B94:AF94)</f>
        <v>288009.3923</v>
      </c>
      <c r="C117" s="66">
        <v>450000.0</v>
      </c>
      <c r="D117" s="67">
        <f t="shared" si="30"/>
        <v>0.6400208719</v>
      </c>
      <c r="X117" s="68"/>
      <c r="AA117" s="58"/>
    </row>
    <row r="118">
      <c r="A118" s="4" t="s">
        <v>92</v>
      </c>
      <c r="B118" s="69">
        <f t="shared" ref="B118:C118" si="31">B116/B117</f>
        <v>7.931142533</v>
      </c>
      <c r="C118" s="70">
        <f t="shared" si="31"/>
        <v>4</v>
      </c>
      <c r="D118" s="67">
        <f t="shared" si="30"/>
        <v>1.982785633</v>
      </c>
    </row>
    <row r="119">
      <c r="A119" s="4" t="s">
        <v>93</v>
      </c>
      <c r="B119" s="46">
        <f>SUM(B88:AF88)/SUM('DTC - P&amp;L'!B59:AF59,'DTC - P&amp;L'!B63:AF63,'AMAZON - P&amp;L'!B32:AF32,'Digital Marketplaces - P&amp;L'!B17:AF17,'Digital Marketplaces - P&amp;L'!B129:AF129)</f>
        <v>41.76354186</v>
      </c>
      <c r="C119" s="71"/>
      <c r="D119" s="67"/>
      <c r="W119" s="4" t="s">
        <v>94</v>
      </c>
    </row>
    <row r="120">
      <c r="A120" s="4" t="s">
        <v>95</v>
      </c>
      <c r="B120" s="68">
        <f>IFERROR(__xludf.DUMMYFUNCTION("AVERAGE.WEIGHTED(B106:AF106,B52:AF52)"),0.037738214891321106)</f>
        <v>0.03773821489</v>
      </c>
      <c r="C120" s="72"/>
      <c r="D120" s="67"/>
    </row>
    <row r="121">
      <c r="A121" s="4" t="s">
        <v>96</v>
      </c>
      <c r="B121" s="13">
        <f>AVERAGE(B107:AF107)</f>
        <v>263.9573301</v>
      </c>
      <c r="C121" s="71"/>
      <c r="D121" s="67"/>
    </row>
    <row r="122">
      <c r="A122" s="4" t="s">
        <v>83</v>
      </c>
      <c r="B122" s="48">
        <f>IFERROR(__xludf.DUMMYFUNCTION("AVERAGE.WEIGHTED(B108:AF108,B52:AF52)"),284.4163234160629)</f>
        <v>284.4163234</v>
      </c>
    </row>
    <row r="123">
      <c r="A123" s="4" t="s">
        <v>84</v>
      </c>
      <c r="B123" s="13">
        <f>IFERROR(__xludf.DUMMYFUNCTION("AVERAGE.weighted(B109:AF109,B52:AF52)"),235.7995945737629)</f>
        <v>235.7995946</v>
      </c>
    </row>
    <row r="124">
      <c r="A124" s="4" t="s">
        <v>97</v>
      </c>
      <c r="B124" s="73">
        <f>SUM(B64:AF64)</f>
        <v>9205</v>
      </c>
      <c r="C124" s="74"/>
      <c r="D124" s="67"/>
      <c r="L124" s="4" t="s">
        <v>94</v>
      </c>
    </row>
    <row r="125">
      <c r="A125" s="4" t="s">
        <v>98</v>
      </c>
      <c r="B125" s="73">
        <f>'DTC - P&amp;L'!AG59 +'AMAZON - P&amp;L'!AG32+'Digital Marketplaces - P&amp;L'!AG17+'Digital Marketplaces - P&amp;L'!AG129+'DTC - P&amp;L'!AG63</f>
        <v>6852</v>
      </c>
      <c r="C125" s="75">
        <v>4000.0</v>
      </c>
      <c r="D125" s="67">
        <f>B125/C125</f>
        <v>1.713</v>
      </c>
    </row>
    <row r="126" outlineLevel="1">
      <c r="A126" s="30" t="s">
        <v>99</v>
      </c>
      <c r="B126" s="76">
        <f>'DTC - P&amp;L'!AG59 +'AMAZON - P&amp;L'!AG32+'Digital Marketplaces - P&amp;L'!AG17+'Digital Marketplaces - P&amp;L'!AG129</f>
        <v>3569</v>
      </c>
      <c r="C126" s="71"/>
      <c r="D126" s="67"/>
    </row>
    <row r="127" outlineLevel="1">
      <c r="A127" s="30" t="s">
        <v>100</v>
      </c>
      <c r="B127" s="76">
        <f>'DTC - P&amp;L'!AG63</f>
        <v>3283</v>
      </c>
      <c r="C127" s="71"/>
      <c r="D127" s="67"/>
    </row>
    <row r="128">
      <c r="A128" s="4" t="s">
        <v>101</v>
      </c>
      <c r="B128" s="46">
        <f>(SUM(B88:AF88)/B125)</f>
        <v>41.76354186</v>
      </c>
      <c r="C128" s="71"/>
      <c r="D128" s="67"/>
    </row>
    <row r="129">
      <c r="A129" s="4" t="s">
        <v>102</v>
      </c>
      <c r="B129" s="68">
        <f>IFERROR(__xludf.DUMMYFUNCTION("AVERAGE.WEIGHTED(B113:AF113,B52:AF52)"),0.7664288577154309)</f>
        <v>0.7664288577</v>
      </c>
    </row>
    <row r="130">
      <c r="A130" s="4" t="s">
        <v>103</v>
      </c>
      <c r="B130" s="68">
        <f>IFERROR(__xludf.DUMMYFUNCTION("AVERAGE.WEIGHTED(B112:AF112,B52:AF52)"),0.23357114228456913)</f>
        <v>0.2335711423</v>
      </c>
    </row>
    <row r="140">
      <c r="Y140" s="60"/>
      <c r="Z140" s="60"/>
      <c r="AA140" s="60"/>
      <c r="AB140" s="60"/>
      <c r="AC140" s="60"/>
      <c r="AD140" s="60"/>
      <c r="AE140" s="60"/>
      <c r="AF140" s="60"/>
    </row>
    <row r="141">
      <c r="Y141" s="60"/>
      <c r="Z141" s="60"/>
      <c r="AA141" s="60"/>
      <c r="AB141" s="60"/>
      <c r="AC141" s="60"/>
      <c r="AD141" s="60"/>
      <c r="AE141" s="60"/>
      <c r="AF141" s="60"/>
    </row>
    <row r="142">
      <c r="Y142" s="60"/>
      <c r="Z142" s="60"/>
      <c r="AA142" s="60"/>
      <c r="AB142" s="60"/>
      <c r="AC142" s="60"/>
      <c r="AD142" s="60"/>
      <c r="AE142" s="60"/>
      <c r="AF142" s="60"/>
    </row>
    <row r="143">
      <c r="Y143" s="77"/>
      <c r="AC143" s="60"/>
      <c r="AD143" s="60"/>
      <c r="AE143" s="60"/>
      <c r="AF143" s="60"/>
    </row>
    <row r="148">
      <c r="Y148" s="4" t="s">
        <v>94</v>
      </c>
    </row>
    <row r="236">
      <c r="G236" s="78"/>
    </row>
    <row r="237">
      <c r="G237" s="78"/>
    </row>
  </sheetData>
  <mergeCells count="5">
    <mergeCell ref="A4:A6"/>
    <mergeCell ref="B4:L4"/>
    <mergeCell ref="T4:AF4"/>
    <mergeCell ref="I5:S5"/>
    <mergeCell ref="B6:H6"/>
  </mergeCells>
  <conditionalFormatting sqref="Y140:Y143 Z140:AB142 AC140:AF143">
    <cfRule type="colorScale" priority="1">
      <colorScale>
        <cfvo type="min"/>
        <cfvo type="max"/>
        <color rgb="FFFFFFFF"/>
        <color rgb="FF57BB8A"/>
      </colorScale>
    </cfRule>
  </conditionalFormatting>
  <conditionalFormatting sqref="B112:AF112">
    <cfRule type="colorScale" priority="2">
      <colorScale>
        <cfvo type="min"/>
        <cfvo type="max"/>
        <color rgb="FFFFFFFF"/>
        <color rgb="FF57BB8A"/>
      </colorScale>
    </cfRule>
  </conditionalFormatting>
  <conditionalFormatting sqref="B101:AF101">
    <cfRule type="colorScale" priority="3">
      <colorScale>
        <cfvo type="min"/>
        <cfvo type="max"/>
        <color rgb="FF57BB8A"/>
        <color rgb="FFFFFFFF"/>
      </colorScale>
    </cfRule>
  </conditionalFormatting>
  <conditionalFormatting sqref="B96:AF96">
    <cfRule type="colorScale" priority="4">
      <colorScale>
        <cfvo type="min"/>
        <cfvo type="max"/>
        <color rgb="FFFFFFFF"/>
        <color rgb="FF57BB8A"/>
      </colorScale>
    </cfRule>
  </conditionalFormatting>
  <conditionalFormatting sqref="C105 B106 D106:AF106">
    <cfRule type="colorScale" priority="5">
      <colorScale>
        <cfvo type="min"/>
        <cfvo type="max"/>
        <color rgb="FFFFFFFF"/>
        <color rgb="FF57BB8A"/>
      </colorScale>
    </cfRule>
  </conditionalFormatting>
  <conditionalFormatting sqref="B107:AF107">
    <cfRule type="colorScale" priority="6">
      <colorScale>
        <cfvo type="min"/>
        <cfvo type="max"/>
        <color rgb="FFFFFFFF"/>
        <color rgb="FF57BB8A"/>
      </colorScale>
    </cfRule>
  </conditionalFormatting>
  <conditionalFormatting sqref="B52:AF52">
    <cfRule type="colorScale" priority="7">
      <colorScale>
        <cfvo type="min"/>
        <cfvo type="max"/>
        <color rgb="FFFFFFFF"/>
        <color rgb="FF57BB8A"/>
      </colorScale>
    </cfRule>
  </conditionalFormatting>
  <conditionalFormatting sqref="L44 B71:AF74">
    <cfRule type="colorScale" priority="8">
      <colorScale>
        <cfvo type="min"/>
        <cfvo type="max"/>
        <color rgb="FFFFFFFF"/>
        <color rgb="FF57BB8A"/>
      </colorScale>
    </cfRule>
  </conditionalFormatting>
  <conditionalFormatting sqref="B58:AF58">
    <cfRule type="colorScale" priority="9">
      <colorScale>
        <cfvo type="min"/>
        <cfvo type="max"/>
        <color rgb="FFFFFFFF"/>
        <color rgb="FF57BB8A"/>
      </colorScale>
    </cfRule>
  </conditionalFormatting>
  <conditionalFormatting sqref="B61:AF61">
    <cfRule type="colorScale" priority="10">
      <colorScale>
        <cfvo type="min"/>
        <cfvo type="max"/>
        <color rgb="FFFFFFFF"/>
        <color rgb="FF57BB8A"/>
      </colorScale>
    </cfRule>
  </conditionalFormatting>
  <conditionalFormatting sqref="B68:AF68">
    <cfRule type="colorScale" priority="11">
      <colorScale>
        <cfvo type="min"/>
        <cfvo type="max"/>
        <color rgb="FFFFFFFF"/>
        <color rgb="FF57BB8A"/>
      </colorScale>
    </cfRule>
  </conditionalFormatting>
  <conditionalFormatting sqref="B67:AF67">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79" t="s">
        <v>104</v>
      </c>
      <c r="B1" s="80">
        <v>45352.0</v>
      </c>
      <c r="C1" s="80">
        <v>45353.0</v>
      </c>
      <c r="D1" s="80">
        <v>45354.0</v>
      </c>
      <c r="E1" s="80">
        <v>45355.0</v>
      </c>
      <c r="F1" s="80">
        <v>45356.0</v>
      </c>
      <c r="G1" s="80">
        <v>45357.0</v>
      </c>
      <c r="H1" s="80">
        <v>45358.0</v>
      </c>
      <c r="I1" s="80">
        <v>45359.0</v>
      </c>
      <c r="J1" s="80">
        <v>45360.0</v>
      </c>
      <c r="K1" s="80">
        <v>45361.0</v>
      </c>
      <c r="L1" s="80">
        <v>45362.0</v>
      </c>
      <c r="M1" s="80">
        <v>45363.0</v>
      </c>
      <c r="N1" s="80">
        <v>45364.0</v>
      </c>
      <c r="O1" s="80">
        <v>45365.0</v>
      </c>
      <c r="P1" s="80">
        <v>45366.0</v>
      </c>
      <c r="Q1" s="80">
        <v>45367.0</v>
      </c>
      <c r="R1" s="80">
        <v>45368.0</v>
      </c>
      <c r="S1" s="80">
        <v>45369.0</v>
      </c>
      <c r="T1" s="80">
        <v>45370.0</v>
      </c>
      <c r="U1" s="80">
        <v>45371.0</v>
      </c>
      <c r="V1" s="80">
        <v>45372.0</v>
      </c>
      <c r="W1" s="80">
        <v>45373.0</v>
      </c>
      <c r="X1" s="80">
        <v>45374.0</v>
      </c>
      <c r="Y1" s="80">
        <v>45375.0</v>
      </c>
      <c r="Z1" s="80">
        <v>45376.0</v>
      </c>
      <c r="AA1" s="80">
        <v>45377.0</v>
      </c>
      <c r="AB1" s="80">
        <v>45378.0</v>
      </c>
      <c r="AC1" s="80">
        <v>45379.0</v>
      </c>
      <c r="AD1" s="80">
        <v>45380.0</v>
      </c>
      <c r="AE1" s="80">
        <v>45381.0</v>
      </c>
      <c r="AF1" s="80">
        <v>45382.0</v>
      </c>
      <c r="AG1" s="81"/>
    </row>
    <row r="2">
      <c r="A2" s="82" t="s">
        <v>105</v>
      </c>
      <c r="B2" s="83" t="s">
        <v>0</v>
      </c>
      <c r="C2" s="83" t="s">
        <v>1</v>
      </c>
      <c r="D2" s="83" t="s">
        <v>2</v>
      </c>
      <c r="E2" s="83" t="s">
        <v>3</v>
      </c>
      <c r="F2" s="83" t="s">
        <v>4</v>
      </c>
      <c r="G2" s="83" t="s">
        <v>5</v>
      </c>
      <c r="H2" s="83" t="s">
        <v>6</v>
      </c>
      <c r="I2" s="83" t="s">
        <v>0</v>
      </c>
      <c r="J2" s="83" t="s">
        <v>1</v>
      </c>
      <c r="K2" s="83" t="s">
        <v>2</v>
      </c>
      <c r="L2" s="83" t="s">
        <v>3</v>
      </c>
      <c r="M2" s="83" t="s">
        <v>4</v>
      </c>
      <c r="N2" s="83" t="s">
        <v>5</v>
      </c>
      <c r="O2" s="83" t="s">
        <v>6</v>
      </c>
      <c r="P2" s="83" t="s">
        <v>0</v>
      </c>
      <c r="Q2" s="83" t="s">
        <v>1</v>
      </c>
      <c r="R2" s="83" t="s">
        <v>2</v>
      </c>
      <c r="S2" s="83" t="s">
        <v>3</v>
      </c>
      <c r="T2" s="83" t="s">
        <v>4</v>
      </c>
      <c r="U2" s="83" t="s">
        <v>5</v>
      </c>
      <c r="V2" s="83" t="s">
        <v>6</v>
      </c>
      <c r="W2" s="83" t="s">
        <v>0</v>
      </c>
      <c r="X2" s="83" t="s">
        <v>1</v>
      </c>
      <c r="Y2" s="83" t="s">
        <v>2</v>
      </c>
      <c r="Z2" s="83" t="s">
        <v>3</v>
      </c>
      <c r="AA2" s="83" t="s">
        <v>4</v>
      </c>
      <c r="AB2" s="83" t="s">
        <v>5</v>
      </c>
      <c r="AC2" s="83" t="s">
        <v>6</v>
      </c>
      <c r="AD2" s="83" t="s">
        <v>0</v>
      </c>
      <c r="AE2" s="83" t="s">
        <v>1</v>
      </c>
      <c r="AF2" s="83" t="s">
        <v>2</v>
      </c>
      <c r="AG2" s="81"/>
    </row>
    <row r="3">
      <c r="A3" s="84" t="s">
        <v>106</v>
      </c>
      <c r="B3" s="85"/>
      <c r="C3" s="85"/>
      <c r="D3" s="85"/>
      <c r="E3" s="85"/>
      <c r="F3" s="85"/>
      <c r="G3" s="85"/>
      <c r="H3" s="85"/>
      <c r="I3" s="85"/>
      <c r="J3" s="85"/>
      <c r="K3" s="85"/>
      <c r="L3" s="85"/>
      <c r="M3" s="85"/>
      <c r="N3" s="85"/>
      <c r="O3" s="85"/>
      <c r="P3" s="85"/>
      <c r="Q3" s="85"/>
      <c r="R3" s="85"/>
      <c r="S3" s="85"/>
      <c r="T3" s="85"/>
      <c r="U3" s="85"/>
      <c r="V3" s="85"/>
      <c r="W3" s="85"/>
      <c r="X3" s="85"/>
      <c r="Y3" s="85"/>
      <c r="Z3" s="85"/>
      <c r="AA3" s="85"/>
      <c r="AB3" s="86"/>
      <c r="AC3" s="85"/>
      <c r="AD3" s="85"/>
      <c r="AE3" s="85"/>
      <c r="AF3" s="85"/>
      <c r="AG3" s="81"/>
    </row>
    <row r="4">
      <c r="A4" s="87" t="s">
        <v>97</v>
      </c>
      <c r="B4" s="85"/>
      <c r="C4" s="85"/>
      <c r="D4" s="85"/>
      <c r="E4" s="85"/>
      <c r="F4" s="85"/>
      <c r="G4" s="85"/>
      <c r="H4" s="85"/>
      <c r="I4" s="85"/>
      <c r="J4" s="85"/>
      <c r="K4" s="85"/>
      <c r="L4" s="85"/>
      <c r="M4" s="85"/>
      <c r="N4" s="85"/>
      <c r="O4" s="85"/>
      <c r="P4" s="86"/>
      <c r="Q4" s="86"/>
      <c r="R4" s="85"/>
      <c r="S4" s="85"/>
      <c r="T4" s="85"/>
      <c r="U4" s="85"/>
      <c r="V4" s="85"/>
      <c r="W4" s="85"/>
      <c r="X4" s="85"/>
      <c r="Y4" s="85"/>
      <c r="Z4" s="85"/>
      <c r="AA4" s="85"/>
      <c r="AB4" s="85"/>
      <c r="AC4" s="85"/>
      <c r="AD4" s="85"/>
      <c r="AE4" s="85"/>
      <c r="AF4" s="85"/>
      <c r="AG4" s="81"/>
    </row>
    <row r="5">
      <c r="A5" s="88" t="s">
        <v>107</v>
      </c>
      <c r="B5" s="89">
        <v>458.0</v>
      </c>
      <c r="C5" s="90">
        <v>137.0</v>
      </c>
      <c r="D5" s="90">
        <v>146.0</v>
      </c>
      <c r="E5" s="91">
        <v>114.0</v>
      </c>
      <c r="F5" s="91">
        <v>84.0</v>
      </c>
      <c r="G5" s="91">
        <v>70.0</v>
      </c>
      <c r="H5" s="91">
        <v>69.0</v>
      </c>
      <c r="I5" s="90">
        <v>87.0</v>
      </c>
      <c r="J5" s="90">
        <v>86.0</v>
      </c>
      <c r="K5" s="90">
        <v>83.0</v>
      </c>
      <c r="L5" s="90">
        <v>60.0</v>
      </c>
      <c r="M5" s="92">
        <v>39.0</v>
      </c>
      <c r="N5" s="90">
        <v>27.0</v>
      </c>
      <c r="O5" s="90">
        <v>35.0</v>
      </c>
      <c r="P5" s="90">
        <v>18.0</v>
      </c>
      <c r="Q5" s="90">
        <v>4.0</v>
      </c>
      <c r="R5" s="90">
        <v>5.0</v>
      </c>
      <c r="S5" s="93">
        <v>3.0</v>
      </c>
      <c r="T5" s="90">
        <v>2.0</v>
      </c>
      <c r="U5" s="93">
        <v>3.0</v>
      </c>
      <c r="V5" s="93">
        <v>0.0</v>
      </c>
      <c r="W5" s="93">
        <v>0.0</v>
      </c>
      <c r="X5" s="93">
        <v>0.0</v>
      </c>
      <c r="Y5" s="94">
        <v>0.0</v>
      </c>
      <c r="Z5" s="94">
        <v>0.0</v>
      </c>
      <c r="AA5" s="93">
        <v>0.0</v>
      </c>
      <c r="AB5" s="93">
        <v>0.0</v>
      </c>
      <c r="AC5" s="93">
        <v>0.0</v>
      </c>
      <c r="AD5" s="93">
        <v>0.0</v>
      </c>
      <c r="AE5" s="93">
        <v>0.0</v>
      </c>
      <c r="AF5" s="93">
        <v>0.0</v>
      </c>
      <c r="AG5" s="95">
        <f t="shared" ref="AG5:AG12" si="1">SUM(B5:AF5)</f>
        <v>1530</v>
      </c>
    </row>
    <row r="6">
      <c r="A6" s="88" t="s">
        <v>108</v>
      </c>
      <c r="B6" s="96">
        <v>137.0</v>
      </c>
      <c r="C6" s="97">
        <v>102.0</v>
      </c>
      <c r="D6" s="98">
        <v>89.0</v>
      </c>
      <c r="E6" s="98">
        <v>79.0</v>
      </c>
      <c r="F6" s="98">
        <v>84.0</v>
      </c>
      <c r="G6" s="97">
        <v>61.0</v>
      </c>
      <c r="H6" s="97">
        <v>49.0</v>
      </c>
      <c r="I6" s="97">
        <v>55.0</v>
      </c>
      <c r="J6" s="97">
        <v>87.0</v>
      </c>
      <c r="K6" s="97">
        <v>76.0</v>
      </c>
      <c r="L6" s="98">
        <v>50.0</v>
      </c>
      <c r="M6" s="97">
        <v>25.0</v>
      </c>
      <c r="N6" s="97">
        <v>22.0</v>
      </c>
      <c r="O6" s="97">
        <v>27.0</v>
      </c>
      <c r="P6" s="97">
        <v>38.0</v>
      </c>
      <c r="Q6" s="97">
        <v>40.0</v>
      </c>
      <c r="R6" s="97">
        <v>25.0</v>
      </c>
      <c r="S6" s="99">
        <v>31.0</v>
      </c>
      <c r="T6" s="97">
        <v>22.0</v>
      </c>
      <c r="U6" s="99">
        <v>26.0</v>
      </c>
      <c r="V6" s="99">
        <v>23.0</v>
      </c>
      <c r="W6" s="99">
        <v>26.0</v>
      </c>
      <c r="X6" s="99">
        <v>39.0</v>
      </c>
      <c r="Y6" s="99">
        <v>46.0</v>
      </c>
      <c r="Z6" s="99">
        <v>37.0</v>
      </c>
      <c r="AA6" s="99">
        <v>25.0</v>
      </c>
      <c r="AB6" s="99">
        <v>21.0</v>
      </c>
      <c r="AC6" s="99">
        <v>27.0</v>
      </c>
      <c r="AD6" s="99">
        <v>22.0</v>
      </c>
      <c r="AE6" s="99">
        <v>35.0</v>
      </c>
      <c r="AF6" s="99">
        <v>28.0</v>
      </c>
      <c r="AG6" s="95">
        <f t="shared" si="1"/>
        <v>1454</v>
      </c>
    </row>
    <row r="7">
      <c r="A7" s="100" t="s">
        <v>109</v>
      </c>
      <c r="B7" s="90">
        <v>0.0</v>
      </c>
      <c r="C7" s="90">
        <v>0.0</v>
      </c>
      <c r="D7" s="90">
        <v>0.0</v>
      </c>
      <c r="E7" s="90">
        <v>0.0</v>
      </c>
      <c r="F7" s="90">
        <v>0.0</v>
      </c>
      <c r="G7" s="90">
        <v>0.0</v>
      </c>
      <c r="H7" s="90">
        <v>0.0</v>
      </c>
      <c r="I7" s="90">
        <v>0.0</v>
      </c>
      <c r="J7" s="90">
        <v>0.0</v>
      </c>
      <c r="K7" s="90">
        <v>1.0</v>
      </c>
      <c r="L7" s="90">
        <v>2.0</v>
      </c>
      <c r="M7" s="90">
        <v>2.0</v>
      </c>
      <c r="N7" s="90">
        <v>0.0</v>
      </c>
      <c r="O7" s="90">
        <v>2.0</v>
      </c>
      <c r="P7" s="90">
        <v>0.0</v>
      </c>
      <c r="Q7" s="90">
        <v>0.0</v>
      </c>
      <c r="R7" s="90">
        <v>2.0</v>
      </c>
      <c r="S7" s="90">
        <v>1.0</v>
      </c>
      <c r="T7" s="90">
        <v>0.0</v>
      </c>
      <c r="U7" s="90">
        <v>1.0</v>
      </c>
      <c r="V7" s="90">
        <v>0.0</v>
      </c>
      <c r="W7" s="90">
        <v>1.0</v>
      </c>
      <c r="X7" s="90">
        <v>0.0</v>
      </c>
      <c r="Y7" s="90">
        <v>0.0</v>
      </c>
      <c r="Z7" s="90">
        <v>0.0</v>
      </c>
      <c r="AA7" s="90">
        <v>0.0</v>
      </c>
      <c r="AB7" s="90">
        <v>0.0</v>
      </c>
      <c r="AC7" s="90">
        <v>1.0</v>
      </c>
      <c r="AD7" s="90">
        <v>0.0</v>
      </c>
      <c r="AE7" s="90">
        <v>0.0</v>
      </c>
      <c r="AF7" s="90">
        <v>1.0</v>
      </c>
      <c r="AG7" s="95">
        <f t="shared" si="1"/>
        <v>14</v>
      </c>
    </row>
    <row r="8">
      <c r="A8" s="88" t="s">
        <v>110</v>
      </c>
      <c r="B8" s="89">
        <v>40.0</v>
      </c>
      <c r="C8" s="90">
        <v>12.0</v>
      </c>
      <c r="D8" s="90">
        <v>30.0</v>
      </c>
      <c r="E8" s="91">
        <v>24.0</v>
      </c>
      <c r="F8" s="90">
        <v>14.0</v>
      </c>
      <c r="G8" s="90">
        <v>10.0</v>
      </c>
      <c r="H8" s="90">
        <v>4.0</v>
      </c>
      <c r="I8" s="90">
        <v>6.0</v>
      </c>
      <c r="J8" s="90">
        <v>20.0</v>
      </c>
      <c r="K8" s="90">
        <v>4.0</v>
      </c>
      <c r="L8" s="91">
        <v>4.0</v>
      </c>
      <c r="M8" s="90">
        <v>10.0</v>
      </c>
      <c r="N8" s="90">
        <v>8.0</v>
      </c>
      <c r="O8" s="90">
        <v>4.0</v>
      </c>
      <c r="P8" s="90">
        <v>2.0</v>
      </c>
      <c r="Q8" s="90">
        <v>8.0</v>
      </c>
      <c r="R8" s="90">
        <v>10.0</v>
      </c>
      <c r="S8" s="93">
        <v>0.0</v>
      </c>
      <c r="T8" s="90">
        <v>2.0</v>
      </c>
      <c r="U8" s="93">
        <v>8.0</v>
      </c>
      <c r="V8" s="93">
        <v>14.0</v>
      </c>
      <c r="W8" s="93">
        <v>20.0</v>
      </c>
      <c r="X8" s="93">
        <v>10.0</v>
      </c>
      <c r="Y8" s="93">
        <v>10.0</v>
      </c>
      <c r="Z8" s="99">
        <v>6.0</v>
      </c>
      <c r="AA8" s="93">
        <v>6.0</v>
      </c>
      <c r="AB8" s="93">
        <v>0.0</v>
      </c>
      <c r="AC8" s="93">
        <v>6.0</v>
      </c>
      <c r="AD8" s="93">
        <v>12.0</v>
      </c>
      <c r="AE8" s="93">
        <v>8.0</v>
      </c>
      <c r="AF8" s="93">
        <v>10.0</v>
      </c>
      <c r="AG8" s="95">
        <f t="shared" si="1"/>
        <v>322</v>
      </c>
    </row>
    <row r="9">
      <c r="A9" s="101" t="s">
        <v>111</v>
      </c>
      <c r="B9" s="102">
        <v>396.0</v>
      </c>
      <c r="C9" s="102">
        <v>72.0</v>
      </c>
      <c r="D9" s="102">
        <v>25.0</v>
      </c>
      <c r="E9" s="102">
        <v>23.0</v>
      </c>
      <c r="F9" s="103">
        <v>20.0</v>
      </c>
      <c r="G9" s="102">
        <v>12.0</v>
      </c>
      <c r="H9" s="102">
        <v>13.0</v>
      </c>
      <c r="I9" s="102">
        <v>9.0</v>
      </c>
      <c r="J9" s="102">
        <v>4.0</v>
      </c>
      <c r="K9" s="102">
        <v>0.0</v>
      </c>
      <c r="L9" s="102">
        <v>0.0</v>
      </c>
      <c r="M9" s="102">
        <v>1.0</v>
      </c>
      <c r="N9" s="102">
        <v>4.0</v>
      </c>
      <c r="O9" s="102">
        <v>2.0</v>
      </c>
      <c r="P9" s="102">
        <v>1.0</v>
      </c>
      <c r="Q9" s="102">
        <v>4.0</v>
      </c>
      <c r="R9" s="102">
        <v>1.0</v>
      </c>
      <c r="S9" s="102">
        <v>1.0</v>
      </c>
      <c r="T9" s="102">
        <v>0.0</v>
      </c>
      <c r="U9" s="102">
        <v>3.0</v>
      </c>
      <c r="V9" s="102">
        <v>0.0</v>
      </c>
      <c r="W9" s="102">
        <v>1.0</v>
      </c>
      <c r="X9" s="102">
        <v>4.0</v>
      </c>
      <c r="Y9" s="102">
        <v>2.0</v>
      </c>
      <c r="Z9" s="102">
        <v>1.0</v>
      </c>
      <c r="AA9" s="102">
        <v>0.0</v>
      </c>
      <c r="AB9" s="102">
        <v>2.0</v>
      </c>
      <c r="AC9" s="102">
        <v>2.0</v>
      </c>
      <c r="AD9" s="102">
        <v>2.0</v>
      </c>
      <c r="AE9" s="102">
        <v>2.0</v>
      </c>
      <c r="AF9" s="102">
        <v>1.0</v>
      </c>
      <c r="AG9" s="95">
        <f t="shared" si="1"/>
        <v>608</v>
      </c>
    </row>
    <row r="10">
      <c r="A10" s="104" t="s">
        <v>112</v>
      </c>
      <c r="B10" s="105" t="s">
        <v>113</v>
      </c>
      <c r="C10" s="105" t="s">
        <v>113</v>
      </c>
      <c r="D10" s="105" t="s">
        <v>113</v>
      </c>
      <c r="E10" s="105" t="s">
        <v>113</v>
      </c>
      <c r="F10" s="105" t="s">
        <v>113</v>
      </c>
      <c r="G10" s="105" t="s">
        <v>113</v>
      </c>
      <c r="H10" s="105" t="s">
        <v>113</v>
      </c>
      <c r="I10" s="105" t="s">
        <v>113</v>
      </c>
      <c r="J10" s="105" t="s">
        <v>113</v>
      </c>
      <c r="K10" s="105" t="s">
        <v>113</v>
      </c>
      <c r="L10" s="105" t="s">
        <v>113</v>
      </c>
      <c r="M10" s="105" t="s">
        <v>113</v>
      </c>
      <c r="N10" s="105" t="s">
        <v>113</v>
      </c>
      <c r="O10" s="105" t="s">
        <v>113</v>
      </c>
      <c r="P10" s="105" t="s">
        <v>113</v>
      </c>
      <c r="Q10" s="105" t="s">
        <v>113</v>
      </c>
      <c r="R10" s="105" t="s">
        <v>113</v>
      </c>
      <c r="S10" s="105" t="s">
        <v>113</v>
      </c>
      <c r="T10" s="105" t="s">
        <v>113</v>
      </c>
      <c r="U10" s="105" t="s">
        <v>113</v>
      </c>
      <c r="V10" s="105" t="s">
        <v>113</v>
      </c>
      <c r="W10" s="105" t="s">
        <v>113</v>
      </c>
      <c r="X10" s="105" t="s">
        <v>113</v>
      </c>
      <c r="Y10" s="105" t="s">
        <v>113</v>
      </c>
      <c r="Z10" s="105" t="s">
        <v>113</v>
      </c>
      <c r="AA10" s="105" t="s">
        <v>113</v>
      </c>
      <c r="AB10" s="105" t="s">
        <v>113</v>
      </c>
      <c r="AC10" s="105" t="s">
        <v>113</v>
      </c>
      <c r="AD10" s="105" t="s">
        <v>113</v>
      </c>
      <c r="AE10" s="105" t="s">
        <v>113</v>
      </c>
      <c r="AF10" s="105" t="s">
        <v>113</v>
      </c>
      <c r="AG10" s="95">
        <f t="shared" si="1"/>
        <v>0</v>
      </c>
    </row>
    <row r="11">
      <c r="A11" s="106" t="s">
        <v>114</v>
      </c>
      <c r="B11" s="105" t="s">
        <v>113</v>
      </c>
      <c r="C11" s="105" t="s">
        <v>113</v>
      </c>
      <c r="D11" s="105" t="s">
        <v>113</v>
      </c>
      <c r="E11" s="105" t="s">
        <v>113</v>
      </c>
      <c r="F11" s="105" t="s">
        <v>113</v>
      </c>
      <c r="G11" s="105" t="s">
        <v>113</v>
      </c>
      <c r="H11" s="105" t="s">
        <v>113</v>
      </c>
      <c r="I11" s="105" t="s">
        <v>113</v>
      </c>
      <c r="J11" s="105" t="s">
        <v>113</v>
      </c>
      <c r="K11" s="105" t="s">
        <v>113</v>
      </c>
      <c r="L11" s="105" t="s">
        <v>113</v>
      </c>
      <c r="M11" s="105" t="s">
        <v>113</v>
      </c>
      <c r="N11" s="105" t="s">
        <v>113</v>
      </c>
      <c r="O11" s="105" t="s">
        <v>113</v>
      </c>
      <c r="P11" s="105" t="s">
        <v>113</v>
      </c>
      <c r="Q11" s="105" t="s">
        <v>113</v>
      </c>
      <c r="R11" s="105" t="s">
        <v>113</v>
      </c>
      <c r="S11" s="105" t="s">
        <v>113</v>
      </c>
      <c r="T11" s="105" t="s">
        <v>113</v>
      </c>
      <c r="U11" s="105" t="s">
        <v>113</v>
      </c>
      <c r="V11" s="105" t="s">
        <v>113</v>
      </c>
      <c r="W11" s="105" t="s">
        <v>113</v>
      </c>
      <c r="X11" s="105" t="s">
        <v>113</v>
      </c>
      <c r="Y11" s="105" t="s">
        <v>113</v>
      </c>
      <c r="Z11" s="105" t="s">
        <v>113</v>
      </c>
      <c r="AA11" s="105" t="s">
        <v>113</v>
      </c>
      <c r="AB11" s="105" t="s">
        <v>113</v>
      </c>
      <c r="AC11" s="105" t="s">
        <v>113</v>
      </c>
      <c r="AD11" s="105" t="s">
        <v>113</v>
      </c>
      <c r="AE11" s="105" t="s">
        <v>113</v>
      </c>
      <c r="AF11" s="105" t="s">
        <v>113</v>
      </c>
      <c r="AG11" s="95">
        <f t="shared" si="1"/>
        <v>0</v>
      </c>
    </row>
    <row r="12">
      <c r="A12" s="107" t="s">
        <v>115</v>
      </c>
      <c r="B12" s="108">
        <f t="shared" ref="B12:AF12" si="2">SUM(B5:B11)</f>
        <v>1031</v>
      </c>
      <c r="C12" s="108">
        <f t="shared" si="2"/>
        <v>323</v>
      </c>
      <c r="D12" s="108">
        <f t="shared" si="2"/>
        <v>290</v>
      </c>
      <c r="E12" s="108">
        <f t="shared" si="2"/>
        <v>240</v>
      </c>
      <c r="F12" s="108">
        <f t="shared" si="2"/>
        <v>202</v>
      </c>
      <c r="G12" s="108">
        <f t="shared" si="2"/>
        <v>153</v>
      </c>
      <c r="H12" s="108">
        <f t="shared" si="2"/>
        <v>135</v>
      </c>
      <c r="I12" s="108">
        <f t="shared" si="2"/>
        <v>157</v>
      </c>
      <c r="J12" s="108">
        <f t="shared" si="2"/>
        <v>197</v>
      </c>
      <c r="K12" s="108">
        <f t="shared" si="2"/>
        <v>164</v>
      </c>
      <c r="L12" s="108">
        <f t="shared" si="2"/>
        <v>116</v>
      </c>
      <c r="M12" s="108">
        <f t="shared" si="2"/>
        <v>77</v>
      </c>
      <c r="N12" s="108">
        <f t="shared" si="2"/>
        <v>61</v>
      </c>
      <c r="O12" s="108">
        <f t="shared" si="2"/>
        <v>70</v>
      </c>
      <c r="P12" s="108">
        <f t="shared" si="2"/>
        <v>59</v>
      </c>
      <c r="Q12" s="108">
        <f t="shared" si="2"/>
        <v>56</v>
      </c>
      <c r="R12" s="108">
        <f t="shared" si="2"/>
        <v>43</v>
      </c>
      <c r="S12" s="108">
        <f t="shared" si="2"/>
        <v>36</v>
      </c>
      <c r="T12" s="108">
        <f t="shared" si="2"/>
        <v>26</v>
      </c>
      <c r="U12" s="108">
        <f t="shared" si="2"/>
        <v>41</v>
      </c>
      <c r="V12" s="108">
        <f t="shared" si="2"/>
        <v>37</v>
      </c>
      <c r="W12" s="108">
        <f t="shared" si="2"/>
        <v>48</v>
      </c>
      <c r="X12" s="108">
        <f t="shared" si="2"/>
        <v>53</v>
      </c>
      <c r="Y12" s="108">
        <f t="shared" si="2"/>
        <v>58</v>
      </c>
      <c r="Z12" s="108">
        <f t="shared" si="2"/>
        <v>44</v>
      </c>
      <c r="AA12" s="108">
        <f t="shared" si="2"/>
        <v>31</v>
      </c>
      <c r="AB12" s="108">
        <f t="shared" si="2"/>
        <v>23</v>
      </c>
      <c r="AC12" s="108">
        <f t="shared" si="2"/>
        <v>36</v>
      </c>
      <c r="AD12" s="108">
        <f t="shared" si="2"/>
        <v>36</v>
      </c>
      <c r="AE12" s="108">
        <f t="shared" si="2"/>
        <v>45</v>
      </c>
      <c r="AF12" s="108">
        <f t="shared" si="2"/>
        <v>40</v>
      </c>
      <c r="AG12" s="95">
        <f t="shared" si="1"/>
        <v>3928</v>
      </c>
    </row>
    <row r="13">
      <c r="A13" s="100"/>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109"/>
    </row>
    <row r="14">
      <c r="A14" s="110" t="s">
        <v>90</v>
      </c>
      <c r="B14" s="111">
        <v>130631.13</v>
      </c>
      <c r="C14" s="111">
        <v>31702.33</v>
      </c>
      <c r="D14" s="111">
        <v>36663.08</v>
      </c>
      <c r="E14" s="111">
        <v>26831.34</v>
      </c>
      <c r="F14" s="111">
        <v>18566.01</v>
      </c>
      <c r="G14" s="111">
        <v>15077.35</v>
      </c>
      <c r="H14" s="111">
        <v>16977.97</v>
      </c>
      <c r="I14" s="111">
        <v>22535.23</v>
      </c>
      <c r="J14" s="111">
        <v>19812.94</v>
      </c>
      <c r="K14" s="111">
        <v>21641.23</v>
      </c>
      <c r="L14" s="111">
        <v>16677.16</v>
      </c>
      <c r="M14" s="111">
        <v>8900.25</v>
      </c>
      <c r="N14" s="111">
        <v>7417.65</v>
      </c>
      <c r="O14" s="111">
        <v>8918.9</v>
      </c>
      <c r="P14" s="111">
        <v>5019.56</v>
      </c>
      <c r="Q14" s="111">
        <v>363.27</v>
      </c>
      <c r="R14" s="111">
        <v>1698.83</v>
      </c>
      <c r="S14" s="111">
        <v>790.14</v>
      </c>
      <c r="T14" s="111">
        <v>335.68</v>
      </c>
      <c r="U14" s="111">
        <v>337.11</v>
      </c>
      <c r="V14" s="111">
        <v>0.0</v>
      </c>
      <c r="W14" s="111">
        <v>0.0</v>
      </c>
      <c r="X14" s="111">
        <v>0.0</v>
      </c>
      <c r="Y14" s="111">
        <v>0.0</v>
      </c>
      <c r="Z14" s="111">
        <v>0.0</v>
      </c>
      <c r="AA14" s="111">
        <v>0.0</v>
      </c>
      <c r="AB14" s="111">
        <v>0.0</v>
      </c>
      <c r="AC14" s="111">
        <v>0.0</v>
      </c>
      <c r="AD14" s="111">
        <v>0.0</v>
      </c>
      <c r="AE14" s="111">
        <v>0.0</v>
      </c>
      <c r="AF14" s="111">
        <v>0.0</v>
      </c>
      <c r="AG14" s="109"/>
    </row>
    <row r="15">
      <c r="A15" s="88" t="s">
        <v>107</v>
      </c>
      <c r="B15" s="112">
        <f>B14*Summary!B76</f>
        <v>141682.5236</v>
      </c>
      <c r="C15" s="112">
        <f>C14*Summary!C76</f>
        <v>34384.34712</v>
      </c>
      <c r="D15" s="112">
        <f>D14*Summary!D76</f>
        <v>39753.77764</v>
      </c>
      <c r="E15" s="112">
        <f>E14*Summary!E76</f>
        <v>29125.41957</v>
      </c>
      <c r="F15" s="112">
        <f>F14*Summary!F76</f>
        <v>20153.40386</v>
      </c>
      <c r="G15" s="112">
        <f>G14*Summary!G76</f>
        <v>16384.55625</v>
      </c>
      <c r="H15" s="112">
        <f>H14*Summary!H76</f>
        <v>18590.87715</v>
      </c>
      <c r="I15" s="112">
        <f>I14*Summary!I76</f>
        <v>24662.55571</v>
      </c>
      <c r="J15" s="112">
        <f>J14*Summary!J76</f>
        <v>21683.28154</v>
      </c>
      <c r="K15" s="112">
        <f>K14*Summary!K76</f>
        <v>23679.83387</v>
      </c>
      <c r="L15" s="112">
        <f>L14*Summary!L76</f>
        <v>18228.13588</v>
      </c>
      <c r="M15" s="112">
        <f>M14*Summary!M76</f>
        <v>9726.1932</v>
      </c>
      <c r="N15" s="112">
        <f>N14*Summary!N76</f>
        <v>8123.81028</v>
      </c>
      <c r="O15" s="112">
        <f>O14*Summary!O76</f>
        <v>9706.43887</v>
      </c>
      <c r="P15" s="112">
        <f>P14*Summary!P76</f>
        <v>5470.818444</v>
      </c>
      <c r="Q15" s="112">
        <f>Q14*Summary!Q76</f>
        <v>395.637357</v>
      </c>
      <c r="R15" s="112">
        <f>R14*Summary!R76</f>
        <v>1848.666806</v>
      </c>
      <c r="S15" s="112">
        <f>S14*Summary!S76</f>
        <v>858.961194</v>
      </c>
      <c r="T15" s="112">
        <f>T14*Summary!T76</f>
        <v>364.749888</v>
      </c>
      <c r="U15" s="112">
        <f>U14*Summary!U76</f>
        <v>368.697207</v>
      </c>
      <c r="V15" s="112">
        <f>V14*Summary!V76</f>
        <v>0</v>
      </c>
      <c r="W15" s="112">
        <f>W14*Summary!W76</f>
        <v>0</v>
      </c>
      <c r="X15" s="112">
        <f>X14*Summary!X76</f>
        <v>0</v>
      </c>
      <c r="Y15" s="112">
        <f>Y14*Summary!Y76</f>
        <v>0</v>
      </c>
      <c r="Z15" s="112">
        <f>Z14*Summary!Z76</f>
        <v>0</v>
      </c>
      <c r="AA15" s="112">
        <f>AA14*Summary!AA76</f>
        <v>0</v>
      </c>
      <c r="AB15" s="112">
        <f>AB14*Summary!AB76</f>
        <v>0</v>
      </c>
      <c r="AC15" s="112">
        <f>AC14*Summary!AC76</f>
        <v>0</v>
      </c>
      <c r="AD15" s="112">
        <f>AD14*Summary!AD76</f>
        <v>0</v>
      </c>
      <c r="AE15" s="112">
        <f>AE14*Summary!AE76</f>
        <v>0</v>
      </c>
      <c r="AF15" s="112">
        <f>AF14*Summary!AF76</f>
        <v>0</v>
      </c>
      <c r="AG15" s="95">
        <f t="shared" ref="AG15:AG22" si="3">SUM(B15:AF15)</f>
        <v>425192.6854</v>
      </c>
    </row>
    <row r="16">
      <c r="A16" s="88" t="s">
        <v>108</v>
      </c>
      <c r="B16" s="113">
        <v>36240.17</v>
      </c>
      <c r="C16" s="112">
        <v>24265.81</v>
      </c>
      <c r="D16" s="112">
        <v>21831.79</v>
      </c>
      <c r="E16" s="114">
        <v>19070.15</v>
      </c>
      <c r="F16" s="114">
        <v>18701.99</v>
      </c>
      <c r="G16" s="112">
        <v>13220.28</v>
      </c>
      <c r="H16" s="112">
        <v>11961.73</v>
      </c>
      <c r="I16" s="112">
        <v>13976.93</v>
      </c>
      <c r="J16" s="112">
        <v>20899.82</v>
      </c>
      <c r="K16" s="112">
        <v>17653.64</v>
      </c>
      <c r="L16" s="114">
        <v>15254.03</v>
      </c>
      <c r="M16" s="112">
        <v>6773.81</v>
      </c>
      <c r="N16" s="112">
        <v>6500.22</v>
      </c>
      <c r="O16" s="112">
        <v>8224.43</v>
      </c>
      <c r="P16" s="112">
        <v>11274.08</v>
      </c>
      <c r="Q16" s="112">
        <v>11229.61</v>
      </c>
      <c r="R16" s="112">
        <v>7499.54</v>
      </c>
      <c r="S16" s="115">
        <v>9101.73</v>
      </c>
      <c r="T16" s="112">
        <v>7088.92</v>
      </c>
      <c r="U16" s="115">
        <v>6561.49</v>
      </c>
      <c r="V16" s="115">
        <v>6688.27</v>
      </c>
      <c r="W16" s="115">
        <v>7440.97</v>
      </c>
      <c r="X16" s="115">
        <v>12014.82</v>
      </c>
      <c r="Y16" s="115">
        <v>13776.81</v>
      </c>
      <c r="Z16" s="115">
        <v>10611.92</v>
      </c>
      <c r="AA16" s="115">
        <v>6477.18</v>
      </c>
      <c r="AB16" s="115">
        <v>6083.17</v>
      </c>
      <c r="AC16" s="115">
        <v>7892.69</v>
      </c>
      <c r="AD16" s="112">
        <v>6440.17</v>
      </c>
      <c r="AE16" s="112">
        <v>9942.06</v>
      </c>
      <c r="AF16" s="112">
        <v>8835.98</v>
      </c>
      <c r="AG16" s="95">
        <f t="shared" si="3"/>
        <v>383534.21</v>
      </c>
    </row>
    <row r="17">
      <c r="A17" s="100" t="s">
        <v>109</v>
      </c>
      <c r="B17" s="112">
        <v>0.0</v>
      </c>
      <c r="C17" s="112">
        <v>0.0</v>
      </c>
      <c r="D17" s="112">
        <v>0.0</v>
      </c>
      <c r="E17" s="112">
        <v>0.0</v>
      </c>
      <c r="F17" s="112">
        <v>0.0</v>
      </c>
      <c r="G17" s="112">
        <v>0.0</v>
      </c>
      <c r="H17" s="112">
        <v>0.0</v>
      </c>
      <c r="I17" s="112">
        <v>0.0</v>
      </c>
      <c r="J17" s="112">
        <v>0.0</v>
      </c>
      <c r="K17" s="112">
        <v>188.0</v>
      </c>
      <c r="L17" s="112">
        <v>697.12</v>
      </c>
      <c r="M17" s="112">
        <v>357.0</v>
      </c>
      <c r="N17" s="112">
        <v>0.0</v>
      </c>
      <c r="O17" s="112">
        <v>691.82</v>
      </c>
      <c r="P17" s="112">
        <v>0.0</v>
      </c>
      <c r="Q17" s="112">
        <v>0.0</v>
      </c>
      <c r="R17" s="112">
        <v>399.11</v>
      </c>
      <c r="S17" s="112">
        <v>292.6</v>
      </c>
      <c r="T17" s="112">
        <v>0.0</v>
      </c>
      <c r="U17" s="112">
        <v>27.44</v>
      </c>
      <c r="V17" s="112">
        <v>0.0</v>
      </c>
      <c r="W17" s="112">
        <v>51.19</v>
      </c>
      <c r="X17" s="112">
        <v>0.0</v>
      </c>
      <c r="Y17" s="112">
        <v>0.0</v>
      </c>
      <c r="Z17" s="112">
        <v>0.0</v>
      </c>
      <c r="AA17" s="112">
        <v>0.0</v>
      </c>
      <c r="AB17" s="112">
        <v>0.0</v>
      </c>
      <c r="AC17" s="112">
        <v>331.9</v>
      </c>
      <c r="AD17" s="112">
        <v>0.0</v>
      </c>
      <c r="AE17" s="112">
        <v>0.0</v>
      </c>
      <c r="AF17" s="112">
        <v>268.0</v>
      </c>
      <c r="AG17" s="95">
        <f t="shared" si="3"/>
        <v>3304.18</v>
      </c>
    </row>
    <row r="18">
      <c r="A18" s="88" t="s">
        <v>110</v>
      </c>
      <c r="B18" s="113">
        <v>5020.0</v>
      </c>
      <c r="C18" s="112">
        <v>1506.0</v>
      </c>
      <c r="D18" s="112">
        <v>3765.0</v>
      </c>
      <c r="E18" s="114">
        <v>3012.0</v>
      </c>
      <c r="F18" s="112">
        <v>1757.0</v>
      </c>
      <c r="G18" s="112">
        <v>1255.0</v>
      </c>
      <c r="H18" s="112">
        <v>502.0</v>
      </c>
      <c r="I18" s="112">
        <v>753.0</v>
      </c>
      <c r="J18" s="112">
        <v>2510.0</v>
      </c>
      <c r="K18" s="112">
        <v>502.0</v>
      </c>
      <c r="L18" s="114">
        <v>502.0</v>
      </c>
      <c r="M18" s="112">
        <v>1255.0</v>
      </c>
      <c r="N18" s="112">
        <v>1004.0</v>
      </c>
      <c r="O18" s="112">
        <v>502.0</v>
      </c>
      <c r="P18" s="112">
        <v>251.0</v>
      </c>
      <c r="Q18" s="112">
        <v>1004.0</v>
      </c>
      <c r="R18" s="112">
        <v>1255.0</v>
      </c>
      <c r="S18" s="116">
        <v>0.0</v>
      </c>
      <c r="T18" s="112">
        <v>251.0</v>
      </c>
      <c r="U18" s="112">
        <v>1004.0</v>
      </c>
      <c r="V18" s="115">
        <v>1757.0</v>
      </c>
      <c r="W18" s="115">
        <v>2510.0</v>
      </c>
      <c r="X18" s="115">
        <v>1255.0</v>
      </c>
      <c r="Y18" s="115">
        <v>1255.0</v>
      </c>
      <c r="Z18" s="115">
        <v>753.0</v>
      </c>
      <c r="AA18" s="112">
        <v>753.0</v>
      </c>
      <c r="AB18" s="115">
        <v>0.0</v>
      </c>
      <c r="AC18" s="115">
        <v>753.0</v>
      </c>
      <c r="AD18" s="115">
        <v>1506.0</v>
      </c>
      <c r="AE18" s="115">
        <v>1004.0</v>
      </c>
      <c r="AF18" s="115">
        <v>1255.0</v>
      </c>
      <c r="AG18" s="95">
        <f t="shared" si="3"/>
        <v>40411</v>
      </c>
    </row>
    <row r="19">
      <c r="A19" s="117" t="s">
        <v>111</v>
      </c>
      <c r="B19" s="118">
        <v>127383.34</v>
      </c>
      <c r="C19" s="118">
        <v>22901.17</v>
      </c>
      <c r="D19" s="119">
        <v>7704.1</v>
      </c>
      <c r="E19" s="118">
        <v>6917.28</v>
      </c>
      <c r="F19" s="120">
        <v>5509.62</v>
      </c>
      <c r="G19" s="118">
        <v>3963.62</v>
      </c>
      <c r="H19" s="118">
        <v>4184.23</v>
      </c>
      <c r="I19" s="118">
        <v>2186.63</v>
      </c>
      <c r="J19" s="118">
        <v>909.46</v>
      </c>
      <c r="K19" s="118">
        <v>0.0</v>
      </c>
      <c r="L19" s="118">
        <v>0.0</v>
      </c>
      <c r="M19" s="118">
        <v>112.25</v>
      </c>
      <c r="N19" s="118">
        <v>1409.11</v>
      </c>
      <c r="O19" s="119">
        <v>449.88</v>
      </c>
      <c r="P19" s="121">
        <v>411.85</v>
      </c>
      <c r="Q19" s="121">
        <v>1484.01</v>
      </c>
      <c r="R19" s="118">
        <v>294.34</v>
      </c>
      <c r="S19" s="119">
        <v>286.0</v>
      </c>
      <c r="T19" s="118">
        <v>0.0</v>
      </c>
      <c r="U19" s="121">
        <v>1241.79</v>
      </c>
      <c r="V19" s="121">
        <v>0.0</v>
      </c>
      <c r="W19" s="121">
        <v>354.1</v>
      </c>
      <c r="X19" s="121">
        <v>1488.71</v>
      </c>
      <c r="Y19" s="121">
        <v>512.85</v>
      </c>
      <c r="Z19" s="121">
        <v>354.04</v>
      </c>
      <c r="AA19" s="121">
        <v>0.0</v>
      </c>
      <c r="AB19" s="121">
        <v>425.64</v>
      </c>
      <c r="AC19" s="121">
        <v>106.51</v>
      </c>
      <c r="AD19" s="121">
        <v>713.03</v>
      </c>
      <c r="AE19" s="121">
        <v>118.98</v>
      </c>
      <c r="AF19" s="121">
        <v>41.48</v>
      </c>
      <c r="AG19" s="95">
        <f t="shared" si="3"/>
        <v>191464.02</v>
      </c>
    </row>
    <row r="20" ht="17.25" customHeight="1">
      <c r="A20" s="104" t="s">
        <v>112</v>
      </c>
      <c r="B20" s="105" t="s">
        <v>113</v>
      </c>
      <c r="C20" s="105" t="s">
        <v>113</v>
      </c>
      <c r="D20" s="105" t="s">
        <v>113</v>
      </c>
      <c r="E20" s="105" t="s">
        <v>113</v>
      </c>
      <c r="F20" s="105" t="s">
        <v>113</v>
      </c>
      <c r="G20" s="105" t="s">
        <v>113</v>
      </c>
      <c r="H20" s="105" t="s">
        <v>113</v>
      </c>
      <c r="I20" s="105" t="s">
        <v>113</v>
      </c>
      <c r="J20" s="105" t="s">
        <v>113</v>
      </c>
      <c r="K20" s="105" t="s">
        <v>113</v>
      </c>
      <c r="L20" s="105" t="s">
        <v>113</v>
      </c>
      <c r="M20" s="105" t="s">
        <v>113</v>
      </c>
      <c r="N20" s="105" t="s">
        <v>113</v>
      </c>
      <c r="O20" s="105" t="s">
        <v>113</v>
      </c>
      <c r="P20" s="105" t="s">
        <v>113</v>
      </c>
      <c r="Q20" s="105" t="s">
        <v>113</v>
      </c>
      <c r="R20" s="105" t="s">
        <v>113</v>
      </c>
      <c r="S20" s="105" t="s">
        <v>113</v>
      </c>
      <c r="T20" s="105" t="s">
        <v>113</v>
      </c>
      <c r="U20" s="105" t="s">
        <v>113</v>
      </c>
      <c r="V20" s="105" t="s">
        <v>113</v>
      </c>
      <c r="W20" s="105" t="s">
        <v>113</v>
      </c>
      <c r="X20" s="105" t="s">
        <v>113</v>
      </c>
      <c r="Y20" s="105" t="s">
        <v>113</v>
      </c>
      <c r="Z20" s="105" t="s">
        <v>113</v>
      </c>
      <c r="AA20" s="105" t="s">
        <v>113</v>
      </c>
      <c r="AB20" s="105" t="s">
        <v>113</v>
      </c>
      <c r="AC20" s="105" t="s">
        <v>113</v>
      </c>
      <c r="AD20" s="105" t="s">
        <v>113</v>
      </c>
      <c r="AE20" s="105" t="s">
        <v>113</v>
      </c>
      <c r="AF20" s="105" t="s">
        <v>113</v>
      </c>
      <c r="AG20" s="95">
        <f t="shared" si="3"/>
        <v>0</v>
      </c>
    </row>
    <row r="21">
      <c r="A21" s="106" t="s">
        <v>114</v>
      </c>
      <c r="B21" s="105" t="s">
        <v>113</v>
      </c>
      <c r="C21" s="105" t="s">
        <v>113</v>
      </c>
      <c r="D21" s="105" t="s">
        <v>113</v>
      </c>
      <c r="E21" s="105" t="s">
        <v>113</v>
      </c>
      <c r="F21" s="105" t="s">
        <v>113</v>
      </c>
      <c r="G21" s="105" t="s">
        <v>113</v>
      </c>
      <c r="H21" s="105" t="s">
        <v>113</v>
      </c>
      <c r="I21" s="105" t="s">
        <v>113</v>
      </c>
      <c r="J21" s="105" t="s">
        <v>113</v>
      </c>
      <c r="K21" s="105" t="s">
        <v>113</v>
      </c>
      <c r="L21" s="105" t="s">
        <v>113</v>
      </c>
      <c r="M21" s="105" t="s">
        <v>113</v>
      </c>
      <c r="N21" s="105" t="s">
        <v>113</v>
      </c>
      <c r="O21" s="105" t="s">
        <v>113</v>
      </c>
      <c r="P21" s="105" t="s">
        <v>113</v>
      </c>
      <c r="Q21" s="105" t="s">
        <v>113</v>
      </c>
      <c r="R21" s="105" t="s">
        <v>113</v>
      </c>
      <c r="S21" s="105" t="s">
        <v>113</v>
      </c>
      <c r="T21" s="105" t="s">
        <v>113</v>
      </c>
      <c r="U21" s="105" t="s">
        <v>113</v>
      </c>
      <c r="V21" s="105" t="s">
        <v>113</v>
      </c>
      <c r="W21" s="105" t="s">
        <v>113</v>
      </c>
      <c r="X21" s="105" t="s">
        <v>113</v>
      </c>
      <c r="Y21" s="105" t="s">
        <v>113</v>
      </c>
      <c r="Z21" s="105" t="s">
        <v>113</v>
      </c>
      <c r="AA21" s="105" t="s">
        <v>113</v>
      </c>
      <c r="AB21" s="105" t="s">
        <v>113</v>
      </c>
      <c r="AC21" s="105" t="s">
        <v>113</v>
      </c>
      <c r="AD21" s="105" t="s">
        <v>113</v>
      </c>
      <c r="AE21" s="105" t="s">
        <v>113</v>
      </c>
      <c r="AF21" s="105" t="s">
        <v>113</v>
      </c>
      <c r="AG21" s="95">
        <f t="shared" si="3"/>
        <v>0</v>
      </c>
    </row>
    <row r="22">
      <c r="A22" s="107" t="s">
        <v>115</v>
      </c>
      <c r="B22" s="122">
        <f t="shared" ref="B22:AF22" si="4">SUM(B15:B21)</f>
        <v>310326.0336</v>
      </c>
      <c r="C22" s="122">
        <f t="shared" si="4"/>
        <v>83057.32712</v>
      </c>
      <c r="D22" s="122">
        <f t="shared" si="4"/>
        <v>73054.66764</v>
      </c>
      <c r="E22" s="122">
        <f t="shared" si="4"/>
        <v>58124.84957</v>
      </c>
      <c r="F22" s="122">
        <f t="shared" si="4"/>
        <v>46122.01386</v>
      </c>
      <c r="G22" s="122">
        <f t="shared" si="4"/>
        <v>34823.45625</v>
      </c>
      <c r="H22" s="122">
        <f t="shared" si="4"/>
        <v>35238.83715</v>
      </c>
      <c r="I22" s="122">
        <f t="shared" si="4"/>
        <v>41579.11571</v>
      </c>
      <c r="J22" s="122">
        <f t="shared" si="4"/>
        <v>46002.56154</v>
      </c>
      <c r="K22" s="122">
        <f t="shared" si="4"/>
        <v>42023.47387</v>
      </c>
      <c r="L22" s="122">
        <f t="shared" si="4"/>
        <v>34681.28588</v>
      </c>
      <c r="M22" s="122">
        <f t="shared" si="4"/>
        <v>18224.2532</v>
      </c>
      <c r="N22" s="122">
        <f t="shared" si="4"/>
        <v>17037.14028</v>
      </c>
      <c r="O22" s="122">
        <f t="shared" si="4"/>
        <v>19574.56887</v>
      </c>
      <c r="P22" s="122">
        <f t="shared" si="4"/>
        <v>17407.74844</v>
      </c>
      <c r="Q22" s="122">
        <f t="shared" si="4"/>
        <v>14113.25736</v>
      </c>
      <c r="R22" s="122">
        <f t="shared" si="4"/>
        <v>11296.65681</v>
      </c>
      <c r="S22" s="122">
        <f t="shared" si="4"/>
        <v>10539.29119</v>
      </c>
      <c r="T22" s="122">
        <f t="shared" si="4"/>
        <v>7704.669888</v>
      </c>
      <c r="U22" s="122">
        <f t="shared" si="4"/>
        <v>9203.417207</v>
      </c>
      <c r="V22" s="122">
        <f t="shared" si="4"/>
        <v>8445.27</v>
      </c>
      <c r="W22" s="122">
        <f t="shared" si="4"/>
        <v>10356.26</v>
      </c>
      <c r="X22" s="122">
        <f t="shared" si="4"/>
        <v>14758.53</v>
      </c>
      <c r="Y22" s="122">
        <f t="shared" si="4"/>
        <v>15544.66</v>
      </c>
      <c r="Z22" s="122">
        <f t="shared" si="4"/>
        <v>11718.96</v>
      </c>
      <c r="AA22" s="122">
        <f t="shared" si="4"/>
        <v>7230.18</v>
      </c>
      <c r="AB22" s="122">
        <f t="shared" si="4"/>
        <v>6508.81</v>
      </c>
      <c r="AC22" s="122">
        <f t="shared" si="4"/>
        <v>9084.1</v>
      </c>
      <c r="AD22" s="122">
        <f t="shared" si="4"/>
        <v>8659.2</v>
      </c>
      <c r="AE22" s="122">
        <f t="shared" si="4"/>
        <v>11065.04</v>
      </c>
      <c r="AF22" s="122">
        <f t="shared" si="4"/>
        <v>10400.46</v>
      </c>
      <c r="AG22" s="95">
        <f t="shared" si="3"/>
        <v>1043906.095</v>
      </c>
    </row>
    <row r="23">
      <c r="A23" s="100"/>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123"/>
    </row>
    <row r="24">
      <c r="A24" s="124" t="s">
        <v>116</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123"/>
    </row>
    <row r="25">
      <c r="A25" s="88" t="s">
        <v>107</v>
      </c>
      <c r="B25" s="125">
        <f>Summary!B77</f>
        <v>15647.5242</v>
      </c>
      <c r="C25" s="125">
        <f>Summary!C77</f>
        <v>15047.03541</v>
      </c>
      <c r="D25" s="125">
        <f>Summary!D77</f>
        <v>14628.60575</v>
      </c>
      <c r="E25" s="125">
        <f>Summary!E77</f>
        <v>12012.69661</v>
      </c>
      <c r="F25" s="125">
        <f>Summary!F77</f>
        <v>9720.19659</v>
      </c>
      <c r="G25" s="125">
        <f>Summary!G77</f>
        <v>8252.50847</v>
      </c>
      <c r="H25" s="125">
        <f>Summary!H77</f>
        <v>8148.99</v>
      </c>
      <c r="I25" s="125">
        <f>Summary!I77</f>
        <v>8881.460928</v>
      </c>
      <c r="J25" s="125">
        <f>Summary!J77</f>
        <v>9270.16992</v>
      </c>
      <c r="K25" s="125">
        <f>Summary!K77</f>
        <v>9796.088108</v>
      </c>
      <c r="L25" s="125">
        <f>Summary!L77</f>
        <v>8564.28894</v>
      </c>
      <c r="M25" s="125">
        <f>Summary!M77</f>
        <v>6535.98216</v>
      </c>
      <c r="N25" s="125">
        <f>Summary!N77</f>
        <v>6015.506472</v>
      </c>
      <c r="O25" s="125">
        <f>Summary!O77</f>
        <v>5993.649005</v>
      </c>
      <c r="P25" s="125">
        <f>Summary!P77</f>
        <v>0</v>
      </c>
      <c r="Q25" s="125">
        <f>Summary!Q77</f>
        <v>0</v>
      </c>
      <c r="R25" s="125">
        <f>Summary!R77</f>
        <v>0</v>
      </c>
      <c r="S25" s="125">
        <f>Summary!S77</f>
        <v>0</v>
      </c>
      <c r="T25" s="125">
        <f>Summary!T77</f>
        <v>0</v>
      </c>
      <c r="U25" s="125">
        <f>Summary!U77</f>
        <v>0</v>
      </c>
      <c r="V25" s="125">
        <f>Summary!V77</f>
        <v>0</v>
      </c>
      <c r="W25" s="125">
        <f>Summary!W77</f>
        <v>0</v>
      </c>
      <c r="X25" s="125">
        <f>Summary!X77</f>
        <v>0</v>
      </c>
      <c r="Y25" s="125">
        <f>Summary!Y77</f>
        <v>0</v>
      </c>
      <c r="Z25" s="125">
        <f>Summary!Z77</f>
        <v>0</v>
      </c>
      <c r="AA25" s="125">
        <f>Summary!AA77</f>
        <v>0</v>
      </c>
      <c r="AB25" s="125">
        <f>Summary!AB77</f>
        <v>0</v>
      </c>
      <c r="AC25" s="125">
        <f>Summary!AC77</f>
        <v>0</v>
      </c>
      <c r="AD25" s="125">
        <f>Summary!AD77</f>
        <v>0</v>
      </c>
      <c r="AE25" s="125">
        <f>Summary!AE77</f>
        <v>0</v>
      </c>
      <c r="AF25" s="125">
        <f>Summary!AF77</f>
        <v>0</v>
      </c>
      <c r="AG25" s="95">
        <f t="shared" ref="AG25:AG31" si="5">SUM(B25:AF25)</f>
        <v>138514.7026</v>
      </c>
    </row>
    <row r="26">
      <c r="A26" s="88" t="s">
        <v>108</v>
      </c>
      <c r="B26" s="125">
        <f>Summary!B78</f>
        <v>2913.47</v>
      </c>
      <c r="C26" s="125">
        <f>Summary!C78</f>
        <v>3307.42</v>
      </c>
      <c r="D26" s="125">
        <f>Summary!D78</f>
        <v>3859.77</v>
      </c>
      <c r="E26" s="125">
        <f>Summary!E78</f>
        <v>3297.42</v>
      </c>
      <c r="F26" s="125">
        <f>Summary!F78</f>
        <v>2896.56</v>
      </c>
      <c r="G26" s="125">
        <f>Summary!G78</f>
        <v>3013.01</v>
      </c>
      <c r="H26" s="125">
        <f>Summary!H78</f>
        <v>2993.23</v>
      </c>
      <c r="I26" s="125">
        <f>Summary!I78</f>
        <v>3067.46</v>
      </c>
      <c r="J26" s="125">
        <f>Summary!J78</f>
        <v>3822.96</v>
      </c>
      <c r="K26" s="125">
        <f>Summary!K78</f>
        <v>3630.91</v>
      </c>
      <c r="L26" s="125">
        <f>Summary!L78</f>
        <v>2873.08</v>
      </c>
      <c r="M26" s="125">
        <f>Summary!M78</f>
        <v>2844.94</v>
      </c>
      <c r="N26" s="125">
        <f>Summary!N78</f>
        <v>2634.7</v>
      </c>
      <c r="O26" s="125">
        <f>Summary!O78</f>
        <v>2511.62</v>
      </c>
      <c r="P26" s="125">
        <f>Summary!P78</f>
        <v>2617.8</v>
      </c>
      <c r="Q26" s="125">
        <f>Summary!Q78</f>
        <v>2644.31</v>
      </c>
      <c r="R26" s="125">
        <f>Summary!R78</f>
        <v>2301.66</v>
      </c>
      <c r="S26" s="125">
        <f>Summary!S78</f>
        <v>2333.56</v>
      </c>
      <c r="T26" s="125">
        <f>Summary!T78</f>
        <v>1951.12</v>
      </c>
      <c r="U26" s="125">
        <f>Summary!U78</f>
        <v>1644.55</v>
      </c>
      <c r="V26" s="125">
        <f>Summary!V78</f>
        <v>2043.91</v>
      </c>
      <c r="W26" s="125">
        <f>Summary!W78</f>
        <v>1894.16</v>
      </c>
      <c r="X26" s="125">
        <f>Summary!X78</f>
        <v>3309.39</v>
      </c>
      <c r="Y26" s="125">
        <f>Summary!Y78</f>
        <v>2664.13</v>
      </c>
      <c r="Z26" s="125">
        <f>Summary!Z78</f>
        <v>1960.13</v>
      </c>
      <c r="AA26" s="125">
        <f>Summary!AA78</f>
        <v>1425.05</v>
      </c>
      <c r="AB26" s="125">
        <f>Summary!AB78</f>
        <v>1553.35</v>
      </c>
      <c r="AC26" s="125">
        <f>Summary!AC78</f>
        <v>1624.95</v>
      </c>
      <c r="AD26" s="125">
        <f>Summary!AD78</f>
        <v>1566.94</v>
      </c>
      <c r="AE26" s="125">
        <f>Summary!AE78</f>
        <v>1676.18</v>
      </c>
      <c r="AF26" s="125">
        <f>Summary!AF78</f>
        <v>1712.75</v>
      </c>
      <c r="AG26" s="95">
        <f t="shared" si="5"/>
        <v>78590.49</v>
      </c>
    </row>
    <row r="27">
      <c r="A27" s="88" t="s">
        <v>109</v>
      </c>
      <c r="B27" s="125">
        <f>Summary!B80</f>
        <v>0</v>
      </c>
      <c r="C27" s="125">
        <f>Summary!C80</f>
        <v>0</v>
      </c>
      <c r="D27" s="125">
        <f>Summary!D80</f>
        <v>0</v>
      </c>
      <c r="E27" s="125">
        <f>Summary!E80</f>
        <v>0</v>
      </c>
      <c r="F27" s="125">
        <f>Summary!F80</f>
        <v>0</v>
      </c>
      <c r="G27" s="125">
        <f>Summary!G80</f>
        <v>0</v>
      </c>
      <c r="H27" s="125">
        <f>Summary!H80</f>
        <v>0</v>
      </c>
      <c r="I27" s="125">
        <f>Summary!I80</f>
        <v>62.08</v>
      </c>
      <c r="J27" s="125">
        <f>Summary!J80</f>
        <v>618.21</v>
      </c>
      <c r="K27" s="125">
        <f>Summary!K80</f>
        <v>501.33</v>
      </c>
      <c r="L27" s="125">
        <f>Summary!L80</f>
        <v>504.13</v>
      </c>
      <c r="M27" s="125">
        <f>Summary!M80</f>
        <v>402.38</v>
      </c>
      <c r="N27" s="125">
        <f>Summary!N80</f>
        <v>595.27</v>
      </c>
      <c r="O27" s="125">
        <f>Summary!O80</f>
        <v>500.22</v>
      </c>
      <c r="P27" s="125">
        <f>Summary!P81</f>
        <v>2177.64</v>
      </c>
      <c r="Q27" s="125">
        <f>Summary!Q80</f>
        <v>493.61</v>
      </c>
      <c r="R27" s="125">
        <f>Summary!R80</f>
        <v>500.87</v>
      </c>
      <c r="S27" s="125">
        <f>Summary!S80</f>
        <v>490.48</v>
      </c>
      <c r="T27" s="125">
        <f>Summary!T80</f>
        <v>510.24</v>
      </c>
      <c r="U27" s="125">
        <f>Summary!U80</f>
        <v>501.34</v>
      </c>
      <c r="V27" s="125">
        <f>Summary!V80</f>
        <v>407.09</v>
      </c>
      <c r="W27" s="125">
        <f>Summary!W80</f>
        <v>527.79</v>
      </c>
      <c r="X27" s="125">
        <f>Summary!X80</f>
        <v>596.27</v>
      </c>
      <c r="Y27" s="125">
        <f>Summary!Y80</f>
        <v>491.54</v>
      </c>
      <c r="Z27" s="125">
        <f>Summary!Z80</f>
        <v>487.15</v>
      </c>
      <c r="AA27" s="125">
        <f>Summary!AA80</f>
        <v>500.76</v>
      </c>
      <c r="AB27" s="125">
        <f>Summary!AB80</f>
        <v>562.64</v>
      </c>
      <c r="AC27" s="125">
        <f>Summary!AC80</f>
        <v>562.7</v>
      </c>
      <c r="AD27" s="125">
        <f>Summary!AD80</f>
        <v>481.95</v>
      </c>
      <c r="AE27" s="125">
        <f>Summary!AE80</f>
        <v>247.35</v>
      </c>
      <c r="AF27" s="125">
        <f>Summary!AF80</f>
        <v>251.21</v>
      </c>
      <c r="AG27" s="95">
        <f t="shared" si="5"/>
        <v>12974.25</v>
      </c>
    </row>
    <row r="28">
      <c r="A28" s="88" t="s">
        <v>110</v>
      </c>
      <c r="B28" s="125">
        <f>Summary!B79</f>
        <v>315.68</v>
      </c>
      <c r="C28" s="125">
        <f>Summary!C79</f>
        <v>248.85</v>
      </c>
      <c r="D28" s="125">
        <f>Summary!D79</f>
        <v>243.12</v>
      </c>
      <c r="E28" s="125">
        <f>Summary!E79</f>
        <v>248.21</v>
      </c>
      <c r="F28" s="125">
        <f>Summary!F79</f>
        <v>225.84</v>
      </c>
      <c r="G28" s="125">
        <f>Summary!G79</f>
        <v>230.1</v>
      </c>
      <c r="H28" s="125">
        <f>Summary!H79</f>
        <v>312</v>
      </c>
      <c r="I28" s="125">
        <f>Summary!I79</f>
        <v>296.96</v>
      </c>
      <c r="J28" s="125">
        <f>Summary!J79</f>
        <v>248.99</v>
      </c>
      <c r="K28" s="125">
        <f>Summary!K79</f>
        <v>240.58</v>
      </c>
      <c r="L28" s="125">
        <f>Summary!L79</f>
        <v>181.76</v>
      </c>
      <c r="M28" s="125">
        <f>Summary!M79</f>
        <v>290.55</v>
      </c>
      <c r="N28" s="125">
        <f>Summary!N79</f>
        <v>303.94</v>
      </c>
      <c r="O28" s="125">
        <f>Summary!O79</f>
        <v>208.61</v>
      </c>
      <c r="P28" s="125">
        <f>Summary!P79</f>
        <v>237.36</v>
      </c>
      <c r="Q28" s="125">
        <f>Summary!Q79</f>
        <v>173.44</v>
      </c>
      <c r="R28" s="125">
        <f>Summary!R79</f>
        <v>179.26</v>
      </c>
      <c r="S28" s="125">
        <f>Summary!S79</f>
        <v>176.66</v>
      </c>
      <c r="T28" s="125">
        <f>Summary!T79</f>
        <v>172.1</v>
      </c>
      <c r="U28" s="125">
        <f>Summary!U79</f>
        <v>170.55</v>
      </c>
      <c r="V28" s="125">
        <f>Summary!V79</f>
        <v>206.94</v>
      </c>
      <c r="W28" s="125">
        <f>Summary!W79</f>
        <v>150.73</v>
      </c>
      <c r="X28" s="125">
        <f>Summary!X79</f>
        <v>159.54</v>
      </c>
      <c r="Y28" s="125">
        <f>Summary!Y79</f>
        <v>197.9</v>
      </c>
      <c r="Z28" s="125">
        <f>Summary!Z79</f>
        <v>164.62</v>
      </c>
      <c r="AA28" s="125">
        <f>Summary!AA79</f>
        <v>131.18</v>
      </c>
      <c r="AB28" s="125">
        <f>Summary!AB79</f>
        <v>218.82</v>
      </c>
      <c r="AC28" s="125">
        <f>Summary!AC79</f>
        <v>243.1</v>
      </c>
      <c r="AD28" s="125">
        <f>Summary!AD79</f>
        <v>153.59</v>
      </c>
      <c r="AE28" s="125">
        <f>Summary!AE79</f>
        <v>133.01</v>
      </c>
      <c r="AF28" s="125">
        <f>Summary!AF79</f>
        <v>152.56</v>
      </c>
      <c r="AG28" s="95">
        <f t="shared" si="5"/>
        <v>6616.55</v>
      </c>
    </row>
    <row r="29">
      <c r="A29" s="126" t="s">
        <v>112</v>
      </c>
      <c r="B29" s="105" t="s">
        <v>113</v>
      </c>
      <c r="C29" s="105" t="s">
        <v>113</v>
      </c>
      <c r="D29" s="105" t="s">
        <v>113</v>
      </c>
      <c r="E29" s="105" t="s">
        <v>113</v>
      </c>
      <c r="F29" s="105" t="s">
        <v>113</v>
      </c>
      <c r="G29" s="105" t="s">
        <v>113</v>
      </c>
      <c r="H29" s="105" t="s">
        <v>113</v>
      </c>
      <c r="I29" s="105" t="s">
        <v>113</v>
      </c>
      <c r="J29" s="105" t="s">
        <v>113</v>
      </c>
      <c r="K29" s="105" t="s">
        <v>113</v>
      </c>
      <c r="L29" s="105" t="s">
        <v>113</v>
      </c>
      <c r="M29" s="105" t="s">
        <v>113</v>
      </c>
      <c r="N29" s="105" t="s">
        <v>113</v>
      </c>
      <c r="O29" s="105" t="s">
        <v>113</v>
      </c>
      <c r="P29" s="105" t="s">
        <v>113</v>
      </c>
      <c r="Q29" s="105" t="s">
        <v>113</v>
      </c>
      <c r="R29" s="105" t="s">
        <v>113</v>
      </c>
      <c r="S29" s="105" t="s">
        <v>113</v>
      </c>
      <c r="T29" s="105" t="s">
        <v>113</v>
      </c>
      <c r="U29" s="105" t="s">
        <v>113</v>
      </c>
      <c r="V29" s="105" t="s">
        <v>113</v>
      </c>
      <c r="W29" s="105" t="s">
        <v>113</v>
      </c>
      <c r="X29" s="105" t="s">
        <v>113</v>
      </c>
      <c r="Y29" s="105" t="s">
        <v>113</v>
      </c>
      <c r="Z29" s="105" t="s">
        <v>113</v>
      </c>
      <c r="AA29" s="105" t="s">
        <v>113</v>
      </c>
      <c r="AB29" s="105" t="s">
        <v>113</v>
      </c>
      <c r="AC29" s="105" t="s">
        <v>113</v>
      </c>
      <c r="AD29" s="105" t="s">
        <v>113</v>
      </c>
      <c r="AE29" s="105" t="s">
        <v>113</v>
      </c>
      <c r="AF29" s="105" t="s">
        <v>113</v>
      </c>
      <c r="AG29" s="95">
        <f t="shared" si="5"/>
        <v>0</v>
      </c>
    </row>
    <row r="30">
      <c r="A30" s="127" t="s">
        <v>117</v>
      </c>
      <c r="B30" s="105" t="s">
        <v>113</v>
      </c>
      <c r="C30" s="105" t="s">
        <v>113</v>
      </c>
      <c r="D30" s="105" t="s">
        <v>113</v>
      </c>
      <c r="E30" s="105" t="s">
        <v>113</v>
      </c>
      <c r="F30" s="105" t="s">
        <v>113</v>
      </c>
      <c r="G30" s="105" t="s">
        <v>113</v>
      </c>
      <c r="H30" s="105" t="s">
        <v>113</v>
      </c>
      <c r="I30" s="105" t="s">
        <v>113</v>
      </c>
      <c r="J30" s="105" t="s">
        <v>113</v>
      </c>
      <c r="K30" s="105" t="s">
        <v>113</v>
      </c>
      <c r="L30" s="105" t="s">
        <v>113</v>
      </c>
      <c r="M30" s="105" t="s">
        <v>113</v>
      </c>
      <c r="N30" s="105" t="s">
        <v>113</v>
      </c>
      <c r="O30" s="105" t="s">
        <v>113</v>
      </c>
      <c r="P30" s="105" t="s">
        <v>113</v>
      </c>
      <c r="Q30" s="105" t="s">
        <v>113</v>
      </c>
      <c r="R30" s="105" t="s">
        <v>113</v>
      </c>
      <c r="S30" s="105" t="s">
        <v>113</v>
      </c>
      <c r="T30" s="105" t="s">
        <v>113</v>
      </c>
      <c r="U30" s="105" t="s">
        <v>113</v>
      </c>
      <c r="V30" s="105" t="s">
        <v>113</v>
      </c>
      <c r="W30" s="105" t="s">
        <v>113</v>
      </c>
      <c r="X30" s="105" t="s">
        <v>113</v>
      </c>
      <c r="Y30" s="105" t="s">
        <v>113</v>
      </c>
      <c r="Z30" s="105" t="s">
        <v>113</v>
      </c>
      <c r="AA30" s="105" t="s">
        <v>113</v>
      </c>
      <c r="AB30" s="105" t="s">
        <v>113</v>
      </c>
      <c r="AC30" s="105" t="s">
        <v>113</v>
      </c>
      <c r="AD30" s="105" t="s">
        <v>113</v>
      </c>
      <c r="AE30" s="105" t="s">
        <v>113</v>
      </c>
      <c r="AF30" s="105" t="s">
        <v>113</v>
      </c>
      <c r="AG30" s="95">
        <f t="shared" si="5"/>
        <v>0</v>
      </c>
    </row>
    <row r="31">
      <c r="A31" s="107" t="s">
        <v>115</v>
      </c>
      <c r="B31" s="122">
        <f t="shared" ref="B31:AF31" si="6">SUM(B25:B30)</f>
        <v>18876.6742</v>
      </c>
      <c r="C31" s="122">
        <f t="shared" si="6"/>
        <v>18603.30541</v>
      </c>
      <c r="D31" s="122">
        <f t="shared" si="6"/>
        <v>18731.49575</v>
      </c>
      <c r="E31" s="122">
        <f t="shared" si="6"/>
        <v>15558.32661</v>
      </c>
      <c r="F31" s="122">
        <f t="shared" si="6"/>
        <v>12842.59659</v>
      </c>
      <c r="G31" s="122">
        <f t="shared" si="6"/>
        <v>11495.61847</v>
      </c>
      <c r="H31" s="122">
        <f t="shared" si="6"/>
        <v>11454.22</v>
      </c>
      <c r="I31" s="122">
        <f t="shared" si="6"/>
        <v>12307.96093</v>
      </c>
      <c r="J31" s="122">
        <f t="shared" si="6"/>
        <v>13960.32992</v>
      </c>
      <c r="K31" s="122">
        <f t="shared" si="6"/>
        <v>14168.90811</v>
      </c>
      <c r="L31" s="122">
        <f t="shared" si="6"/>
        <v>12123.25894</v>
      </c>
      <c r="M31" s="122">
        <f t="shared" si="6"/>
        <v>10073.85216</v>
      </c>
      <c r="N31" s="122">
        <f t="shared" si="6"/>
        <v>9549.416472</v>
      </c>
      <c r="O31" s="122">
        <f t="shared" si="6"/>
        <v>9214.099005</v>
      </c>
      <c r="P31" s="122">
        <f t="shared" si="6"/>
        <v>5032.8</v>
      </c>
      <c r="Q31" s="122">
        <f t="shared" si="6"/>
        <v>3311.36</v>
      </c>
      <c r="R31" s="122">
        <f t="shared" si="6"/>
        <v>2981.79</v>
      </c>
      <c r="S31" s="122">
        <f t="shared" si="6"/>
        <v>3000.7</v>
      </c>
      <c r="T31" s="122">
        <f t="shared" si="6"/>
        <v>2633.46</v>
      </c>
      <c r="U31" s="122">
        <f t="shared" si="6"/>
        <v>2316.44</v>
      </c>
      <c r="V31" s="122">
        <f t="shared" si="6"/>
        <v>2657.94</v>
      </c>
      <c r="W31" s="122">
        <f t="shared" si="6"/>
        <v>2572.68</v>
      </c>
      <c r="X31" s="122">
        <f t="shared" si="6"/>
        <v>4065.2</v>
      </c>
      <c r="Y31" s="122">
        <f t="shared" si="6"/>
        <v>3353.57</v>
      </c>
      <c r="Z31" s="122">
        <f t="shared" si="6"/>
        <v>2611.9</v>
      </c>
      <c r="AA31" s="122">
        <f t="shared" si="6"/>
        <v>2056.99</v>
      </c>
      <c r="AB31" s="122">
        <f t="shared" si="6"/>
        <v>2334.81</v>
      </c>
      <c r="AC31" s="122">
        <f t="shared" si="6"/>
        <v>2430.75</v>
      </c>
      <c r="AD31" s="128">
        <f t="shared" si="6"/>
        <v>2202.48</v>
      </c>
      <c r="AE31" s="128">
        <f t="shared" si="6"/>
        <v>2056.54</v>
      </c>
      <c r="AF31" s="128">
        <f t="shared" si="6"/>
        <v>2116.52</v>
      </c>
      <c r="AG31" s="95">
        <f t="shared" si="5"/>
        <v>236695.9926</v>
      </c>
    </row>
    <row r="32">
      <c r="A32" s="100"/>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123"/>
    </row>
    <row r="33">
      <c r="A33" s="129"/>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1"/>
    </row>
    <row r="34">
      <c r="A34" s="132"/>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81"/>
    </row>
    <row r="35">
      <c r="A35" s="100"/>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81"/>
    </row>
    <row r="36">
      <c r="A36" s="135" t="s">
        <v>90</v>
      </c>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1"/>
    </row>
    <row r="37">
      <c r="A37" s="136" t="s">
        <v>118</v>
      </c>
      <c r="B37" s="137">
        <f>Summary!B8</f>
        <v>609995.61</v>
      </c>
      <c r="C37" s="137">
        <f>Summary!C8</f>
        <v>107937.13</v>
      </c>
      <c r="D37" s="137">
        <f>Summary!D8</f>
        <v>92285.37</v>
      </c>
      <c r="E37" s="137">
        <f>Summary!E8</f>
        <v>79668.99</v>
      </c>
      <c r="F37" s="137">
        <f>Summary!F8</f>
        <v>60001.2</v>
      </c>
      <c r="G37" s="137">
        <f>Summary!G8</f>
        <v>52648.98</v>
      </c>
      <c r="H37" s="137">
        <f>Summary!H8</f>
        <v>53600.39</v>
      </c>
      <c r="I37" s="137">
        <f>Summary!I8</f>
        <v>53298.97</v>
      </c>
      <c r="J37" s="137">
        <f>Summary!J8</f>
        <v>65507.46</v>
      </c>
      <c r="K37" s="137">
        <f>Summary!K8</f>
        <v>58345.32</v>
      </c>
      <c r="L37" s="137">
        <f>Summary!L8</f>
        <v>50106.48</v>
      </c>
      <c r="M37" s="137">
        <f>Summary!M8</f>
        <v>34630.63</v>
      </c>
      <c r="N37" s="137">
        <f>Summary!N8</f>
        <v>24539.57</v>
      </c>
      <c r="O37" s="137">
        <f>Summary!O8</f>
        <v>30839.36</v>
      </c>
      <c r="P37" s="137">
        <f>Summary!P8</f>
        <v>23481.39</v>
      </c>
      <c r="Q37" s="137">
        <f>Summary!Q8</f>
        <v>31403.37</v>
      </c>
      <c r="R37" s="137">
        <f>Summary!R8</f>
        <v>24365.3</v>
      </c>
      <c r="S37" s="137">
        <f>Summary!S8</f>
        <v>22034.68</v>
      </c>
      <c r="T37" s="137">
        <f>Summary!T8</f>
        <v>18596.67</v>
      </c>
      <c r="U37" s="137">
        <f>Summary!U8</f>
        <v>19772.38</v>
      </c>
      <c r="V37" s="137">
        <f>Summary!V8</f>
        <v>21328.09</v>
      </c>
      <c r="W37" s="137">
        <f>Summary!W8</f>
        <v>37898.11</v>
      </c>
      <c r="X37" s="137">
        <f>Summary!X8</f>
        <v>30815.28</v>
      </c>
      <c r="Y37" s="137">
        <f>Summary!Y8</f>
        <v>36859.86</v>
      </c>
      <c r="Z37" s="137">
        <f>Summary!Z8</f>
        <v>27394.52</v>
      </c>
      <c r="AA37" s="137">
        <f>Summary!AA8</f>
        <v>19602.23</v>
      </c>
      <c r="AB37" s="137">
        <f>Summary!AB8</f>
        <v>19436.72</v>
      </c>
      <c r="AC37" s="137">
        <f>Summary!AC8</f>
        <v>24112.65</v>
      </c>
      <c r="AD37" s="137">
        <f>Summary!AD8</f>
        <v>17000.55</v>
      </c>
      <c r="AE37" s="137">
        <f>Summary!AE8</f>
        <v>21890.63</v>
      </c>
      <c r="AF37" s="137">
        <f>Summary!AF8</f>
        <v>18471.44</v>
      </c>
      <c r="AG37" s="95">
        <f t="shared" ref="AG37:AG38" si="8">SUM(B37:AF37)</f>
        <v>1787869.33</v>
      </c>
    </row>
    <row r="38">
      <c r="A38" s="138" t="s">
        <v>119</v>
      </c>
      <c r="B38" s="139">
        <f t="shared" ref="B38:AF38" si="7">SUM(B37)</f>
        <v>609995.61</v>
      </c>
      <c r="C38" s="139">
        <f t="shared" si="7"/>
        <v>107937.13</v>
      </c>
      <c r="D38" s="139">
        <f t="shared" si="7"/>
        <v>92285.37</v>
      </c>
      <c r="E38" s="139">
        <f t="shared" si="7"/>
        <v>79668.99</v>
      </c>
      <c r="F38" s="139">
        <f t="shared" si="7"/>
        <v>60001.2</v>
      </c>
      <c r="G38" s="139">
        <f t="shared" si="7"/>
        <v>52648.98</v>
      </c>
      <c r="H38" s="139">
        <f t="shared" si="7"/>
        <v>53600.39</v>
      </c>
      <c r="I38" s="139">
        <f t="shared" si="7"/>
        <v>53298.97</v>
      </c>
      <c r="J38" s="139">
        <f t="shared" si="7"/>
        <v>65507.46</v>
      </c>
      <c r="K38" s="139">
        <f t="shared" si="7"/>
        <v>58345.32</v>
      </c>
      <c r="L38" s="139">
        <f t="shared" si="7"/>
        <v>50106.48</v>
      </c>
      <c r="M38" s="139">
        <f t="shared" si="7"/>
        <v>34630.63</v>
      </c>
      <c r="N38" s="139">
        <f t="shared" si="7"/>
        <v>24539.57</v>
      </c>
      <c r="O38" s="139">
        <f t="shared" si="7"/>
        <v>30839.36</v>
      </c>
      <c r="P38" s="139">
        <f t="shared" si="7"/>
        <v>23481.39</v>
      </c>
      <c r="Q38" s="139">
        <f t="shared" si="7"/>
        <v>31403.37</v>
      </c>
      <c r="R38" s="139">
        <f t="shared" si="7"/>
        <v>24365.3</v>
      </c>
      <c r="S38" s="139">
        <f t="shared" si="7"/>
        <v>22034.68</v>
      </c>
      <c r="T38" s="139">
        <f t="shared" si="7"/>
        <v>18596.67</v>
      </c>
      <c r="U38" s="139">
        <f t="shared" si="7"/>
        <v>19772.38</v>
      </c>
      <c r="V38" s="139">
        <f t="shared" si="7"/>
        <v>21328.09</v>
      </c>
      <c r="W38" s="139">
        <f t="shared" si="7"/>
        <v>37898.11</v>
      </c>
      <c r="X38" s="139">
        <f t="shared" si="7"/>
        <v>30815.28</v>
      </c>
      <c r="Y38" s="139">
        <f t="shared" si="7"/>
        <v>36859.86</v>
      </c>
      <c r="Z38" s="139">
        <f t="shared" si="7"/>
        <v>27394.52</v>
      </c>
      <c r="AA38" s="139">
        <f t="shared" si="7"/>
        <v>19602.23</v>
      </c>
      <c r="AB38" s="139">
        <f t="shared" si="7"/>
        <v>19436.72</v>
      </c>
      <c r="AC38" s="139">
        <f t="shared" si="7"/>
        <v>24112.65</v>
      </c>
      <c r="AD38" s="139">
        <f t="shared" si="7"/>
        <v>17000.55</v>
      </c>
      <c r="AE38" s="139">
        <f t="shared" si="7"/>
        <v>21890.63</v>
      </c>
      <c r="AF38" s="139">
        <f t="shared" si="7"/>
        <v>18471.44</v>
      </c>
      <c r="AG38" s="95">
        <f t="shared" si="8"/>
        <v>1787869.33</v>
      </c>
    </row>
    <row r="39">
      <c r="A39" s="100"/>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140"/>
    </row>
    <row r="40">
      <c r="A40" s="141" t="s">
        <v>97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140"/>
    </row>
    <row r="41">
      <c r="A41" s="142" t="s">
        <v>120</v>
      </c>
      <c r="B41" s="143">
        <f>Summary!B52</f>
        <v>1961</v>
      </c>
      <c r="C41" s="144">
        <f>Summary!C52</f>
        <v>416</v>
      </c>
      <c r="D41" s="144">
        <f>Summary!D52</f>
        <v>347</v>
      </c>
      <c r="E41" s="144">
        <f>Summary!E52</f>
        <v>312</v>
      </c>
      <c r="F41" s="144">
        <f>Summary!F52</f>
        <v>247</v>
      </c>
      <c r="G41" s="145">
        <f>Summary!G52</f>
        <v>214</v>
      </c>
      <c r="H41" s="145">
        <f>Summary!H52</f>
        <v>208</v>
      </c>
      <c r="I41" s="145">
        <f>Summary!I52</f>
        <v>200</v>
      </c>
      <c r="J41" s="145">
        <f>Summary!J52</f>
        <v>269</v>
      </c>
      <c r="K41" s="145">
        <f>Summary!K52</f>
        <v>237</v>
      </c>
      <c r="L41" s="145">
        <f>Summary!L52</f>
        <v>183</v>
      </c>
      <c r="M41" s="145">
        <f>Summary!M52</f>
        <v>125</v>
      </c>
      <c r="N41" s="145">
        <f>Summary!N52</f>
        <v>93</v>
      </c>
      <c r="O41" s="144">
        <f>Summary!O52</f>
        <v>107</v>
      </c>
      <c r="P41" s="144">
        <f>Summary!P52</f>
        <v>90</v>
      </c>
      <c r="Q41" s="144">
        <f>Summary!Q52</f>
        <v>118</v>
      </c>
      <c r="R41" s="144">
        <f>Summary!R52</f>
        <v>91</v>
      </c>
      <c r="S41" s="144">
        <f>Summary!S52</f>
        <v>93</v>
      </c>
      <c r="T41" s="144">
        <f>Summary!T52</f>
        <v>71</v>
      </c>
      <c r="U41" s="144">
        <f>Summary!U52</f>
        <v>82</v>
      </c>
      <c r="V41" s="144">
        <f>Summary!V52</f>
        <v>82</v>
      </c>
      <c r="W41" s="145">
        <f>Summary!W52</f>
        <v>100</v>
      </c>
      <c r="X41" s="145">
        <f>Summary!X52</f>
        <v>117</v>
      </c>
      <c r="Y41" s="145">
        <f>Summary!Y52</f>
        <v>137</v>
      </c>
      <c r="Z41" s="145">
        <f>Summary!Z52</f>
        <v>112</v>
      </c>
      <c r="AA41" s="145">
        <f>Summary!AA52</f>
        <v>79</v>
      </c>
      <c r="AB41" s="145">
        <f>Summary!AB52</f>
        <v>79</v>
      </c>
      <c r="AC41" s="145">
        <f>Summary!AC52</f>
        <v>93</v>
      </c>
      <c r="AD41" s="145">
        <f>Summary!AD52</f>
        <v>57</v>
      </c>
      <c r="AE41" s="145">
        <f>Summary!AE52</f>
        <v>87</v>
      </c>
      <c r="AF41" s="145">
        <f>Summary!AF52</f>
        <v>80</v>
      </c>
      <c r="AG41" s="95">
        <f t="shared" ref="AG41:AG42" si="10">SUM(B41:AF41)</f>
        <v>6487</v>
      </c>
    </row>
    <row r="42">
      <c r="A42" s="146" t="s">
        <v>119</v>
      </c>
      <c r="B42" s="147">
        <f t="shared" ref="B42:AF42" si="9">SUM(B41)</f>
        <v>1961</v>
      </c>
      <c r="C42" s="148">
        <f t="shared" si="9"/>
        <v>416</v>
      </c>
      <c r="D42" s="148">
        <f t="shared" si="9"/>
        <v>347</v>
      </c>
      <c r="E42" s="148">
        <f t="shared" si="9"/>
        <v>312</v>
      </c>
      <c r="F42" s="148">
        <f t="shared" si="9"/>
        <v>247</v>
      </c>
      <c r="G42" s="147">
        <f t="shared" si="9"/>
        <v>214</v>
      </c>
      <c r="H42" s="147">
        <f t="shared" si="9"/>
        <v>208</v>
      </c>
      <c r="I42" s="147">
        <f t="shared" si="9"/>
        <v>200</v>
      </c>
      <c r="J42" s="147">
        <f t="shared" si="9"/>
        <v>269</v>
      </c>
      <c r="K42" s="147">
        <f t="shared" si="9"/>
        <v>237</v>
      </c>
      <c r="L42" s="147">
        <f t="shared" si="9"/>
        <v>183</v>
      </c>
      <c r="M42" s="147">
        <f t="shared" si="9"/>
        <v>125</v>
      </c>
      <c r="N42" s="147">
        <f t="shared" si="9"/>
        <v>93</v>
      </c>
      <c r="O42" s="148">
        <f t="shared" si="9"/>
        <v>107</v>
      </c>
      <c r="P42" s="148">
        <f t="shared" si="9"/>
        <v>90</v>
      </c>
      <c r="Q42" s="148">
        <f t="shared" si="9"/>
        <v>118</v>
      </c>
      <c r="R42" s="148">
        <f t="shared" si="9"/>
        <v>91</v>
      </c>
      <c r="S42" s="148">
        <f t="shared" si="9"/>
        <v>93</v>
      </c>
      <c r="T42" s="148">
        <f t="shared" si="9"/>
        <v>71</v>
      </c>
      <c r="U42" s="148">
        <f t="shared" si="9"/>
        <v>82</v>
      </c>
      <c r="V42" s="148">
        <f t="shared" si="9"/>
        <v>82</v>
      </c>
      <c r="W42" s="147">
        <f t="shared" si="9"/>
        <v>100</v>
      </c>
      <c r="X42" s="147">
        <f t="shared" si="9"/>
        <v>117</v>
      </c>
      <c r="Y42" s="147">
        <f t="shared" si="9"/>
        <v>137</v>
      </c>
      <c r="Z42" s="147">
        <f t="shared" si="9"/>
        <v>112</v>
      </c>
      <c r="AA42" s="147">
        <f t="shared" si="9"/>
        <v>79</v>
      </c>
      <c r="AB42" s="147">
        <f t="shared" si="9"/>
        <v>79</v>
      </c>
      <c r="AC42" s="147">
        <f t="shared" si="9"/>
        <v>93</v>
      </c>
      <c r="AD42" s="147">
        <f t="shared" si="9"/>
        <v>57</v>
      </c>
      <c r="AE42" s="147">
        <f t="shared" si="9"/>
        <v>87</v>
      </c>
      <c r="AF42" s="147">
        <f t="shared" si="9"/>
        <v>80</v>
      </c>
      <c r="AG42" s="95">
        <f t="shared" si="10"/>
        <v>6487</v>
      </c>
    </row>
    <row r="43">
      <c r="A43" s="100"/>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140"/>
    </row>
    <row r="44">
      <c r="A44" s="149" t="s">
        <v>121</v>
      </c>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40"/>
    </row>
    <row r="45">
      <c r="A45" s="151" t="s">
        <v>21</v>
      </c>
      <c r="B45" s="152">
        <f>Summary!B9</f>
        <v>530409.79</v>
      </c>
      <c r="C45" s="152">
        <f>Summary!C9</f>
        <v>88002.25</v>
      </c>
      <c r="D45" s="152">
        <f>Summary!D9</f>
        <v>75538.45</v>
      </c>
      <c r="E45" s="152">
        <f>Summary!E9</f>
        <v>64103.35</v>
      </c>
      <c r="F45" s="152">
        <f>Summary!F9</f>
        <v>47621.15</v>
      </c>
      <c r="G45" s="152">
        <f>Summary!G9</f>
        <v>40596.8</v>
      </c>
      <c r="H45" s="152">
        <f>Summary!H9</f>
        <v>42030.65</v>
      </c>
      <c r="I45" s="152">
        <f>Summary!I9</f>
        <v>42613.85</v>
      </c>
      <c r="J45" s="152">
        <f>Summary!J9</f>
        <v>50880.3</v>
      </c>
      <c r="K45" s="152">
        <f>Summary!K9</f>
        <v>45034.4</v>
      </c>
      <c r="L45" s="152">
        <f>Summary!L9</f>
        <v>39398.15</v>
      </c>
      <c r="M45" s="152">
        <f>Summary!M9</f>
        <v>26600.8</v>
      </c>
      <c r="N45" s="152">
        <f>Summary!N9</f>
        <v>19285.15</v>
      </c>
      <c r="O45" s="152">
        <f>Summary!O9</f>
        <v>24270.41</v>
      </c>
      <c r="P45" s="152">
        <f>Summary!P9</f>
        <v>17622.85</v>
      </c>
      <c r="Q45" s="152">
        <f>Summary!Q9</f>
        <v>23523.2</v>
      </c>
      <c r="R45" s="152">
        <f>Summary!R9</f>
        <v>18560.9</v>
      </c>
      <c r="S45" s="152">
        <f>Summary!S9</f>
        <v>16112</v>
      </c>
      <c r="T45" s="152">
        <f>Summary!T9</f>
        <v>14364.78</v>
      </c>
      <c r="U45" s="152">
        <f>Summary!U9</f>
        <v>15242.2</v>
      </c>
      <c r="V45" s="152">
        <f>Summary!V9</f>
        <v>16516.9</v>
      </c>
      <c r="W45" s="152">
        <f>Summary!W9</f>
        <v>29456.48</v>
      </c>
      <c r="X45" s="152">
        <f>Summary!X9</f>
        <v>22808.32</v>
      </c>
      <c r="Y45" s="152">
        <f>Summary!Y9</f>
        <v>27946.78</v>
      </c>
      <c r="Z45" s="152">
        <f>Summary!Z9</f>
        <v>20592.23</v>
      </c>
      <c r="AA45" s="152">
        <f>Summary!AA9</f>
        <v>14732.3</v>
      </c>
      <c r="AB45" s="152">
        <f>Summary!AB9</f>
        <v>14201.2</v>
      </c>
      <c r="AC45" s="152">
        <f>Summary!AC9</f>
        <v>17713.9</v>
      </c>
      <c r="AD45" s="152">
        <f>Summary!AD9</f>
        <v>12605.4</v>
      </c>
      <c r="AE45" s="152">
        <f>Summary!AE9</f>
        <v>16185.45</v>
      </c>
      <c r="AF45" s="152">
        <f>Summary!AF9</f>
        <v>13825.11</v>
      </c>
      <c r="AG45" s="95">
        <f t="shared" ref="AG45:AG52" si="11">SUM(B45:AF45)</f>
        <v>1448395.5</v>
      </c>
    </row>
    <row r="46">
      <c r="A46" s="151" t="s">
        <v>22</v>
      </c>
      <c r="B46" s="152">
        <f>Summary!B10</f>
        <v>9746.98</v>
      </c>
      <c r="C46" s="152">
        <f>Summary!C10</f>
        <v>5478.6</v>
      </c>
      <c r="D46" s="152">
        <f>Summary!D10</f>
        <v>4169.45</v>
      </c>
      <c r="E46" s="152">
        <f>Summary!E10</f>
        <v>4300.95</v>
      </c>
      <c r="F46" s="152">
        <f>Summary!F10</f>
        <v>3500.8</v>
      </c>
      <c r="G46" s="152">
        <f>Summary!G10</f>
        <v>3624.5</v>
      </c>
      <c r="H46" s="152">
        <f>Summary!H10</f>
        <v>3175.6</v>
      </c>
      <c r="I46" s="152">
        <f>Summary!I10</f>
        <v>2564.55</v>
      </c>
      <c r="J46" s="152">
        <f>Summary!J10</f>
        <v>4382.3</v>
      </c>
      <c r="K46" s="152">
        <f>Summary!K10</f>
        <v>4216.4</v>
      </c>
      <c r="L46" s="152">
        <f>Summary!L10</f>
        <v>3437.05</v>
      </c>
      <c r="M46" s="152">
        <f>Summary!M10</f>
        <v>3063.25</v>
      </c>
      <c r="N46" s="152">
        <f>Summary!N10</f>
        <v>1927.25</v>
      </c>
      <c r="O46" s="152">
        <f>Summary!O10</f>
        <v>2231.89</v>
      </c>
      <c r="P46" s="152">
        <f>Summary!P10</f>
        <v>2344.15</v>
      </c>
      <c r="Q46" s="152">
        <f>Summary!Q10</f>
        <v>3365.45</v>
      </c>
      <c r="R46" s="152">
        <f>Summary!R10</f>
        <v>2138.25</v>
      </c>
      <c r="S46" s="152">
        <f>Summary!S10</f>
        <v>2508.2</v>
      </c>
      <c r="T46" s="152">
        <f>Summary!T10</f>
        <v>1598.74</v>
      </c>
      <c r="U46" s="152">
        <f>Summary!U10</f>
        <v>1579.25</v>
      </c>
      <c r="V46" s="152">
        <f>Summary!V10</f>
        <v>1644.9</v>
      </c>
      <c r="W46" s="152">
        <f>Summary!W10</f>
        <v>3179.37</v>
      </c>
      <c r="X46" s="152">
        <f>Summary!X10</f>
        <v>3285.08</v>
      </c>
      <c r="Y46" s="152">
        <f>Summary!Y10</f>
        <v>3053.62</v>
      </c>
      <c r="Z46" s="152">
        <f>Summary!Z10</f>
        <v>2515.22</v>
      </c>
      <c r="AA46" s="152">
        <f>Summary!AA10</f>
        <v>1697.6</v>
      </c>
      <c r="AB46" s="152">
        <f>Summary!AB10</f>
        <v>2289.2</v>
      </c>
      <c r="AC46" s="152">
        <f>Summary!AC10</f>
        <v>2550.1</v>
      </c>
      <c r="AD46" s="152">
        <f>Summary!AD10</f>
        <v>1848.2</v>
      </c>
      <c r="AE46" s="152">
        <f>Summary!AE10</f>
        <v>2282.2</v>
      </c>
      <c r="AF46" s="152">
        <f>Summary!AF10</f>
        <v>1741.99</v>
      </c>
      <c r="AG46" s="95">
        <f t="shared" si="11"/>
        <v>95441.09</v>
      </c>
    </row>
    <row r="47">
      <c r="A47" s="151" t="s">
        <v>23</v>
      </c>
      <c r="B47" s="152">
        <f>Summary!B11</f>
        <v>0</v>
      </c>
      <c r="C47" s="152">
        <f>Summary!C11</f>
        <v>0</v>
      </c>
      <c r="D47" s="152">
        <f>Summary!D11</f>
        <v>0</v>
      </c>
      <c r="E47" s="152">
        <f>Summary!E11</f>
        <v>0</v>
      </c>
      <c r="F47" s="152">
        <f>Summary!F11</f>
        <v>0</v>
      </c>
      <c r="G47" s="152">
        <f>Summary!G11</f>
        <v>184.94</v>
      </c>
      <c r="H47" s="152">
        <f>Summary!H11</f>
        <v>0</v>
      </c>
      <c r="I47" s="152">
        <f>Summary!I11</f>
        <v>0</v>
      </c>
      <c r="J47" s="152">
        <f>Summary!J11</f>
        <v>0</v>
      </c>
      <c r="K47" s="152">
        <f>Summary!K11</f>
        <v>0</v>
      </c>
      <c r="L47" s="152">
        <f>Summary!L11</f>
        <v>0</v>
      </c>
      <c r="M47" s="152">
        <f>Summary!M11</f>
        <v>0</v>
      </c>
      <c r="N47" s="152">
        <f>Summary!N11</f>
        <v>0</v>
      </c>
      <c r="O47" s="152">
        <f>Summary!O11</f>
        <v>0</v>
      </c>
      <c r="P47" s="152">
        <f>Summary!P11</f>
        <v>0</v>
      </c>
      <c r="Q47" s="152">
        <f>Summary!Q11</f>
        <v>39.99</v>
      </c>
      <c r="R47" s="152">
        <f>Summary!R11</f>
        <v>0</v>
      </c>
      <c r="S47" s="152">
        <f>Summary!S11</f>
        <v>0</v>
      </c>
      <c r="T47" s="152">
        <f>Summary!T11</f>
        <v>29.99</v>
      </c>
      <c r="U47" s="152">
        <f>Summary!U11</f>
        <v>0</v>
      </c>
      <c r="V47" s="152">
        <f>Summary!V11</f>
        <v>0</v>
      </c>
      <c r="W47" s="152">
        <f>Summary!W11</f>
        <v>0</v>
      </c>
      <c r="X47" s="152">
        <f>Summary!X11</f>
        <v>39.99</v>
      </c>
      <c r="Y47" s="152">
        <f>Summary!Y11</f>
        <v>0</v>
      </c>
      <c r="Z47" s="152">
        <f>Summary!Z11</f>
        <v>0</v>
      </c>
      <c r="AA47" s="152">
        <f>Summary!AA11</f>
        <v>0</v>
      </c>
      <c r="AB47" s="152">
        <f>Summary!AB11</f>
        <v>0</v>
      </c>
      <c r="AC47" s="152">
        <f>Summary!AC11</f>
        <v>0</v>
      </c>
      <c r="AD47" s="152">
        <f>Summary!AD11</f>
        <v>0</v>
      </c>
      <c r="AE47" s="152">
        <f>Summary!AE11</f>
        <v>39.99</v>
      </c>
      <c r="AF47" s="152">
        <f>Summary!AF11</f>
        <v>0</v>
      </c>
      <c r="AG47" s="95">
        <f t="shared" si="11"/>
        <v>334.9</v>
      </c>
    </row>
    <row r="48">
      <c r="A48" s="151" t="s">
        <v>24</v>
      </c>
      <c r="B48" s="152">
        <f>Summary!B12</f>
        <v>434.04</v>
      </c>
      <c r="C48" s="152">
        <f>Summary!C12</f>
        <v>310.57</v>
      </c>
      <c r="D48" s="152">
        <f>Summary!D12</f>
        <v>225</v>
      </c>
      <c r="E48" s="152">
        <f>Summary!E12</f>
        <v>357.48</v>
      </c>
      <c r="F48" s="152">
        <f>Summary!F12</f>
        <v>360.4</v>
      </c>
      <c r="G48" s="152">
        <f>Summary!G12</f>
        <v>247.87</v>
      </c>
      <c r="H48" s="152">
        <f>Summary!H12</f>
        <v>244.33</v>
      </c>
      <c r="I48" s="152">
        <f>Summary!I12</f>
        <v>108.94</v>
      </c>
      <c r="J48" s="152">
        <f>Summary!J12</f>
        <v>213.14</v>
      </c>
      <c r="K48" s="152">
        <f>Summary!K12</f>
        <v>124.07</v>
      </c>
      <c r="L48" s="152">
        <f>Summary!L12</f>
        <v>143.4</v>
      </c>
      <c r="M48" s="152">
        <f>Summary!M12</f>
        <v>205.81</v>
      </c>
      <c r="N48" s="152">
        <f>Summary!N12</f>
        <v>146.4</v>
      </c>
      <c r="O48" s="152">
        <f>Summary!O12</f>
        <v>209.87</v>
      </c>
      <c r="P48" s="152">
        <f>Summary!P12</f>
        <v>354.81</v>
      </c>
      <c r="Q48" s="152">
        <f>Summary!Q12</f>
        <v>160.07</v>
      </c>
      <c r="R48" s="152">
        <f>Summary!R12</f>
        <v>188.1</v>
      </c>
      <c r="S48" s="152">
        <f>Summary!S12</f>
        <v>218.9</v>
      </c>
      <c r="T48" s="152">
        <f>Summary!T12</f>
        <v>0</v>
      </c>
      <c r="U48" s="152">
        <f>Summary!U12</f>
        <v>182.47</v>
      </c>
      <c r="V48" s="152">
        <f>Summary!V12</f>
        <v>225</v>
      </c>
      <c r="W48" s="152">
        <f>Summary!W12</f>
        <v>376.6</v>
      </c>
      <c r="X48" s="152">
        <f>Summary!X12</f>
        <v>448.4</v>
      </c>
      <c r="Y48" s="152">
        <f>Summary!Y12</f>
        <v>704.37</v>
      </c>
      <c r="Z48" s="152">
        <f>Summary!Z12</f>
        <v>476</v>
      </c>
      <c r="AA48" s="152">
        <f>Summary!AA12</f>
        <v>374.3</v>
      </c>
      <c r="AB48" s="152">
        <f>Summary!AB12</f>
        <v>368.4</v>
      </c>
      <c r="AC48" s="152">
        <f>Summary!AC12</f>
        <v>467.1</v>
      </c>
      <c r="AD48" s="152">
        <f>Summary!AD12</f>
        <v>76.67</v>
      </c>
      <c r="AE48" s="152">
        <f>Summary!AE12</f>
        <v>180.1</v>
      </c>
      <c r="AF48" s="152">
        <f>Summary!AF12</f>
        <v>260.1</v>
      </c>
      <c r="AG48" s="95">
        <f t="shared" si="11"/>
        <v>8392.71</v>
      </c>
    </row>
    <row r="49">
      <c r="A49" s="151" t="s">
        <v>25</v>
      </c>
      <c r="B49" s="152" t="str">
        <f>Summary!B13</f>
        <v/>
      </c>
      <c r="C49" s="152" t="str">
        <f>Summary!C13</f>
        <v/>
      </c>
      <c r="D49" s="152" t="str">
        <f>Summary!D13</f>
        <v/>
      </c>
      <c r="E49" s="152" t="str">
        <f>Summary!E13</f>
        <v/>
      </c>
      <c r="F49" s="152" t="str">
        <f>Summary!F13</f>
        <v/>
      </c>
      <c r="G49" s="152" t="str">
        <f>Summary!G13</f>
        <v/>
      </c>
      <c r="H49" s="152" t="str">
        <f>Summary!H13</f>
        <v/>
      </c>
      <c r="I49" s="152" t="str">
        <f>Summary!I13</f>
        <v/>
      </c>
      <c r="J49" s="152" t="str">
        <f>Summary!J13</f>
        <v/>
      </c>
      <c r="K49" s="152" t="str">
        <f>Summary!K13</f>
        <v/>
      </c>
      <c r="L49" s="152" t="str">
        <f>Summary!L13</f>
        <v/>
      </c>
      <c r="M49" s="152" t="str">
        <f>Summary!M13</f>
        <v/>
      </c>
      <c r="N49" s="152" t="str">
        <f>Summary!N13</f>
        <v/>
      </c>
      <c r="O49" s="152" t="str">
        <f>Summary!O13</f>
        <v/>
      </c>
      <c r="P49" s="152" t="str">
        <f>Summary!P13</f>
        <v/>
      </c>
      <c r="Q49" s="152" t="str">
        <f>Summary!Q13</f>
        <v/>
      </c>
      <c r="R49" s="152" t="str">
        <f>Summary!R13</f>
        <v/>
      </c>
      <c r="S49" s="152">
        <f>Summary!S13</f>
        <v>90</v>
      </c>
      <c r="T49" s="152">
        <f>Summary!T13</f>
        <v>58.33</v>
      </c>
      <c r="U49" s="152">
        <f>Summary!U13</f>
        <v>30</v>
      </c>
      <c r="V49" s="152">
        <f>Summary!V13</f>
        <v>0</v>
      </c>
      <c r="W49" s="152">
        <f>Summary!W13</f>
        <v>60</v>
      </c>
      <c r="X49" s="152">
        <f>Summary!X13</f>
        <v>0</v>
      </c>
      <c r="Y49" s="152">
        <f>Summary!Y13</f>
        <v>180</v>
      </c>
      <c r="Z49" s="152">
        <f>Summary!Z13</f>
        <v>90</v>
      </c>
      <c r="AA49" s="152">
        <f>Summary!AA13</f>
        <v>25</v>
      </c>
      <c r="AB49" s="152">
        <f>Summary!AB13</f>
        <v>90</v>
      </c>
      <c r="AC49" s="152">
        <f>Summary!AC13</f>
        <v>180</v>
      </c>
      <c r="AD49" s="152">
        <f>Summary!AD13</f>
        <v>120</v>
      </c>
      <c r="AE49" s="152">
        <f>Summary!AE13</f>
        <v>180</v>
      </c>
      <c r="AF49" s="152">
        <f>Summary!AF13</f>
        <v>120</v>
      </c>
      <c r="AG49" s="95">
        <f t="shared" si="11"/>
        <v>1223.33</v>
      </c>
    </row>
    <row r="50">
      <c r="A50" s="151" t="s">
        <v>26</v>
      </c>
      <c r="B50" s="152">
        <f>Summary!B14</f>
        <v>37467.8</v>
      </c>
      <c r="C50" s="152">
        <f>Summary!C14</f>
        <v>6623.71</v>
      </c>
      <c r="D50" s="152">
        <f>Summary!D14</f>
        <v>5640.47</v>
      </c>
      <c r="E50" s="152">
        <f>Summary!E14</f>
        <v>4787.21</v>
      </c>
      <c r="F50" s="152">
        <f>Summary!F14</f>
        <v>3534.85</v>
      </c>
      <c r="G50" s="152">
        <f>Summary!G14</f>
        <v>3154.87</v>
      </c>
      <c r="H50" s="152">
        <f>Summary!H14</f>
        <v>3158.81</v>
      </c>
      <c r="I50" s="152">
        <f>Summary!I14</f>
        <v>3131.63</v>
      </c>
      <c r="J50" s="152">
        <f>Summary!J14</f>
        <v>3951.72</v>
      </c>
      <c r="K50" s="152">
        <f>Summary!K14</f>
        <v>3605.45</v>
      </c>
      <c r="L50" s="152">
        <f>Summary!L14</f>
        <v>3002.88</v>
      </c>
      <c r="M50" s="152">
        <f>Summary!M14</f>
        <v>2120.77</v>
      </c>
      <c r="N50" s="152">
        <f>Summary!N14</f>
        <v>1375.77</v>
      </c>
      <c r="O50" s="152">
        <f>Summary!O14</f>
        <v>1877.19</v>
      </c>
      <c r="P50" s="152">
        <f>Summary!P14</f>
        <v>1399.58</v>
      </c>
      <c r="Q50" s="152">
        <f>Summary!Q14</f>
        <v>1854.66</v>
      </c>
      <c r="R50" s="152">
        <f>Summary!R14</f>
        <v>1538.05</v>
      </c>
      <c r="S50" s="152">
        <f>Summary!S14</f>
        <v>1230.58</v>
      </c>
      <c r="T50" s="152">
        <f>Summary!T14</f>
        <v>1114.83</v>
      </c>
      <c r="U50" s="152">
        <f>Summary!U14</f>
        <v>1166.46</v>
      </c>
      <c r="V50" s="152">
        <f>Summary!V14</f>
        <v>1359.29</v>
      </c>
      <c r="W50" s="152">
        <f>Summary!W14</f>
        <v>2195.66</v>
      </c>
      <c r="X50" s="152">
        <f>Summary!X14</f>
        <v>2008.49</v>
      </c>
      <c r="Y50" s="152">
        <f>Summary!Y14</f>
        <v>2240.09</v>
      </c>
      <c r="Z50" s="152">
        <f>Summary!Z14</f>
        <v>1659.07</v>
      </c>
      <c r="AA50" s="152">
        <f>Summary!AA14</f>
        <v>1266.03</v>
      </c>
      <c r="AB50" s="152">
        <f>Summary!AB14</f>
        <v>1100.92</v>
      </c>
      <c r="AC50" s="152">
        <f>Summary!AC14</f>
        <v>1384.55</v>
      </c>
      <c r="AD50" s="152">
        <f>Summary!AD14</f>
        <v>1050.28</v>
      </c>
      <c r="AE50" s="152">
        <f>Summary!AE14</f>
        <v>1340.89</v>
      </c>
      <c r="AF50" s="152">
        <f>Summary!AF14</f>
        <v>1079.24</v>
      </c>
      <c r="AG50" s="95">
        <f t="shared" si="11"/>
        <v>108421.8</v>
      </c>
    </row>
    <row r="51">
      <c r="A51" s="151" t="s">
        <v>27</v>
      </c>
      <c r="B51" s="152">
        <f>Summary!B15</f>
        <v>31937</v>
      </c>
      <c r="C51" s="152">
        <f>Summary!C15</f>
        <v>7522</v>
      </c>
      <c r="D51" s="152">
        <f>Summary!D15</f>
        <v>6712</v>
      </c>
      <c r="E51" s="152">
        <f>Summary!E15</f>
        <v>6120</v>
      </c>
      <c r="F51" s="152">
        <f>Summary!F15</f>
        <v>4984</v>
      </c>
      <c r="G51" s="152">
        <f>Summary!G15</f>
        <v>4840</v>
      </c>
      <c r="H51" s="152">
        <f>Summary!H15</f>
        <v>4991</v>
      </c>
      <c r="I51" s="152">
        <f>Summary!I15</f>
        <v>4880</v>
      </c>
      <c r="J51" s="152">
        <f>Summary!J15</f>
        <v>6080</v>
      </c>
      <c r="K51" s="152">
        <f>Summary!K15</f>
        <v>5365</v>
      </c>
      <c r="L51" s="152">
        <f>Summary!L15</f>
        <v>4125</v>
      </c>
      <c r="M51" s="152">
        <f>Summary!M15</f>
        <v>2640</v>
      </c>
      <c r="N51" s="152">
        <f>Summary!N15</f>
        <v>1805</v>
      </c>
      <c r="O51" s="152">
        <f>Summary!O15</f>
        <v>2250</v>
      </c>
      <c r="P51" s="152">
        <f>Summary!P15</f>
        <v>1760</v>
      </c>
      <c r="Q51" s="152">
        <f>Summary!Q15</f>
        <v>2460</v>
      </c>
      <c r="R51" s="152">
        <f>Summary!R15</f>
        <v>1940</v>
      </c>
      <c r="S51" s="152">
        <f>Summary!S15</f>
        <v>1875</v>
      </c>
      <c r="T51" s="152">
        <f>Summary!T15</f>
        <v>1430</v>
      </c>
      <c r="U51" s="152">
        <f>Summary!U15</f>
        <v>1572</v>
      </c>
      <c r="V51" s="152">
        <f>Summary!V15</f>
        <v>1582</v>
      </c>
      <c r="W51" s="152">
        <f>Summary!W15</f>
        <v>2630</v>
      </c>
      <c r="X51" s="152">
        <f>Summary!X15</f>
        <v>2225</v>
      </c>
      <c r="Y51" s="152">
        <f>Summary!Y15</f>
        <v>2735</v>
      </c>
      <c r="Z51" s="152">
        <f>Summary!Z15</f>
        <v>2062</v>
      </c>
      <c r="AA51" s="152">
        <f>Summary!AA15</f>
        <v>1507</v>
      </c>
      <c r="AB51" s="152">
        <f>Summary!AB15</f>
        <v>1387</v>
      </c>
      <c r="AC51" s="152">
        <f>Summary!AC15</f>
        <v>1817</v>
      </c>
      <c r="AD51" s="152">
        <f>Summary!AD15</f>
        <v>1300</v>
      </c>
      <c r="AE51" s="152">
        <f>Summary!AE15</f>
        <v>1682</v>
      </c>
      <c r="AF51" s="152">
        <f>Summary!AF15</f>
        <v>1445</v>
      </c>
      <c r="AG51" s="95">
        <f t="shared" si="11"/>
        <v>125660</v>
      </c>
    </row>
    <row r="52">
      <c r="A52" s="153" t="s">
        <v>119</v>
      </c>
      <c r="B52" s="154">
        <f t="shared" ref="B52:AF52" si="12">SUM(B45:B51)</f>
        <v>609995.61</v>
      </c>
      <c r="C52" s="154">
        <f t="shared" si="12"/>
        <v>107937.13</v>
      </c>
      <c r="D52" s="154">
        <f t="shared" si="12"/>
        <v>92285.37</v>
      </c>
      <c r="E52" s="154">
        <f t="shared" si="12"/>
        <v>79668.99</v>
      </c>
      <c r="F52" s="154">
        <f t="shared" si="12"/>
        <v>60001.2</v>
      </c>
      <c r="G52" s="154">
        <f t="shared" si="12"/>
        <v>52648.98</v>
      </c>
      <c r="H52" s="154">
        <f t="shared" si="12"/>
        <v>53600.39</v>
      </c>
      <c r="I52" s="154">
        <f t="shared" si="12"/>
        <v>53298.97</v>
      </c>
      <c r="J52" s="154">
        <f t="shared" si="12"/>
        <v>65507.46</v>
      </c>
      <c r="K52" s="154">
        <f t="shared" si="12"/>
        <v>58345.32</v>
      </c>
      <c r="L52" s="154">
        <f t="shared" si="12"/>
        <v>50106.48</v>
      </c>
      <c r="M52" s="154">
        <f t="shared" si="12"/>
        <v>34630.63</v>
      </c>
      <c r="N52" s="154">
        <f t="shared" si="12"/>
        <v>24539.57</v>
      </c>
      <c r="O52" s="154">
        <f t="shared" si="12"/>
        <v>30839.36</v>
      </c>
      <c r="P52" s="154">
        <f t="shared" si="12"/>
        <v>23481.39</v>
      </c>
      <c r="Q52" s="154">
        <f t="shared" si="12"/>
        <v>31403.37</v>
      </c>
      <c r="R52" s="154">
        <f t="shared" si="12"/>
        <v>24365.3</v>
      </c>
      <c r="S52" s="154">
        <f t="shared" si="12"/>
        <v>22034.68</v>
      </c>
      <c r="T52" s="154">
        <f t="shared" si="12"/>
        <v>18596.67</v>
      </c>
      <c r="U52" s="154">
        <f t="shared" si="12"/>
        <v>19772.38</v>
      </c>
      <c r="V52" s="154">
        <f t="shared" si="12"/>
        <v>21328.09</v>
      </c>
      <c r="W52" s="154">
        <f t="shared" si="12"/>
        <v>37898.11</v>
      </c>
      <c r="X52" s="154">
        <f t="shared" si="12"/>
        <v>30815.28</v>
      </c>
      <c r="Y52" s="154">
        <f t="shared" si="12"/>
        <v>36859.86</v>
      </c>
      <c r="Z52" s="154">
        <f t="shared" si="12"/>
        <v>27394.52</v>
      </c>
      <c r="AA52" s="154">
        <f t="shared" si="12"/>
        <v>19602.23</v>
      </c>
      <c r="AB52" s="154">
        <f t="shared" si="12"/>
        <v>19436.72</v>
      </c>
      <c r="AC52" s="154">
        <f t="shared" si="12"/>
        <v>24112.65</v>
      </c>
      <c r="AD52" s="154">
        <f t="shared" si="12"/>
        <v>17000.55</v>
      </c>
      <c r="AE52" s="154">
        <f t="shared" si="12"/>
        <v>21890.63</v>
      </c>
      <c r="AF52" s="154">
        <f t="shared" si="12"/>
        <v>18471.44</v>
      </c>
      <c r="AG52" s="95">
        <f t="shared" si="11"/>
        <v>1787869.33</v>
      </c>
    </row>
    <row r="53">
      <c r="A53" s="100"/>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140"/>
    </row>
    <row r="54">
      <c r="A54" s="149" t="s">
        <v>122</v>
      </c>
      <c r="B54" s="155"/>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6"/>
    </row>
    <row r="55">
      <c r="A55" s="157" t="s">
        <v>123</v>
      </c>
      <c r="B55" s="158">
        <v>40.0</v>
      </c>
      <c r="C55" s="159">
        <v>37.0</v>
      </c>
      <c r="D55" s="159">
        <v>41.0</v>
      </c>
      <c r="E55" s="159">
        <v>37.0</v>
      </c>
      <c r="F55" s="158">
        <v>28.0</v>
      </c>
      <c r="G55" s="159">
        <v>28.0</v>
      </c>
      <c r="H55" s="159">
        <v>27.0</v>
      </c>
      <c r="I55" s="160">
        <v>23.0</v>
      </c>
      <c r="J55" s="160">
        <v>31.0</v>
      </c>
      <c r="K55" s="160">
        <v>24.0</v>
      </c>
      <c r="L55" s="160">
        <v>22.0</v>
      </c>
      <c r="M55" s="160">
        <v>16.0</v>
      </c>
      <c r="N55" s="160">
        <v>5.0</v>
      </c>
      <c r="O55" s="143">
        <v>11.0</v>
      </c>
      <c r="P55" s="160">
        <v>7.0</v>
      </c>
      <c r="Q55" s="160">
        <v>9.0</v>
      </c>
      <c r="R55" s="160">
        <v>11.0</v>
      </c>
      <c r="S55" s="86">
        <v>14.0</v>
      </c>
      <c r="T55" s="86">
        <v>6.0</v>
      </c>
      <c r="U55" s="86">
        <v>7.0</v>
      </c>
      <c r="V55" s="86">
        <v>6.0</v>
      </c>
      <c r="W55" s="86">
        <v>9.0</v>
      </c>
      <c r="X55" s="86">
        <v>13.0</v>
      </c>
      <c r="Y55" s="86">
        <v>16.0</v>
      </c>
      <c r="Z55" s="161">
        <v>11.0</v>
      </c>
      <c r="AA55" s="86">
        <v>8.0</v>
      </c>
      <c r="AB55" s="86">
        <v>7.0</v>
      </c>
      <c r="AC55" s="161">
        <v>8.0</v>
      </c>
      <c r="AD55" s="161">
        <v>9.0</v>
      </c>
      <c r="AE55" s="161">
        <v>6.0</v>
      </c>
      <c r="AF55" s="161">
        <v>6.0</v>
      </c>
      <c r="AG55" s="156">
        <f t="shared" ref="AG55:AG59" si="13">SUM(B55:AF55)</f>
        <v>523</v>
      </c>
    </row>
    <row r="56">
      <c r="A56" s="157" t="s">
        <v>124</v>
      </c>
      <c r="B56" s="158">
        <v>0.0</v>
      </c>
      <c r="C56" s="159">
        <v>0.0</v>
      </c>
      <c r="D56" s="159">
        <v>0.0</v>
      </c>
      <c r="E56" s="159">
        <v>0.0</v>
      </c>
      <c r="F56" s="158">
        <v>0.0</v>
      </c>
      <c r="G56" s="159">
        <v>0.0</v>
      </c>
      <c r="H56" s="160">
        <v>0.0</v>
      </c>
      <c r="I56" s="160">
        <v>0.0</v>
      </c>
      <c r="J56" s="160">
        <v>0.0</v>
      </c>
      <c r="K56" s="160">
        <v>0.0</v>
      </c>
      <c r="L56" s="160">
        <v>0.0</v>
      </c>
      <c r="M56" s="160">
        <v>0.0</v>
      </c>
      <c r="N56" s="160">
        <v>0.0</v>
      </c>
      <c r="O56" s="143">
        <v>0.0</v>
      </c>
      <c r="P56" s="160">
        <v>0.0</v>
      </c>
      <c r="Q56" s="160">
        <v>0.0</v>
      </c>
      <c r="R56" s="160">
        <v>0.0</v>
      </c>
      <c r="S56" s="86">
        <v>0.0</v>
      </c>
      <c r="T56" s="86">
        <v>0.0</v>
      </c>
      <c r="U56" s="86">
        <v>0.0</v>
      </c>
      <c r="V56" s="86">
        <v>0.0</v>
      </c>
      <c r="W56" s="86">
        <v>0.0</v>
      </c>
      <c r="X56" s="86">
        <v>0.0</v>
      </c>
      <c r="Y56" s="86">
        <v>0.0</v>
      </c>
      <c r="Z56" s="161">
        <v>0.0</v>
      </c>
      <c r="AA56" s="86">
        <v>0.0</v>
      </c>
      <c r="AB56" s="86">
        <v>0.0</v>
      </c>
      <c r="AC56" s="161">
        <v>0.0</v>
      </c>
      <c r="AD56" s="161">
        <v>0.0</v>
      </c>
      <c r="AE56" s="161">
        <v>0.0</v>
      </c>
      <c r="AF56" s="161">
        <v>0.0</v>
      </c>
      <c r="AG56" s="156">
        <f t="shared" si="13"/>
        <v>0</v>
      </c>
    </row>
    <row r="57">
      <c r="A57" s="157" t="s">
        <v>125</v>
      </c>
      <c r="B57" s="159">
        <v>125.0</v>
      </c>
      <c r="C57" s="159">
        <v>99.0</v>
      </c>
      <c r="D57" s="159">
        <v>110.0</v>
      </c>
      <c r="E57" s="159">
        <v>114.0</v>
      </c>
      <c r="F57" s="159">
        <v>108.0</v>
      </c>
      <c r="G57" s="159">
        <v>93.0</v>
      </c>
      <c r="H57" s="159">
        <v>83.0</v>
      </c>
      <c r="I57" s="160">
        <v>81.0</v>
      </c>
      <c r="J57" s="160">
        <v>95.0</v>
      </c>
      <c r="K57" s="160">
        <v>79.0</v>
      </c>
      <c r="L57" s="160">
        <v>51.0</v>
      </c>
      <c r="M57" s="160">
        <v>31.0</v>
      </c>
      <c r="N57" s="160">
        <v>31.0</v>
      </c>
      <c r="O57" s="143">
        <v>31.0</v>
      </c>
      <c r="P57" s="160">
        <v>35.0</v>
      </c>
      <c r="Q57" s="160">
        <v>41.0</v>
      </c>
      <c r="R57" s="160">
        <v>27.0</v>
      </c>
      <c r="S57" s="86">
        <v>24.0</v>
      </c>
      <c r="T57" s="86">
        <v>23.0</v>
      </c>
      <c r="U57" s="86">
        <v>18.0</v>
      </c>
      <c r="V57" s="86">
        <v>32.0</v>
      </c>
      <c r="W57" s="86">
        <v>66.0</v>
      </c>
      <c r="X57" s="86">
        <v>40.0</v>
      </c>
      <c r="Y57" s="86">
        <v>51.0</v>
      </c>
      <c r="Z57" s="162">
        <v>32.0</v>
      </c>
      <c r="AA57" s="86">
        <v>28.0</v>
      </c>
      <c r="AB57" s="86">
        <v>28.0</v>
      </c>
      <c r="AC57" s="86">
        <v>40.0</v>
      </c>
      <c r="AD57" s="86">
        <v>24.0</v>
      </c>
      <c r="AE57" s="86">
        <v>40.0</v>
      </c>
      <c r="AF57" s="86">
        <v>34.0</v>
      </c>
      <c r="AG57" s="156">
        <f t="shared" si="13"/>
        <v>1714</v>
      </c>
    </row>
    <row r="58">
      <c r="A58" s="157" t="s">
        <v>126</v>
      </c>
      <c r="B58" s="158">
        <v>0.0</v>
      </c>
      <c r="C58" s="159">
        <v>0.0</v>
      </c>
      <c r="D58" s="159">
        <v>0.0</v>
      </c>
      <c r="E58" s="159">
        <v>0.0</v>
      </c>
      <c r="F58" s="159">
        <v>0.0</v>
      </c>
      <c r="G58" s="159">
        <v>0.0</v>
      </c>
      <c r="H58" s="159">
        <v>0.0</v>
      </c>
      <c r="I58" s="160">
        <v>0.0</v>
      </c>
      <c r="J58" s="160">
        <v>0.0</v>
      </c>
      <c r="K58" s="160">
        <v>0.0</v>
      </c>
      <c r="L58" s="160">
        <v>0.0</v>
      </c>
      <c r="M58" s="143">
        <v>0.0</v>
      </c>
      <c r="N58" s="160">
        <v>0.0</v>
      </c>
      <c r="O58" s="143">
        <v>0.0</v>
      </c>
      <c r="P58" s="160">
        <v>0.0</v>
      </c>
      <c r="Q58" s="160">
        <v>0.0</v>
      </c>
      <c r="R58" s="160">
        <v>0.0</v>
      </c>
      <c r="S58" s="86">
        <v>0.0</v>
      </c>
      <c r="T58" s="86">
        <v>0.0</v>
      </c>
      <c r="U58" s="86">
        <v>0.0</v>
      </c>
      <c r="V58" s="86">
        <v>0.0</v>
      </c>
      <c r="W58" s="86">
        <v>0.0</v>
      </c>
      <c r="X58" s="86">
        <v>0.0</v>
      </c>
      <c r="Y58" s="86">
        <v>0.0</v>
      </c>
      <c r="Z58" s="162">
        <v>0.0</v>
      </c>
      <c r="AA58" s="86">
        <v>0.0</v>
      </c>
      <c r="AB58" s="86">
        <v>0.0</v>
      </c>
      <c r="AC58" s="86">
        <v>0.0</v>
      </c>
      <c r="AD58" s="86">
        <v>0.0</v>
      </c>
      <c r="AE58" s="86">
        <v>0.0</v>
      </c>
      <c r="AF58" s="86">
        <v>0.0</v>
      </c>
      <c r="AG58" s="156">
        <f t="shared" si="13"/>
        <v>0</v>
      </c>
    </row>
    <row r="59">
      <c r="A59" s="163" t="s">
        <v>127</v>
      </c>
      <c r="B59" s="164">
        <f t="shared" ref="B59:AF59" si="14">SUM(B55:B58)</f>
        <v>165</v>
      </c>
      <c r="C59" s="164">
        <f t="shared" si="14"/>
        <v>136</v>
      </c>
      <c r="D59" s="164">
        <f t="shared" si="14"/>
        <v>151</v>
      </c>
      <c r="E59" s="164">
        <f t="shared" si="14"/>
        <v>151</v>
      </c>
      <c r="F59" s="164">
        <f t="shared" si="14"/>
        <v>136</v>
      </c>
      <c r="G59" s="164">
        <f t="shared" si="14"/>
        <v>121</v>
      </c>
      <c r="H59" s="164">
        <f t="shared" si="14"/>
        <v>110</v>
      </c>
      <c r="I59" s="164">
        <f t="shared" si="14"/>
        <v>104</v>
      </c>
      <c r="J59" s="164">
        <f t="shared" si="14"/>
        <v>126</v>
      </c>
      <c r="K59" s="164">
        <f t="shared" si="14"/>
        <v>103</v>
      </c>
      <c r="L59" s="164">
        <f t="shared" si="14"/>
        <v>73</v>
      </c>
      <c r="M59" s="164">
        <f t="shared" si="14"/>
        <v>47</v>
      </c>
      <c r="N59" s="164">
        <f t="shared" si="14"/>
        <v>36</v>
      </c>
      <c r="O59" s="164">
        <f t="shared" si="14"/>
        <v>42</v>
      </c>
      <c r="P59" s="164">
        <f t="shared" si="14"/>
        <v>42</v>
      </c>
      <c r="Q59" s="164">
        <f t="shared" si="14"/>
        <v>50</v>
      </c>
      <c r="R59" s="164">
        <f t="shared" si="14"/>
        <v>38</v>
      </c>
      <c r="S59" s="164">
        <f t="shared" si="14"/>
        <v>38</v>
      </c>
      <c r="T59" s="164">
        <f t="shared" si="14"/>
        <v>29</v>
      </c>
      <c r="U59" s="164">
        <f t="shared" si="14"/>
        <v>25</v>
      </c>
      <c r="V59" s="164">
        <f t="shared" si="14"/>
        <v>38</v>
      </c>
      <c r="W59" s="164">
        <f t="shared" si="14"/>
        <v>75</v>
      </c>
      <c r="X59" s="164">
        <f t="shared" si="14"/>
        <v>53</v>
      </c>
      <c r="Y59" s="164">
        <f t="shared" si="14"/>
        <v>67</v>
      </c>
      <c r="Z59" s="164">
        <f t="shared" si="14"/>
        <v>43</v>
      </c>
      <c r="AA59" s="164">
        <f t="shared" si="14"/>
        <v>36</v>
      </c>
      <c r="AB59" s="164">
        <f t="shared" si="14"/>
        <v>35</v>
      </c>
      <c r="AC59" s="164">
        <f t="shared" si="14"/>
        <v>48</v>
      </c>
      <c r="AD59" s="164">
        <f t="shared" si="14"/>
        <v>33</v>
      </c>
      <c r="AE59" s="164">
        <f t="shared" si="14"/>
        <v>46</v>
      </c>
      <c r="AF59" s="164">
        <f t="shared" si="14"/>
        <v>40</v>
      </c>
      <c r="AG59" s="156">
        <f t="shared" si="13"/>
        <v>2237</v>
      </c>
    </row>
    <row r="60">
      <c r="A60" s="107"/>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56"/>
    </row>
    <row r="61">
      <c r="A61" s="157" t="s">
        <v>128</v>
      </c>
      <c r="B61" s="165">
        <v>502.0</v>
      </c>
      <c r="C61" s="165">
        <v>56.0</v>
      </c>
      <c r="D61" s="165">
        <v>36.0</v>
      </c>
      <c r="E61" s="165">
        <v>29.0</v>
      </c>
      <c r="F61" s="165">
        <v>19.0</v>
      </c>
      <c r="G61" s="165">
        <v>10.0</v>
      </c>
      <c r="H61" s="165">
        <v>23.0</v>
      </c>
      <c r="I61" s="165">
        <v>32.0</v>
      </c>
      <c r="J61" s="86">
        <v>17.0</v>
      </c>
      <c r="K61" s="86">
        <v>22.0</v>
      </c>
      <c r="L61" s="86">
        <v>26.0</v>
      </c>
      <c r="M61" s="86">
        <v>10.0</v>
      </c>
      <c r="N61" s="86">
        <v>11.0</v>
      </c>
      <c r="O61" s="86">
        <v>8.0</v>
      </c>
      <c r="P61" s="86">
        <v>6.0</v>
      </c>
      <c r="Q61" s="86">
        <v>6.0</v>
      </c>
      <c r="R61" s="86">
        <v>7.0</v>
      </c>
      <c r="S61" s="86">
        <v>5.0</v>
      </c>
      <c r="T61" s="86">
        <v>6.0</v>
      </c>
      <c r="U61" s="86">
        <v>10.0</v>
      </c>
      <c r="V61" s="86">
        <v>3.0</v>
      </c>
      <c r="W61" s="86">
        <v>6.0</v>
      </c>
      <c r="X61" s="86">
        <v>9.0</v>
      </c>
      <c r="Y61" s="86">
        <v>5.0</v>
      </c>
      <c r="Z61" s="86">
        <v>8.0</v>
      </c>
      <c r="AA61" s="86">
        <v>4.0</v>
      </c>
      <c r="AB61" s="86">
        <v>2.0</v>
      </c>
      <c r="AC61" s="86">
        <v>3.0</v>
      </c>
      <c r="AD61" s="166">
        <v>5.0</v>
      </c>
      <c r="AE61" s="166">
        <v>2.0</v>
      </c>
      <c r="AF61" s="166">
        <v>1.0</v>
      </c>
      <c r="AG61" s="156">
        <f t="shared" ref="AG61:AG63" si="15">SUM(B61:AF61)</f>
        <v>889</v>
      </c>
    </row>
    <row r="62">
      <c r="A62" s="157" t="s">
        <v>129</v>
      </c>
      <c r="B62" s="165">
        <v>1275.0</v>
      </c>
      <c r="C62" s="165">
        <v>163.0</v>
      </c>
      <c r="D62" s="165">
        <v>127.0</v>
      </c>
      <c r="E62" s="165">
        <v>94.0</v>
      </c>
      <c r="F62" s="165">
        <v>55.0</v>
      </c>
      <c r="G62" s="165">
        <v>49.0</v>
      </c>
      <c r="H62" s="165">
        <v>51.0</v>
      </c>
      <c r="I62" s="165">
        <v>50.0</v>
      </c>
      <c r="J62" s="86">
        <v>78.0</v>
      </c>
      <c r="K62" s="86">
        <v>67.0</v>
      </c>
      <c r="L62" s="86">
        <v>48.0</v>
      </c>
      <c r="M62" s="86">
        <v>31.0</v>
      </c>
      <c r="N62" s="86">
        <v>20.0</v>
      </c>
      <c r="O62" s="86">
        <v>33.0</v>
      </c>
      <c r="P62" s="86">
        <v>16.0</v>
      </c>
      <c r="Q62" s="86">
        <v>25.0</v>
      </c>
      <c r="R62" s="86">
        <v>19.0</v>
      </c>
      <c r="S62" s="86">
        <v>13.0</v>
      </c>
      <c r="T62" s="86">
        <v>14.0</v>
      </c>
      <c r="U62" s="86">
        <v>19.0</v>
      </c>
      <c r="V62" s="86">
        <v>14.0</v>
      </c>
      <c r="W62" s="86">
        <v>22.0</v>
      </c>
      <c r="X62" s="86">
        <v>18.0</v>
      </c>
      <c r="Y62" s="86">
        <v>23.0</v>
      </c>
      <c r="Z62" s="86">
        <v>18.0</v>
      </c>
      <c r="AA62" s="86">
        <v>11.0</v>
      </c>
      <c r="AB62" s="86">
        <v>12.0</v>
      </c>
      <c r="AC62" s="86">
        <v>10.0</v>
      </c>
      <c r="AD62" s="166">
        <v>6.0</v>
      </c>
      <c r="AE62" s="166">
        <v>7.0</v>
      </c>
      <c r="AF62" s="166">
        <v>6.0</v>
      </c>
      <c r="AG62" s="156">
        <f t="shared" si="15"/>
        <v>2394</v>
      </c>
    </row>
    <row r="63">
      <c r="A63" s="163" t="s">
        <v>130</v>
      </c>
      <c r="B63" s="164">
        <f t="shared" ref="B63:AF63" si="16">SUM(B61:B62)</f>
        <v>1777</v>
      </c>
      <c r="C63" s="164">
        <f t="shared" si="16"/>
        <v>219</v>
      </c>
      <c r="D63" s="164">
        <f t="shared" si="16"/>
        <v>163</v>
      </c>
      <c r="E63" s="164">
        <f t="shared" si="16"/>
        <v>123</v>
      </c>
      <c r="F63" s="164">
        <f t="shared" si="16"/>
        <v>74</v>
      </c>
      <c r="G63" s="164">
        <f t="shared" si="16"/>
        <v>59</v>
      </c>
      <c r="H63" s="164">
        <f t="shared" si="16"/>
        <v>74</v>
      </c>
      <c r="I63" s="164">
        <f t="shared" si="16"/>
        <v>82</v>
      </c>
      <c r="J63" s="164">
        <f t="shared" si="16"/>
        <v>95</v>
      </c>
      <c r="K63" s="164">
        <f t="shared" si="16"/>
        <v>89</v>
      </c>
      <c r="L63" s="164">
        <f t="shared" si="16"/>
        <v>74</v>
      </c>
      <c r="M63" s="164">
        <f t="shared" si="16"/>
        <v>41</v>
      </c>
      <c r="N63" s="164">
        <f t="shared" si="16"/>
        <v>31</v>
      </c>
      <c r="O63" s="164">
        <f t="shared" si="16"/>
        <v>41</v>
      </c>
      <c r="P63" s="164">
        <f t="shared" si="16"/>
        <v>22</v>
      </c>
      <c r="Q63" s="164">
        <f t="shared" si="16"/>
        <v>31</v>
      </c>
      <c r="R63" s="164">
        <f t="shared" si="16"/>
        <v>26</v>
      </c>
      <c r="S63" s="164">
        <f t="shared" si="16"/>
        <v>18</v>
      </c>
      <c r="T63" s="164">
        <f t="shared" si="16"/>
        <v>20</v>
      </c>
      <c r="U63" s="164">
        <f t="shared" si="16"/>
        <v>29</v>
      </c>
      <c r="V63" s="164">
        <f t="shared" si="16"/>
        <v>17</v>
      </c>
      <c r="W63" s="164">
        <f t="shared" si="16"/>
        <v>28</v>
      </c>
      <c r="X63" s="164">
        <f t="shared" si="16"/>
        <v>27</v>
      </c>
      <c r="Y63" s="164">
        <f t="shared" si="16"/>
        <v>28</v>
      </c>
      <c r="Z63" s="164">
        <f t="shared" si="16"/>
        <v>26</v>
      </c>
      <c r="AA63" s="164">
        <f t="shared" si="16"/>
        <v>15</v>
      </c>
      <c r="AB63" s="164">
        <f t="shared" si="16"/>
        <v>14</v>
      </c>
      <c r="AC63" s="164">
        <f t="shared" si="16"/>
        <v>13</v>
      </c>
      <c r="AD63" s="164">
        <f t="shared" si="16"/>
        <v>11</v>
      </c>
      <c r="AE63" s="164">
        <f t="shared" si="16"/>
        <v>9</v>
      </c>
      <c r="AF63" s="164">
        <f t="shared" si="16"/>
        <v>7</v>
      </c>
      <c r="AG63" s="156">
        <f t="shared" si="15"/>
        <v>3283</v>
      </c>
    </row>
    <row r="64">
      <c r="A64" s="100"/>
      <c r="B64" s="167"/>
      <c r="C64" s="167"/>
      <c r="D64" s="167"/>
      <c r="E64" s="167"/>
      <c r="F64" s="167"/>
      <c r="G64" s="167"/>
      <c r="H64" s="167"/>
      <c r="I64" s="167"/>
      <c r="J64" s="85"/>
      <c r="K64" s="85"/>
      <c r="L64" s="85"/>
      <c r="M64" s="85"/>
      <c r="N64" s="85"/>
      <c r="O64" s="85"/>
      <c r="P64" s="85"/>
      <c r="Q64" s="85"/>
      <c r="R64" s="85"/>
      <c r="S64" s="85"/>
      <c r="T64" s="85"/>
      <c r="U64" s="85"/>
      <c r="V64" s="85"/>
      <c r="W64" s="85"/>
      <c r="X64" s="85"/>
      <c r="Y64" s="85"/>
      <c r="Z64" s="85"/>
      <c r="AA64" s="85"/>
      <c r="AB64" s="85"/>
      <c r="AC64" s="85"/>
      <c r="AD64" s="85"/>
      <c r="AE64" s="85"/>
      <c r="AF64" s="85"/>
      <c r="AG64" s="168"/>
    </row>
    <row r="65">
      <c r="A65" s="157" t="s">
        <v>131</v>
      </c>
      <c r="B65" s="159">
        <v>173.0</v>
      </c>
      <c r="C65" s="159">
        <v>123.0</v>
      </c>
      <c r="D65" s="159">
        <v>143.0</v>
      </c>
      <c r="E65" s="159">
        <v>126.0</v>
      </c>
      <c r="F65" s="159">
        <v>106.0</v>
      </c>
      <c r="G65" s="159">
        <v>107.0</v>
      </c>
      <c r="H65" s="159">
        <v>89.0</v>
      </c>
      <c r="I65" s="160">
        <v>80.0</v>
      </c>
      <c r="J65" s="160">
        <v>99.0</v>
      </c>
      <c r="K65" s="160">
        <v>101.0</v>
      </c>
      <c r="L65" s="160">
        <v>43.0</v>
      </c>
      <c r="M65" s="160">
        <v>16.0</v>
      </c>
      <c r="N65" s="160">
        <v>13.0</v>
      </c>
      <c r="O65" s="160">
        <v>13.0</v>
      </c>
      <c r="P65" s="160">
        <v>9.0</v>
      </c>
      <c r="Q65" s="160">
        <v>15.0</v>
      </c>
      <c r="R65" s="160">
        <v>16.0</v>
      </c>
      <c r="S65" s="86">
        <v>17.0</v>
      </c>
      <c r="T65" s="86">
        <v>7.0</v>
      </c>
      <c r="U65" s="86">
        <v>6.0</v>
      </c>
      <c r="V65" s="86">
        <v>11.0</v>
      </c>
      <c r="W65" s="86">
        <v>41.0</v>
      </c>
      <c r="X65" s="86">
        <v>21.0</v>
      </c>
      <c r="Y65" s="86">
        <v>20.0</v>
      </c>
      <c r="Z65" s="169">
        <v>18.0</v>
      </c>
      <c r="AA65" s="86">
        <v>9.0</v>
      </c>
      <c r="AB65" s="86">
        <v>15.0</v>
      </c>
      <c r="AC65" s="169">
        <v>14.0</v>
      </c>
      <c r="AD65" s="169">
        <v>15.0</v>
      </c>
      <c r="AE65" s="169">
        <v>14.0</v>
      </c>
      <c r="AF65" s="169">
        <v>10.0</v>
      </c>
      <c r="AG65" s="156">
        <f t="shared" ref="AG65:AG75" si="17">SUM(B65:AF65)</f>
        <v>1490</v>
      </c>
    </row>
    <row r="66">
      <c r="A66" s="157" t="s">
        <v>132</v>
      </c>
      <c r="B66" s="159">
        <v>40.0</v>
      </c>
      <c r="C66" s="159">
        <v>31.0</v>
      </c>
      <c r="D66" s="159">
        <v>24.0</v>
      </c>
      <c r="E66" s="159">
        <v>28.0</v>
      </c>
      <c r="F66" s="159">
        <v>22.0</v>
      </c>
      <c r="G66" s="159">
        <v>22.0</v>
      </c>
      <c r="H66" s="159">
        <v>20.0</v>
      </c>
      <c r="I66" s="160">
        <v>27.0</v>
      </c>
      <c r="J66" s="160">
        <v>26.0</v>
      </c>
      <c r="K66" s="160">
        <v>30.0</v>
      </c>
      <c r="L66" s="160">
        <v>15.0</v>
      </c>
      <c r="M66" s="160">
        <v>11.0</v>
      </c>
      <c r="N66" s="159">
        <v>4.0</v>
      </c>
      <c r="O66" s="160">
        <v>8.0</v>
      </c>
      <c r="P66" s="159">
        <v>5.0</v>
      </c>
      <c r="Q66" s="160">
        <v>12.0</v>
      </c>
      <c r="R66" s="160">
        <v>8.0</v>
      </c>
      <c r="S66" s="86">
        <v>14.0</v>
      </c>
      <c r="T66" s="86">
        <v>11.0</v>
      </c>
      <c r="U66" s="86">
        <v>11.0</v>
      </c>
      <c r="V66" s="86">
        <v>9.0</v>
      </c>
      <c r="W66" s="86">
        <v>13.0</v>
      </c>
      <c r="X66" s="86">
        <v>12.0</v>
      </c>
      <c r="Y66" s="86">
        <v>13.0</v>
      </c>
      <c r="Z66" s="161">
        <v>11.0</v>
      </c>
      <c r="AA66" s="166">
        <v>11.0</v>
      </c>
      <c r="AB66" s="86">
        <v>9.0</v>
      </c>
      <c r="AC66" s="166">
        <v>8.0</v>
      </c>
      <c r="AD66" s="166">
        <v>9.0</v>
      </c>
      <c r="AE66" s="166">
        <v>9.0</v>
      </c>
      <c r="AF66" s="166">
        <v>8.0</v>
      </c>
      <c r="AG66" s="156">
        <f t="shared" si="17"/>
        <v>481</v>
      </c>
    </row>
    <row r="67">
      <c r="A67" s="157" t="s">
        <v>133</v>
      </c>
      <c r="B67" s="159">
        <v>45.0</v>
      </c>
      <c r="C67" s="159">
        <v>26.0</v>
      </c>
      <c r="D67" s="159">
        <v>27.0</v>
      </c>
      <c r="E67" s="159">
        <v>22.0</v>
      </c>
      <c r="F67" s="159">
        <v>20.0</v>
      </c>
      <c r="G67" s="159">
        <v>20.0</v>
      </c>
      <c r="H67" s="159">
        <v>21.0</v>
      </c>
      <c r="I67" s="159">
        <v>22.0</v>
      </c>
      <c r="J67" s="159">
        <v>26.0</v>
      </c>
      <c r="K67" s="159">
        <v>25.0</v>
      </c>
      <c r="L67" s="159">
        <v>18.0</v>
      </c>
      <c r="M67" s="159">
        <v>10.0</v>
      </c>
      <c r="N67" s="159">
        <v>2.0</v>
      </c>
      <c r="O67" s="159">
        <v>8.0</v>
      </c>
      <c r="P67" s="159">
        <v>7.0</v>
      </c>
      <c r="Q67" s="159">
        <v>10.0</v>
      </c>
      <c r="R67" s="159">
        <v>7.0</v>
      </c>
      <c r="S67" s="159">
        <v>8.0</v>
      </c>
      <c r="T67" s="159">
        <v>5.0</v>
      </c>
      <c r="U67" s="159">
        <v>3.0</v>
      </c>
      <c r="V67" s="159">
        <v>5.0</v>
      </c>
      <c r="W67" s="159">
        <v>13.0</v>
      </c>
      <c r="X67" s="159">
        <v>10.0</v>
      </c>
      <c r="Y67" s="159">
        <v>14.0</v>
      </c>
      <c r="Z67" s="170">
        <v>5.0</v>
      </c>
      <c r="AA67" s="159">
        <v>6.0</v>
      </c>
      <c r="AB67" s="159">
        <v>7.0</v>
      </c>
      <c r="AC67" s="170">
        <v>9.0</v>
      </c>
      <c r="AD67" s="170">
        <v>9.0</v>
      </c>
      <c r="AE67" s="170">
        <v>11.0</v>
      </c>
      <c r="AF67" s="170">
        <v>4.0</v>
      </c>
      <c r="AG67" s="156">
        <f t="shared" si="17"/>
        <v>425</v>
      </c>
    </row>
    <row r="68">
      <c r="A68" s="157" t="s">
        <v>134</v>
      </c>
      <c r="B68" s="158">
        <v>2.0</v>
      </c>
      <c r="C68" s="159">
        <v>1.0</v>
      </c>
      <c r="D68" s="159">
        <v>0.0</v>
      </c>
      <c r="E68" s="159">
        <v>1.0</v>
      </c>
      <c r="F68" s="159">
        <v>0.0</v>
      </c>
      <c r="G68" s="159">
        <v>1.0</v>
      </c>
      <c r="H68" s="159">
        <v>4.0</v>
      </c>
      <c r="I68" s="160">
        <v>1.0</v>
      </c>
      <c r="J68" s="160">
        <v>3.0</v>
      </c>
      <c r="K68" s="160">
        <v>1.0</v>
      </c>
      <c r="L68" s="160">
        <v>0.0</v>
      </c>
      <c r="M68" s="160">
        <v>1.0</v>
      </c>
      <c r="N68" s="160">
        <v>0.0</v>
      </c>
      <c r="O68" s="143">
        <v>4.0</v>
      </c>
      <c r="P68" s="160">
        <v>4.0</v>
      </c>
      <c r="Q68" s="160">
        <v>3.0</v>
      </c>
      <c r="R68" s="160">
        <v>2.0</v>
      </c>
      <c r="S68" s="86">
        <v>0.0</v>
      </c>
      <c r="T68" s="165">
        <v>1.0</v>
      </c>
      <c r="U68" s="159">
        <v>0.0</v>
      </c>
      <c r="V68" s="159">
        <v>2.0</v>
      </c>
      <c r="W68" s="159">
        <v>0.0</v>
      </c>
      <c r="X68" s="159">
        <v>1.0</v>
      </c>
      <c r="Y68" s="159">
        <v>0.0</v>
      </c>
      <c r="Z68" s="170">
        <v>1.0</v>
      </c>
      <c r="AA68" s="159">
        <v>0.0</v>
      </c>
      <c r="AB68" s="159">
        <v>1.0</v>
      </c>
      <c r="AC68" s="170">
        <v>3.0</v>
      </c>
      <c r="AD68" s="170">
        <v>0.0</v>
      </c>
      <c r="AE68" s="170">
        <v>1.0</v>
      </c>
      <c r="AF68" s="170">
        <v>1.0</v>
      </c>
      <c r="AG68" s="156">
        <f t="shared" si="17"/>
        <v>39</v>
      </c>
    </row>
    <row r="69">
      <c r="A69" s="157" t="s">
        <v>135</v>
      </c>
      <c r="B69" s="159">
        <v>24.0</v>
      </c>
      <c r="C69" s="159">
        <v>14.0</v>
      </c>
      <c r="D69" s="159">
        <v>15.0</v>
      </c>
      <c r="E69" s="159">
        <v>14.0</v>
      </c>
      <c r="F69" s="159">
        <v>14.0</v>
      </c>
      <c r="G69" s="159">
        <v>12.0</v>
      </c>
      <c r="H69" s="159">
        <v>13.0</v>
      </c>
      <c r="I69" s="159">
        <v>8.0</v>
      </c>
      <c r="J69" s="159">
        <v>19.0</v>
      </c>
      <c r="K69" s="159">
        <v>12.0</v>
      </c>
      <c r="L69" s="159">
        <v>13.0</v>
      </c>
      <c r="M69" s="159">
        <v>8.0</v>
      </c>
      <c r="N69" s="159">
        <v>10.0</v>
      </c>
      <c r="O69" s="159">
        <v>3.0</v>
      </c>
      <c r="P69" s="159">
        <v>7.0</v>
      </c>
      <c r="Q69" s="159">
        <v>7.0</v>
      </c>
      <c r="R69" s="159">
        <v>2.0</v>
      </c>
      <c r="S69" s="159">
        <v>6.0</v>
      </c>
      <c r="T69" s="159">
        <v>4.0</v>
      </c>
      <c r="U69" s="159">
        <v>5.0</v>
      </c>
      <c r="V69" s="159">
        <v>3.0</v>
      </c>
      <c r="W69" s="159">
        <v>6.0</v>
      </c>
      <c r="X69" s="159">
        <v>11.0</v>
      </c>
      <c r="Y69" s="159">
        <v>5.0</v>
      </c>
      <c r="Z69" s="159">
        <v>7.0</v>
      </c>
      <c r="AA69" s="86">
        <v>5.0</v>
      </c>
      <c r="AB69" s="159">
        <v>10.0</v>
      </c>
      <c r="AC69" s="170">
        <v>7.0</v>
      </c>
      <c r="AD69" s="170">
        <v>4.0</v>
      </c>
      <c r="AE69" s="170">
        <v>5.0</v>
      </c>
      <c r="AF69" s="170">
        <v>7.0</v>
      </c>
      <c r="AG69" s="156">
        <f t="shared" si="17"/>
        <v>280</v>
      </c>
    </row>
    <row r="70">
      <c r="A70" s="157" t="s">
        <v>136</v>
      </c>
      <c r="B70" s="158">
        <v>8.0</v>
      </c>
      <c r="C70" s="159">
        <v>6.0</v>
      </c>
      <c r="D70" s="159">
        <v>3.0</v>
      </c>
      <c r="E70" s="159">
        <v>6.0</v>
      </c>
      <c r="F70" s="159">
        <v>4.0</v>
      </c>
      <c r="G70" s="159">
        <v>4.0</v>
      </c>
      <c r="H70" s="159">
        <v>0.0</v>
      </c>
      <c r="I70" s="160">
        <v>0.0</v>
      </c>
      <c r="J70" s="160">
        <v>4.0</v>
      </c>
      <c r="K70" s="160">
        <v>4.0</v>
      </c>
      <c r="L70" s="160">
        <v>2.0</v>
      </c>
      <c r="M70" s="160">
        <v>4.0</v>
      </c>
      <c r="N70" s="160">
        <v>0.0</v>
      </c>
      <c r="O70" s="143">
        <v>1.0</v>
      </c>
      <c r="P70" s="160">
        <v>2.0</v>
      </c>
      <c r="Q70" s="160">
        <v>5.0</v>
      </c>
      <c r="R70" s="160">
        <v>0.0</v>
      </c>
      <c r="S70" s="86">
        <v>2.0</v>
      </c>
      <c r="T70" s="165">
        <v>2.0</v>
      </c>
      <c r="U70" s="159">
        <v>1.0</v>
      </c>
      <c r="V70" s="159">
        <v>0.0</v>
      </c>
      <c r="W70" s="159">
        <v>2.0</v>
      </c>
      <c r="X70" s="159">
        <v>3.0</v>
      </c>
      <c r="Y70" s="159">
        <v>0.0</v>
      </c>
      <c r="Z70" s="159">
        <v>1.0</v>
      </c>
      <c r="AA70" s="86">
        <v>0.0</v>
      </c>
      <c r="AB70" s="159">
        <v>1.0</v>
      </c>
      <c r="AC70" s="170">
        <v>3.0</v>
      </c>
      <c r="AD70" s="170">
        <v>1.0</v>
      </c>
      <c r="AE70" s="170">
        <v>1.0</v>
      </c>
      <c r="AF70" s="170">
        <v>0.0</v>
      </c>
      <c r="AG70" s="156">
        <f t="shared" si="17"/>
        <v>70</v>
      </c>
    </row>
    <row r="71">
      <c r="A71" s="157" t="s">
        <v>137</v>
      </c>
      <c r="B71" s="159">
        <v>114.0</v>
      </c>
      <c r="C71" s="159">
        <v>82.0</v>
      </c>
      <c r="D71" s="159">
        <v>67.0</v>
      </c>
      <c r="E71" s="159">
        <v>64.0</v>
      </c>
      <c r="F71" s="159">
        <v>52.0</v>
      </c>
      <c r="G71" s="159">
        <v>54.0</v>
      </c>
      <c r="H71" s="159">
        <v>51.0</v>
      </c>
      <c r="I71" s="159">
        <v>43.0</v>
      </c>
      <c r="J71" s="159">
        <v>66.0</v>
      </c>
      <c r="K71" s="159">
        <v>58.0</v>
      </c>
      <c r="L71" s="159">
        <v>43.0</v>
      </c>
      <c r="M71" s="159">
        <v>26.0</v>
      </c>
      <c r="N71" s="159">
        <v>14.0</v>
      </c>
      <c r="O71" s="159">
        <v>22.0</v>
      </c>
      <c r="P71" s="159">
        <v>20.0</v>
      </c>
      <c r="Q71" s="159">
        <v>27.0</v>
      </c>
      <c r="R71" s="159">
        <v>25.0</v>
      </c>
      <c r="S71" s="159">
        <v>17.0</v>
      </c>
      <c r="T71" s="159">
        <v>19.0</v>
      </c>
      <c r="U71" s="159">
        <v>14.0</v>
      </c>
      <c r="V71" s="159">
        <v>23.0</v>
      </c>
      <c r="W71" s="159">
        <v>22.0</v>
      </c>
      <c r="X71" s="159">
        <v>22.0</v>
      </c>
      <c r="Y71" s="159">
        <v>36.0</v>
      </c>
      <c r="Z71" s="159">
        <v>28.0</v>
      </c>
      <c r="AA71" s="86">
        <v>21.0</v>
      </c>
      <c r="AB71" s="159">
        <v>19.0</v>
      </c>
      <c r="AC71" s="170">
        <v>22.0</v>
      </c>
      <c r="AD71" s="170">
        <v>18.0</v>
      </c>
      <c r="AE71" s="170">
        <v>22.0</v>
      </c>
      <c r="AF71" s="170">
        <v>13.0</v>
      </c>
      <c r="AG71" s="156">
        <f t="shared" si="17"/>
        <v>1124</v>
      </c>
    </row>
    <row r="72">
      <c r="A72" s="157" t="s">
        <v>138</v>
      </c>
      <c r="B72" s="159">
        <v>17.0</v>
      </c>
      <c r="C72" s="159">
        <v>13.0</v>
      </c>
      <c r="D72" s="159">
        <v>6.0</v>
      </c>
      <c r="E72" s="159">
        <v>7.0</v>
      </c>
      <c r="F72" s="159">
        <v>4.0</v>
      </c>
      <c r="G72" s="159">
        <v>6.0</v>
      </c>
      <c r="H72" s="159">
        <v>3.0</v>
      </c>
      <c r="I72" s="159">
        <v>2.0</v>
      </c>
      <c r="J72" s="159">
        <v>10.0</v>
      </c>
      <c r="K72" s="159">
        <v>4.0</v>
      </c>
      <c r="L72" s="159">
        <v>3.0</v>
      </c>
      <c r="M72" s="159">
        <v>5.0</v>
      </c>
      <c r="N72" s="159">
        <v>2.0</v>
      </c>
      <c r="O72" s="159">
        <v>5.0</v>
      </c>
      <c r="P72" s="159">
        <v>4.0</v>
      </c>
      <c r="Q72" s="159">
        <v>10.0</v>
      </c>
      <c r="R72" s="159">
        <v>3.0</v>
      </c>
      <c r="S72" s="86">
        <v>4.0</v>
      </c>
      <c r="T72" s="86">
        <v>2.0</v>
      </c>
      <c r="U72" s="159">
        <v>6.0</v>
      </c>
      <c r="V72" s="159">
        <v>2.0</v>
      </c>
      <c r="W72" s="159">
        <v>1.0</v>
      </c>
      <c r="X72" s="159">
        <v>5.0</v>
      </c>
      <c r="Y72" s="159">
        <v>3.0</v>
      </c>
      <c r="Z72" s="159">
        <v>2.0</v>
      </c>
      <c r="AA72" s="86">
        <v>1.0</v>
      </c>
      <c r="AB72" s="159">
        <v>0.0</v>
      </c>
      <c r="AC72" s="170">
        <v>6.0</v>
      </c>
      <c r="AD72" s="170">
        <v>2.0</v>
      </c>
      <c r="AE72" s="170">
        <v>4.0</v>
      </c>
      <c r="AF72" s="170">
        <v>5.0</v>
      </c>
      <c r="AG72" s="156">
        <f t="shared" si="17"/>
        <v>147</v>
      </c>
    </row>
    <row r="73">
      <c r="A73" s="157" t="s">
        <v>139</v>
      </c>
      <c r="B73" s="171"/>
      <c r="C73" s="171"/>
      <c r="D73" s="171"/>
      <c r="E73" s="171"/>
      <c r="F73" s="171"/>
      <c r="G73" s="171"/>
      <c r="H73" s="171"/>
      <c r="I73" s="171"/>
      <c r="J73" s="171"/>
      <c r="K73" s="171"/>
      <c r="L73" s="171"/>
      <c r="M73" s="171"/>
      <c r="N73" s="159">
        <v>3.0</v>
      </c>
      <c r="O73" s="159">
        <v>3.0</v>
      </c>
      <c r="P73" s="159">
        <v>6.0</v>
      </c>
      <c r="Q73" s="159">
        <v>3.0</v>
      </c>
      <c r="R73" s="159">
        <v>2.0</v>
      </c>
      <c r="S73" s="159">
        <v>0.0</v>
      </c>
      <c r="T73" s="159">
        <v>2.0</v>
      </c>
      <c r="U73" s="159">
        <v>3.0</v>
      </c>
      <c r="V73" s="159">
        <v>0.0</v>
      </c>
      <c r="W73" s="159">
        <v>5.0</v>
      </c>
      <c r="X73" s="159">
        <v>3.0</v>
      </c>
      <c r="Y73" s="159">
        <v>2.0</v>
      </c>
      <c r="Z73" s="159">
        <v>0.0</v>
      </c>
      <c r="AA73" s="159">
        <v>0.0</v>
      </c>
      <c r="AB73" s="86">
        <v>1.0</v>
      </c>
      <c r="AC73" s="159">
        <v>1.0</v>
      </c>
      <c r="AD73" s="159">
        <v>0.0</v>
      </c>
      <c r="AE73" s="159">
        <v>0.0</v>
      </c>
      <c r="AF73" s="159">
        <v>0.0</v>
      </c>
      <c r="AG73" s="156">
        <f t="shared" si="17"/>
        <v>34</v>
      </c>
    </row>
    <row r="74">
      <c r="A74" s="157" t="s">
        <v>140</v>
      </c>
      <c r="B74" s="159">
        <v>29.0</v>
      </c>
      <c r="C74" s="159">
        <v>9.0</v>
      </c>
      <c r="D74" s="159">
        <v>1.0</v>
      </c>
      <c r="E74" s="159">
        <v>4.0</v>
      </c>
      <c r="F74" s="159">
        <v>2.0</v>
      </c>
      <c r="G74" s="159">
        <v>2.0</v>
      </c>
      <c r="H74" s="159">
        <v>0.0</v>
      </c>
      <c r="I74" s="159">
        <v>0.0</v>
      </c>
      <c r="J74" s="159">
        <v>3.0</v>
      </c>
      <c r="K74" s="159">
        <v>7.0</v>
      </c>
      <c r="L74" s="159">
        <v>1.0</v>
      </c>
      <c r="M74" s="159">
        <v>2.0</v>
      </c>
      <c r="N74" s="159">
        <v>2.0</v>
      </c>
      <c r="O74" s="159">
        <v>3.0</v>
      </c>
      <c r="P74" s="159">
        <v>2.0</v>
      </c>
      <c r="Q74" s="159">
        <v>2.0</v>
      </c>
      <c r="R74" s="159">
        <v>2.0</v>
      </c>
      <c r="S74" s="159">
        <v>2.0</v>
      </c>
      <c r="T74" s="159">
        <v>0.0</v>
      </c>
      <c r="U74" s="159">
        <v>1.0</v>
      </c>
      <c r="V74" s="159">
        <v>0.0</v>
      </c>
      <c r="W74" s="159">
        <v>2.0</v>
      </c>
      <c r="X74" s="159">
        <v>1.0</v>
      </c>
      <c r="Y74" s="159">
        <v>2.0</v>
      </c>
      <c r="Z74" s="159">
        <v>1.0</v>
      </c>
      <c r="AA74" s="159">
        <v>0.0</v>
      </c>
      <c r="AB74" s="86">
        <v>1.0</v>
      </c>
      <c r="AC74" s="159">
        <v>0.0</v>
      </c>
      <c r="AD74" s="159">
        <v>0.0</v>
      </c>
      <c r="AE74" s="159">
        <v>0.0</v>
      </c>
      <c r="AF74" s="159">
        <v>0.0</v>
      </c>
      <c r="AG74" s="156">
        <f t="shared" si="17"/>
        <v>81</v>
      </c>
    </row>
    <row r="75">
      <c r="A75" s="163" t="s">
        <v>141</v>
      </c>
      <c r="B75" s="164">
        <f t="shared" ref="B75:AF75" si="18">SUM(B65:B74)</f>
        <v>452</v>
      </c>
      <c r="C75" s="164">
        <f t="shared" si="18"/>
        <v>305</v>
      </c>
      <c r="D75" s="164">
        <f t="shared" si="18"/>
        <v>286</v>
      </c>
      <c r="E75" s="164">
        <f t="shared" si="18"/>
        <v>272</v>
      </c>
      <c r="F75" s="164">
        <f t="shared" si="18"/>
        <v>224</v>
      </c>
      <c r="G75" s="164">
        <f t="shared" si="18"/>
        <v>228</v>
      </c>
      <c r="H75" s="164">
        <f t="shared" si="18"/>
        <v>201</v>
      </c>
      <c r="I75" s="164">
        <f t="shared" si="18"/>
        <v>183</v>
      </c>
      <c r="J75" s="164">
        <f t="shared" si="18"/>
        <v>256</v>
      </c>
      <c r="K75" s="164">
        <f t="shared" si="18"/>
        <v>242</v>
      </c>
      <c r="L75" s="164">
        <f t="shared" si="18"/>
        <v>138</v>
      </c>
      <c r="M75" s="164">
        <f t="shared" si="18"/>
        <v>83</v>
      </c>
      <c r="N75" s="164">
        <f t="shared" si="18"/>
        <v>50</v>
      </c>
      <c r="O75" s="164">
        <f t="shared" si="18"/>
        <v>70</v>
      </c>
      <c r="P75" s="164">
        <f t="shared" si="18"/>
        <v>66</v>
      </c>
      <c r="Q75" s="164">
        <f t="shared" si="18"/>
        <v>94</v>
      </c>
      <c r="R75" s="164">
        <f t="shared" si="18"/>
        <v>67</v>
      </c>
      <c r="S75" s="164">
        <f t="shared" si="18"/>
        <v>70</v>
      </c>
      <c r="T75" s="164">
        <f t="shared" si="18"/>
        <v>53</v>
      </c>
      <c r="U75" s="164">
        <f t="shared" si="18"/>
        <v>50</v>
      </c>
      <c r="V75" s="164">
        <f t="shared" si="18"/>
        <v>55</v>
      </c>
      <c r="W75" s="164">
        <f t="shared" si="18"/>
        <v>105</v>
      </c>
      <c r="X75" s="164">
        <f t="shared" si="18"/>
        <v>89</v>
      </c>
      <c r="Y75" s="164">
        <f t="shared" si="18"/>
        <v>95</v>
      </c>
      <c r="Z75" s="164">
        <f t="shared" si="18"/>
        <v>74</v>
      </c>
      <c r="AA75" s="164">
        <f t="shared" si="18"/>
        <v>53</v>
      </c>
      <c r="AB75" s="164">
        <f t="shared" si="18"/>
        <v>64</v>
      </c>
      <c r="AC75" s="164">
        <f t="shared" si="18"/>
        <v>73</v>
      </c>
      <c r="AD75" s="164">
        <f t="shared" si="18"/>
        <v>58</v>
      </c>
      <c r="AE75" s="164">
        <f t="shared" si="18"/>
        <v>67</v>
      </c>
      <c r="AF75" s="164">
        <f t="shared" si="18"/>
        <v>48</v>
      </c>
      <c r="AG75" s="156">
        <f t="shared" si="17"/>
        <v>4171</v>
      </c>
    </row>
    <row r="76">
      <c r="A76" s="172"/>
      <c r="AG76" s="156"/>
    </row>
    <row r="77">
      <c r="A77" s="157" t="s">
        <v>142</v>
      </c>
      <c r="B77" s="158">
        <v>41.0</v>
      </c>
      <c r="C77" s="158">
        <v>34.0</v>
      </c>
      <c r="D77" s="158">
        <v>29.0</v>
      </c>
      <c r="E77" s="158">
        <v>26.0</v>
      </c>
      <c r="F77" s="158">
        <v>35.0</v>
      </c>
      <c r="G77" s="158">
        <v>24.0</v>
      </c>
      <c r="H77" s="158">
        <v>22.0</v>
      </c>
      <c r="I77" s="158">
        <v>21.0</v>
      </c>
      <c r="J77" s="158">
        <v>25.0</v>
      </c>
      <c r="K77" s="158">
        <v>19.0</v>
      </c>
      <c r="L77" s="158">
        <v>20.0</v>
      </c>
      <c r="M77" s="158">
        <v>11.0</v>
      </c>
      <c r="N77" s="158">
        <v>6.0</v>
      </c>
      <c r="O77" s="158">
        <v>10.0</v>
      </c>
      <c r="P77" s="158">
        <v>18.0</v>
      </c>
      <c r="Q77" s="158">
        <v>9.0</v>
      </c>
      <c r="R77" s="158">
        <v>4.0</v>
      </c>
      <c r="S77" s="158">
        <v>10.0</v>
      </c>
      <c r="T77" s="158">
        <v>1.0</v>
      </c>
      <c r="U77" s="158">
        <v>3.0</v>
      </c>
      <c r="V77" s="158">
        <v>5.0</v>
      </c>
      <c r="W77" s="158">
        <v>11.0</v>
      </c>
      <c r="X77" s="158">
        <v>14.0</v>
      </c>
      <c r="Y77" s="158">
        <v>17.0</v>
      </c>
      <c r="Z77" s="158">
        <v>13.0</v>
      </c>
      <c r="AA77" s="158">
        <v>11.0</v>
      </c>
      <c r="AB77" s="158">
        <v>12.0</v>
      </c>
      <c r="AC77" s="158">
        <v>9.0</v>
      </c>
      <c r="AD77" s="158">
        <v>2.0</v>
      </c>
      <c r="AE77" s="158">
        <v>3.0</v>
      </c>
      <c r="AF77" s="158">
        <v>7.0</v>
      </c>
      <c r="AG77" s="156">
        <f t="shared" ref="AG77:AG85" si="19">SUM(B77:AF77)</f>
        <v>472</v>
      </c>
    </row>
    <row r="78">
      <c r="A78" s="157" t="s">
        <v>143</v>
      </c>
      <c r="B78" s="158">
        <v>1.0</v>
      </c>
      <c r="C78" s="158">
        <v>0.0</v>
      </c>
      <c r="D78" s="158">
        <v>0.0</v>
      </c>
      <c r="E78" s="158">
        <v>2.0</v>
      </c>
      <c r="F78" s="158">
        <v>2.0</v>
      </c>
      <c r="G78" s="158">
        <v>0.0</v>
      </c>
      <c r="H78" s="158">
        <v>0.0</v>
      </c>
      <c r="I78" s="158">
        <v>0.0</v>
      </c>
      <c r="J78" s="158">
        <v>3.0</v>
      </c>
      <c r="K78" s="158">
        <v>1.0</v>
      </c>
      <c r="L78" s="158">
        <v>1.0</v>
      </c>
      <c r="M78" s="158">
        <v>1.0</v>
      </c>
      <c r="N78" s="158">
        <v>1.0</v>
      </c>
      <c r="O78" s="158">
        <v>0.0</v>
      </c>
      <c r="P78" s="158">
        <v>1.0</v>
      </c>
      <c r="Q78" s="158">
        <v>1.0</v>
      </c>
      <c r="R78" s="158">
        <v>2.0</v>
      </c>
      <c r="S78" s="158">
        <v>2.0</v>
      </c>
      <c r="T78" s="158">
        <v>0.0</v>
      </c>
      <c r="U78" s="158">
        <v>2.0</v>
      </c>
      <c r="V78" s="158">
        <v>1.0</v>
      </c>
      <c r="W78" s="158">
        <v>0.0</v>
      </c>
      <c r="X78" s="158">
        <v>1.0</v>
      </c>
      <c r="Y78" s="158">
        <v>0.0</v>
      </c>
      <c r="Z78" s="158">
        <v>0.0</v>
      </c>
      <c r="AA78" s="158">
        <v>1.0</v>
      </c>
      <c r="AB78" s="158">
        <v>0.0</v>
      </c>
      <c r="AC78" s="158">
        <v>0.0</v>
      </c>
      <c r="AD78" s="158">
        <v>0.0</v>
      </c>
      <c r="AE78" s="158">
        <v>0.0</v>
      </c>
      <c r="AF78" s="158">
        <v>1.0</v>
      </c>
      <c r="AG78" s="156">
        <f t="shared" si="19"/>
        <v>24</v>
      </c>
    </row>
    <row r="79">
      <c r="A79" s="157" t="s">
        <v>144</v>
      </c>
      <c r="B79" s="158">
        <v>1.0</v>
      </c>
      <c r="C79" s="158">
        <v>1.0</v>
      </c>
      <c r="D79" s="158">
        <v>0.0</v>
      </c>
      <c r="E79" s="158">
        <v>1.0</v>
      </c>
      <c r="F79" s="158">
        <v>2.0</v>
      </c>
      <c r="G79" s="158">
        <v>2.0</v>
      </c>
      <c r="H79" s="158">
        <v>1.0</v>
      </c>
      <c r="I79" s="158">
        <v>0.0</v>
      </c>
      <c r="J79" s="158">
        <v>1.0</v>
      </c>
      <c r="K79" s="158">
        <v>0.0</v>
      </c>
      <c r="L79" s="158">
        <v>0.0</v>
      </c>
      <c r="M79" s="158">
        <v>1.0</v>
      </c>
      <c r="N79" s="158">
        <v>0.0</v>
      </c>
      <c r="O79" s="158">
        <v>1.0</v>
      </c>
      <c r="P79" s="158">
        <v>1.0</v>
      </c>
      <c r="Q79" s="158">
        <v>2.0</v>
      </c>
      <c r="R79" s="158">
        <v>1.0</v>
      </c>
      <c r="S79" s="158">
        <v>0.0</v>
      </c>
      <c r="T79" s="158">
        <v>0.0</v>
      </c>
      <c r="U79" s="158">
        <v>0.0</v>
      </c>
      <c r="V79" s="158">
        <v>0.0</v>
      </c>
      <c r="W79" s="158">
        <v>1.0</v>
      </c>
      <c r="X79" s="158">
        <v>0.0</v>
      </c>
      <c r="Y79" s="158">
        <v>3.0</v>
      </c>
      <c r="Z79" s="158">
        <v>1.0</v>
      </c>
      <c r="AA79" s="158">
        <v>1.0</v>
      </c>
      <c r="AB79" s="158">
        <v>0.0</v>
      </c>
      <c r="AC79" s="158">
        <v>1.0</v>
      </c>
      <c r="AD79" s="158">
        <v>0.0</v>
      </c>
      <c r="AE79" s="158">
        <v>1.0</v>
      </c>
      <c r="AF79" s="158">
        <v>0.0</v>
      </c>
      <c r="AG79" s="156">
        <f t="shared" si="19"/>
        <v>23</v>
      </c>
    </row>
    <row r="80">
      <c r="A80" s="157" t="s">
        <v>145</v>
      </c>
      <c r="B80" s="158">
        <v>0.0</v>
      </c>
      <c r="C80" s="158">
        <v>0.0</v>
      </c>
      <c r="D80" s="158">
        <v>0.0</v>
      </c>
      <c r="E80" s="158">
        <v>0.0</v>
      </c>
      <c r="F80" s="158">
        <v>0.0</v>
      </c>
      <c r="G80" s="158">
        <v>1.0</v>
      </c>
      <c r="H80" s="158">
        <v>1.0</v>
      </c>
      <c r="I80" s="158">
        <v>0.0</v>
      </c>
      <c r="J80" s="158">
        <v>0.0</v>
      </c>
      <c r="K80" s="158">
        <v>0.0</v>
      </c>
      <c r="L80" s="158">
        <v>0.0</v>
      </c>
      <c r="M80" s="158">
        <v>0.0</v>
      </c>
      <c r="N80" s="158">
        <v>0.0</v>
      </c>
      <c r="O80" s="158">
        <v>0.0</v>
      </c>
      <c r="P80" s="158">
        <v>1.0</v>
      </c>
      <c r="Q80" s="158">
        <v>0.0</v>
      </c>
      <c r="R80" s="158">
        <v>0.0</v>
      </c>
      <c r="S80" s="158">
        <v>0.0</v>
      </c>
      <c r="T80" s="158">
        <v>0.0</v>
      </c>
      <c r="U80" s="158">
        <v>0.0</v>
      </c>
      <c r="V80" s="158">
        <v>0.0</v>
      </c>
      <c r="W80" s="158">
        <v>0.0</v>
      </c>
      <c r="X80" s="158">
        <v>0.0</v>
      </c>
      <c r="Y80" s="158">
        <v>0.0</v>
      </c>
      <c r="Z80" s="158">
        <v>0.0</v>
      </c>
      <c r="AA80" s="158">
        <v>0.0</v>
      </c>
      <c r="AB80" s="158">
        <v>0.0</v>
      </c>
      <c r="AC80" s="158">
        <v>0.0</v>
      </c>
      <c r="AD80" s="158">
        <v>0.0</v>
      </c>
      <c r="AE80" s="158">
        <v>0.0</v>
      </c>
      <c r="AF80" s="158">
        <v>0.0</v>
      </c>
      <c r="AG80" s="156">
        <f t="shared" si="19"/>
        <v>3</v>
      </c>
    </row>
    <row r="81">
      <c r="A81" s="157" t="s">
        <v>146</v>
      </c>
      <c r="B81" s="158">
        <v>5.0</v>
      </c>
      <c r="C81" s="158">
        <v>1.0</v>
      </c>
      <c r="D81" s="158">
        <v>0.0</v>
      </c>
      <c r="E81" s="158">
        <v>0.0</v>
      </c>
      <c r="F81" s="158">
        <v>1.0</v>
      </c>
      <c r="G81" s="158">
        <v>2.0</v>
      </c>
      <c r="H81" s="158">
        <v>0.0</v>
      </c>
      <c r="I81" s="158">
        <v>1.0</v>
      </c>
      <c r="J81" s="158">
        <v>1.0</v>
      </c>
      <c r="K81" s="158">
        <v>0.0</v>
      </c>
      <c r="L81" s="158">
        <v>1.0</v>
      </c>
      <c r="M81" s="158">
        <v>2.0</v>
      </c>
      <c r="N81" s="158">
        <v>1.0</v>
      </c>
      <c r="O81" s="158">
        <v>1.0</v>
      </c>
      <c r="P81" s="158">
        <v>1.0</v>
      </c>
      <c r="Q81" s="158">
        <v>0.0</v>
      </c>
      <c r="R81" s="158">
        <v>0.0</v>
      </c>
      <c r="S81" s="158">
        <v>1.0</v>
      </c>
      <c r="T81" s="158">
        <v>0.0</v>
      </c>
      <c r="U81" s="158">
        <v>0.0</v>
      </c>
      <c r="V81" s="158">
        <v>1.0</v>
      </c>
      <c r="W81" s="158">
        <v>1.0</v>
      </c>
      <c r="X81" s="158">
        <v>1.0</v>
      </c>
      <c r="Y81" s="158">
        <v>3.0</v>
      </c>
      <c r="Z81" s="158">
        <v>4.0</v>
      </c>
      <c r="AA81" s="158">
        <v>1.0</v>
      </c>
      <c r="AB81" s="158">
        <v>0.0</v>
      </c>
      <c r="AC81" s="158">
        <v>3.0</v>
      </c>
      <c r="AD81" s="158">
        <v>0.0</v>
      </c>
      <c r="AE81" s="158">
        <v>1.0</v>
      </c>
      <c r="AF81" s="158">
        <v>0.0</v>
      </c>
      <c r="AG81" s="156">
        <f t="shared" si="19"/>
        <v>33</v>
      </c>
    </row>
    <row r="82">
      <c r="A82" s="157" t="s">
        <v>147</v>
      </c>
      <c r="B82" s="158">
        <v>1.0</v>
      </c>
      <c r="C82" s="158">
        <v>0.0</v>
      </c>
      <c r="D82" s="158">
        <v>0.0</v>
      </c>
      <c r="E82" s="158">
        <v>0.0</v>
      </c>
      <c r="F82" s="158">
        <v>1.0</v>
      </c>
      <c r="G82" s="158">
        <v>0.0</v>
      </c>
      <c r="H82" s="158">
        <v>0.0</v>
      </c>
      <c r="I82" s="158">
        <v>0.0</v>
      </c>
      <c r="J82" s="158">
        <v>1.0</v>
      </c>
      <c r="K82" s="158">
        <v>0.0</v>
      </c>
      <c r="L82" s="158">
        <v>0.0</v>
      </c>
      <c r="M82" s="158">
        <v>0.0</v>
      </c>
      <c r="N82" s="158">
        <v>1.0</v>
      </c>
      <c r="O82" s="158">
        <v>1.0</v>
      </c>
      <c r="P82" s="158">
        <v>0.0</v>
      </c>
      <c r="Q82" s="158">
        <v>0.0</v>
      </c>
      <c r="R82" s="158">
        <v>0.0</v>
      </c>
      <c r="S82" s="158">
        <v>0.0</v>
      </c>
      <c r="T82" s="158">
        <v>0.0</v>
      </c>
      <c r="U82" s="158">
        <v>0.0</v>
      </c>
      <c r="V82" s="158">
        <v>0.0</v>
      </c>
      <c r="W82" s="158">
        <v>0.0</v>
      </c>
      <c r="X82" s="158">
        <v>0.0</v>
      </c>
      <c r="Y82" s="158">
        <v>1.0</v>
      </c>
      <c r="Z82" s="158">
        <v>0.0</v>
      </c>
      <c r="AA82" s="158">
        <v>0.0</v>
      </c>
      <c r="AB82" s="158">
        <v>0.0</v>
      </c>
      <c r="AC82" s="158">
        <v>0.0</v>
      </c>
      <c r="AD82" s="158">
        <v>0.0</v>
      </c>
      <c r="AE82" s="158">
        <v>0.0</v>
      </c>
      <c r="AF82" s="158">
        <v>0.0</v>
      </c>
      <c r="AG82" s="156">
        <f t="shared" si="19"/>
        <v>6</v>
      </c>
    </row>
    <row r="83">
      <c r="A83" s="157" t="s">
        <v>148</v>
      </c>
      <c r="B83" s="158">
        <v>2.0</v>
      </c>
      <c r="C83" s="158">
        <v>1.0</v>
      </c>
      <c r="D83" s="158">
        <v>1.0</v>
      </c>
      <c r="E83" s="158">
        <v>5.0</v>
      </c>
      <c r="F83" s="158">
        <v>2.0</v>
      </c>
      <c r="G83" s="158">
        <v>0.0</v>
      </c>
      <c r="H83" s="158">
        <v>3.0</v>
      </c>
      <c r="I83" s="158">
        <v>0.0</v>
      </c>
      <c r="J83" s="158">
        <v>1.0</v>
      </c>
      <c r="K83" s="158">
        <v>1.0</v>
      </c>
      <c r="L83" s="158">
        <v>0.0</v>
      </c>
      <c r="M83" s="158">
        <v>2.0</v>
      </c>
      <c r="N83" s="158">
        <v>0.0</v>
      </c>
      <c r="O83" s="158">
        <v>0.0</v>
      </c>
      <c r="P83" s="158">
        <v>1.0</v>
      </c>
      <c r="Q83" s="158">
        <v>2.0</v>
      </c>
      <c r="R83" s="158">
        <v>2.0</v>
      </c>
      <c r="S83" s="158">
        <v>1.0</v>
      </c>
      <c r="T83" s="158">
        <v>0.0</v>
      </c>
      <c r="U83" s="158">
        <v>1.0</v>
      </c>
      <c r="V83" s="158">
        <v>1.0</v>
      </c>
      <c r="W83" s="158">
        <v>1.0</v>
      </c>
      <c r="X83" s="158">
        <v>0.0</v>
      </c>
      <c r="Y83" s="158">
        <v>2.0</v>
      </c>
      <c r="Z83" s="158">
        <v>0.0</v>
      </c>
      <c r="AA83" s="158">
        <v>0.0</v>
      </c>
      <c r="AB83" s="158">
        <v>2.0</v>
      </c>
      <c r="AC83" s="158">
        <v>3.0</v>
      </c>
      <c r="AD83" s="158">
        <v>1.0</v>
      </c>
      <c r="AE83" s="158">
        <v>2.0</v>
      </c>
      <c r="AF83" s="158">
        <v>1.0</v>
      </c>
      <c r="AG83" s="156">
        <f t="shared" si="19"/>
        <v>38</v>
      </c>
    </row>
    <row r="84">
      <c r="A84" s="157" t="s">
        <v>149</v>
      </c>
      <c r="B84" s="158">
        <v>0.0</v>
      </c>
      <c r="C84" s="158">
        <v>0.0</v>
      </c>
      <c r="D84" s="158">
        <v>1.0</v>
      </c>
      <c r="E84" s="158">
        <v>0.0</v>
      </c>
      <c r="F84" s="158">
        <v>0.0</v>
      </c>
      <c r="G84" s="158">
        <v>0.0</v>
      </c>
      <c r="H84" s="158">
        <v>0.0</v>
      </c>
      <c r="I84" s="158">
        <v>0.0</v>
      </c>
      <c r="J84" s="158">
        <v>1.0</v>
      </c>
      <c r="K84" s="158">
        <v>0.0</v>
      </c>
      <c r="L84" s="158">
        <v>0.0</v>
      </c>
      <c r="M84" s="158">
        <v>0.0</v>
      </c>
      <c r="N84" s="158">
        <v>0.0</v>
      </c>
      <c r="O84" s="158">
        <v>0.0</v>
      </c>
      <c r="P84" s="158">
        <v>0.0</v>
      </c>
      <c r="Q84" s="158">
        <v>0.0</v>
      </c>
      <c r="R84" s="158">
        <v>0.0</v>
      </c>
      <c r="S84" s="158">
        <v>0.0</v>
      </c>
      <c r="T84" s="158">
        <v>0.0</v>
      </c>
      <c r="U84" s="158">
        <v>0.0</v>
      </c>
      <c r="V84" s="158">
        <v>0.0</v>
      </c>
      <c r="W84" s="158">
        <v>0.0</v>
      </c>
      <c r="X84" s="158">
        <v>0.0</v>
      </c>
      <c r="Y84" s="158">
        <v>0.0</v>
      </c>
      <c r="Z84" s="158">
        <v>0.0</v>
      </c>
      <c r="AA84" s="158">
        <v>0.0</v>
      </c>
      <c r="AB84" s="158">
        <v>0.0</v>
      </c>
      <c r="AC84" s="158">
        <v>1.0</v>
      </c>
      <c r="AD84" s="158">
        <v>0.0</v>
      </c>
      <c r="AE84" s="158">
        <v>0.0</v>
      </c>
      <c r="AF84" s="158">
        <v>0.0</v>
      </c>
      <c r="AG84" s="156">
        <f t="shared" si="19"/>
        <v>3</v>
      </c>
    </row>
    <row r="85">
      <c r="A85" s="163" t="s">
        <v>150</v>
      </c>
      <c r="B85" s="164">
        <f t="shared" ref="B85:AF85" si="20">SUM(B77:B84)</f>
        <v>51</v>
      </c>
      <c r="C85" s="164">
        <f t="shared" si="20"/>
        <v>37</v>
      </c>
      <c r="D85" s="164">
        <f t="shared" si="20"/>
        <v>31</v>
      </c>
      <c r="E85" s="164">
        <f t="shared" si="20"/>
        <v>34</v>
      </c>
      <c r="F85" s="164">
        <f t="shared" si="20"/>
        <v>43</v>
      </c>
      <c r="G85" s="164">
        <f t="shared" si="20"/>
        <v>29</v>
      </c>
      <c r="H85" s="164">
        <f t="shared" si="20"/>
        <v>27</v>
      </c>
      <c r="I85" s="164">
        <f t="shared" si="20"/>
        <v>22</v>
      </c>
      <c r="J85" s="164">
        <f t="shared" si="20"/>
        <v>33</v>
      </c>
      <c r="K85" s="164">
        <f t="shared" si="20"/>
        <v>21</v>
      </c>
      <c r="L85" s="164">
        <f t="shared" si="20"/>
        <v>22</v>
      </c>
      <c r="M85" s="164">
        <f t="shared" si="20"/>
        <v>17</v>
      </c>
      <c r="N85" s="164">
        <f t="shared" si="20"/>
        <v>9</v>
      </c>
      <c r="O85" s="164">
        <f t="shared" si="20"/>
        <v>13</v>
      </c>
      <c r="P85" s="164">
        <f t="shared" si="20"/>
        <v>23</v>
      </c>
      <c r="Q85" s="164">
        <f t="shared" si="20"/>
        <v>14</v>
      </c>
      <c r="R85" s="164">
        <f t="shared" si="20"/>
        <v>9</v>
      </c>
      <c r="S85" s="164">
        <f t="shared" si="20"/>
        <v>14</v>
      </c>
      <c r="T85" s="164">
        <f t="shared" si="20"/>
        <v>1</v>
      </c>
      <c r="U85" s="164">
        <f t="shared" si="20"/>
        <v>6</v>
      </c>
      <c r="V85" s="164">
        <f t="shared" si="20"/>
        <v>8</v>
      </c>
      <c r="W85" s="164">
        <f t="shared" si="20"/>
        <v>14</v>
      </c>
      <c r="X85" s="164">
        <f t="shared" si="20"/>
        <v>16</v>
      </c>
      <c r="Y85" s="164">
        <f t="shared" si="20"/>
        <v>26</v>
      </c>
      <c r="Z85" s="164">
        <f t="shared" si="20"/>
        <v>18</v>
      </c>
      <c r="AA85" s="164">
        <f t="shared" si="20"/>
        <v>14</v>
      </c>
      <c r="AB85" s="164">
        <f t="shared" si="20"/>
        <v>14</v>
      </c>
      <c r="AC85" s="164">
        <f t="shared" si="20"/>
        <v>17</v>
      </c>
      <c r="AD85" s="164">
        <f t="shared" si="20"/>
        <v>3</v>
      </c>
      <c r="AE85" s="164">
        <f t="shared" si="20"/>
        <v>7</v>
      </c>
      <c r="AF85" s="164">
        <f t="shared" si="20"/>
        <v>9</v>
      </c>
      <c r="AG85" s="156">
        <f t="shared" si="19"/>
        <v>602</v>
      </c>
    </row>
    <row r="86">
      <c r="A86" s="172"/>
      <c r="AG86" s="156"/>
    </row>
    <row r="87">
      <c r="A87" s="149" t="s">
        <v>151</v>
      </c>
      <c r="AG87" s="156"/>
    </row>
    <row r="88">
      <c r="A88" s="173" t="s">
        <v>152</v>
      </c>
      <c r="B88" s="174">
        <v>0.0</v>
      </c>
      <c r="C88" s="175">
        <v>0.0</v>
      </c>
      <c r="D88" s="175">
        <v>0.0</v>
      </c>
      <c r="E88" s="175">
        <v>0.0</v>
      </c>
      <c r="F88" s="175">
        <v>2.0</v>
      </c>
      <c r="G88" s="175">
        <v>7.0</v>
      </c>
      <c r="H88" s="175">
        <v>1.0</v>
      </c>
      <c r="I88" s="175">
        <v>0.0</v>
      </c>
      <c r="J88" s="175">
        <v>1.0</v>
      </c>
      <c r="K88" s="175">
        <v>0.0</v>
      </c>
      <c r="L88" s="175">
        <v>0.0</v>
      </c>
      <c r="M88" s="175">
        <v>0.0</v>
      </c>
      <c r="N88" s="175">
        <v>0.0</v>
      </c>
      <c r="O88" s="175">
        <v>0.0</v>
      </c>
      <c r="P88" s="175">
        <v>1.0</v>
      </c>
      <c r="Q88" s="175">
        <v>1.0</v>
      </c>
      <c r="R88" s="175">
        <v>0.0</v>
      </c>
      <c r="S88" s="175">
        <v>2.0</v>
      </c>
      <c r="T88" s="175">
        <v>1.0</v>
      </c>
      <c r="U88" s="175">
        <v>0.0</v>
      </c>
      <c r="V88" s="175">
        <v>0.0</v>
      </c>
      <c r="W88" s="175">
        <v>0.0</v>
      </c>
      <c r="X88" s="175">
        <v>1.0</v>
      </c>
      <c r="Y88" s="175">
        <v>0.0</v>
      </c>
      <c r="Z88" s="175">
        <v>0.0</v>
      </c>
      <c r="AA88" s="175">
        <v>0.0</v>
      </c>
      <c r="AB88" s="175">
        <v>0.0</v>
      </c>
      <c r="AC88" s="175">
        <v>0.0</v>
      </c>
      <c r="AD88" s="175">
        <v>0.0</v>
      </c>
      <c r="AE88" s="175">
        <v>0.0</v>
      </c>
      <c r="AF88" s="175">
        <v>0.0</v>
      </c>
      <c r="AG88" s="156">
        <f>SUM(B88:AF88)</f>
        <v>17</v>
      </c>
    </row>
    <row r="89">
      <c r="A89" s="172"/>
      <c r="AG89" s="156"/>
    </row>
    <row r="90">
      <c r="A90" s="149" t="s">
        <v>153</v>
      </c>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56"/>
    </row>
    <row r="91">
      <c r="A91" s="157" t="s">
        <v>154</v>
      </c>
      <c r="B91" s="177">
        <f t="shared" ref="B91:AF91" si="21">B55-B114</f>
        <v>38</v>
      </c>
      <c r="C91" s="177">
        <f t="shared" si="21"/>
        <v>34</v>
      </c>
      <c r="D91" s="177">
        <f t="shared" si="21"/>
        <v>38</v>
      </c>
      <c r="E91" s="177">
        <f t="shared" si="21"/>
        <v>33</v>
      </c>
      <c r="F91" s="177">
        <f t="shared" si="21"/>
        <v>25</v>
      </c>
      <c r="G91" s="177">
        <f t="shared" si="21"/>
        <v>26</v>
      </c>
      <c r="H91" s="177">
        <f t="shared" si="21"/>
        <v>26</v>
      </c>
      <c r="I91" s="177">
        <f t="shared" si="21"/>
        <v>22</v>
      </c>
      <c r="J91" s="177">
        <f t="shared" si="21"/>
        <v>28</v>
      </c>
      <c r="K91" s="177">
        <f t="shared" si="21"/>
        <v>23</v>
      </c>
      <c r="L91" s="177">
        <f t="shared" si="21"/>
        <v>20</v>
      </c>
      <c r="M91" s="177">
        <f t="shared" si="21"/>
        <v>16</v>
      </c>
      <c r="N91" s="177">
        <f t="shared" si="21"/>
        <v>4</v>
      </c>
      <c r="O91" s="177">
        <f t="shared" si="21"/>
        <v>10</v>
      </c>
      <c r="P91" s="177">
        <f t="shared" si="21"/>
        <v>7</v>
      </c>
      <c r="Q91" s="177">
        <f t="shared" si="21"/>
        <v>8</v>
      </c>
      <c r="R91" s="177">
        <f t="shared" si="21"/>
        <v>11</v>
      </c>
      <c r="S91" s="177">
        <f t="shared" si="21"/>
        <v>13</v>
      </c>
      <c r="T91" s="177">
        <f t="shared" si="21"/>
        <v>6</v>
      </c>
      <c r="U91" s="177">
        <f t="shared" si="21"/>
        <v>6</v>
      </c>
      <c r="V91" s="177">
        <f t="shared" si="21"/>
        <v>6</v>
      </c>
      <c r="W91" s="177">
        <f t="shared" si="21"/>
        <v>9</v>
      </c>
      <c r="X91" s="177">
        <f t="shared" si="21"/>
        <v>11</v>
      </c>
      <c r="Y91" s="177">
        <f t="shared" si="21"/>
        <v>16</v>
      </c>
      <c r="Z91" s="177">
        <f t="shared" si="21"/>
        <v>10</v>
      </c>
      <c r="AA91" s="177">
        <f t="shared" si="21"/>
        <v>8</v>
      </c>
      <c r="AB91" s="177">
        <f t="shared" si="21"/>
        <v>6</v>
      </c>
      <c r="AC91" s="177">
        <f t="shared" si="21"/>
        <v>7</v>
      </c>
      <c r="AD91" s="177">
        <f t="shared" si="21"/>
        <v>9</v>
      </c>
      <c r="AE91" s="177">
        <f t="shared" si="21"/>
        <v>6</v>
      </c>
      <c r="AF91" s="177">
        <f t="shared" si="21"/>
        <v>5</v>
      </c>
      <c r="AG91" s="156">
        <f t="shared" ref="AG91:AG95" si="23">SUM(B91:AF91)</f>
        <v>487</v>
      </c>
    </row>
    <row r="92">
      <c r="A92" s="157" t="s">
        <v>155</v>
      </c>
      <c r="B92" s="177">
        <f t="shared" ref="B92:AF92" si="22">B56-B115</f>
        <v>0</v>
      </c>
      <c r="C92" s="177">
        <f t="shared" si="22"/>
        <v>0</v>
      </c>
      <c r="D92" s="177">
        <f t="shared" si="22"/>
        <v>0</v>
      </c>
      <c r="E92" s="177">
        <f t="shared" si="22"/>
        <v>0</v>
      </c>
      <c r="F92" s="177">
        <f t="shared" si="22"/>
        <v>0</v>
      </c>
      <c r="G92" s="177">
        <f t="shared" si="22"/>
        <v>0</v>
      </c>
      <c r="H92" s="177">
        <f t="shared" si="22"/>
        <v>0</v>
      </c>
      <c r="I92" s="177">
        <f t="shared" si="22"/>
        <v>0</v>
      </c>
      <c r="J92" s="177">
        <f t="shared" si="22"/>
        <v>0</v>
      </c>
      <c r="K92" s="177">
        <f t="shared" si="22"/>
        <v>0</v>
      </c>
      <c r="L92" s="177">
        <f t="shared" si="22"/>
        <v>0</v>
      </c>
      <c r="M92" s="177">
        <f t="shared" si="22"/>
        <v>0</v>
      </c>
      <c r="N92" s="177">
        <f t="shared" si="22"/>
        <v>0</v>
      </c>
      <c r="O92" s="177">
        <f t="shared" si="22"/>
        <v>0</v>
      </c>
      <c r="P92" s="177">
        <f t="shared" si="22"/>
        <v>0</v>
      </c>
      <c r="Q92" s="177">
        <f t="shared" si="22"/>
        <v>0</v>
      </c>
      <c r="R92" s="177">
        <f t="shared" si="22"/>
        <v>0</v>
      </c>
      <c r="S92" s="177">
        <f t="shared" si="22"/>
        <v>0</v>
      </c>
      <c r="T92" s="177">
        <f t="shared" si="22"/>
        <v>0</v>
      </c>
      <c r="U92" s="177">
        <f t="shared" si="22"/>
        <v>0</v>
      </c>
      <c r="V92" s="177">
        <f t="shared" si="22"/>
        <v>0</v>
      </c>
      <c r="W92" s="177">
        <f t="shared" si="22"/>
        <v>0</v>
      </c>
      <c r="X92" s="177">
        <f t="shared" si="22"/>
        <v>0</v>
      </c>
      <c r="Y92" s="177">
        <f t="shared" si="22"/>
        <v>0</v>
      </c>
      <c r="Z92" s="177">
        <f t="shared" si="22"/>
        <v>0</v>
      </c>
      <c r="AA92" s="177">
        <f t="shared" si="22"/>
        <v>0</v>
      </c>
      <c r="AB92" s="177">
        <f t="shared" si="22"/>
        <v>0</v>
      </c>
      <c r="AC92" s="177">
        <f t="shared" si="22"/>
        <v>0</v>
      </c>
      <c r="AD92" s="177">
        <f t="shared" si="22"/>
        <v>0</v>
      </c>
      <c r="AE92" s="177">
        <f t="shared" si="22"/>
        <v>0</v>
      </c>
      <c r="AF92" s="177">
        <f t="shared" si="22"/>
        <v>0</v>
      </c>
      <c r="AG92" s="156">
        <f t="shared" si="23"/>
        <v>0</v>
      </c>
    </row>
    <row r="93">
      <c r="A93" s="157" t="s">
        <v>156</v>
      </c>
      <c r="B93" s="177">
        <f t="shared" ref="B93:AF93" si="24">B57-B116</f>
        <v>103</v>
      </c>
      <c r="C93" s="177">
        <f t="shared" si="24"/>
        <v>90</v>
      </c>
      <c r="D93" s="177">
        <f t="shared" si="24"/>
        <v>102</v>
      </c>
      <c r="E93" s="177">
        <f t="shared" si="24"/>
        <v>104</v>
      </c>
      <c r="F93" s="177">
        <f t="shared" si="24"/>
        <v>99</v>
      </c>
      <c r="G93" s="177">
        <f t="shared" si="24"/>
        <v>88</v>
      </c>
      <c r="H93" s="177">
        <f t="shared" si="24"/>
        <v>73</v>
      </c>
      <c r="I93" s="177">
        <f t="shared" si="24"/>
        <v>76</v>
      </c>
      <c r="J93" s="177">
        <f t="shared" si="24"/>
        <v>88</v>
      </c>
      <c r="K93" s="177">
        <f t="shared" si="24"/>
        <v>74</v>
      </c>
      <c r="L93" s="177">
        <f t="shared" si="24"/>
        <v>47</v>
      </c>
      <c r="M93" s="177">
        <f t="shared" si="24"/>
        <v>28</v>
      </c>
      <c r="N93" s="177">
        <f t="shared" si="24"/>
        <v>30</v>
      </c>
      <c r="O93" s="177">
        <f t="shared" si="24"/>
        <v>29</v>
      </c>
      <c r="P93" s="177">
        <f t="shared" si="24"/>
        <v>31</v>
      </c>
      <c r="Q93" s="177">
        <f t="shared" si="24"/>
        <v>38</v>
      </c>
      <c r="R93" s="177">
        <f t="shared" si="24"/>
        <v>19</v>
      </c>
      <c r="S93" s="177">
        <f t="shared" si="24"/>
        <v>22</v>
      </c>
      <c r="T93" s="177">
        <f t="shared" si="24"/>
        <v>21</v>
      </c>
      <c r="U93" s="177">
        <f t="shared" si="24"/>
        <v>14</v>
      </c>
      <c r="V93" s="177">
        <f t="shared" si="24"/>
        <v>29</v>
      </c>
      <c r="W93" s="177">
        <f t="shared" si="24"/>
        <v>63</v>
      </c>
      <c r="X93" s="177">
        <f t="shared" si="24"/>
        <v>36</v>
      </c>
      <c r="Y93" s="177">
        <f t="shared" si="24"/>
        <v>43</v>
      </c>
      <c r="Z93" s="177">
        <f t="shared" si="24"/>
        <v>29</v>
      </c>
      <c r="AA93" s="177">
        <f t="shared" si="24"/>
        <v>22</v>
      </c>
      <c r="AB93" s="177">
        <f t="shared" si="24"/>
        <v>25</v>
      </c>
      <c r="AC93" s="177">
        <f t="shared" si="24"/>
        <v>35</v>
      </c>
      <c r="AD93" s="177">
        <f t="shared" si="24"/>
        <v>21</v>
      </c>
      <c r="AE93" s="177">
        <f t="shared" si="24"/>
        <v>36</v>
      </c>
      <c r="AF93" s="177">
        <f t="shared" si="24"/>
        <v>29</v>
      </c>
      <c r="AG93" s="156">
        <f t="shared" si="23"/>
        <v>1544</v>
      </c>
    </row>
    <row r="94">
      <c r="A94" s="157" t="s">
        <v>157</v>
      </c>
      <c r="B94" s="177">
        <f t="shared" ref="B94:AF94" si="25">B58-B117</f>
        <v>0</v>
      </c>
      <c r="C94" s="177">
        <f t="shared" si="25"/>
        <v>0</v>
      </c>
      <c r="D94" s="177">
        <f t="shared" si="25"/>
        <v>0</v>
      </c>
      <c r="E94" s="177">
        <f t="shared" si="25"/>
        <v>0</v>
      </c>
      <c r="F94" s="177">
        <f t="shared" si="25"/>
        <v>0</v>
      </c>
      <c r="G94" s="177">
        <f t="shared" si="25"/>
        <v>0</v>
      </c>
      <c r="H94" s="177">
        <f t="shared" si="25"/>
        <v>0</v>
      </c>
      <c r="I94" s="177">
        <f t="shared" si="25"/>
        <v>0</v>
      </c>
      <c r="J94" s="177">
        <f t="shared" si="25"/>
        <v>0</v>
      </c>
      <c r="K94" s="177">
        <f t="shared" si="25"/>
        <v>0</v>
      </c>
      <c r="L94" s="177">
        <f t="shared" si="25"/>
        <v>0</v>
      </c>
      <c r="M94" s="177">
        <f t="shared" si="25"/>
        <v>0</v>
      </c>
      <c r="N94" s="177">
        <f t="shared" si="25"/>
        <v>0</v>
      </c>
      <c r="O94" s="177">
        <f t="shared" si="25"/>
        <v>0</v>
      </c>
      <c r="P94" s="177">
        <f t="shared" si="25"/>
        <v>0</v>
      </c>
      <c r="Q94" s="177">
        <f t="shared" si="25"/>
        <v>0</v>
      </c>
      <c r="R94" s="177">
        <f t="shared" si="25"/>
        <v>0</v>
      </c>
      <c r="S94" s="177">
        <f t="shared" si="25"/>
        <v>0</v>
      </c>
      <c r="T94" s="177">
        <f t="shared" si="25"/>
        <v>0</v>
      </c>
      <c r="U94" s="177">
        <f t="shared" si="25"/>
        <v>0</v>
      </c>
      <c r="V94" s="177">
        <f t="shared" si="25"/>
        <v>0</v>
      </c>
      <c r="W94" s="177">
        <f t="shared" si="25"/>
        <v>0</v>
      </c>
      <c r="X94" s="177">
        <f t="shared" si="25"/>
        <v>0</v>
      </c>
      <c r="Y94" s="177">
        <f t="shared" si="25"/>
        <v>0</v>
      </c>
      <c r="Z94" s="177">
        <f t="shared" si="25"/>
        <v>0</v>
      </c>
      <c r="AA94" s="177">
        <f t="shared" si="25"/>
        <v>0</v>
      </c>
      <c r="AB94" s="177">
        <f t="shared" si="25"/>
        <v>0</v>
      </c>
      <c r="AC94" s="177">
        <f t="shared" si="25"/>
        <v>0</v>
      </c>
      <c r="AD94" s="177">
        <f t="shared" si="25"/>
        <v>0</v>
      </c>
      <c r="AE94" s="177">
        <f t="shared" si="25"/>
        <v>0</v>
      </c>
      <c r="AF94" s="177">
        <f t="shared" si="25"/>
        <v>0</v>
      </c>
      <c r="AG94" s="156">
        <f t="shared" si="23"/>
        <v>0</v>
      </c>
    </row>
    <row r="95">
      <c r="A95" s="163" t="s">
        <v>127</v>
      </c>
      <c r="B95" s="178">
        <f t="shared" ref="B95:AF95" si="26">SUM(B91:B94)</f>
        <v>141</v>
      </c>
      <c r="C95" s="178">
        <f t="shared" si="26"/>
        <v>124</v>
      </c>
      <c r="D95" s="178">
        <f t="shared" si="26"/>
        <v>140</v>
      </c>
      <c r="E95" s="178">
        <f t="shared" si="26"/>
        <v>137</v>
      </c>
      <c r="F95" s="178">
        <f t="shared" si="26"/>
        <v>124</v>
      </c>
      <c r="G95" s="178">
        <f t="shared" si="26"/>
        <v>114</v>
      </c>
      <c r="H95" s="178">
        <f t="shared" si="26"/>
        <v>99</v>
      </c>
      <c r="I95" s="178">
        <f t="shared" si="26"/>
        <v>98</v>
      </c>
      <c r="J95" s="178">
        <f t="shared" si="26"/>
        <v>116</v>
      </c>
      <c r="K95" s="178">
        <f t="shared" si="26"/>
        <v>97</v>
      </c>
      <c r="L95" s="178">
        <f t="shared" si="26"/>
        <v>67</v>
      </c>
      <c r="M95" s="178">
        <f t="shared" si="26"/>
        <v>44</v>
      </c>
      <c r="N95" s="178">
        <f t="shared" si="26"/>
        <v>34</v>
      </c>
      <c r="O95" s="178">
        <f t="shared" si="26"/>
        <v>39</v>
      </c>
      <c r="P95" s="178">
        <f t="shared" si="26"/>
        <v>38</v>
      </c>
      <c r="Q95" s="178">
        <f t="shared" si="26"/>
        <v>46</v>
      </c>
      <c r="R95" s="178">
        <f t="shared" si="26"/>
        <v>30</v>
      </c>
      <c r="S95" s="178">
        <f t="shared" si="26"/>
        <v>35</v>
      </c>
      <c r="T95" s="178">
        <f t="shared" si="26"/>
        <v>27</v>
      </c>
      <c r="U95" s="178">
        <f t="shared" si="26"/>
        <v>20</v>
      </c>
      <c r="V95" s="178">
        <f t="shared" si="26"/>
        <v>35</v>
      </c>
      <c r="W95" s="178">
        <f t="shared" si="26"/>
        <v>72</v>
      </c>
      <c r="X95" s="178">
        <f t="shared" si="26"/>
        <v>47</v>
      </c>
      <c r="Y95" s="178">
        <f t="shared" si="26"/>
        <v>59</v>
      </c>
      <c r="Z95" s="178">
        <f t="shared" si="26"/>
        <v>39</v>
      </c>
      <c r="AA95" s="178">
        <f t="shared" si="26"/>
        <v>30</v>
      </c>
      <c r="AB95" s="178">
        <f t="shared" si="26"/>
        <v>31</v>
      </c>
      <c r="AC95" s="178">
        <f t="shared" si="26"/>
        <v>42</v>
      </c>
      <c r="AD95" s="178">
        <f t="shared" si="26"/>
        <v>30</v>
      </c>
      <c r="AE95" s="178">
        <f t="shared" si="26"/>
        <v>42</v>
      </c>
      <c r="AF95" s="178">
        <f t="shared" si="26"/>
        <v>34</v>
      </c>
      <c r="AG95" s="156">
        <f t="shared" si="23"/>
        <v>2031</v>
      </c>
    </row>
    <row r="96">
      <c r="A96" s="107"/>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56"/>
    </row>
    <row r="97">
      <c r="A97" s="157" t="s">
        <v>158</v>
      </c>
      <c r="B97" s="167">
        <f t="shared" ref="B97:AF97" si="27">B61-B120</f>
        <v>369</v>
      </c>
      <c r="C97" s="167">
        <f t="shared" si="27"/>
        <v>45</v>
      </c>
      <c r="D97" s="167">
        <f t="shared" si="27"/>
        <v>30</v>
      </c>
      <c r="E97" s="167">
        <f t="shared" si="27"/>
        <v>23</v>
      </c>
      <c r="F97" s="167">
        <f t="shared" si="27"/>
        <v>18</v>
      </c>
      <c r="G97" s="167">
        <f t="shared" si="27"/>
        <v>10</v>
      </c>
      <c r="H97" s="167">
        <f t="shared" si="27"/>
        <v>14</v>
      </c>
      <c r="I97" s="167">
        <f t="shared" si="27"/>
        <v>28</v>
      </c>
      <c r="J97" s="85">
        <f t="shared" si="27"/>
        <v>16</v>
      </c>
      <c r="K97" s="85">
        <f t="shared" si="27"/>
        <v>19</v>
      </c>
      <c r="L97" s="85">
        <f t="shared" si="27"/>
        <v>21</v>
      </c>
      <c r="M97" s="85">
        <f t="shared" si="27"/>
        <v>10</v>
      </c>
      <c r="N97" s="85">
        <f t="shared" si="27"/>
        <v>9</v>
      </c>
      <c r="O97" s="85">
        <f t="shared" si="27"/>
        <v>7</v>
      </c>
      <c r="P97" s="85">
        <f t="shared" si="27"/>
        <v>5</v>
      </c>
      <c r="Q97" s="85">
        <f t="shared" si="27"/>
        <v>4</v>
      </c>
      <c r="R97" s="85">
        <f t="shared" si="27"/>
        <v>5</v>
      </c>
      <c r="S97" s="85">
        <f t="shared" si="27"/>
        <v>4</v>
      </c>
      <c r="T97" s="85">
        <f t="shared" si="27"/>
        <v>4</v>
      </c>
      <c r="U97" s="85">
        <f t="shared" si="27"/>
        <v>10</v>
      </c>
      <c r="V97" s="85">
        <f t="shared" si="27"/>
        <v>3</v>
      </c>
      <c r="W97" s="85">
        <f t="shared" si="27"/>
        <v>2</v>
      </c>
      <c r="X97" s="85">
        <f t="shared" si="27"/>
        <v>7</v>
      </c>
      <c r="Y97" s="85">
        <f t="shared" si="27"/>
        <v>4</v>
      </c>
      <c r="Z97" s="85">
        <f t="shared" si="27"/>
        <v>8</v>
      </c>
      <c r="AA97" s="85">
        <f t="shared" si="27"/>
        <v>3</v>
      </c>
      <c r="AB97" s="85">
        <f t="shared" si="27"/>
        <v>2</v>
      </c>
      <c r="AC97" s="85">
        <f t="shared" si="27"/>
        <v>1</v>
      </c>
      <c r="AD97" s="179">
        <f t="shared" si="27"/>
        <v>4</v>
      </c>
      <c r="AE97" s="179">
        <f t="shared" si="27"/>
        <v>1</v>
      </c>
      <c r="AF97" s="179">
        <f t="shared" si="27"/>
        <v>1</v>
      </c>
      <c r="AG97" s="156">
        <f t="shared" ref="AG97:AG99" si="29">SUM(B97:AF97)</f>
        <v>687</v>
      </c>
    </row>
    <row r="98">
      <c r="A98" s="157" t="s">
        <v>159</v>
      </c>
      <c r="B98" s="167">
        <f t="shared" ref="B98:AF98" si="28">B62-B121</f>
        <v>862</v>
      </c>
      <c r="C98" s="167">
        <f t="shared" si="28"/>
        <v>113</v>
      </c>
      <c r="D98" s="167">
        <f t="shared" si="28"/>
        <v>94</v>
      </c>
      <c r="E98" s="167">
        <f t="shared" si="28"/>
        <v>64</v>
      </c>
      <c r="F98" s="167">
        <f t="shared" si="28"/>
        <v>42</v>
      </c>
      <c r="G98" s="167">
        <f t="shared" si="28"/>
        <v>38</v>
      </c>
      <c r="H98" s="167">
        <f t="shared" si="28"/>
        <v>38</v>
      </c>
      <c r="I98" s="167">
        <f t="shared" si="28"/>
        <v>38</v>
      </c>
      <c r="J98" s="85">
        <f t="shared" si="28"/>
        <v>67</v>
      </c>
      <c r="K98" s="85">
        <f t="shared" si="28"/>
        <v>56</v>
      </c>
      <c r="L98" s="85">
        <f t="shared" si="28"/>
        <v>39</v>
      </c>
      <c r="M98" s="85">
        <f t="shared" si="28"/>
        <v>25</v>
      </c>
      <c r="N98" s="85">
        <f t="shared" si="28"/>
        <v>16</v>
      </c>
      <c r="O98" s="85">
        <f t="shared" si="28"/>
        <v>26</v>
      </c>
      <c r="P98" s="85">
        <f t="shared" si="28"/>
        <v>14</v>
      </c>
      <c r="Q98" s="85">
        <f t="shared" si="28"/>
        <v>18</v>
      </c>
      <c r="R98" s="85">
        <f t="shared" si="28"/>
        <v>13</v>
      </c>
      <c r="S98" s="85">
        <f t="shared" si="28"/>
        <v>7</v>
      </c>
      <c r="T98" s="85">
        <f t="shared" si="28"/>
        <v>9</v>
      </c>
      <c r="U98" s="85">
        <f t="shared" si="28"/>
        <v>15</v>
      </c>
      <c r="V98" s="85">
        <f t="shared" si="28"/>
        <v>10</v>
      </c>
      <c r="W98" s="85">
        <f t="shared" si="28"/>
        <v>22</v>
      </c>
      <c r="X98" s="85">
        <f t="shared" si="28"/>
        <v>13</v>
      </c>
      <c r="Y98" s="85">
        <f t="shared" si="28"/>
        <v>18</v>
      </c>
      <c r="Z98" s="85">
        <f t="shared" si="28"/>
        <v>11</v>
      </c>
      <c r="AA98" s="85">
        <f t="shared" si="28"/>
        <v>10</v>
      </c>
      <c r="AB98" s="85">
        <f t="shared" si="28"/>
        <v>10</v>
      </c>
      <c r="AC98" s="85">
        <f t="shared" si="28"/>
        <v>5</v>
      </c>
      <c r="AD98" s="179">
        <f t="shared" si="28"/>
        <v>4</v>
      </c>
      <c r="AE98" s="179">
        <f t="shared" si="28"/>
        <v>5</v>
      </c>
      <c r="AF98" s="179">
        <f t="shared" si="28"/>
        <v>5</v>
      </c>
      <c r="AG98" s="156">
        <f t="shared" si="29"/>
        <v>1707</v>
      </c>
    </row>
    <row r="99">
      <c r="A99" s="163" t="s">
        <v>130</v>
      </c>
      <c r="B99" s="164">
        <f t="shared" ref="B99:AF99" si="30">SUM(B97:B98)</f>
        <v>1231</v>
      </c>
      <c r="C99" s="164">
        <f t="shared" si="30"/>
        <v>158</v>
      </c>
      <c r="D99" s="164">
        <f t="shared" si="30"/>
        <v>124</v>
      </c>
      <c r="E99" s="164">
        <f t="shared" si="30"/>
        <v>87</v>
      </c>
      <c r="F99" s="164">
        <f t="shared" si="30"/>
        <v>60</v>
      </c>
      <c r="G99" s="164">
        <f t="shared" si="30"/>
        <v>48</v>
      </c>
      <c r="H99" s="164">
        <f t="shared" si="30"/>
        <v>52</v>
      </c>
      <c r="I99" s="164">
        <f t="shared" si="30"/>
        <v>66</v>
      </c>
      <c r="J99" s="164">
        <f t="shared" si="30"/>
        <v>83</v>
      </c>
      <c r="K99" s="164">
        <f t="shared" si="30"/>
        <v>75</v>
      </c>
      <c r="L99" s="164">
        <f t="shared" si="30"/>
        <v>60</v>
      </c>
      <c r="M99" s="164">
        <f t="shared" si="30"/>
        <v>35</v>
      </c>
      <c r="N99" s="164">
        <f t="shared" si="30"/>
        <v>25</v>
      </c>
      <c r="O99" s="164">
        <f t="shared" si="30"/>
        <v>33</v>
      </c>
      <c r="P99" s="164">
        <f t="shared" si="30"/>
        <v>19</v>
      </c>
      <c r="Q99" s="164">
        <f t="shared" si="30"/>
        <v>22</v>
      </c>
      <c r="R99" s="164">
        <f t="shared" si="30"/>
        <v>18</v>
      </c>
      <c r="S99" s="164">
        <f t="shared" si="30"/>
        <v>11</v>
      </c>
      <c r="T99" s="164">
        <f t="shared" si="30"/>
        <v>13</v>
      </c>
      <c r="U99" s="164">
        <f t="shared" si="30"/>
        <v>25</v>
      </c>
      <c r="V99" s="164">
        <f t="shared" si="30"/>
        <v>13</v>
      </c>
      <c r="W99" s="164">
        <f t="shared" si="30"/>
        <v>24</v>
      </c>
      <c r="X99" s="164">
        <f t="shared" si="30"/>
        <v>20</v>
      </c>
      <c r="Y99" s="164">
        <f t="shared" si="30"/>
        <v>22</v>
      </c>
      <c r="Z99" s="164">
        <f t="shared" si="30"/>
        <v>19</v>
      </c>
      <c r="AA99" s="164">
        <f t="shared" si="30"/>
        <v>13</v>
      </c>
      <c r="AB99" s="164">
        <f t="shared" si="30"/>
        <v>12</v>
      </c>
      <c r="AC99" s="164">
        <f t="shared" si="30"/>
        <v>6</v>
      </c>
      <c r="AD99" s="164">
        <f t="shared" si="30"/>
        <v>8</v>
      </c>
      <c r="AE99" s="164">
        <f t="shared" si="30"/>
        <v>6</v>
      </c>
      <c r="AF99" s="164">
        <f t="shared" si="30"/>
        <v>6</v>
      </c>
      <c r="AG99" s="156">
        <f t="shared" si="29"/>
        <v>2394</v>
      </c>
    </row>
    <row r="100">
      <c r="A100" s="100"/>
      <c r="AG100" s="156"/>
    </row>
    <row r="101">
      <c r="A101" s="157" t="s">
        <v>131</v>
      </c>
      <c r="B101" s="177">
        <f t="shared" ref="B101:AF101" si="31">B65-B124</f>
        <v>134</v>
      </c>
      <c r="C101" s="177">
        <f t="shared" si="31"/>
        <v>106</v>
      </c>
      <c r="D101" s="177">
        <f t="shared" si="31"/>
        <v>129</v>
      </c>
      <c r="E101" s="177">
        <f t="shared" si="31"/>
        <v>110</v>
      </c>
      <c r="F101" s="177">
        <f t="shared" si="31"/>
        <v>92</v>
      </c>
      <c r="G101" s="177">
        <f t="shared" si="31"/>
        <v>99</v>
      </c>
      <c r="H101" s="177">
        <f t="shared" si="31"/>
        <v>80</v>
      </c>
      <c r="I101" s="177">
        <f t="shared" si="31"/>
        <v>72</v>
      </c>
      <c r="J101" s="177">
        <f t="shared" si="31"/>
        <v>88</v>
      </c>
      <c r="K101" s="177">
        <f t="shared" si="31"/>
        <v>90</v>
      </c>
      <c r="L101" s="177">
        <f t="shared" si="31"/>
        <v>36</v>
      </c>
      <c r="M101" s="177">
        <f t="shared" si="31"/>
        <v>10</v>
      </c>
      <c r="N101" s="177">
        <f t="shared" si="31"/>
        <v>10</v>
      </c>
      <c r="O101" s="177">
        <f t="shared" si="31"/>
        <v>11</v>
      </c>
      <c r="P101" s="177">
        <f t="shared" si="31"/>
        <v>6</v>
      </c>
      <c r="Q101" s="177">
        <f t="shared" si="31"/>
        <v>12</v>
      </c>
      <c r="R101" s="177">
        <f t="shared" si="31"/>
        <v>12</v>
      </c>
      <c r="S101" s="177">
        <f t="shared" si="31"/>
        <v>13</v>
      </c>
      <c r="T101" s="177">
        <f t="shared" si="31"/>
        <v>6</v>
      </c>
      <c r="U101" s="177">
        <f t="shared" si="31"/>
        <v>2</v>
      </c>
      <c r="V101" s="177">
        <f t="shared" si="31"/>
        <v>10</v>
      </c>
      <c r="W101" s="177">
        <f t="shared" si="31"/>
        <v>40</v>
      </c>
      <c r="X101" s="177">
        <f t="shared" si="31"/>
        <v>19</v>
      </c>
      <c r="Y101" s="177">
        <f t="shared" si="31"/>
        <v>19</v>
      </c>
      <c r="Z101" s="177">
        <f t="shared" si="31"/>
        <v>17</v>
      </c>
      <c r="AA101" s="177">
        <f t="shared" si="31"/>
        <v>7</v>
      </c>
      <c r="AB101" s="177">
        <f t="shared" si="31"/>
        <v>14</v>
      </c>
      <c r="AC101" s="177">
        <f t="shared" si="31"/>
        <v>10</v>
      </c>
      <c r="AD101" s="177">
        <f t="shared" si="31"/>
        <v>11</v>
      </c>
      <c r="AE101" s="177">
        <f t="shared" si="31"/>
        <v>14</v>
      </c>
      <c r="AF101" s="177">
        <f t="shared" si="31"/>
        <v>9</v>
      </c>
      <c r="AG101" s="156">
        <f t="shared" ref="AG101:AG111" si="33">SUM(B101:AF101)</f>
        <v>1288</v>
      </c>
    </row>
    <row r="102">
      <c r="A102" s="157" t="s">
        <v>132</v>
      </c>
      <c r="B102" s="177">
        <f t="shared" ref="B102:AF102" si="32">B66-B125</f>
        <v>28</v>
      </c>
      <c r="C102" s="177">
        <f t="shared" si="32"/>
        <v>26</v>
      </c>
      <c r="D102" s="177">
        <f t="shared" si="32"/>
        <v>22</v>
      </c>
      <c r="E102" s="177">
        <f t="shared" si="32"/>
        <v>17</v>
      </c>
      <c r="F102" s="177">
        <f t="shared" si="32"/>
        <v>17</v>
      </c>
      <c r="G102" s="177">
        <f t="shared" si="32"/>
        <v>19</v>
      </c>
      <c r="H102" s="177">
        <f t="shared" si="32"/>
        <v>15</v>
      </c>
      <c r="I102" s="177">
        <f t="shared" si="32"/>
        <v>24</v>
      </c>
      <c r="J102" s="177">
        <f t="shared" si="32"/>
        <v>21</v>
      </c>
      <c r="K102" s="177">
        <f t="shared" si="32"/>
        <v>25</v>
      </c>
      <c r="L102" s="177">
        <f t="shared" si="32"/>
        <v>10</v>
      </c>
      <c r="M102" s="177">
        <f t="shared" si="32"/>
        <v>6</v>
      </c>
      <c r="N102" s="177">
        <f t="shared" si="32"/>
        <v>3</v>
      </c>
      <c r="O102" s="177">
        <f t="shared" si="32"/>
        <v>5</v>
      </c>
      <c r="P102" s="177">
        <f t="shared" si="32"/>
        <v>4</v>
      </c>
      <c r="Q102" s="177">
        <f t="shared" si="32"/>
        <v>10</v>
      </c>
      <c r="R102" s="177">
        <f t="shared" si="32"/>
        <v>5</v>
      </c>
      <c r="S102" s="177">
        <f t="shared" si="32"/>
        <v>9</v>
      </c>
      <c r="T102" s="177">
        <f t="shared" si="32"/>
        <v>3</v>
      </c>
      <c r="U102" s="177">
        <f t="shared" si="32"/>
        <v>6</v>
      </c>
      <c r="V102" s="177">
        <f t="shared" si="32"/>
        <v>5</v>
      </c>
      <c r="W102" s="177">
        <f t="shared" si="32"/>
        <v>8</v>
      </c>
      <c r="X102" s="177">
        <f t="shared" si="32"/>
        <v>8</v>
      </c>
      <c r="Y102" s="177">
        <f t="shared" si="32"/>
        <v>7</v>
      </c>
      <c r="Z102" s="177">
        <f t="shared" si="32"/>
        <v>5</v>
      </c>
      <c r="AA102" s="177">
        <f t="shared" si="32"/>
        <v>7</v>
      </c>
      <c r="AB102" s="177">
        <f t="shared" si="32"/>
        <v>8</v>
      </c>
      <c r="AC102" s="177">
        <f t="shared" si="32"/>
        <v>4</v>
      </c>
      <c r="AD102" s="177">
        <f t="shared" si="32"/>
        <v>8</v>
      </c>
      <c r="AE102" s="177">
        <f t="shared" si="32"/>
        <v>7</v>
      </c>
      <c r="AF102" s="177">
        <f t="shared" si="32"/>
        <v>5</v>
      </c>
      <c r="AG102" s="156">
        <f t="shared" si="33"/>
        <v>347</v>
      </c>
    </row>
    <row r="103">
      <c r="A103" s="157" t="s">
        <v>160</v>
      </c>
      <c r="B103" s="177">
        <f t="shared" ref="B103:AF103" si="34">B67-B126</f>
        <v>26</v>
      </c>
      <c r="C103" s="177">
        <f t="shared" si="34"/>
        <v>21</v>
      </c>
      <c r="D103" s="177">
        <f t="shared" si="34"/>
        <v>22</v>
      </c>
      <c r="E103" s="177">
        <f t="shared" si="34"/>
        <v>18</v>
      </c>
      <c r="F103" s="177">
        <f t="shared" si="34"/>
        <v>15</v>
      </c>
      <c r="G103" s="177">
        <f t="shared" si="34"/>
        <v>17</v>
      </c>
      <c r="H103" s="177">
        <f t="shared" si="34"/>
        <v>16</v>
      </c>
      <c r="I103" s="177">
        <f t="shared" si="34"/>
        <v>20</v>
      </c>
      <c r="J103" s="177">
        <f t="shared" si="34"/>
        <v>20</v>
      </c>
      <c r="K103" s="177">
        <f t="shared" si="34"/>
        <v>23</v>
      </c>
      <c r="L103" s="177">
        <f t="shared" si="34"/>
        <v>13</v>
      </c>
      <c r="M103" s="177">
        <f t="shared" si="34"/>
        <v>8</v>
      </c>
      <c r="N103" s="177">
        <f t="shared" si="34"/>
        <v>2</v>
      </c>
      <c r="O103" s="177">
        <f t="shared" si="34"/>
        <v>7</v>
      </c>
      <c r="P103" s="177">
        <f t="shared" si="34"/>
        <v>4</v>
      </c>
      <c r="Q103" s="177">
        <f t="shared" si="34"/>
        <v>6</v>
      </c>
      <c r="R103" s="177">
        <f t="shared" si="34"/>
        <v>4</v>
      </c>
      <c r="S103" s="177">
        <f t="shared" si="34"/>
        <v>6</v>
      </c>
      <c r="T103" s="177">
        <f t="shared" si="34"/>
        <v>4</v>
      </c>
      <c r="U103" s="177">
        <f t="shared" si="34"/>
        <v>1</v>
      </c>
      <c r="V103" s="177">
        <f t="shared" si="34"/>
        <v>4</v>
      </c>
      <c r="W103" s="177">
        <f t="shared" si="34"/>
        <v>11</v>
      </c>
      <c r="X103" s="177">
        <f t="shared" si="34"/>
        <v>9</v>
      </c>
      <c r="Y103" s="177">
        <f t="shared" si="34"/>
        <v>9</v>
      </c>
      <c r="Z103" s="177">
        <f t="shared" si="34"/>
        <v>3</v>
      </c>
      <c r="AA103" s="177">
        <f t="shared" si="34"/>
        <v>4</v>
      </c>
      <c r="AB103" s="177">
        <f t="shared" si="34"/>
        <v>7</v>
      </c>
      <c r="AC103" s="177">
        <f t="shared" si="34"/>
        <v>5</v>
      </c>
      <c r="AD103" s="177">
        <f t="shared" si="34"/>
        <v>8</v>
      </c>
      <c r="AE103" s="177">
        <f t="shared" si="34"/>
        <v>8</v>
      </c>
      <c r="AF103" s="177">
        <f t="shared" si="34"/>
        <v>4</v>
      </c>
      <c r="AG103" s="156">
        <f t="shared" si="33"/>
        <v>325</v>
      </c>
    </row>
    <row r="104">
      <c r="A104" s="157" t="s">
        <v>161</v>
      </c>
      <c r="B104" s="177">
        <f t="shared" ref="B104:AF104" si="35">B68-B127</f>
        <v>2</v>
      </c>
      <c r="C104" s="177">
        <f t="shared" si="35"/>
        <v>1</v>
      </c>
      <c r="D104" s="177">
        <f t="shared" si="35"/>
        <v>0</v>
      </c>
      <c r="E104" s="177">
        <f t="shared" si="35"/>
        <v>1</v>
      </c>
      <c r="F104" s="177">
        <f t="shared" si="35"/>
        <v>0</v>
      </c>
      <c r="G104" s="177">
        <f t="shared" si="35"/>
        <v>0</v>
      </c>
      <c r="H104" s="177">
        <f t="shared" si="35"/>
        <v>1</v>
      </c>
      <c r="I104" s="177">
        <f t="shared" si="35"/>
        <v>1</v>
      </c>
      <c r="J104" s="177">
        <f t="shared" si="35"/>
        <v>2</v>
      </c>
      <c r="K104" s="177">
        <f t="shared" si="35"/>
        <v>1</v>
      </c>
      <c r="L104" s="177">
        <f t="shared" si="35"/>
        <v>0</v>
      </c>
      <c r="M104" s="177">
        <f t="shared" si="35"/>
        <v>1</v>
      </c>
      <c r="N104" s="177">
        <f t="shared" si="35"/>
        <v>0</v>
      </c>
      <c r="O104" s="177">
        <f t="shared" si="35"/>
        <v>1</v>
      </c>
      <c r="P104" s="177">
        <f t="shared" si="35"/>
        <v>3</v>
      </c>
      <c r="Q104" s="177">
        <f t="shared" si="35"/>
        <v>3</v>
      </c>
      <c r="R104" s="177">
        <f t="shared" si="35"/>
        <v>2</v>
      </c>
      <c r="S104" s="177">
        <f t="shared" si="35"/>
        <v>0</v>
      </c>
      <c r="T104" s="177">
        <f t="shared" si="35"/>
        <v>1</v>
      </c>
      <c r="U104" s="177">
        <f t="shared" si="35"/>
        <v>0</v>
      </c>
      <c r="V104" s="177">
        <f t="shared" si="35"/>
        <v>1</v>
      </c>
      <c r="W104" s="177">
        <f t="shared" si="35"/>
        <v>0</v>
      </c>
      <c r="X104" s="177">
        <f t="shared" si="35"/>
        <v>0</v>
      </c>
      <c r="Y104" s="177">
        <f t="shared" si="35"/>
        <v>0</v>
      </c>
      <c r="Z104" s="177">
        <f t="shared" si="35"/>
        <v>1</v>
      </c>
      <c r="AA104" s="177">
        <f t="shared" si="35"/>
        <v>0</v>
      </c>
      <c r="AB104" s="177">
        <f t="shared" si="35"/>
        <v>1</v>
      </c>
      <c r="AC104" s="177">
        <f t="shared" si="35"/>
        <v>2</v>
      </c>
      <c r="AD104" s="177">
        <f t="shared" si="35"/>
        <v>0</v>
      </c>
      <c r="AE104" s="177">
        <f t="shared" si="35"/>
        <v>1</v>
      </c>
      <c r="AF104" s="177">
        <f t="shared" si="35"/>
        <v>1</v>
      </c>
      <c r="AG104" s="156">
        <f t="shared" si="33"/>
        <v>27</v>
      </c>
    </row>
    <row r="105">
      <c r="A105" s="157" t="s">
        <v>162</v>
      </c>
      <c r="B105" s="177">
        <f t="shared" ref="B105:AF105" si="36">B69-B128</f>
        <v>18</v>
      </c>
      <c r="C105" s="177">
        <f t="shared" si="36"/>
        <v>14</v>
      </c>
      <c r="D105" s="177">
        <f t="shared" si="36"/>
        <v>14</v>
      </c>
      <c r="E105" s="177">
        <f t="shared" si="36"/>
        <v>11</v>
      </c>
      <c r="F105" s="177">
        <f t="shared" si="36"/>
        <v>12</v>
      </c>
      <c r="G105" s="177">
        <f t="shared" si="36"/>
        <v>8</v>
      </c>
      <c r="H105" s="177">
        <f t="shared" si="36"/>
        <v>10</v>
      </c>
      <c r="I105" s="177">
        <f t="shared" si="36"/>
        <v>7</v>
      </c>
      <c r="J105" s="177">
        <f t="shared" si="36"/>
        <v>10</v>
      </c>
      <c r="K105" s="177">
        <f t="shared" si="36"/>
        <v>11</v>
      </c>
      <c r="L105" s="177">
        <f t="shared" si="36"/>
        <v>7</v>
      </c>
      <c r="M105" s="177">
        <f t="shared" si="36"/>
        <v>6</v>
      </c>
      <c r="N105" s="177">
        <f t="shared" si="36"/>
        <v>6</v>
      </c>
      <c r="O105" s="177">
        <f t="shared" si="36"/>
        <v>2</v>
      </c>
      <c r="P105" s="177">
        <f t="shared" si="36"/>
        <v>3</v>
      </c>
      <c r="Q105" s="177">
        <f t="shared" si="36"/>
        <v>7</v>
      </c>
      <c r="R105" s="177">
        <f t="shared" si="36"/>
        <v>2</v>
      </c>
      <c r="S105" s="177">
        <f t="shared" si="36"/>
        <v>6</v>
      </c>
      <c r="T105" s="177">
        <f t="shared" si="36"/>
        <v>2</v>
      </c>
      <c r="U105" s="177">
        <f t="shared" si="36"/>
        <v>3</v>
      </c>
      <c r="V105" s="177">
        <f t="shared" si="36"/>
        <v>3</v>
      </c>
      <c r="W105" s="177">
        <f t="shared" si="36"/>
        <v>5</v>
      </c>
      <c r="X105" s="177">
        <f t="shared" si="36"/>
        <v>9</v>
      </c>
      <c r="Y105" s="177">
        <f t="shared" si="36"/>
        <v>4</v>
      </c>
      <c r="Z105" s="177">
        <f t="shared" si="36"/>
        <v>4</v>
      </c>
      <c r="AA105" s="177">
        <f t="shared" si="36"/>
        <v>4</v>
      </c>
      <c r="AB105" s="177">
        <f t="shared" si="36"/>
        <v>7</v>
      </c>
      <c r="AC105" s="177">
        <f t="shared" si="36"/>
        <v>4</v>
      </c>
      <c r="AD105" s="177">
        <f t="shared" si="36"/>
        <v>2</v>
      </c>
      <c r="AE105" s="177">
        <f t="shared" si="36"/>
        <v>5</v>
      </c>
      <c r="AF105" s="177">
        <f t="shared" si="36"/>
        <v>7</v>
      </c>
      <c r="AG105" s="156">
        <f t="shared" si="33"/>
        <v>213</v>
      </c>
    </row>
    <row r="106">
      <c r="A106" s="157" t="s">
        <v>163</v>
      </c>
      <c r="B106" s="177">
        <f t="shared" ref="B106:AF106" si="37">B70-B129</f>
        <v>6</v>
      </c>
      <c r="C106" s="177">
        <f t="shared" si="37"/>
        <v>4</v>
      </c>
      <c r="D106" s="177">
        <f t="shared" si="37"/>
        <v>3</v>
      </c>
      <c r="E106" s="177">
        <f t="shared" si="37"/>
        <v>3</v>
      </c>
      <c r="F106" s="177">
        <f t="shared" si="37"/>
        <v>1</v>
      </c>
      <c r="G106" s="177">
        <f t="shared" si="37"/>
        <v>3</v>
      </c>
      <c r="H106" s="177">
        <f t="shared" si="37"/>
        <v>0</v>
      </c>
      <c r="I106" s="177">
        <f t="shared" si="37"/>
        <v>0</v>
      </c>
      <c r="J106" s="177">
        <f t="shared" si="37"/>
        <v>4</v>
      </c>
      <c r="K106" s="177">
        <f t="shared" si="37"/>
        <v>3</v>
      </c>
      <c r="L106" s="177">
        <f t="shared" si="37"/>
        <v>1</v>
      </c>
      <c r="M106" s="177">
        <f t="shared" si="37"/>
        <v>3</v>
      </c>
      <c r="N106" s="177">
        <f t="shared" si="37"/>
        <v>0</v>
      </c>
      <c r="O106" s="177">
        <f t="shared" si="37"/>
        <v>1</v>
      </c>
      <c r="P106" s="177">
        <f t="shared" si="37"/>
        <v>2</v>
      </c>
      <c r="Q106" s="177">
        <f t="shared" si="37"/>
        <v>3</v>
      </c>
      <c r="R106" s="177">
        <f t="shared" si="37"/>
        <v>0</v>
      </c>
      <c r="S106" s="177">
        <f t="shared" si="37"/>
        <v>1</v>
      </c>
      <c r="T106" s="177">
        <f t="shared" si="37"/>
        <v>0</v>
      </c>
      <c r="U106" s="177">
        <f t="shared" si="37"/>
        <v>1</v>
      </c>
      <c r="V106" s="177">
        <f t="shared" si="37"/>
        <v>0</v>
      </c>
      <c r="W106" s="177">
        <f t="shared" si="37"/>
        <v>1</v>
      </c>
      <c r="X106" s="177">
        <f t="shared" si="37"/>
        <v>1</v>
      </c>
      <c r="Y106" s="177">
        <f t="shared" si="37"/>
        <v>0</v>
      </c>
      <c r="Z106" s="177">
        <f t="shared" si="37"/>
        <v>1</v>
      </c>
      <c r="AA106" s="177">
        <f t="shared" si="37"/>
        <v>0</v>
      </c>
      <c r="AB106" s="177">
        <f t="shared" si="37"/>
        <v>0</v>
      </c>
      <c r="AC106" s="177">
        <f t="shared" si="37"/>
        <v>3</v>
      </c>
      <c r="AD106" s="177">
        <f t="shared" si="37"/>
        <v>1</v>
      </c>
      <c r="AE106" s="177">
        <f t="shared" si="37"/>
        <v>0</v>
      </c>
      <c r="AF106" s="177">
        <f t="shared" si="37"/>
        <v>0</v>
      </c>
      <c r="AG106" s="156">
        <f t="shared" si="33"/>
        <v>46</v>
      </c>
    </row>
    <row r="107">
      <c r="A107" s="157" t="s">
        <v>164</v>
      </c>
      <c r="B107" s="177">
        <f t="shared" ref="B107:AF107" si="38">B71-B130</f>
        <v>81</v>
      </c>
      <c r="C107" s="177">
        <f t="shared" si="38"/>
        <v>71</v>
      </c>
      <c r="D107" s="177">
        <f t="shared" si="38"/>
        <v>57</v>
      </c>
      <c r="E107" s="177">
        <f t="shared" si="38"/>
        <v>55</v>
      </c>
      <c r="F107" s="177">
        <f t="shared" si="38"/>
        <v>44</v>
      </c>
      <c r="G107" s="177">
        <f t="shared" si="38"/>
        <v>48</v>
      </c>
      <c r="H107" s="177">
        <f t="shared" si="38"/>
        <v>43</v>
      </c>
      <c r="I107" s="177">
        <f t="shared" si="38"/>
        <v>38</v>
      </c>
      <c r="J107" s="177">
        <f t="shared" si="38"/>
        <v>56</v>
      </c>
      <c r="K107" s="177">
        <f t="shared" si="38"/>
        <v>51</v>
      </c>
      <c r="L107" s="177">
        <f t="shared" si="38"/>
        <v>32</v>
      </c>
      <c r="M107" s="177">
        <f t="shared" si="38"/>
        <v>18</v>
      </c>
      <c r="N107" s="177">
        <f t="shared" si="38"/>
        <v>11</v>
      </c>
      <c r="O107" s="177">
        <f t="shared" si="38"/>
        <v>18</v>
      </c>
      <c r="P107" s="177">
        <f t="shared" si="38"/>
        <v>13</v>
      </c>
      <c r="Q107" s="177">
        <f t="shared" si="38"/>
        <v>22</v>
      </c>
      <c r="R107" s="177">
        <f t="shared" si="38"/>
        <v>16</v>
      </c>
      <c r="S107" s="177">
        <f t="shared" si="38"/>
        <v>14</v>
      </c>
      <c r="T107" s="177">
        <f t="shared" si="38"/>
        <v>14</v>
      </c>
      <c r="U107" s="177">
        <f t="shared" si="38"/>
        <v>9</v>
      </c>
      <c r="V107" s="177">
        <f t="shared" si="38"/>
        <v>20</v>
      </c>
      <c r="W107" s="177">
        <f t="shared" si="38"/>
        <v>17</v>
      </c>
      <c r="X107" s="177">
        <f t="shared" si="38"/>
        <v>17</v>
      </c>
      <c r="Y107" s="177">
        <f t="shared" si="38"/>
        <v>32</v>
      </c>
      <c r="Z107" s="177">
        <f t="shared" si="38"/>
        <v>23</v>
      </c>
      <c r="AA107" s="177">
        <f t="shared" si="38"/>
        <v>14</v>
      </c>
      <c r="AB107" s="177">
        <f t="shared" si="38"/>
        <v>18</v>
      </c>
      <c r="AC107" s="177">
        <f t="shared" si="38"/>
        <v>16</v>
      </c>
      <c r="AD107" s="177">
        <f t="shared" si="38"/>
        <v>14</v>
      </c>
      <c r="AE107" s="177">
        <f t="shared" si="38"/>
        <v>17</v>
      </c>
      <c r="AF107" s="177">
        <f t="shared" si="38"/>
        <v>12</v>
      </c>
      <c r="AG107" s="156">
        <f t="shared" si="33"/>
        <v>911</v>
      </c>
    </row>
    <row r="108">
      <c r="A108" s="157" t="s">
        <v>165</v>
      </c>
      <c r="B108" s="177">
        <f t="shared" ref="B108:AF108" si="39">B72-B131</f>
        <v>15</v>
      </c>
      <c r="C108" s="177">
        <f t="shared" si="39"/>
        <v>11</v>
      </c>
      <c r="D108" s="177">
        <f t="shared" si="39"/>
        <v>4</v>
      </c>
      <c r="E108" s="177">
        <f t="shared" si="39"/>
        <v>5</v>
      </c>
      <c r="F108" s="177">
        <f t="shared" si="39"/>
        <v>4</v>
      </c>
      <c r="G108" s="177">
        <f t="shared" si="39"/>
        <v>3</v>
      </c>
      <c r="H108" s="177">
        <f t="shared" si="39"/>
        <v>1</v>
      </c>
      <c r="I108" s="177">
        <f t="shared" si="39"/>
        <v>1</v>
      </c>
      <c r="J108" s="177">
        <f t="shared" si="39"/>
        <v>8</v>
      </c>
      <c r="K108" s="177">
        <f t="shared" si="39"/>
        <v>4</v>
      </c>
      <c r="L108" s="177">
        <f t="shared" si="39"/>
        <v>1</v>
      </c>
      <c r="M108" s="177">
        <f t="shared" si="39"/>
        <v>2</v>
      </c>
      <c r="N108" s="177">
        <f t="shared" si="39"/>
        <v>2</v>
      </c>
      <c r="O108" s="177">
        <f t="shared" si="39"/>
        <v>3</v>
      </c>
      <c r="P108" s="177">
        <f t="shared" si="39"/>
        <v>3</v>
      </c>
      <c r="Q108" s="177">
        <f t="shared" si="39"/>
        <v>5</v>
      </c>
      <c r="R108" s="177">
        <f t="shared" si="39"/>
        <v>3</v>
      </c>
      <c r="S108" s="177">
        <f t="shared" si="39"/>
        <v>2</v>
      </c>
      <c r="T108" s="177">
        <f t="shared" si="39"/>
        <v>0</v>
      </c>
      <c r="U108" s="177">
        <f t="shared" si="39"/>
        <v>5</v>
      </c>
      <c r="V108" s="177">
        <f t="shared" si="39"/>
        <v>1</v>
      </c>
      <c r="W108" s="177">
        <f t="shared" si="39"/>
        <v>1</v>
      </c>
      <c r="X108" s="177">
        <f t="shared" si="39"/>
        <v>3</v>
      </c>
      <c r="Y108" s="177">
        <f t="shared" si="39"/>
        <v>2</v>
      </c>
      <c r="Z108" s="177">
        <f t="shared" si="39"/>
        <v>0</v>
      </c>
      <c r="AA108" s="177">
        <f t="shared" si="39"/>
        <v>1</v>
      </c>
      <c r="AB108" s="177">
        <f t="shared" si="39"/>
        <v>0</v>
      </c>
      <c r="AC108" s="177">
        <f t="shared" si="39"/>
        <v>4</v>
      </c>
      <c r="AD108" s="177">
        <f t="shared" si="39"/>
        <v>2</v>
      </c>
      <c r="AE108" s="177">
        <f t="shared" si="39"/>
        <v>4</v>
      </c>
      <c r="AF108" s="177">
        <f t="shared" si="39"/>
        <v>4</v>
      </c>
      <c r="AG108" s="156">
        <f t="shared" si="33"/>
        <v>104</v>
      </c>
    </row>
    <row r="109">
      <c r="A109" s="157" t="s">
        <v>166</v>
      </c>
      <c r="B109" s="177">
        <f t="shared" ref="B109:AF109" si="40">B73-B132</f>
        <v>0</v>
      </c>
      <c r="C109" s="177">
        <f t="shared" si="40"/>
        <v>0</v>
      </c>
      <c r="D109" s="177">
        <f t="shared" si="40"/>
        <v>0</v>
      </c>
      <c r="E109" s="177">
        <f t="shared" si="40"/>
        <v>0</v>
      </c>
      <c r="F109" s="177">
        <f t="shared" si="40"/>
        <v>0</v>
      </c>
      <c r="G109" s="177">
        <f t="shared" si="40"/>
        <v>0</v>
      </c>
      <c r="H109" s="177">
        <f t="shared" si="40"/>
        <v>0</v>
      </c>
      <c r="I109" s="177">
        <f t="shared" si="40"/>
        <v>0</v>
      </c>
      <c r="J109" s="177">
        <f t="shared" si="40"/>
        <v>0</v>
      </c>
      <c r="K109" s="177">
        <f t="shared" si="40"/>
        <v>0</v>
      </c>
      <c r="L109" s="177">
        <f t="shared" si="40"/>
        <v>0</v>
      </c>
      <c r="M109" s="177">
        <f t="shared" si="40"/>
        <v>0</v>
      </c>
      <c r="N109" s="177">
        <f t="shared" si="40"/>
        <v>2</v>
      </c>
      <c r="O109" s="177">
        <f t="shared" si="40"/>
        <v>1</v>
      </c>
      <c r="P109" s="177">
        <f t="shared" si="40"/>
        <v>3</v>
      </c>
      <c r="Q109" s="177">
        <f t="shared" si="40"/>
        <v>2</v>
      </c>
      <c r="R109" s="177">
        <f t="shared" si="40"/>
        <v>1</v>
      </c>
      <c r="S109" s="177">
        <f t="shared" si="40"/>
        <v>0</v>
      </c>
      <c r="T109" s="177">
        <f t="shared" si="40"/>
        <v>0</v>
      </c>
      <c r="U109" s="177">
        <f t="shared" si="40"/>
        <v>3</v>
      </c>
      <c r="V109" s="177">
        <f t="shared" si="40"/>
        <v>0</v>
      </c>
      <c r="W109" s="177">
        <f t="shared" si="40"/>
        <v>2</v>
      </c>
      <c r="X109" s="177">
        <f t="shared" si="40"/>
        <v>2</v>
      </c>
      <c r="Y109" s="177">
        <f t="shared" si="40"/>
        <v>0</v>
      </c>
      <c r="Z109" s="177">
        <f t="shared" si="40"/>
        <v>0</v>
      </c>
      <c r="AA109" s="177">
        <f t="shared" si="40"/>
        <v>0</v>
      </c>
      <c r="AB109" s="177">
        <f t="shared" si="40"/>
        <v>1</v>
      </c>
      <c r="AC109" s="177">
        <f t="shared" si="40"/>
        <v>1</v>
      </c>
      <c r="AD109" s="177">
        <f t="shared" si="40"/>
        <v>0</v>
      </c>
      <c r="AE109" s="177">
        <f t="shared" si="40"/>
        <v>0</v>
      </c>
      <c r="AF109" s="177">
        <f t="shared" si="40"/>
        <v>0</v>
      </c>
      <c r="AG109" s="156">
        <f t="shared" si="33"/>
        <v>18</v>
      </c>
    </row>
    <row r="110">
      <c r="A110" s="157" t="s">
        <v>167</v>
      </c>
      <c r="B110" s="177">
        <f t="shared" ref="B110:AF110" si="41">B74-B133</f>
        <v>21</v>
      </c>
      <c r="C110" s="177">
        <f t="shared" si="41"/>
        <v>9</v>
      </c>
      <c r="D110" s="177">
        <f t="shared" si="41"/>
        <v>1</v>
      </c>
      <c r="E110" s="177">
        <f t="shared" si="41"/>
        <v>3</v>
      </c>
      <c r="F110" s="177">
        <f t="shared" si="41"/>
        <v>2</v>
      </c>
      <c r="G110" s="177">
        <f t="shared" si="41"/>
        <v>1</v>
      </c>
      <c r="H110" s="177">
        <f t="shared" si="41"/>
        <v>0</v>
      </c>
      <c r="I110" s="177">
        <f t="shared" si="41"/>
        <v>0</v>
      </c>
      <c r="J110" s="177">
        <f t="shared" si="41"/>
        <v>2</v>
      </c>
      <c r="K110" s="177">
        <f t="shared" si="41"/>
        <v>3</v>
      </c>
      <c r="L110" s="177">
        <f t="shared" si="41"/>
        <v>1</v>
      </c>
      <c r="M110" s="177">
        <f t="shared" si="41"/>
        <v>2</v>
      </c>
      <c r="N110" s="177">
        <f t="shared" si="41"/>
        <v>1</v>
      </c>
      <c r="O110" s="177">
        <f t="shared" si="41"/>
        <v>1</v>
      </c>
      <c r="P110" s="177">
        <f t="shared" si="41"/>
        <v>1</v>
      </c>
      <c r="Q110" s="177">
        <f t="shared" si="41"/>
        <v>2</v>
      </c>
      <c r="R110" s="177">
        <f t="shared" si="41"/>
        <v>2</v>
      </c>
      <c r="S110" s="177">
        <f t="shared" si="41"/>
        <v>1</v>
      </c>
      <c r="T110" s="177">
        <f t="shared" si="41"/>
        <v>0</v>
      </c>
      <c r="U110" s="177">
        <f t="shared" si="41"/>
        <v>1</v>
      </c>
      <c r="V110" s="177">
        <f t="shared" si="41"/>
        <v>0</v>
      </c>
      <c r="W110" s="177">
        <f t="shared" si="41"/>
        <v>2</v>
      </c>
      <c r="X110" s="177">
        <f t="shared" si="41"/>
        <v>1</v>
      </c>
      <c r="Y110" s="177">
        <f t="shared" si="41"/>
        <v>1</v>
      </c>
      <c r="Z110" s="177">
        <f t="shared" si="41"/>
        <v>0</v>
      </c>
      <c r="AA110" s="177">
        <f t="shared" si="41"/>
        <v>0</v>
      </c>
      <c r="AB110" s="177">
        <f t="shared" si="41"/>
        <v>1</v>
      </c>
      <c r="AC110" s="177">
        <f t="shared" si="41"/>
        <v>0</v>
      </c>
      <c r="AD110" s="177">
        <f t="shared" si="41"/>
        <v>0</v>
      </c>
      <c r="AE110" s="177">
        <f t="shared" si="41"/>
        <v>0</v>
      </c>
      <c r="AF110" s="177">
        <f t="shared" si="41"/>
        <v>0</v>
      </c>
      <c r="AG110" s="156">
        <f t="shared" si="33"/>
        <v>59</v>
      </c>
    </row>
    <row r="111">
      <c r="A111" s="163" t="s">
        <v>141</v>
      </c>
      <c r="B111" s="178">
        <f t="shared" ref="B111:AF111" si="42">SUM(B101:B110)</f>
        <v>331</v>
      </c>
      <c r="C111" s="178">
        <f t="shared" si="42"/>
        <v>263</v>
      </c>
      <c r="D111" s="178">
        <f t="shared" si="42"/>
        <v>252</v>
      </c>
      <c r="E111" s="178">
        <f t="shared" si="42"/>
        <v>223</v>
      </c>
      <c r="F111" s="178">
        <f t="shared" si="42"/>
        <v>187</v>
      </c>
      <c r="G111" s="178">
        <f t="shared" si="42"/>
        <v>198</v>
      </c>
      <c r="H111" s="178">
        <f t="shared" si="42"/>
        <v>166</v>
      </c>
      <c r="I111" s="178">
        <f t="shared" si="42"/>
        <v>163</v>
      </c>
      <c r="J111" s="178">
        <f t="shared" si="42"/>
        <v>211</v>
      </c>
      <c r="K111" s="178">
        <f t="shared" si="42"/>
        <v>211</v>
      </c>
      <c r="L111" s="178">
        <f t="shared" si="42"/>
        <v>101</v>
      </c>
      <c r="M111" s="178">
        <f t="shared" si="42"/>
        <v>56</v>
      </c>
      <c r="N111" s="178">
        <f t="shared" si="42"/>
        <v>37</v>
      </c>
      <c r="O111" s="178">
        <f t="shared" si="42"/>
        <v>50</v>
      </c>
      <c r="P111" s="178">
        <f t="shared" si="42"/>
        <v>42</v>
      </c>
      <c r="Q111" s="178">
        <f t="shared" si="42"/>
        <v>72</v>
      </c>
      <c r="R111" s="178">
        <f t="shared" si="42"/>
        <v>47</v>
      </c>
      <c r="S111" s="178">
        <f t="shared" si="42"/>
        <v>52</v>
      </c>
      <c r="T111" s="178">
        <f t="shared" si="42"/>
        <v>30</v>
      </c>
      <c r="U111" s="178">
        <f t="shared" si="42"/>
        <v>31</v>
      </c>
      <c r="V111" s="178">
        <f t="shared" si="42"/>
        <v>44</v>
      </c>
      <c r="W111" s="178">
        <f t="shared" si="42"/>
        <v>87</v>
      </c>
      <c r="X111" s="178">
        <f t="shared" si="42"/>
        <v>69</v>
      </c>
      <c r="Y111" s="178">
        <f t="shared" si="42"/>
        <v>74</v>
      </c>
      <c r="Z111" s="178">
        <f t="shared" si="42"/>
        <v>54</v>
      </c>
      <c r="AA111" s="178">
        <f t="shared" si="42"/>
        <v>37</v>
      </c>
      <c r="AB111" s="178">
        <f t="shared" si="42"/>
        <v>57</v>
      </c>
      <c r="AC111" s="178">
        <f t="shared" si="42"/>
        <v>49</v>
      </c>
      <c r="AD111" s="178">
        <f t="shared" si="42"/>
        <v>46</v>
      </c>
      <c r="AE111" s="178">
        <f t="shared" si="42"/>
        <v>56</v>
      </c>
      <c r="AF111" s="178">
        <f t="shared" si="42"/>
        <v>42</v>
      </c>
      <c r="AG111" s="156">
        <f t="shared" si="33"/>
        <v>3338</v>
      </c>
    </row>
    <row r="112">
      <c r="A112" s="172"/>
      <c r="AG112" s="156"/>
    </row>
    <row r="113">
      <c r="A113" s="149" t="s">
        <v>168</v>
      </c>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c r="AA113" s="176"/>
      <c r="AB113" s="176"/>
      <c r="AC113" s="176"/>
      <c r="AD113" s="176"/>
      <c r="AE113" s="176"/>
      <c r="AF113" s="176"/>
      <c r="AG113" s="156"/>
    </row>
    <row r="114">
      <c r="A114" s="157" t="s">
        <v>169</v>
      </c>
      <c r="B114" s="177">
        <v>2.0</v>
      </c>
      <c r="C114" s="177">
        <v>3.0</v>
      </c>
      <c r="D114" s="177">
        <v>3.0</v>
      </c>
      <c r="E114" s="177">
        <v>4.0</v>
      </c>
      <c r="F114" s="177">
        <v>3.0</v>
      </c>
      <c r="G114" s="177">
        <v>2.0</v>
      </c>
      <c r="H114" s="177">
        <v>1.0</v>
      </c>
      <c r="I114" s="177">
        <v>1.0</v>
      </c>
      <c r="J114" s="177">
        <v>3.0</v>
      </c>
      <c r="K114" s="177">
        <v>1.0</v>
      </c>
      <c r="L114" s="177">
        <v>2.0</v>
      </c>
      <c r="M114" s="177">
        <v>0.0</v>
      </c>
      <c r="N114" s="177">
        <v>1.0</v>
      </c>
      <c r="O114" s="177">
        <v>1.0</v>
      </c>
      <c r="P114" s="177">
        <v>0.0</v>
      </c>
      <c r="Q114" s="160">
        <v>1.0</v>
      </c>
      <c r="R114" s="177">
        <v>0.0</v>
      </c>
      <c r="S114" s="177">
        <v>1.0</v>
      </c>
      <c r="T114" s="177">
        <v>0.0</v>
      </c>
      <c r="U114" s="177">
        <v>1.0</v>
      </c>
      <c r="V114" s="177">
        <v>0.0</v>
      </c>
      <c r="W114" s="177">
        <v>0.0</v>
      </c>
      <c r="X114" s="177">
        <v>2.0</v>
      </c>
      <c r="Y114" s="177">
        <v>0.0</v>
      </c>
      <c r="Z114" s="177">
        <v>1.0</v>
      </c>
      <c r="AA114" s="180">
        <v>0.0</v>
      </c>
      <c r="AB114" s="177">
        <v>1.0</v>
      </c>
      <c r="AC114" s="177">
        <v>1.0</v>
      </c>
      <c r="AD114" s="177">
        <v>0.0</v>
      </c>
      <c r="AE114" s="177">
        <v>0.0</v>
      </c>
      <c r="AF114" s="177">
        <v>1.0</v>
      </c>
      <c r="AG114" s="156">
        <f t="shared" ref="AG114:AG118" si="43">SUM(B114:AF114)</f>
        <v>36</v>
      </c>
    </row>
    <row r="115">
      <c r="A115" s="157" t="s">
        <v>170</v>
      </c>
      <c r="B115" s="159">
        <v>0.0</v>
      </c>
      <c r="C115" s="159">
        <v>0.0</v>
      </c>
      <c r="D115" s="159">
        <v>0.0</v>
      </c>
      <c r="E115" s="159">
        <v>0.0</v>
      </c>
      <c r="F115" s="159">
        <v>0.0</v>
      </c>
      <c r="G115" s="159">
        <v>0.0</v>
      </c>
      <c r="H115" s="159">
        <v>0.0</v>
      </c>
      <c r="I115" s="159">
        <v>0.0</v>
      </c>
      <c r="J115" s="159">
        <v>0.0</v>
      </c>
      <c r="K115" s="159">
        <v>0.0</v>
      </c>
      <c r="L115" s="159">
        <v>0.0</v>
      </c>
      <c r="M115" s="159">
        <v>0.0</v>
      </c>
      <c r="N115" s="159">
        <v>0.0</v>
      </c>
      <c r="O115" s="159">
        <v>0.0</v>
      </c>
      <c r="P115" s="159">
        <v>0.0</v>
      </c>
      <c r="Q115" s="160">
        <v>0.0</v>
      </c>
      <c r="R115" s="159">
        <v>0.0</v>
      </c>
      <c r="S115" s="86">
        <v>0.0</v>
      </c>
      <c r="T115" s="86">
        <v>0.0</v>
      </c>
      <c r="U115" s="177">
        <v>0.0</v>
      </c>
      <c r="V115" s="177">
        <v>0.0</v>
      </c>
      <c r="W115" s="177">
        <v>0.0</v>
      </c>
      <c r="X115" s="177">
        <v>0.0</v>
      </c>
      <c r="Y115" s="177">
        <v>0.0</v>
      </c>
      <c r="Z115" s="177">
        <v>0.0</v>
      </c>
      <c r="AA115" s="180">
        <v>0.0</v>
      </c>
      <c r="AB115" s="177">
        <v>0.0</v>
      </c>
      <c r="AC115" s="177">
        <v>0.0</v>
      </c>
      <c r="AD115" s="177">
        <v>0.0</v>
      </c>
      <c r="AE115" s="177">
        <v>0.0</v>
      </c>
      <c r="AF115" s="177">
        <v>0.0</v>
      </c>
      <c r="AG115" s="156">
        <f t="shared" si="43"/>
        <v>0</v>
      </c>
    </row>
    <row r="116">
      <c r="A116" s="157" t="s">
        <v>171</v>
      </c>
      <c r="B116" s="177">
        <v>22.0</v>
      </c>
      <c r="C116" s="177">
        <v>9.0</v>
      </c>
      <c r="D116" s="177">
        <v>8.0</v>
      </c>
      <c r="E116" s="177">
        <v>10.0</v>
      </c>
      <c r="F116" s="177">
        <v>9.0</v>
      </c>
      <c r="G116" s="177">
        <v>5.0</v>
      </c>
      <c r="H116" s="177">
        <v>10.0</v>
      </c>
      <c r="I116" s="177">
        <v>5.0</v>
      </c>
      <c r="J116" s="177">
        <v>7.0</v>
      </c>
      <c r="K116" s="177">
        <v>5.0</v>
      </c>
      <c r="L116" s="177">
        <v>4.0</v>
      </c>
      <c r="M116" s="177">
        <v>3.0</v>
      </c>
      <c r="N116" s="177">
        <v>1.0</v>
      </c>
      <c r="O116" s="177">
        <v>2.0</v>
      </c>
      <c r="P116" s="177">
        <v>4.0</v>
      </c>
      <c r="Q116" s="160">
        <v>3.0</v>
      </c>
      <c r="R116" s="177">
        <v>8.0</v>
      </c>
      <c r="S116" s="177">
        <v>2.0</v>
      </c>
      <c r="T116" s="177">
        <v>2.0</v>
      </c>
      <c r="U116" s="177">
        <v>4.0</v>
      </c>
      <c r="V116" s="177">
        <v>3.0</v>
      </c>
      <c r="W116" s="177">
        <v>3.0</v>
      </c>
      <c r="X116" s="177">
        <v>4.0</v>
      </c>
      <c r="Y116" s="177">
        <v>8.0</v>
      </c>
      <c r="Z116" s="177">
        <v>3.0</v>
      </c>
      <c r="AA116" s="180">
        <v>6.0</v>
      </c>
      <c r="AB116" s="177">
        <v>3.0</v>
      </c>
      <c r="AC116" s="177">
        <v>5.0</v>
      </c>
      <c r="AD116" s="177">
        <v>3.0</v>
      </c>
      <c r="AE116" s="177">
        <v>4.0</v>
      </c>
      <c r="AF116" s="177">
        <v>5.0</v>
      </c>
      <c r="AG116" s="156">
        <f t="shared" si="43"/>
        <v>170</v>
      </c>
    </row>
    <row r="117">
      <c r="A117" s="157" t="s">
        <v>172</v>
      </c>
      <c r="B117" s="159">
        <v>0.0</v>
      </c>
      <c r="C117" s="159">
        <v>0.0</v>
      </c>
      <c r="D117" s="159">
        <v>0.0</v>
      </c>
      <c r="E117" s="159">
        <v>0.0</v>
      </c>
      <c r="F117" s="159">
        <v>0.0</v>
      </c>
      <c r="G117" s="159">
        <v>0.0</v>
      </c>
      <c r="H117" s="159">
        <v>0.0</v>
      </c>
      <c r="I117" s="159">
        <v>0.0</v>
      </c>
      <c r="J117" s="159">
        <v>0.0</v>
      </c>
      <c r="K117" s="159">
        <v>0.0</v>
      </c>
      <c r="L117" s="159">
        <v>0.0</v>
      </c>
      <c r="M117" s="159">
        <v>0.0</v>
      </c>
      <c r="N117" s="159">
        <v>0.0</v>
      </c>
      <c r="O117" s="159">
        <v>0.0</v>
      </c>
      <c r="P117" s="159">
        <v>0.0</v>
      </c>
      <c r="Q117" s="160">
        <v>0.0</v>
      </c>
      <c r="R117" s="159">
        <v>0.0</v>
      </c>
      <c r="S117" s="86">
        <v>0.0</v>
      </c>
      <c r="T117" s="86">
        <v>0.0</v>
      </c>
      <c r="U117" s="177">
        <v>0.0</v>
      </c>
      <c r="V117" s="177">
        <v>0.0</v>
      </c>
      <c r="W117" s="177">
        <v>0.0</v>
      </c>
      <c r="X117" s="177">
        <v>0.0</v>
      </c>
      <c r="Y117" s="177">
        <v>0.0</v>
      </c>
      <c r="Z117" s="177">
        <v>0.0</v>
      </c>
      <c r="AA117" s="180">
        <v>0.0</v>
      </c>
      <c r="AB117" s="177">
        <v>0.0</v>
      </c>
      <c r="AC117" s="177">
        <v>0.0</v>
      </c>
      <c r="AD117" s="177">
        <v>0.0</v>
      </c>
      <c r="AE117" s="177">
        <v>0.0</v>
      </c>
      <c r="AF117" s="177">
        <v>0.0</v>
      </c>
      <c r="AG117" s="156">
        <f t="shared" si="43"/>
        <v>0</v>
      </c>
    </row>
    <row r="118">
      <c r="A118" s="163" t="s">
        <v>127</v>
      </c>
      <c r="B118" s="178">
        <f t="shared" ref="B118:AF118" si="44">SUM(B114:B117)</f>
        <v>24</v>
      </c>
      <c r="C118" s="178">
        <f t="shared" si="44"/>
        <v>12</v>
      </c>
      <c r="D118" s="178">
        <f t="shared" si="44"/>
        <v>11</v>
      </c>
      <c r="E118" s="178">
        <f t="shared" si="44"/>
        <v>14</v>
      </c>
      <c r="F118" s="178">
        <f t="shared" si="44"/>
        <v>12</v>
      </c>
      <c r="G118" s="178">
        <f t="shared" si="44"/>
        <v>7</v>
      </c>
      <c r="H118" s="178">
        <f t="shared" si="44"/>
        <v>11</v>
      </c>
      <c r="I118" s="178">
        <f t="shared" si="44"/>
        <v>6</v>
      </c>
      <c r="J118" s="178">
        <f t="shared" si="44"/>
        <v>10</v>
      </c>
      <c r="K118" s="178">
        <f t="shared" si="44"/>
        <v>6</v>
      </c>
      <c r="L118" s="178">
        <f t="shared" si="44"/>
        <v>6</v>
      </c>
      <c r="M118" s="178">
        <f t="shared" si="44"/>
        <v>3</v>
      </c>
      <c r="N118" s="178">
        <f t="shared" si="44"/>
        <v>2</v>
      </c>
      <c r="O118" s="178">
        <f t="shared" si="44"/>
        <v>3</v>
      </c>
      <c r="P118" s="178">
        <f t="shared" si="44"/>
        <v>4</v>
      </c>
      <c r="Q118" s="178">
        <f t="shared" si="44"/>
        <v>4</v>
      </c>
      <c r="R118" s="178">
        <f t="shared" si="44"/>
        <v>8</v>
      </c>
      <c r="S118" s="178">
        <f t="shared" si="44"/>
        <v>3</v>
      </c>
      <c r="T118" s="178">
        <f t="shared" si="44"/>
        <v>2</v>
      </c>
      <c r="U118" s="178">
        <f t="shared" si="44"/>
        <v>5</v>
      </c>
      <c r="V118" s="178">
        <f t="shared" si="44"/>
        <v>3</v>
      </c>
      <c r="W118" s="178">
        <f t="shared" si="44"/>
        <v>3</v>
      </c>
      <c r="X118" s="178">
        <f t="shared" si="44"/>
        <v>6</v>
      </c>
      <c r="Y118" s="178">
        <f t="shared" si="44"/>
        <v>8</v>
      </c>
      <c r="Z118" s="178">
        <f t="shared" si="44"/>
        <v>4</v>
      </c>
      <c r="AA118" s="178">
        <f t="shared" si="44"/>
        <v>6</v>
      </c>
      <c r="AB118" s="178">
        <f t="shared" si="44"/>
        <v>4</v>
      </c>
      <c r="AC118" s="178">
        <f t="shared" si="44"/>
        <v>6</v>
      </c>
      <c r="AD118" s="178">
        <f t="shared" si="44"/>
        <v>3</v>
      </c>
      <c r="AE118" s="178">
        <f t="shared" si="44"/>
        <v>4</v>
      </c>
      <c r="AF118" s="178">
        <f t="shared" si="44"/>
        <v>6</v>
      </c>
      <c r="AG118" s="156">
        <f t="shared" si="43"/>
        <v>206</v>
      </c>
    </row>
    <row r="119">
      <c r="A119" s="107"/>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56"/>
    </row>
    <row r="120">
      <c r="A120" s="157" t="s">
        <v>173</v>
      </c>
      <c r="B120" s="165">
        <v>133.0</v>
      </c>
      <c r="C120" s="165">
        <v>11.0</v>
      </c>
      <c r="D120" s="165">
        <v>6.0</v>
      </c>
      <c r="E120" s="165">
        <v>6.0</v>
      </c>
      <c r="F120" s="165">
        <v>1.0</v>
      </c>
      <c r="G120" s="165">
        <v>0.0</v>
      </c>
      <c r="H120" s="165">
        <v>9.0</v>
      </c>
      <c r="I120" s="165">
        <v>4.0</v>
      </c>
      <c r="J120" s="86">
        <v>1.0</v>
      </c>
      <c r="K120" s="86">
        <v>3.0</v>
      </c>
      <c r="L120" s="86">
        <v>5.0</v>
      </c>
      <c r="M120" s="86">
        <v>0.0</v>
      </c>
      <c r="N120" s="86">
        <v>2.0</v>
      </c>
      <c r="O120" s="86">
        <v>1.0</v>
      </c>
      <c r="P120" s="86">
        <v>1.0</v>
      </c>
      <c r="Q120" s="86">
        <v>2.0</v>
      </c>
      <c r="R120" s="86">
        <v>2.0</v>
      </c>
      <c r="S120" s="86">
        <v>1.0</v>
      </c>
      <c r="T120" s="86">
        <v>2.0</v>
      </c>
      <c r="U120" s="86">
        <v>0.0</v>
      </c>
      <c r="V120" s="86">
        <v>0.0</v>
      </c>
      <c r="W120" s="86">
        <v>4.0</v>
      </c>
      <c r="X120" s="86">
        <v>2.0</v>
      </c>
      <c r="Y120" s="86">
        <v>1.0</v>
      </c>
      <c r="Z120" s="86">
        <v>0.0</v>
      </c>
      <c r="AA120" s="86">
        <v>1.0</v>
      </c>
      <c r="AB120" s="86">
        <v>0.0</v>
      </c>
      <c r="AC120" s="86">
        <v>2.0</v>
      </c>
      <c r="AD120" s="86">
        <v>1.0</v>
      </c>
      <c r="AE120" s="86">
        <v>1.0</v>
      </c>
      <c r="AF120" s="86">
        <v>0.0</v>
      </c>
      <c r="AG120" s="156">
        <f t="shared" ref="AG120:AG122" si="45">SUM(B120:AF120)</f>
        <v>202</v>
      </c>
    </row>
    <row r="121">
      <c r="A121" s="157" t="s">
        <v>174</v>
      </c>
      <c r="B121" s="165">
        <v>413.0</v>
      </c>
      <c r="C121" s="165">
        <v>50.0</v>
      </c>
      <c r="D121" s="165">
        <v>33.0</v>
      </c>
      <c r="E121" s="165">
        <v>30.0</v>
      </c>
      <c r="F121" s="165">
        <v>13.0</v>
      </c>
      <c r="G121" s="165">
        <v>11.0</v>
      </c>
      <c r="H121" s="165">
        <v>13.0</v>
      </c>
      <c r="I121" s="165">
        <v>12.0</v>
      </c>
      <c r="J121" s="86">
        <v>11.0</v>
      </c>
      <c r="K121" s="86">
        <v>11.0</v>
      </c>
      <c r="L121" s="86">
        <v>9.0</v>
      </c>
      <c r="M121" s="86">
        <v>6.0</v>
      </c>
      <c r="N121" s="86">
        <v>4.0</v>
      </c>
      <c r="O121" s="86">
        <v>7.0</v>
      </c>
      <c r="P121" s="86">
        <v>2.0</v>
      </c>
      <c r="Q121" s="86">
        <v>7.0</v>
      </c>
      <c r="R121" s="86">
        <v>6.0</v>
      </c>
      <c r="S121" s="86">
        <v>6.0</v>
      </c>
      <c r="T121" s="86">
        <v>5.0</v>
      </c>
      <c r="U121" s="86">
        <v>4.0</v>
      </c>
      <c r="V121" s="86">
        <v>4.0</v>
      </c>
      <c r="W121" s="86">
        <v>0.0</v>
      </c>
      <c r="X121" s="86">
        <v>5.0</v>
      </c>
      <c r="Y121" s="86">
        <v>5.0</v>
      </c>
      <c r="Z121" s="86">
        <v>7.0</v>
      </c>
      <c r="AA121" s="86">
        <v>1.0</v>
      </c>
      <c r="AB121" s="86">
        <v>2.0</v>
      </c>
      <c r="AC121" s="86">
        <v>5.0</v>
      </c>
      <c r="AD121" s="86">
        <v>2.0</v>
      </c>
      <c r="AE121" s="86">
        <v>2.0</v>
      </c>
      <c r="AF121" s="86">
        <v>1.0</v>
      </c>
      <c r="AG121" s="156">
        <f t="shared" si="45"/>
        <v>687</v>
      </c>
    </row>
    <row r="122">
      <c r="A122" s="163" t="s">
        <v>130</v>
      </c>
      <c r="B122" s="164">
        <f t="shared" ref="B122:AF122" si="46">SUM(B120:B121)</f>
        <v>546</v>
      </c>
      <c r="C122" s="164">
        <f t="shared" si="46"/>
        <v>61</v>
      </c>
      <c r="D122" s="164">
        <f t="shared" si="46"/>
        <v>39</v>
      </c>
      <c r="E122" s="164">
        <f t="shared" si="46"/>
        <v>36</v>
      </c>
      <c r="F122" s="164">
        <f t="shared" si="46"/>
        <v>14</v>
      </c>
      <c r="G122" s="164">
        <f t="shared" si="46"/>
        <v>11</v>
      </c>
      <c r="H122" s="164">
        <f t="shared" si="46"/>
        <v>22</v>
      </c>
      <c r="I122" s="164">
        <f t="shared" si="46"/>
        <v>16</v>
      </c>
      <c r="J122" s="164">
        <f t="shared" si="46"/>
        <v>12</v>
      </c>
      <c r="K122" s="164">
        <f t="shared" si="46"/>
        <v>14</v>
      </c>
      <c r="L122" s="164">
        <f t="shared" si="46"/>
        <v>14</v>
      </c>
      <c r="M122" s="164">
        <f t="shared" si="46"/>
        <v>6</v>
      </c>
      <c r="N122" s="164">
        <f t="shared" si="46"/>
        <v>6</v>
      </c>
      <c r="O122" s="164">
        <f t="shared" si="46"/>
        <v>8</v>
      </c>
      <c r="P122" s="164">
        <f t="shared" si="46"/>
        <v>3</v>
      </c>
      <c r="Q122" s="164">
        <f t="shared" si="46"/>
        <v>9</v>
      </c>
      <c r="R122" s="164">
        <f t="shared" si="46"/>
        <v>8</v>
      </c>
      <c r="S122" s="164">
        <f t="shared" si="46"/>
        <v>7</v>
      </c>
      <c r="T122" s="164">
        <f t="shared" si="46"/>
        <v>7</v>
      </c>
      <c r="U122" s="164">
        <f t="shared" si="46"/>
        <v>4</v>
      </c>
      <c r="V122" s="164">
        <f t="shared" si="46"/>
        <v>4</v>
      </c>
      <c r="W122" s="164">
        <f t="shared" si="46"/>
        <v>4</v>
      </c>
      <c r="X122" s="164">
        <f t="shared" si="46"/>
        <v>7</v>
      </c>
      <c r="Y122" s="164">
        <f t="shared" si="46"/>
        <v>6</v>
      </c>
      <c r="Z122" s="164">
        <f t="shared" si="46"/>
        <v>7</v>
      </c>
      <c r="AA122" s="164">
        <f t="shared" si="46"/>
        <v>2</v>
      </c>
      <c r="AB122" s="164">
        <f t="shared" si="46"/>
        <v>2</v>
      </c>
      <c r="AC122" s="164">
        <f t="shared" si="46"/>
        <v>7</v>
      </c>
      <c r="AD122" s="164">
        <f t="shared" si="46"/>
        <v>3</v>
      </c>
      <c r="AE122" s="164">
        <f t="shared" si="46"/>
        <v>3</v>
      </c>
      <c r="AF122" s="164">
        <f t="shared" si="46"/>
        <v>1</v>
      </c>
      <c r="AG122" s="156">
        <f t="shared" si="45"/>
        <v>889</v>
      </c>
    </row>
    <row r="123">
      <c r="A123" s="100"/>
      <c r="AB123" s="181"/>
      <c r="AC123" s="181"/>
      <c r="AG123" s="156"/>
    </row>
    <row r="124">
      <c r="A124" s="157" t="s">
        <v>131</v>
      </c>
      <c r="B124" s="177">
        <v>39.0</v>
      </c>
      <c r="C124" s="177">
        <v>17.0</v>
      </c>
      <c r="D124" s="177">
        <v>14.0</v>
      </c>
      <c r="E124" s="177">
        <v>16.0</v>
      </c>
      <c r="F124" s="177">
        <v>14.0</v>
      </c>
      <c r="G124" s="177">
        <v>8.0</v>
      </c>
      <c r="H124" s="177">
        <v>9.0</v>
      </c>
      <c r="I124" s="177">
        <v>8.0</v>
      </c>
      <c r="J124" s="177">
        <v>11.0</v>
      </c>
      <c r="K124" s="177">
        <v>11.0</v>
      </c>
      <c r="L124" s="158">
        <v>7.0</v>
      </c>
      <c r="M124" s="177">
        <v>6.0</v>
      </c>
      <c r="N124" s="177">
        <v>3.0</v>
      </c>
      <c r="O124" s="177">
        <v>2.0</v>
      </c>
      <c r="P124" s="177">
        <v>3.0</v>
      </c>
      <c r="Q124" s="160">
        <v>3.0</v>
      </c>
      <c r="R124" s="177">
        <v>4.0</v>
      </c>
      <c r="S124" s="177">
        <v>4.0</v>
      </c>
      <c r="T124" s="177">
        <v>1.0</v>
      </c>
      <c r="U124" s="177">
        <v>4.0</v>
      </c>
      <c r="V124" s="177">
        <v>1.0</v>
      </c>
      <c r="W124" s="177">
        <v>1.0</v>
      </c>
      <c r="X124" s="177">
        <v>2.0</v>
      </c>
      <c r="Y124" s="177">
        <v>1.0</v>
      </c>
      <c r="Z124" s="177">
        <v>1.0</v>
      </c>
      <c r="AA124" s="158">
        <v>2.0</v>
      </c>
      <c r="AB124" s="177">
        <v>1.0</v>
      </c>
      <c r="AC124" s="177">
        <v>4.0</v>
      </c>
      <c r="AD124" s="177">
        <v>4.0</v>
      </c>
      <c r="AE124" s="177">
        <v>0.0</v>
      </c>
      <c r="AF124" s="177">
        <v>1.0</v>
      </c>
      <c r="AG124" s="156">
        <f t="shared" ref="AG124:AG134" si="47">SUM(B124:AF124)</f>
        <v>202</v>
      </c>
    </row>
    <row r="125">
      <c r="A125" s="157" t="s">
        <v>132</v>
      </c>
      <c r="B125" s="177">
        <v>12.0</v>
      </c>
      <c r="C125" s="177">
        <v>5.0</v>
      </c>
      <c r="D125" s="177">
        <v>2.0</v>
      </c>
      <c r="E125" s="177">
        <v>11.0</v>
      </c>
      <c r="F125" s="177">
        <v>5.0</v>
      </c>
      <c r="G125" s="177">
        <v>3.0</v>
      </c>
      <c r="H125" s="177">
        <v>5.0</v>
      </c>
      <c r="I125" s="177">
        <v>3.0</v>
      </c>
      <c r="J125" s="177">
        <v>5.0</v>
      </c>
      <c r="K125" s="177">
        <v>5.0</v>
      </c>
      <c r="L125" s="177">
        <v>5.0</v>
      </c>
      <c r="M125" s="177">
        <v>5.0</v>
      </c>
      <c r="N125" s="177">
        <v>1.0</v>
      </c>
      <c r="O125" s="177">
        <v>3.0</v>
      </c>
      <c r="P125" s="177">
        <v>1.0</v>
      </c>
      <c r="Q125" s="160">
        <v>2.0</v>
      </c>
      <c r="R125" s="177">
        <v>3.0</v>
      </c>
      <c r="S125" s="177">
        <v>5.0</v>
      </c>
      <c r="T125" s="177">
        <v>8.0</v>
      </c>
      <c r="U125" s="177">
        <v>5.0</v>
      </c>
      <c r="V125" s="177">
        <v>4.0</v>
      </c>
      <c r="W125" s="177">
        <v>5.0</v>
      </c>
      <c r="X125" s="177">
        <v>4.0</v>
      </c>
      <c r="Y125" s="177">
        <v>6.0</v>
      </c>
      <c r="Z125" s="177">
        <v>6.0</v>
      </c>
      <c r="AA125" s="182">
        <v>4.0</v>
      </c>
      <c r="AB125" s="177">
        <v>1.0</v>
      </c>
      <c r="AC125" s="177">
        <v>4.0</v>
      </c>
      <c r="AD125" s="177">
        <v>1.0</v>
      </c>
      <c r="AE125" s="177">
        <v>2.0</v>
      </c>
      <c r="AF125" s="177">
        <v>3.0</v>
      </c>
      <c r="AG125" s="156">
        <f t="shared" si="47"/>
        <v>134</v>
      </c>
    </row>
    <row r="126">
      <c r="A126" s="157" t="s">
        <v>175</v>
      </c>
      <c r="B126" s="177">
        <v>19.0</v>
      </c>
      <c r="C126" s="177">
        <v>5.0</v>
      </c>
      <c r="D126" s="177">
        <v>5.0</v>
      </c>
      <c r="E126" s="177">
        <v>4.0</v>
      </c>
      <c r="F126" s="177">
        <v>5.0</v>
      </c>
      <c r="G126" s="177">
        <v>3.0</v>
      </c>
      <c r="H126" s="177">
        <v>5.0</v>
      </c>
      <c r="I126" s="177">
        <v>2.0</v>
      </c>
      <c r="J126" s="177">
        <v>6.0</v>
      </c>
      <c r="K126" s="177">
        <v>2.0</v>
      </c>
      <c r="L126" s="177">
        <v>5.0</v>
      </c>
      <c r="M126" s="177">
        <v>2.0</v>
      </c>
      <c r="N126" s="177">
        <v>0.0</v>
      </c>
      <c r="O126" s="177">
        <v>1.0</v>
      </c>
      <c r="P126" s="177">
        <v>3.0</v>
      </c>
      <c r="Q126" s="159">
        <v>4.0</v>
      </c>
      <c r="R126" s="177">
        <v>3.0</v>
      </c>
      <c r="S126" s="177">
        <v>2.0</v>
      </c>
      <c r="T126" s="177">
        <v>1.0</v>
      </c>
      <c r="U126" s="177">
        <v>2.0</v>
      </c>
      <c r="V126" s="177">
        <v>1.0</v>
      </c>
      <c r="W126" s="177">
        <v>2.0</v>
      </c>
      <c r="X126" s="177">
        <v>1.0</v>
      </c>
      <c r="Y126" s="177">
        <v>5.0</v>
      </c>
      <c r="Z126" s="177">
        <v>2.0</v>
      </c>
      <c r="AA126" s="177">
        <v>2.0</v>
      </c>
      <c r="AB126" s="177">
        <v>0.0</v>
      </c>
      <c r="AC126" s="177">
        <v>4.0</v>
      </c>
      <c r="AD126" s="177">
        <v>1.0</v>
      </c>
      <c r="AE126" s="177">
        <v>3.0</v>
      </c>
      <c r="AF126" s="177">
        <v>0.0</v>
      </c>
      <c r="AG126" s="156">
        <f t="shared" si="47"/>
        <v>100</v>
      </c>
    </row>
    <row r="127">
      <c r="A127" s="157" t="s">
        <v>176</v>
      </c>
      <c r="B127" s="159">
        <v>0.0</v>
      </c>
      <c r="C127" s="159">
        <v>0.0</v>
      </c>
      <c r="D127" s="159">
        <v>0.0</v>
      </c>
      <c r="E127" s="159">
        <v>0.0</v>
      </c>
      <c r="F127" s="159">
        <v>0.0</v>
      </c>
      <c r="G127" s="159">
        <v>1.0</v>
      </c>
      <c r="H127" s="159">
        <v>3.0</v>
      </c>
      <c r="I127" s="159">
        <v>0.0</v>
      </c>
      <c r="J127" s="159">
        <v>1.0</v>
      </c>
      <c r="K127" s="159">
        <v>0.0</v>
      </c>
      <c r="L127" s="159">
        <v>0.0</v>
      </c>
      <c r="M127" s="159">
        <v>0.0</v>
      </c>
      <c r="N127" s="159">
        <v>0.0</v>
      </c>
      <c r="O127" s="159">
        <v>3.0</v>
      </c>
      <c r="P127" s="159">
        <v>1.0</v>
      </c>
      <c r="Q127" s="160">
        <v>0.0</v>
      </c>
      <c r="R127" s="159">
        <v>0.0</v>
      </c>
      <c r="S127" s="86">
        <v>0.0</v>
      </c>
      <c r="T127" s="86">
        <v>0.0</v>
      </c>
      <c r="U127" s="177">
        <v>0.0</v>
      </c>
      <c r="V127" s="177">
        <v>1.0</v>
      </c>
      <c r="W127" s="177">
        <v>0.0</v>
      </c>
      <c r="X127" s="177">
        <v>1.0</v>
      </c>
      <c r="Y127" s="177">
        <v>0.0</v>
      </c>
      <c r="Z127" s="177">
        <v>0.0</v>
      </c>
      <c r="AA127" s="177">
        <v>0.0</v>
      </c>
      <c r="AB127" s="177">
        <v>0.0</v>
      </c>
      <c r="AC127" s="177">
        <v>1.0</v>
      </c>
      <c r="AD127" s="177">
        <v>0.0</v>
      </c>
      <c r="AE127" s="177">
        <v>0.0</v>
      </c>
      <c r="AF127" s="177">
        <v>0.0</v>
      </c>
      <c r="AG127" s="156">
        <f t="shared" si="47"/>
        <v>12</v>
      </c>
    </row>
    <row r="128">
      <c r="A128" s="157" t="s">
        <v>177</v>
      </c>
      <c r="B128" s="177">
        <v>6.0</v>
      </c>
      <c r="C128" s="177">
        <v>0.0</v>
      </c>
      <c r="D128" s="177">
        <v>1.0</v>
      </c>
      <c r="E128" s="177">
        <v>3.0</v>
      </c>
      <c r="F128" s="177">
        <v>2.0</v>
      </c>
      <c r="G128" s="177">
        <v>4.0</v>
      </c>
      <c r="H128" s="177">
        <v>3.0</v>
      </c>
      <c r="I128" s="177">
        <v>1.0</v>
      </c>
      <c r="J128" s="177">
        <v>9.0</v>
      </c>
      <c r="K128" s="177">
        <v>1.0</v>
      </c>
      <c r="L128" s="177">
        <v>6.0</v>
      </c>
      <c r="M128" s="177">
        <v>2.0</v>
      </c>
      <c r="N128" s="177">
        <v>4.0</v>
      </c>
      <c r="O128" s="177">
        <v>1.0</v>
      </c>
      <c r="P128" s="177">
        <v>4.0</v>
      </c>
      <c r="Q128" s="159">
        <v>0.0</v>
      </c>
      <c r="R128" s="177">
        <v>0.0</v>
      </c>
      <c r="S128" s="177">
        <v>0.0</v>
      </c>
      <c r="T128" s="177">
        <v>2.0</v>
      </c>
      <c r="U128" s="177">
        <v>2.0</v>
      </c>
      <c r="V128" s="177">
        <v>0.0</v>
      </c>
      <c r="W128" s="177">
        <v>1.0</v>
      </c>
      <c r="X128" s="177">
        <v>2.0</v>
      </c>
      <c r="Y128" s="177">
        <v>1.0</v>
      </c>
      <c r="Z128" s="177">
        <v>3.0</v>
      </c>
      <c r="AA128" s="158">
        <v>1.0</v>
      </c>
      <c r="AB128" s="177">
        <v>3.0</v>
      </c>
      <c r="AC128" s="177">
        <v>3.0</v>
      </c>
      <c r="AD128" s="177">
        <v>2.0</v>
      </c>
      <c r="AE128" s="177">
        <v>0.0</v>
      </c>
      <c r="AF128" s="177">
        <v>0.0</v>
      </c>
      <c r="AG128" s="156">
        <f t="shared" si="47"/>
        <v>67</v>
      </c>
    </row>
    <row r="129">
      <c r="A129" s="157" t="s">
        <v>178</v>
      </c>
      <c r="B129" s="159">
        <v>2.0</v>
      </c>
      <c r="C129" s="159">
        <v>2.0</v>
      </c>
      <c r="D129" s="159">
        <v>0.0</v>
      </c>
      <c r="E129" s="159">
        <v>3.0</v>
      </c>
      <c r="F129" s="159">
        <v>3.0</v>
      </c>
      <c r="G129" s="159">
        <v>1.0</v>
      </c>
      <c r="H129" s="159">
        <v>0.0</v>
      </c>
      <c r="I129" s="159">
        <v>0.0</v>
      </c>
      <c r="J129" s="159">
        <v>0.0</v>
      </c>
      <c r="K129" s="159">
        <v>1.0</v>
      </c>
      <c r="L129" s="159">
        <v>1.0</v>
      </c>
      <c r="M129" s="159">
        <v>1.0</v>
      </c>
      <c r="N129" s="159">
        <v>0.0</v>
      </c>
      <c r="O129" s="159">
        <v>0.0</v>
      </c>
      <c r="P129" s="159">
        <v>0.0</v>
      </c>
      <c r="Q129" s="160">
        <v>2.0</v>
      </c>
      <c r="R129" s="159">
        <v>0.0</v>
      </c>
      <c r="S129" s="86">
        <v>1.0</v>
      </c>
      <c r="T129" s="86">
        <v>2.0</v>
      </c>
      <c r="U129" s="177">
        <v>0.0</v>
      </c>
      <c r="V129" s="177">
        <v>0.0</v>
      </c>
      <c r="W129" s="177">
        <v>1.0</v>
      </c>
      <c r="X129" s="177">
        <v>2.0</v>
      </c>
      <c r="Y129" s="177">
        <v>0.0</v>
      </c>
      <c r="Z129" s="177">
        <v>0.0</v>
      </c>
      <c r="AA129" s="158">
        <v>0.0</v>
      </c>
      <c r="AB129" s="177">
        <v>1.0</v>
      </c>
      <c r="AC129" s="177">
        <v>0.0</v>
      </c>
      <c r="AD129" s="177">
        <v>0.0</v>
      </c>
      <c r="AE129" s="177">
        <v>1.0</v>
      </c>
      <c r="AF129" s="177">
        <v>0.0</v>
      </c>
      <c r="AG129" s="156">
        <f t="shared" si="47"/>
        <v>24</v>
      </c>
    </row>
    <row r="130">
      <c r="A130" s="157" t="s">
        <v>179</v>
      </c>
      <c r="B130" s="177">
        <v>33.0</v>
      </c>
      <c r="C130" s="177">
        <v>11.0</v>
      </c>
      <c r="D130" s="177">
        <v>10.0</v>
      </c>
      <c r="E130" s="177">
        <v>9.0</v>
      </c>
      <c r="F130" s="177">
        <v>8.0</v>
      </c>
      <c r="G130" s="177">
        <v>6.0</v>
      </c>
      <c r="H130" s="177">
        <v>8.0</v>
      </c>
      <c r="I130" s="177">
        <v>5.0</v>
      </c>
      <c r="J130" s="177">
        <v>10.0</v>
      </c>
      <c r="K130" s="177">
        <v>7.0</v>
      </c>
      <c r="L130" s="177">
        <v>11.0</v>
      </c>
      <c r="M130" s="177">
        <v>8.0</v>
      </c>
      <c r="N130" s="177">
        <v>3.0</v>
      </c>
      <c r="O130" s="177">
        <v>4.0</v>
      </c>
      <c r="P130" s="177">
        <v>7.0</v>
      </c>
      <c r="Q130" s="159">
        <v>5.0</v>
      </c>
      <c r="R130" s="177">
        <v>9.0</v>
      </c>
      <c r="S130" s="177">
        <v>3.0</v>
      </c>
      <c r="T130" s="177">
        <v>5.0</v>
      </c>
      <c r="U130" s="177">
        <v>5.0</v>
      </c>
      <c r="V130" s="177">
        <v>3.0</v>
      </c>
      <c r="W130" s="177">
        <v>5.0</v>
      </c>
      <c r="X130" s="177">
        <v>5.0</v>
      </c>
      <c r="Y130" s="177">
        <v>4.0</v>
      </c>
      <c r="Z130" s="177">
        <v>5.0</v>
      </c>
      <c r="AA130" s="158">
        <v>7.0</v>
      </c>
      <c r="AB130" s="177">
        <v>1.0</v>
      </c>
      <c r="AC130" s="177">
        <v>6.0</v>
      </c>
      <c r="AD130" s="177">
        <v>4.0</v>
      </c>
      <c r="AE130" s="177">
        <v>5.0</v>
      </c>
      <c r="AF130" s="177">
        <v>1.0</v>
      </c>
      <c r="AG130" s="156">
        <f t="shared" si="47"/>
        <v>213</v>
      </c>
    </row>
    <row r="131">
      <c r="A131" s="157" t="s">
        <v>180</v>
      </c>
      <c r="B131" s="177">
        <v>2.0</v>
      </c>
      <c r="C131" s="177">
        <v>2.0</v>
      </c>
      <c r="D131" s="177">
        <v>2.0</v>
      </c>
      <c r="E131" s="177">
        <v>2.0</v>
      </c>
      <c r="F131" s="177">
        <v>0.0</v>
      </c>
      <c r="G131" s="177">
        <v>3.0</v>
      </c>
      <c r="H131" s="177">
        <v>2.0</v>
      </c>
      <c r="I131" s="177">
        <v>1.0</v>
      </c>
      <c r="J131" s="177">
        <v>2.0</v>
      </c>
      <c r="K131" s="177">
        <v>0.0</v>
      </c>
      <c r="L131" s="177">
        <v>2.0</v>
      </c>
      <c r="M131" s="177">
        <v>3.0</v>
      </c>
      <c r="N131" s="177">
        <v>0.0</v>
      </c>
      <c r="O131" s="177">
        <v>2.0</v>
      </c>
      <c r="P131" s="177">
        <v>1.0</v>
      </c>
      <c r="Q131" s="159">
        <v>5.0</v>
      </c>
      <c r="R131" s="177">
        <v>0.0</v>
      </c>
      <c r="S131" s="86">
        <v>2.0</v>
      </c>
      <c r="T131" s="86">
        <v>2.0</v>
      </c>
      <c r="U131" s="177">
        <v>1.0</v>
      </c>
      <c r="V131" s="177">
        <v>1.0</v>
      </c>
      <c r="W131" s="177">
        <v>0.0</v>
      </c>
      <c r="X131" s="177">
        <v>2.0</v>
      </c>
      <c r="Y131" s="177">
        <v>1.0</v>
      </c>
      <c r="Z131" s="177">
        <v>2.0</v>
      </c>
      <c r="AA131" s="158">
        <v>0.0</v>
      </c>
      <c r="AB131" s="177">
        <v>0.0</v>
      </c>
      <c r="AC131" s="177">
        <v>2.0</v>
      </c>
      <c r="AD131" s="177">
        <v>0.0</v>
      </c>
      <c r="AE131" s="177">
        <v>0.0</v>
      </c>
      <c r="AF131" s="177">
        <v>1.0</v>
      </c>
      <c r="AG131" s="156">
        <f t="shared" si="47"/>
        <v>43</v>
      </c>
    </row>
    <row r="132">
      <c r="A132" s="157" t="s">
        <v>181</v>
      </c>
      <c r="B132" s="165">
        <v>0.0</v>
      </c>
      <c r="C132" s="165">
        <v>0.0</v>
      </c>
      <c r="D132" s="165">
        <v>0.0</v>
      </c>
      <c r="E132" s="165">
        <v>0.0</v>
      </c>
      <c r="F132" s="165">
        <v>0.0</v>
      </c>
      <c r="G132" s="165">
        <v>0.0</v>
      </c>
      <c r="H132" s="165">
        <v>0.0</v>
      </c>
      <c r="I132" s="165">
        <v>0.0</v>
      </c>
      <c r="J132" s="165">
        <v>0.0</v>
      </c>
      <c r="K132" s="165">
        <v>0.0</v>
      </c>
      <c r="L132" s="165">
        <v>0.0</v>
      </c>
      <c r="M132" s="165">
        <v>0.0</v>
      </c>
      <c r="N132" s="165">
        <v>1.0</v>
      </c>
      <c r="O132" s="165">
        <v>2.0</v>
      </c>
      <c r="P132" s="165">
        <v>3.0</v>
      </c>
      <c r="Q132" s="165">
        <v>1.0</v>
      </c>
      <c r="R132" s="165">
        <v>1.0</v>
      </c>
      <c r="S132" s="165">
        <v>0.0</v>
      </c>
      <c r="T132" s="165">
        <v>2.0</v>
      </c>
      <c r="U132" s="165">
        <v>0.0</v>
      </c>
      <c r="V132" s="165">
        <v>0.0</v>
      </c>
      <c r="W132" s="165">
        <v>3.0</v>
      </c>
      <c r="X132" s="165">
        <v>1.0</v>
      </c>
      <c r="Y132" s="165">
        <v>2.0</v>
      </c>
      <c r="Z132" s="165">
        <v>0.0</v>
      </c>
      <c r="AA132" s="165">
        <v>0.0</v>
      </c>
      <c r="AB132" s="165">
        <v>0.0</v>
      </c>
      <c r="AC132" s="165">
        <v>0.0</v>
      </c>
      <c r="AD132" s="165">
        <v>0.0</v>
      </c>
      <c r="AE132" s="165">
        <v>0.0</v>
      </c>
      <c r="AF132" s="165">
        <v>0.0</v>
      </c>
      <c r="AG132" s="156">
        <f t="shared" si="47"/>
        <v>16</v>
      </c>
    </row>
    <row r="133">
      <c r="A133" s="157" t="s">
        <v>182</v>
      </c>
      <c r="B133" s="165">
        <v>8.0</v>
      </c>
      <c r="C133" s="165">
        <v>0.0</v>
      </c>
      <c r="D133" s="165">
        <v>0.0</v>
      </c>
      <c r="E133" s="165">
        <v>1.0</v>
      </c>
      <c r="F133" s="165">
        <v>0.0</v>
      </c>
      <c r="G133" s="165">
        <v>1.0</v>
      </c>
      <c r="H133" s="165">
        <v>0.0</v>
      </c>
      <c r="I133" s="165">
        <v>0.0</v>
      </c>
      <c r="J133" s="165">
        <v>1.0</v>
      </c>
      <c r="K133" s="165">
        <v>4.0</v>
      </c>
      <c r="L133" s="165">
        <v>0.0</v>
      </c>
      <c r="M133" s="165">
        <v>0.0</v>
      </c>
      <c r="N133" s="165">
        <v>1.0</v>
      </c>
      <c r="O133" s="165">
        <v>2.0</v>
      </c>
      <c r="P133" s="165">
        <v>1.0</v>
      </c>
      <c r="Q133" s="165">
        <v>0.0</v>
      </c>
      <c r="R133" s="165">
        <v>0.0</v>
      </c>
      <c r="S133" s="165">
        <v>1.0</v>
      </c>
      <c r="T133" s="165">
        <v>0.0</v>
      </c>
      <c r="U133" s="165">
        <v>0.0</v>
      </c>
      <c r="V133" s="165">
        <v>0.0</v>
      </c>
      <c r="W133" s="165">
        <v>0.0</v>
      </c>
      <c r="X133" s="165">
        <v>0.0</v>
      </c>
      <c r="Y133" s="165">
        <v>1.0</v>
      </c>
      <c r="Z133" s="165">
        <v>1.0</v>
      </c>
      <c r="AA133" s="165">
        <v>0.0</v>
      </c>
      <c r="AB133" s="165">
        <v>0.0</v>
      </c>
      <c r="AC133" s="165">
        <v>0.0</v>
      </c>
      <c r="AD133" s="165">
        <v>0.0</v>
      </c>
      <c r="AE133" s="165">
        <v>0.0</v>
      </c>
      <c r="AF133" s="165">
        <v>0.0</v>
      </c>
      <c r="AG133" s="156">
        <f t="shared" si="47"/>
        <v>22</v>
      </c>
    </row>
    <row r="134">
      <c r="A134" s="163" t="s">
        <v>141</v>
      </c>
      <c r="B134" s="178">
        <f t="shared" ref="B134:AF134" si="48">SUM(B124:B133)</f>
        <v>121</v>
      </c>
      <c r="C134" s="178">
        <f t="shared" si="48"/>
        <v>42</v>
      </c>
      <c r="D134" s="178">
        <f t="shared" si="48"/>
        <v>34</v>
      </c>
      <c r="E134" s="178">
        <f t="shared" si="48"/>
        <v>49</v>
      </c>
      <c r="F134" s="178">
        <f t="shared" si="48"/>
        <v>37</v>
      </c>
      <c r="G134" s="178">
        <f t="shared" si="48"/>
        <v>30</v>
      </c>
      <c r="H134" s="178">
        <f t="shared" si="48"/>
        <v>35</v>
      </c>
      <c r="I134" s="178">
        <f t="shared" si="48"/>
        <v>20</v>
      </c>
      <c r="J134" s="178">
        <f t="shared" si="48"/>
        <v>45</v>
      </c>
      <c r="K134" s="178">
        <f t="shared" si="48"/>
        <v>31</v>
      </c>
      <c r="L134" s="178">
        <f t="shared" si="48"/>
        <v>37</v>
      </c>
      <c r="M134" s="178">
        <f t="shared" si="48"/>
        <v>27</v>
      </c>
      <c r="N134" s="178">
        <f t="shared" si="48"/>
        <v>13</v>
      </c>
      <c r="O134" s="178">
        <f t="shared" si="48"/>
        <v>20</v>
      </c>
      <c r="P134" s="178">
        <f t="shared" si="48"/>
        <v>24</v>
      </c>
      <c r="Q134" s="178">
        <f t="shared" si="48"/>
        <v>22</v>
      </c>
      <c r="R134" s="178">
        <f t="shared" si="48"/>
        <v>20</v>
      </c>
      <c r="S134" s="178">
        <f t="shared" si="48"/>
        <v>18</v>
      </c>
      <c r="T134" s="178">
        <f t="shared" si="48"/>
        <v>23</v>
      </c>
      <c r="U134" s="178">
        <f t="shared" si="48"/>
        <v>19</v>
      </c>
      <c r="V134" s="178">
        <f t="shared" si="48"/>
        <v>11</v>
      </c>
      <c r="W134" s="178">
        <f t="shared" si="48"/>
        <v>18</v>
      </c>
      <c r="X134" s="178">
        <f t="shared" si="48"/>
        <v>20</v>
      </c>
      <c r="Y134" s="178">
        <f t="shared" si="48"/>
        <v>21</v>
      </c>
      <c r="Z134" s="178">
        <f t="shared" si="48"/>
        <v>20</v>
      </c>
      <c r="AA134" s="178">
        <f t="shared" si="48"/>
        <v>16</v>
      </c>
      <c r="AB134" s="178">
        <f t="shared" si="48"/>
        <v>7</v>
      </c>
      <c r="AC134" s="178">
        <f t="shared" si="48"/>
        <v>24</v>
      </c>
      <c r="AD134" s="178">
        <f t="shared" si="48"/>
        <v>12</v>
      </c>
      <c r="AE134" s="178">
        <f t="shared" si="48"/>
        <v>11</v>
      </c>
      <c r="AF134" s="178">
        <f t="shared" si="48"/>
        <v>6</v>
      </c>
      <c r="AG134" s="156">
        <f t="shared" si="47"/>
        <v>833</v>
      </c>
    </row>
    <row r="135">
      <c r="A135" s="172"/>
      <c r="AG135" s="156"/>
    </row>
    <row r="136">
      <c r="A136" s="157" t="s">
        <v>183</v>
      </c>
      <c r="B136" s="158">
        <v>15.0</v>
      </c>
      <c r="C136" s="158">
        <v>14.0</v>
      </c>
      <c r="D136" s="158">
        <v>12.0</v>
      </c>
      <c r="E136" s="158">
        <v>12.0</v>
      </c>
      <c r="F136" s="158">
        <v>21.0</v>
      </c>
      <c r="G136" s="158">
        <v>7.0</v>
      </c>
      <c r="H136" s="158">
        <v>12.0</v>
      </c>
      <c r="I136" s="158">
        <v>9.0</v>
      </c>
      <c r="J136" s="158">
        <v>11.0</v>
      </c>
      <c r="K136" s="158">
        <v>8.0</v>
      </c>
      <c r="L136" s="158">
        <v>12.0</v>
      </c>
      <c r="M136" s="158">
        <v>7.0</v>
      </c>
      <c r="N136" s="158">
        <v>3.0</v>
      </c>
      <c r="O136" s="158">
        <v>4.0</v>
      </c>
      <c r="P136" s="158">
        <v>7.0</v>
      </c>
      <c r="Q136" s="158">
        <v>3.0</v>
      </c>
      <c r="R136" s="158">
        <v>3.0</v>
      </c>
      <c r="S136" s="158">
        <v>3.0</v>
      </c>
      <c r="T136" s="158">
        <v>0.0</v>
      </c>
      <c r="U136" s="158">
        <v>3.0</v>
      </c>
      <c r="V136" s="158">
        <v>5.0</v>
      </c>
      <c r="W136" s="158">
        <v>11.0</v>
      </c>
      <c r="X136" s="158">
        <v>14.0</v>
      </c>
      <c r="Y136" s="158">
        <v>17.0</v>
      </c>
      <c r="Z136" s="158">
        <v>12.0</v>
      </c>
      <c r="AA136" s="158">
        <v>11.0</v>
      </c>
      <c r="AB136" s="158">
        <v>12.0</v>
      </c>
      <c r="AC136" s="158">
        <v>9.0</v>
      </c>
      <c r="AD136" s="158">
        <v>1.0</v>
      </c>
      <c r="AE136" s="158">
        <v>2.0</v>
      </c>
      <c r="AF136" s="158">
        <v>6.0</v>
      </c>
      <c r="AG136" s="156">
        <f t="shared" ref="AG136:AG144" si="49">SUM(B136:AF136)</f>
        <v>266</v>
      </c>
    </row>
    <row r="137">
      <c r="A137" s="157" t="s">
        <v>184</v>
      </c>
      <c r="B137" s="158">
        <v>1.0</v>
      </c>
      <c r="C137" s="158">
        <v>0.0</v>
      </c>
      <c r="D137" s="158">
        <v>0.0</v>
      </c>
      <c r="E137" s="158">
        <v>2.0</v>
      </c>
      <c r="F137" s="158">
        <v>2.0</v>
      </c>
      <c r="G137" s="158">
        <v>0.0</v>
      </c>
      <c r="H137" s="158">
        <v>0.0</v>
      </c>
      <c r="I137" s="158">
        <v>0.0</v>
      </c>
      <c r="J137" s="158">
        <v>3.0</v>
      </c>
      <c r="K137" s="158">
        <v>1.0</v>
      </c>
      <c r="L137" s="158">
        <v>1.0</v>
      </c>
      <c r="M137" s="158">
        <v>1.0</v>
      </c>
      <c r="N137" s="158">
        <v>1.0</v>
      </c>
      <c r="O137" s="158">
        <v>0.0</v>
      </c>
      <c r="P137" s="158">
        <v>1.0</v>
      </c>
      <c r="Q137" s="158">
        <v>0.0</v>
      </c>
      <c r="R137" s="158">
        <v>2.0</v>
      </c>
      <c r="S137" s="158">
        <v>2.0</v>
      </c>
      <c r="T137" s="158">
        <v>0.0</v>
      </c>
      <c r="U137" s="158">
        <v>1.0</v>
      </c>
      <c r="V137" s="158">
        <v>1.0</v>
      </c>
      <c r="W137" s="158">
        <v>0.0</v>
      </c>
      <c r="X137" s="158">
        <v>1.0</v>
      </c>
      <c r="Y137" s="158">
        <v>0.0</v>
      </c>
      <c r="Z137" s="158">
        <v>0.0</v>
      </c>
      <c r="AA137" s="158">
        <v>1.0</v>
      </c>
      <c r="AB137" s="158">
        <v>0.0</v>
      </c>
      <c r="AC137" s="158">
        <v>0.0</v>
      </c>
      <c r="AD137" s="158">
        <v>0.0</v>
      </c>
      <c r="AE137" s="158">
        <v>0.0</v>
      </c>
      <c r="AF137" s="158">
        <v>1.0</v>
      </c>
      <c r="AG137" s="156">
        <f t="shared" si="49"/>
        <v>22</v>
      </c>
    </row>
    <row r="138">
      <c r="A138" s="157" t="s">
        <v>185</v>
      </c>
      <c r="B138" s="158">
        <v>1.0</v>
      </c>
      <c r="C138" s="158">
        <v>0.0</v>
      </c>
      <c r="D138" s="158">
        <v>0.0</v>
      </c>
      <c r="E138" s="158">
        <v>0.0</v>
      </c>
      <c r="F138" s="158">
        <v>0.0</v>
      </c>
      <c r="G138" s="158">
        <v>1.0</v>
      </c>
      <c r="H138" s="158">
        <v>1.0</v>
      </c>
      <c r="I138" s="158">
        <v>0.0</v>
      </c>
      <c r="J138" s="158">
        <v>0.0</v>
      </c>
      <c r="K138" s="158">
        <v>0.0</v>
      </c>
      <c r="L138" s="158">
        <v>0.0</v>
      </c>
      <c r="M138" s="158">
        <v>0.0</v>
      </c>
      <c r="N138" s="158">
        <v>0.0</v>
      </c>
      <c r="O138" s="158">
        <v>0.0</v>
      </c>
      <c r="P138" s="158">
        <v>0.0</v>
      </c>
      <c r="Q138" s="158">
        <v>0.0</v>
      </c>
      <c r="R138" s="158">
        <v>0.0</v>
      </c>
      <c r="S138" s="158">
        <v>0.0</v>
      </c>
      <c r="T138" s="158">
        <v>0.0</v>
      </c>
      <c r="U138" s="158">
        <v>0.0</v>
      </c>
      <c r="V138" s="158">
        <v>0.0</v>
      </c>
      <c r="W138" s="158">
        <v>0.0</v>
      </c>
      <c r="X138" s="158">
        <v>0.0</v>
      </c>
      <c r="Y138" s="158">
        <v>1.0</v>
      </c>
      <c r="Z138" s="158">
        <v>1.0</v>
      </c>
      <c r="AA138" s="158">
        <v>1.0</v>
      </c>
      <c r="AB138" s="158">
        <v>0.0</v>
      </c>
      <c r="AC138" s="158">
        <v>1.0</v>
      </c>
      <c r="AD138" s="158">
        <v>0.0</v>
      </c>
      <c r="AE138" s="158">
        <v>1.0</v>
      </c>
      <c r="AF138" s="158">
        <v>0.0</v>
      </c>
      <c r="AG138" s="156">
        <f t="shared" si="49"/>
        <v>8</v>
      </c>
    </row>
    <row r="139">
      <c r="A139" s="157" t="s">
        <v>186</v>
      </c>
      <c r="B139" s="158">
        <v>0.0</v>
      </c>
      <c r="C139" s="158">
        <v>0.0</v>
      </c>
      <c r="D139" s="158">
        <v>0.0</v>
      </c>
      <c r="E139" s="158">
        <v>0.0</v>
      </c>
      <c r="F139" s="158">
        <v>0.0</v>
      </c>
      <c r="G139" s="158">
        <v>1.0</v>
      </c>
      <c r="H139" s="158">
        <v>0.0</v>
      </c>
      <c r="I139" s="158">
        <v>0.0</v>
      </c>
      <c r="J139" s="158">
        <v>0.0</v>
      </c>
      <c r="K139" s="158">
        <v>0.0</v>
      </c>
      <c r="L139" s="158">
        <v>0.0</v>
      </c>
      <c r="M139" s="158">
        <v>0.0</v>
      </c>
      <c r="N139" s="158">
        <v>0.0</v>
      </c>
      <c r="O139" s="158">
        <v>0.0</v>
      </c>
      <c r="P139" s="158">
        <v>1.0</v>
      </c>
      <c r="Q139" s="158">
        <v>0.0</v>
      </c>
      <c r="R139" s="158">
        <v>0.0</v>
      </c>
      <c r="S139" s="158">
        <v>0.0</v>
      </c>
      <c r="T139" s="158">
        <v>0.0</v>
      </c>
      <c r="U139" s="158">
        <v>0.0</v>
      </c>
      <c r="V139" s="158">
        <v>0.0</v>
      </c>
      <c r="W139" s="158">
        <v>0.0</v>
      </c>
      <c r="X139" s="158">
        <v>0.0</v>
      </c>
      <c r="Y139" s="158">
        <v>0.0</v>
      </c>
      <c r="Z139" s="158">
        <v>0.0</v>
      </c>
      <c r="AA139" s="158">
        <v>0.0</v>
      </c>
      <c r="AB139" s="158">
        <v>0.0</v>
      </c>
      <c r="AC139" s="158">
        <v>0.0</v>
      </c>
      <c r="AD139" s="158">
        <v>0.0</v>
      </c>
      <c r="AE139" s="158">
        <v>0.0</v>
      </c>
      <c r="AF139" s="158">
        <v>0.0</v>
      </c>
      <c r="AG139" s="156">
        <f t="shared" si="49"/>
        <v>2</v>
      </c>
    </row>
    <row r="140">
      <c r="A140" s="157" t="s">
        <v>187</v>
      </c>
      <c r="B140" s="158">
        <v>1.0</v>
      </c>
      <c r="C140" s="158">
        <v>0.0</v>
      </c>
      <c r="D140" s="158">
        <v>0.0</v>
      </c>
      <c r="E140" s="158">
        <v>0.0</v>
      </c>
      <c r="F140" s="158">
        <v>0.0</v>
      </c>
      <c r="G140" s="158">
        <v>1.0</v>
      </c>
      <c r="H140" s="158">
        <v>0.0</v>
      </c>
      <c r="I140" s="158">
        <v>0.0</v>
      </c>
      <c r="J140" s="158">
        <v>1.0</v>
      </c>
      <c r="K140" s="158">
        <v>0.0</v>
      </c>
      <c r="L140" s="158">
        <v>0.0</v>
      </c>
      <c r="M140" s="158">
        <v>0.0</v>
      </c>
      <c r="N140" s="158">
        <v>0.0</v>
      </c>
      <c r="O140" s="158">
        <v>0.0</v>
      </c>
      <c r="P140" s="158">
        <v>0.0</v>
      </c>
      <c r="Q140" s="158">
        <v>0.0</v>
      </c>
      <c r="R140" s="158">
        <v>0.0</v>
      </c>
      <c r="S140" s="158">
        <v>0.0</v>
      </c>
      <c r="T140" s="158">
        <v>0.0</v>
      </c>
      <c r="U140" s="158">
        <v>0.0</v>
      </c>
      <c r="V140" s="158">
        <v>0.0</v>
      </c>
      <c r="W140" s="158">
        <v>0.0</v>
      </c>
      <c r="X140" s="158">
        <v>0.0</v>
      </c>
      <c r="Y140" s="158">
        <v>1.0</v>
      </c>
      <c r="Z140" s="158">
        <v>3.0</v>
      </c>
      <c r="AA140" s="158">
        <v>1.0</v>
      </c>
      <c r="AB140" s="158">
        <v>0.0</v>
      </c>
      <c r="AC140" s="158">
        <v>1.0</v>
      </c>
      <c r="AD140" s="158">
        <v>0.0</v>
      </c>
      <c r="AE140" s="158">
        <v>0.0</v>
      </c>
      <c r="AF140" s="158">
        <v>0.0</v>
      </c>
      <c r="AG140" s="156">
        <f t="shared" si="49"/>
        <v>9</v>
      </c>
    </row>
    <row r="141">
      <c r="A141" s="157" t="s">
        <v>188</v>
      </c>
      <c r="B141" s="158">
        <v>1.0</v>
      </c>
      <c r="C141" s="158">
        <v>0.0</v>
      </c>
      <c r="D141" s="158">
        <v>0.0</v>
      </c>
      <c r="E141" s="158">
        <v>0.0</v>
      </c>
      <c r="F141" s="158">
        <v>0.0</v>
      </c>
      <c r="G141" s="158">
        <v>0.0</v>
      </c>
      <c r="H141" s="158">
        <v>0.0</v>
      </c>
      <c r="I141" s="158">
        <v>0.0</v>
      </c>
      <c r="J141" s="158">
        <v>0.0</v>
      </c>
      <c r="K141" s="158">
        <v>0.0</v>
      </c>
      <c r="L141" s="158">
        <v>0.0</v>
      </c>
      <c r="M141" s="158">
        <v>0.0</v>
      </c>
      <c r="N141" s="158">
        <v>0.0</v>
      </c>
      <c r="O141" s="158">
        <v>0.0</v>
      </c>
      <c r="P141" s="158">
        <v>0.0</v>
      </c>
      <c r="Q141" s="158">
        <v>0.0</v>
      </c>
      <c r="R141" s="158">
        <v>0.0</v>
      </c>
      <c r="S141" s="158">
        <v>0.0</v>
      </c>
      <c r="T141" s="158">
        <v>0.0</v>
      </c>
      <c r="U141" s="158">
        <v>0.0</v>
      </c>
      <c r="V141" s="158">
        <v>0.0</v>
      </c>
      <c r="W141" s="158">
        <v>0.0</v>
      </c>
      <c r="X141" s="158">
        <v>0.0</v>
      </c>
      <c r="Y141" s="158">
        <v>0.0</v>
      </c>
      <c r="Z141" s="158">
        <v>0.0</v>
      </c>
      <c r="AA141" s="158">
        <v>0.0</v>
      </c>
      <c r="AB141" s="158">
        <v>0.0</v>
      </c>
      <c r="AC141" s="158">
        <v>0.0</v>
      </c>
      <c r="AD141" s="158">
        <v>0.0</v>
      </c>
      <c r="AE141" s="158">
        <v>0.0</v>
      </c>
      <c r="AF141" s="158">
        <v>0.0</v>
      </c>
      <c r="AG141" s="156">
        <f t="shared" si="49"/>
        <v>1</v>
      </c>
    </row>
    <row r="142">
      <c r="A142" s="157" t="s">
        <v>189</v>
      </c>
      <c r="B142" s="158">
        <v>2.0</v>
      </c>
      <c r="C142" s="158">
        <v>0.0</v>
      </c>
      <c r="D142" s="158">
        <v>0.0</v>
      </c>
      <c r="E142" s="158">
        <v>3.0</v>
      </c>
      <c r="F142" s="158">
        <v>0.0</v>
      </c>
      <c r="G142" s="158">
        <v>0.0</v>
      </c>
      <c r="H142" s="158">
        <v>0.0</v>
      </c>
      <c r="I142" s="158">
        <v>0.0</v>
      </c>
      <c r="J142" s="158">
        <v>0.0</v>
      </c>
      <c r="K142" s="158">
        <v>1.0</v>
      </c>
      <c r="L142" s="158">
        <v>0.0</v>
      </c>
      <c r="M142" s="158">
        <v>2.0</v>
      </c>
      <c r="N142" s="158">
        <v>0.0</v>
      </c>
      <c r="O142" s="158">
        <v>0.0</v>
      </c>
      <c r="P142" s="158">
        <v>1.0</v>
      </c>
      <c r="Q142" s="158">
        <v>1.0</v>
      </c>
      <c r="R142" s="158">
        <v>0.0</v>
      </c>
      <c r="S142" s="158">
        <v>1.0</v>
      </c>
      <c r="T142" s="158">
        <v>0.0</v>
      </c>
      <c r="U142" s="158">
        <v>0.0</v>
      </c>
      <c r="V142" s="158">
        <v>1.0</v>
      </c>
      <c r="W142" s="158">
        <v>1.0</v>
      </c>
      <c r="X142" s="158">
        <v>0.0</v>
      </c>
      <c r="Y142" s="158">
        <v>0.0</v>
      </c>
      <c r="Z142" s="158">
        <v>0.0</v>
      </c>
      <c r="AA142" s="158">
        <v>0.0</v>
      </c>
      <c r="AB142" s="158">
        <v>1.0</v>
      </c>
      <c r="AC142" s="158">
        <v>1.0</v>
      </c>
      <c r="AD142" s="158">
        <v>0.0</v>
      </c>
      <c r="AE142" s="158">
        <v>1.0</v>
      </c>
      <c r="AF142" s="158">
        <v>0.0</v>
      </c>
      <c r="AG142" s="156">
        <f t="shared" si="49"/>
        <v>16</v>
      </c>
    </row>
    <row r="143">
      <c r="A143" s="157" t="s">
        <v>190</v>
      </c>
      <c r="B143" s="158">
        <v>0.0</v>
      </c>
      <c r="C143" s="158">
        <v>0.0</v>
      </c>
      <c r="D143" s="158">
        <v>0.0</v>
      </c>
      <c r="E143" s="158">
        <v>0.0</v>
      </c>
      <c r="F143" s="158">
        <v>0.0</v>
      </c>
      <c r="G143" s="158">
        <v>0.0</v>
      </c>
      <c r="H143" s="158">
        <v>0.0</v>
      </c>
      <c r="I143" s="158">
        <v>0.0</v>
      </c>
      <c r="J143" s="158">
        <v>0.0</v>
      </c>
      <c r="K143" s="158">
        <v>0.0</v>
      </c>
      <c r="L143" s="158">
        <v>0.0</v>
      </c>
      <c r="M143" s="158">
        <v>0.0</v>
      </c>
      <c r="N143" s="158">
        <v>0.0</v>
      </c>
      <c r="O143" s="158">
        <v>0.0</v>
      </c>
      <c r="P143" s="158">
        <v>0.0</v>
      </c>
      <c r="Q143" s="158">
        <v>1.0</v>
      </c>
      <c r="R143" s="158">
        <v>0.0</v>
      </c>
      <c r="S143" s="158">
        <v>0.0</v>
      </c>
      <c r="T143" s="158">
        <v>0.0</v>
      </c>
      <c r="U143" s="158">
        <v>0.0</v>
      </c>
      <c r="V143" s="158">
        <v>0.0</v>
      </c>
      <c r="W143" s="158">
        <v>0.0</v>
      </c>
      <c r="X143" s="158">
        <v>0.0</v>
      </c>
      <c r="Y143" s="158">
        <v>0.0</v>
      </c>
      <c r="Z143" s="158">
        <v>0.0</v>
      </c>
      <c r="AA143" s="158">
        <v>0.0</v>
      </c>
      <c r="AB143" s="158">
        <v>0.0</v>
      </c>
      <c r="AC143" s="158">
        <v>0.0</v>
      </c>
      <c r="AD143" s="158">
        <v>0.0</v>
      </c>
      <c r="AE143" s="158">
        <v>0.0</v>
      </c>
      <c r="AF143" s="158">
        <v>0.0</v>
      </c>
      <c r="AG143" s="156">
        <f t="shared" si="49"/>
        <v>1</v>
      </c>
    </row>
    <row r="144">
      <c r="A144" s="163" t="s">
        <v>150</v>
      </c>
      <c r="B144" s="178">
        <f t="shared" ref="B144:AF144" si="50">SUM(B136:B143)</f>
        <v>21</v>
      </c>
      <c r="C144" s="178">
        <f t="shared" si="50"/>
        <v>14</v>
      </c>
      <c r="D144" s="178">
        <f t="shared" si="50"/>
        <v>12</v>
      </c>
      <c r="E144" s="178">
        <f t="shared" si="50"/>
        <v>17</v>
      </c>
      <c r="F144" s="178">
        <f t="shared" si="50"/>
        <v>23</v>
      </c>
      <c r="G144" s="178">
        <f t="shared" si="50"/>
        <v>10</v>
      </c>
      <c r="H144" s="178">
        <f t="shared" si="50"/>
        <v>13</v>
      </c>
      <c r="I144" s="178">
        <f t="shared" si="50"/>
        <v>9</v>
      </c>
      <c r="J144" s="178">
        <f t="shared" si="50"/>
        <v>15</v>
      </c>
      <c r="K144" s="178">
        <f t="shared" si="50"/>
        <v>10</v>
      </c>
      <c r="L144" s="178">
        <f t="shared" si="50"/>
        <v>13</v>
      </c>
      <c r="M144" s="178">
        <f t="shared" si="50"/>
        <v>10</v>
      </c>
      <c r="N144" s="178">
        <f t="shared" si="50"/>
        <v>4</v>
      </c>
      <c r="O144" s="178">
        <f t="shared" si="50"/>
        <v>4</v>
      </c>
      <c r="P144" s="178">
        <f t="shared" si="50"/>
        <v>10</v>
      </c>
      <c r="Q144" s="178">
        <f t="shared" si="50"/>
        <v>5</v>
      </c>
      <c r="R144" s="178">
        <f t="shared" si="50"/>
        <v>5</v>
      </c>
      <c r="S144" s="178">
        <f t="shared" si="50"/>
        <v>6</v>
      </c>
      <c r="T144" s="178">
        <f t="shared" si="50"/>
        <v>0</v>
      </c>
      <c r="U144" s="178">
        <f t="shared" si="50"/>
        <v>4</v>
      </c>
      <c r="V144" s="178">
        <f t="shared" si="50"/>
        <v>7</v>
      </c>
      <c r="W144" s="178">
        <f t="shared" si="50"/>
        <v>12</v>
      </c>
      <c r="X144" s="178">
        <f t="shared" si="50"/>
        <v>15</v>
      </c>
      <c r="Y144" s="178">
        <f t="shared" si="50"/>
        <v>19</v>
      </c>
      <c r="Z144" s="178">
        <f t="shared" si="50"/>
        <v>16</v>
      </c>
      <c r="AA144" s="178">
        <f t="shared" si="50"/>
        <v>14</v>
      </c>
      <c r="AB144" s="178">
        <f t="shared" si="50"/>
        <v>13</v>
      </c>
      <c r="AC144" s="178">
        <f t="shared" si="50"/>
        <v>12</v>
      </c>
      <c r="AD144" s="178">
        <f t="shared" si="50"/>
        <v>1</v>
      </c>
      <c r="AE144" s="178">
        <f t="shared" si="50"/>
        <v>4</v>
      </c>
      <c r="AF144" s="178">
        <f t="shared" si="50"/>
        <v>7</v>
      </c>
      <c r="AG144" s="156">
        <f t="shared" si="49"/>
        <v>325</v>
      </c>
    </row>
    <row r="145">
      <c r="A145" s="172"/>
      <c r="AG145" s="156"/>
    </row>
    <row r="146">
      <c r="A146" s="149" t="s">
        <v>191</v>
      </c>
      <c r="B146" s="159"/>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156"/>
    </row>
    <row r="147">
      <c r="A147" s="157" t="s">
        <v>192</v>
      </c>
      <c r="B147" s="183">
        <f t="shared" ref="B147:AF147" si="51">B55-(B262+B269+B316+B323+B374+B385)</f>
        <v>36</v>
      </c>
      <c r="C147" s="183">
        <f t="shared" si="51"/>
        <v>37</v>
      </c>
      <c r="D147" s="183">
        <f t="shared" si="51"/>
        <v>41</v>
      </c>
      <c r="E147" s="183">
        <f t="shared" si="51"/>
        <v>33</v>
      </c>
      <c r="F147" s="183">
        <f t="shared" si="51"/>
        <v>25</v>
      </c>
      <c r="G147" s="183">
        <f t="shared" si="51"/>
        <v>26</v>
      </c>
      <c r="H147" s="183">
        <f t="shared" si="51"/>
        <v>21</v>
      </c>
      <c r="I147" s="183">
        <f t="shared" si="51"/>
        <v>22</v>
      </c>
      <c r="J147" s="183">
        <f t="shared" si="51"/>
        <v>31</v>
      </c>
      <c r="K147" s="183">
        <f t="shared" si="51"/>
        <v>24</v>
      </c>
      <c r="L147" s="183">
        <f t="shared" si="51"/>
        <v>21</v>
      </c>
      <c r="M147" s="183">
        <f t="shared" si="51"/>
        <v>14</v>
      </c>
      <c r="N147" s="183">
        <f t="shared" si="51"/>
        <v>3</v>
      </c>
      <c r="O147" s="184">
        <f t="shared" si="51"/>
        <v>11</v>
      </c>
      <c r="P147" s="183">
        <f t="shared" si="51"/>
        <v>6</v>
      </c>
      <c r="Q147" s="183">
        <f t="shared" si="51"/>
        <v>8</v>
      </c>
      <c r="R147" s="183">
        <f t="shared" si="51"/>
        <v>11</v>
      </c>
      <c r="S147" s="183">
        <f t="shared" si="51"/>
        <v>14</v>
      </c>
      <c r="T147" s="183">
        <f t="shared" si="51"/>
        <v>5</v>
      </c>
      <c r="U147" s="183">
        <f t="shared" si="51"/>
        <v>5</v>
      </c>
      <c r="V147" s="183">
        <f t="shared" si="51"/>
        <v>6</v>
      </c>
      <c r="W147" s="183">
        <f t="shared" si="51"/>
        <v>9</v>
      </c>
      <c r="X147" s="183">
        <f t="shared" si="51"/>
        <v>13</v>
      </c>
      <c r="Y147" s="183">
        <f t="shared" si="51"/>
        <v>16</v>
      </c>
      <c r="Z147" s="184">
        <f t="shared" si="51"/>
        <v>11</v>
      </c>
      <c r="AA147" s="183">
        <f t="shared" si="51"/>
        <v>7</v>
      </c>
      <c r="AB147" s="183">
        <f t="shared" si="51"/>
        <v>5</v>
      </c>
      <c r="AC147" s="184">
        <f t="shared" si="51"/>
        <v>5</v>
      </c>
      <c r="AD147" s="184">
        <f t="shared" si="51"/>
        <v>9</v>
      </c>
      <c r="AE147" s="184">
        <f t="shared" si="51"/>
        <v>6</v>
      </c>
      <c r="AF147" s="184">
        <f t="shared" si="51"/>
        <v>6</v>
      </c>
      <c r="AG147" s="156">
        <f t="shared" ref="AG147:AG151" si="53">SUM(B147:AF147)</f>
        <v>487</v>
      </c>
    </row>
    <row r="148">
      <c r="A148" s="157" t="s">
        <v>193</v>
      </c>
      <c r="B148" s="183">
        <f t="shared" ref="B148:AF148" si="52">B56-(B263+B270+B317+B375+B386)</f>
        <v>0</v>
      </c>
      <c r="C148" s="183">
        <f t="shared" si="52"/>
        <v>0</v>
      </c>
      <c r="D148" s="183">
        <f t="shared" si="52"/>
        <v>0</v>
      </c>
      <c r="E148" s="183">
        <f t="shared" si="52"/>
        <v>-2</v>
      </c>
      <c r="F148" s="183">
        <f t="shared" si="52"/>
        <v>-4</v>
      </c>
      <c r="G148" s="183">
        <f t="shared" si="52"/>
        <v>0</v>
      </c>
      <c r="H148" s="183">
        <f t="shared" si="52"/>
        <v>-1</v>
      </c>
      <c r="I148" s="183">
        <f t="shared" si="52"/>
        <v>-1</v>
      </c>
      <c r="J148" s="183">
        <f t="shared" si="52"/>
        <v>0</v>
      </c>
      <c r="K148" s="183">
        <f t="shared" si="52"/>
        <v>0</v>
      </c>
      <c r="L148" s="183">
        <f t="shared" si="52"/>
        <v>0</v>
      </c>
      <c r="M148" s="183">
        <f t="shared" si="52"/>
        <v>-1</v>
      </c>
      <c r="N148" s="183">
        <f t="shared" si="52"/>
        <v>-3</v>
      </c>
      <c r="O148" s="184">
        <f t="shared" si="52"/>
        <v>-7</v>
      </c>
      <c r="P148" s="183">
        <f t="shared" si="52"/>
        <v>-3</v>
      </c>
      <c r="Q148" s="183">
        <f t="shared" si="52"/>
        <v>0</v>
      </c>
      <c r="R148" s="183">
        <f t="shared" si="52"/>
        <v>0</v>
      </c>
      <c r="S148" s="183">
        <f t="shared" si="52"/>
        <v>0</v>
      </c>
      <c r="T148" s="183">
        <f t="shared" si="52"/>
        <v>-5</v>
      </c>
      <c r="U148" s="183">
        <f t="shared" si="52"/>
        <v>-1</v>
      </c>
      <c r="V148" s="183">
        <f t="shared" si="52"/>
        <v>0</v>
      </c>
      <c r="W148" s="183">
        <f t="shared" si="52"/>
        <v>0</v>
      </c>
      <c r="X148" s="183">
        <f t="shared" si="52"/>
        <v>0</v>
      </c>
      <c r="Y148" s="183">
        <f t="shared" si="52"/>
        <v>0</v>
      </c>
      <c r="Z148" s="184">
        <f t="shared" si="52"/>
        <v>0</v>
      </c>
      <c r="AA148" s="183">
        <f t="shared" si="52"/>
        <v>-1</v>
      </c>
      <c r="AB148" s="183">
        <f t="shared" si="52"/>
        <v>-4</v>
      </c>
      <c r="AC148" s="184">
        <f t="shared" si="52"/>
        <v>0</v>
      </c>
      <c r="AD148" s="184">
        <f t="shared" si="52"/>
        <v>0</v>
      </c>
      <c r="AE148" s="184">
        <f t="shared" si="52"/>
        <v>0</v>
      </c>
      <c r="AF148" s="184">
        <f t="shared" si="52"/>
        <v>0</v>
      </c>
      <c r="AG148" s="156">
        <f t="shared" si="53"/>
        <v>-33</v>
      </c>
    </row>
    <row r="149">
      <c r="A149" s="157" t="s">
        <v>194</v>
      </c>
      <c r="B149" s="183">
        <f t="shared" ref="B149:AF149" si="54">B57-(B264+B271+B318+B376+B387)</f>
        <v>123</v>
      </c>
      <c r="C149" s="183">
        <f t="shared" si="54"/>
        <v>98</v>
      </c>
      <c r="D149" s="183">
        <f t="shared" si="54"/>
        <v>110</v>
      </c>
      <c r="E149" s="183">
        <f t="shared" si="54"/>
        <v>108</v>
      </c>
      <c r="F149" s="183">
        <f t="shared" si="54"/>
        <v>106</v>
      </c>
      <c r="G149" s="183">
        <f t="shared" si="54"/>
        <v>89</v>
      </c>
      <c r="H149" s="183">
        <f t="shared" si="54"/>
        <v>75</v>
      </c>
      <c r="I149" s="183">
        <f t="shared" si="54"/>
        <v>77</v>
      </c>
      <c r="J149" s="183">
        <f t="shared" si="54"/>
        <v>95</v>
      </c>
      <c r="K149" s="183">
        <f t="shared" si="54"/>
        <v>79</v>
      </c>
      <c r="L149" s="183">
        <f t="shared" si="54"/>
        <v>48</v>
      </c>
      <c r="M149" s="183">
        <f t="shared" si="54"/>
        <v>17</v>
      </c>
      <c r="N149" s="183">
        <f t="shared" si="54"/>
        <v>30</v>
      </c>
      <c r="O149" s="184">
        <f t="shared" si="54"/>
        <v>29</v>
      </c>
      <c r="P149" s="183">
        <f t="shared" si="54"/>
        <v>31</v>
      </c>
      <c r="Q149" s="183">
        <f t="shared" si="54"/>
        <v>40</v>
      </c>
      <c r="R149" s="183">
        <f t="shared" si="54"/>
        <v>27</v>
      </c>
      <c r="S149" s="183">
        <f t="shared" si="54"/>
        <v>22</v>
      </c>
      <c r="T149" s="183">
        <f t="shared" si="54"/>
        <v>15</v>
      </c>
      <c r="U149" s="183">
        <f t="shared" si="54"/>
        <v>16</v>
      </c>
      <c r="V149" s="183">
        <f t="shared" si="54"/>
        <v>32</v>
      </c>
      <c r="W149" s="183">
        <f t="shared" si="54"/>
        <v>66</v>
      </c>
      <c r="X149" s="183">
        <f t="shared" si="54"/>
        <v>40</v>
      </c>
      <c r="Y149" s="183">
        <f t="shared" si="54"/>
        <v>51</v>
      </c>
      <c r="Z149" s="183">
        <f t="shared" si="54"/>
        <v>32</v>
      </c>
      <c r="AA149" s="183">
        <f t="shared" si="54"/>
        <v>26</v>
      </c>
      <c r="AB149" s="183">
        <f t="shared" si="54"/>
        <v>23</v>
      </c>
      <c r="AC149" s="183">
        <f t="shared" si="54"/>
        <v>34</v>
      </c>
      <c r="AD149" s="183">
        <f t="shared" si="54"/>
        <v>24</v>
      </c>
      <c r="AE149" s="183">
        <f t="shared" si="54"/>
        <v>40</v>
      </c>
      <c r="AF149" s="183">
        <f t="shared" si="54"/>
        <v>33</v>
      </c>
      <c r="AG149" s="156">
        <f t="shared" si="53"/>
        <v>1636</v>
      </c>
    </row>
    <row r="150">
      <c r="A150" s="157" t="s">
        <v>195</v>
      </c>
      <c r="B150" s="183">
        <f t="shared" ref="B150:AF150" si="55">B58-(B265+B272+B319+B377+B388)</f>
        <v>0</v>
      </c>
      <c r="C150" s="183">
        <f t="shared" si="55"/>
        <v>0</v>
      </c>
      <c r="D150" s="183">
        <f t="shared" si="55"/>
        <v>-3</v>
      </c>
      <c r="E150" s="183">
        <f t="shared" si="55"/>
        <v>0</v>
      </c>
      <c r="F150" s="183">
        <f t="shared" si="55"/>
        <v>0</v>
      </c>
      <c r="G150" s="183">
        <f t="shared" si="55"/>
        <v>-1</v>
      </c>
      <c r="H150" s="183">
        <f t="shared" si="55"/>
        <v>-4</v>
      </c>
      <c r="I150" s="183">
        <f t="shared" si="55"/>
        <v>-1</v>
      </c>
      <c r="J150" s="183">
        <f t="shared" si="55"/>
        <v>0</v>
      </c>
      <c r="K150" s="183">
        <f t="shared" si="55"/>
        <v>0</v>
      </c>
      <c r="L150" s="183">
        <f t="shared" si="55"/>
        <v>0</v>
      </c>
      <c r="M150" s="184">
        <f t="shared" si="55"/>
        <v>-3</v>
      </c>
      <c r="N150" s="183">
        <f t="shared" si="55"/>
        <v>0</v>
      </c>
      <c r="O150" s="184">
        <f t="shared" si="55"/>
        <v>-2</v>
      </c>
      <c r="P150" s="183">
        <f t="shared" si="55"/>
        <v>-1</v>
      </c>
      <c r="Q150" s="183">
        <f t="shared" si="55"/>
        <v>-1</v>
      </c>
      <c r="R150" s="183">
        <f t="shared" si="55"/>
        <v>0</v>
      </c>
      <c r="S150" s="183">
        <f t="shared" si="55"/>
        <v>0</v>
      </c>
      <c r="T150" s="183">
        <f t="shared" si="55"/>
        <v>0</v>
      </c>
      <c r="U150" s="183">
        <f t="shared" si="55"/>
        <v>-1</v>
      </c>
      <c r="V150" s="183">
        <f t="shared" si="55"/>
        <v>0</v>
      </c>
      <c r="W150" s="183">
        <f t="shared" si="55"/>
        <v>0</v>
      </c>
      <c r="X150" s="183">
        <f t="shared" si="55"/>
        <v>-1</v>
      </c>
      <c r="Y150" s="183">
        <f t="shared" si="55"/>
        <v>0</v>
      </c>
      <c r="Z150" s="183">
        <f t="shared" si="55"/>
        <v>0</v>
      </c>
      <c r="AA150" s="183">
        <f t="shared" si="55"/>
        <v>0</v>
      </c>
      <c r="AB150" s="183">
        <f t="shared" si="55"/>
        <v>0</v>
      </c>
      <c r="AC150" s="183">
        <f t="shared" si="55"/>
        <v>0</v>
      </c>
      <c r="AD150" s="183">
        <f t="shared" si="55"/>
        <v>0</v>
      </c>
      <c r="AE150" s="183">
        <f t="shared" si="55"/>
        <v>0</v>
      </c>
      <c r="AF150" s="183">
        <f t="shared" si="55"/>
        <v>0</v>
      </c>
      <c r="AG150" s="156">
        <f t="shared" si="53"/>
        <v>-18</v>
      </c>
    </row>
    <row r="151">
      <c r="A151" s="163" t="s">
        <v>127</v>
      </c>
      <c r="B151" s="164">
        <f t="shared" ref="B151:AF151" si="56">SUM(B147:B150)</f>
        <v>159</v>
      </c>
      <c r="C151" s="164">
        <f t="shared" si="56"/>
        <v>135</v>
      </c>
      <c r="D151" s="164">
        <f t="shared" si="56"/>
        <v>148</v>
      </c>
      <c r="E151" s="164">
        <f t="shared" si="56"/>
        <v>139</v>
      </c>
      <c r="F151" s="164">
        <f t="shared" si="56"/>
        <v>127</v>
      </c>
      <c r="G151" s="164">
        <f t="shared" si="56"/>
        <v>114</v>
      </c>
      <c r="H151" s="164">
        <f t="shared" si="56"/>
        <v>91</v>
      </c>
      <c r="I151" s="164">
        <f t="shared" si="56"/>
        <v>97</v>
      </c>
      <c r="J151" s="164">
        <f t="shared" si="56"/>
        <v>126</v>
      </c>
      <c r="K151" s="164">
        <f t="shared" si="56"/>
        <v>103</v>
      </c>
      <c r="L151" s="164">
        <f t="shared" si="56"/>
        <v>69</v>
      </c>
      <c r="M151" s="164">
        <f t="shared" si="56"/>
        <v>27</v>
      </c>
      <c r="N151" s="164">
        <f t="shared" si="56"/>
        <v>30</v>
      </c>
      <c r="O151" s="164">
        <f t="shared" si="56"/>
        <v>31</v>
      </c>
      <c r="P151" s="164">
        <f t="shared" si="56"/>
        <v>33</v>
      </c>
      <c r="Q151" s="164">
        <f t="shared" si="56"/>
        <v>47</v>
      </c>
      <c r="R151" s="164">
        <f t="shared" si="56"/>
        <v>38</v>
      </c>
      <c r="S151" s="164">
        <f t="shared" si="56"/>
        <v>36</v>
      </c>
      <c r="T151" s="164">
        <f t="shared" si="56"/>
        <v>15</v>
      </c>
      <c r="U151" s="164">
        <f t="shared" si="56"/>
        <v>19</v>
      </c>
      <c r="V151" s="164">
        <f t="shared" si="56"/>
        <v>38</v>
      </c>
      <c r="W151" s="164">
        <f t="shared" si="56"/>
        <v>75</v>
      </c>
      <c r="X151" s="164">
        <f t="shared" si="56"/>
        <v>52</v>
      </c>
      <c r="Y151" s="164">
        <f t="shared" si="56"/>
        <v>67</v>
      </c>
      <c r="Z151" s="164">
        <f t="shared" si="56"/>
        <v>43</v>
      </c>
      <c r="AA151" s="164">
        <f t="shared" si="56"/>
        <v>32</v>
      </c>
      <c r="AB151" s="164">
        <f t="shared" si="56"/>
        <v>24</v>
      </c>
      <c r="AC151" s="164">
        <f t="shared" si="56"/>
        <v>39</v>
      </c>
      <c r="AD151" s="164">
        <f t="shared" si="56"/>
        <v>33</v>
      </c>
      <c r="AE151" s="164">
        <f t="shared" si="56"/>
        <v>46</v>
      </c>
      <c r="AF151" s="164">
        <f t="shared" si="56"/>
        <v>39</v>
      </c>
      <c r="AG151" s="156">
        <f t="shared" si="53"/>
        <v>2072</v>
      </c>
    </row>
    <row r="152">
      <c r="A152" s="107"/>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56"/>
    </row>
    <row r="153">
      <c r="A153" s="157" t="s">
        <v>196</v>
      </c>
      <c r="B153" s="167">
        <f t="shared" ref="B153:AB153" si="57">B61-(B266+B273+B320+B327+B378+B389)</f>
        <v>486</v>
      </c>
      <c r="C153" s="167">
        <f t="shared" si="57"/>
        <v>52</v>
      </c>
      <c r="D153" s="167">
        <f t="shared" si="57"/>
        <v>32</v>
      </c>
      <c r="E153" s="167">
        <f t="shared" si="57"/>
        <v>23</v>
      </c>
      <c r="F153" s="167">
        <f t="shared" si="57"/>
        <v>13</v>
      </c>
      <c r="G153" s="167">
        <f t="shared" si="57"/>
        <v>10</v>
      </c>
      <c r="H153" s="167">
        <f t="shared" si="57"/>
        <v>21</v>
      </c>
      <c r="I153" s="167">
        <f t="shared" si="57"/>
        <v>29</v>
      </c>
      <c r="J153" s="167">
        <f t="shared" si="57"/>
        <v>16</v>
      </c>
      <c r="K153" s="167">
        <f t="shared" si="57"/>
        <v>19</v>
      </c>
      <c r="L153" s="167">
        <f t="shared" si="57"/>
        <v>18</v>
      </c>
      <c r="M153" s="167">
        <f t="shared" si="57"/>
        <v>1</v>
      </c>
      <c r="N153" s="167">
        <f t="shared" si="57"/>
        <v>11</v>
      </c>
      <c r="O153" s="167">
        <f t="shared" si="57"/>
        <v>6</v>
      </c>
      <c r="P153" s="167">
        <f t="shared" si="57"/>
        <v>4</v>
      </c>
      <c r="Q153" s="167">
        <f t="shared" si="57"/>
        <v>4</v>
      </c>
      <c r="R153" s="167">
        <f t="shared" si="57"/>
        <v>7</v>
      </c>
      <c r="S153" s="167">
        <f t="shared" si="57"/>
        <v>4</v>
      </c>
      <c r="T153" s="167">
        <f t="shared" si="57"/>
        <v>6</v>
      </c>
      <c r="U153" s="167">
        <f t="shared" si="57"/>
        <v>10</v>
      </c>
      <c r="V153" s="167">
        <f t="shared" si="57"/>
        <v>1</v>
      </c>
      <c r="W153" s="167">
        <f t="shared" si="57"/>
        <v>6</v>
      </c>
      <c r="X153" s="167">
        <f t="shared" si="57"/>
        <v>9</v>
      </c>
      <c r="Y153" s="167">
        <f t="shared" si="57"/>
        <v>5</v>
      </c>
      <c r="Z153" s="167">
        <f t="shared" si="57"/>
        <v>7</v>
      </c>
      <c r="AA153" s="167">
        <f t="shared" si="57"/>
        <v>4</v>
      </c>
      <c r="AB153" s="167">
        <f t="shared" si="57"/>
        <v>0</v>
      </c>
      <c r="AC153" s="167">
        <f t="shared" ref="AC153:AF153" si="58">AC61-(AC266+AC273+AC320+AC327+AC378)</f>
        <v>3</v>
      </c>
      <c r="AD153" s="179">
        <f t="shared" si="58"/>
        <v>5</v>
      </c>
      <c r="AE153" s="179">
        <f t="shared" si="58"/>
        <v>2</v>
      </c>
      <c r="AF153" s="179">
        <f t="shared" si="58"/>
        <v>1</v>
      </c>
      <c r="AG153" s="156">
        <f t="shared" ref="AG153:AG155" si="60">SUM(B153:AF153)</f>
        <v>815</v>
      </c>
    </row>
    <row r="154">
      <c r="A154" s="157" t="s">
        <v>197</v>
      </c>
      <c r="B154" s="167">
        <f t="shared" ref="B154:AF154" si="59">B62-(B267+B274+B321+B328+B379+B390)</f>
        <v>1239</v>
      </c>
      <c r="C154" s="167">
        <f t="shared" si="59"/>
        <v>159</v>
      </c>
      <c r="D154" s="167">
        <f t="shared" si="59"/>
        <v>120</v>
      </c>
      <c r="E154" s="167">
        <f t="shared" si="59"/>
        <v>74</v>
      </c>
      <c r="F154" s="167">
        <f t="shared" si="59"/>
        <v>45</v>
      </c>
      <c r="G154" s="167">
        <f t="shared" si="59"/>
        <v>48</v>
      </c>
      <c r="H154" s="167">
        <f t="shared" si="59"/>
        <v>49</v>
      </c>
      <c r="I154" s="167">
        <f t="shared" si="59"/>
        <v>48</v>
      </c>
      <c r="J154" s="167">
        <f t="shared" si="59"/>
        <v>77</v>
      </c>
      <c r="K154" s="167">
        <f t="shared" si="59"/>
        <v>66</v>
      </c>
      <c r="L154" s="167">
        <f t="shared" si="59"/>
        <v>44</v>
      </c>
      <c r="M154" s="167">
        <f t="shared" si="59"/>
        <v>18</v>
      </c>
      <c r="N154" s="167">
        <f t="shared" si="59"/>
        <v>19</v>
      </c>
      <c r="O154" s="167">
        <f t="shared" si="59"/>
        <v>25</v>
      </c>
      <c r="P154" s="167">
        <f t="shared" si="59"/>
        <v>16</v>
      </c>
      <c r="Q154" s="167">
        <f t="shared" si="59"/>
        <v>23</v>
      </c>
      <c r="R154" s="167">
        <f t="shared" si="59"/>
        <v>19</v>
      </c>
      <c r="S154" s="167">
        <f t="shared" si="59"/>
        <v>11</v>
      </c>
      <c r="T154" s="167">
        <f t="shared" si="59"/>
        <v>14</v>
      </c>
      <c r="U154" s="167">
        <f t="shared" si="59"/>
        <v>18</v>
      </c>
      <c r="V154" s="167">
        <f t="shared" si="59"/>
        <v>13</v>
      </c>
      <c r="W154" s="167">
        <f t="shared" si="59"/>
        <v>22</v>
      </c>
      <c r="X154" s="167">
        <f t="shared" si="59"/>
        <v>17</v>
      </c>
      <c r="Y154" s="167">
        <f t="shared" si="59"/>
        <v>23</v>
      </c>
      <c r="Z154" s="167">
        <f t="shared" si="59"/>
        <v>18</v>
      </c>
      <c r="AA154" s="167">
        <f t="shared" si="59"/>
        <v>10</v>
      </c>
      <c r="AB154" s="167">
        <f t="shared" si="59"/>
        <v>10</v>
      </c>
      <c r="AC154" s="167">
        <f t="shared" si="59"/>
        <v>10</v>
      </c>
      <c r="AD154" s="179">
        <f t="shared" si="59"/>
        <v>6</v>
      </c>
      <c r="AE154" s="179">
        <f t="shared" si="59"/>
        <v>4</v>
      </c>
      <c r="AF154" s="179">
        <f t="shared" si="59"/>
        <v>6</v>
      </c>
      <c r="AG154" s="156">
        <f t="shared" si="60"/>
        <v>2271</v>
      </c>
    </row>
    <row r="155">
      <c r="A155" s="163" t="s">
        <v>130</v>
      </c>
      <c r="B155" s="164">
        <f t="shared" ref="B155:AF155" si="61">SUM(B153:B154)</f>
        <v>1725</v>
      </c>
      <c r="C155" s="164">
        <f t="shared" si="61"/>
        <v>211</v>
      </c>
      <c r="D155" s="164">
        <f t="shared" si="61"/>
        <v>152</v>
      </c>
      <c r="E155" s="164">
        <f t="shared" si="61"/>
        <v>97</v>
      </c>
      <c r="F155" s="164">
        <f t="shared" si="61"/>
        <v>58</v>
      </c>
      <c r="G155" s="164">
        <f t="shared" si="61"/>
        <v>58</v>
      </c>
      <c r="H155" s="164">
        <f t="shared" si="61"/>
        <v>70</v>
      </c>
      <c r="I155" s="164">
        <f t="shared" si="61"/>
        <v>77</v>
      </c>
      <c r="J155" s="164">
        <f t="shared" si="61"/>
        <v>93</v>
      </c>
      <c r="K155" s="164">
        <f t="shared" si="61"/>
        <v>85</v>
      </c>
      <c r="L155" s="164">
        <f t="shared" si="61"/>
        <v>62</v>
      </c>
      <c r="M155" s="164">
        <f t="shared" si="61"/>
        <v>19</v>
      </c>
      <c r="N155" s="164">
        <f t="shared" si="61"/>
        <v>30</v>
      </c>
      <c r="O155" s="164">
        <f t="shared" si="61"/>
        <v>31</v>
      </c>
      <c r="P155" s="164">
        <f t="shared" si="61"/>
        <v>20</v>
      </c>
      <c r="Q155" s="164">
        <f t="shared" si="61"/>
        <v>27</v>
      </c>
      <c r="R155" s="164">
        <f t="shared" si="61"/>
        <v>26</v>
      </c>
      <c r="S155" s="164">
        <f t="shared" si="61"/>
        <v>15</v>
      </c>
      <c r="T155" s="164">
        <f t="shared" si="61"/>
        <v>20</v>
      </c>
      <c r="U155" s="164">
        <f t="shared" si="61"/>
        <v>28</v>
      </c>
      <c r="V155" s="164">
        <f t="shared" si="61"/>
        <v>14</v>
      </c>
      <c r="W155" s="164">
        <f t="shared" si="61"/>
        <v>28</v>
      </c>
      <c r="X155" s="164">
        <f t="shared" si="61"/>
        <v>26</v>
      </c>
      <c r="Y155" s="164">
        <f t="shared" si="61"/>
        <v>28</v>
      </c>
      <c r="Z155" s="164">
        <f t="shared" si="61"/>
        <v>25</v>
      </c>
      <c r="AA155" s="164">
        <f t="shared" si="61"/>
        <v>14</v>
      </c>
      <c r="AB155" s="164">
        <f t="shared" si="61"/>
        <v>10</v>
      </c>
      <c r="AC155" s="164">
        <f t="shared" si="61"/>
        <v>13</v>
      </c>
      <c r="AD155" s="164">
        <f t="shared" si="61"/>
        <v>11</v>
      </c>
      <c r="AE155" s="164">
        <f t="shared" si="61"/>
        <v>6</v>
      </c>
      <c r="AF155" s="164">
        <f t="shared" si="61"/>
        <v>7</v>
      </c>
      <c r="AG155" s="156">
        <f t="shared" si="60"/>
        <v>3086</v>
      </c>
    </row>
    <row r="156">
      <c r="A156" s="100"/>
      <c r="B156" s="167"/>
      <c r="C156" s="167"/>
      <c r="D156" s="167"/>
      <c r="E156" s="167"/>
      <c r="F156" s="167"/>
      <c r="G156" s="167"/>
      <c r="H156" s="167"/>
      <c r="I156" s="167"/>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156"/>
    </row>
    <row r="157">
      <c r="A157" s="157" t="s">
        <v>131</v>
      </c>
      <c r="B157" s="185">
        <f t="shared" ref="B157:AF157" si="62">B65-(B279+B292+B333+B399+B412)</f>
        <v>170</v>
      </c>
      <c r="C157" s="185">
        <f t="shared" si="62"/>
        <v>122</v>
      </c>
      <c r="D157" s="185">
        <f t="shared" si="62"/>
        <v>142</v>
      </c>
      <c r="E157" s="185">
        <f t="shared" si="62"/>
        <v>124</v>
      </c>
      <c r="F157" s="185">
        <f t="shared" si="62"/>
        <v>105</v>
      </c>
      <c r="G157" s="185">
        <f t="shared" si="62"/>
        <v>105</v>
      </c>
      <c r="H157" s="185">
        <f t="shared" si="62"/>
        <v>85</v>
      </c>
      <c r="I157" s="185">
        <f t="shared" si="62"/>
        <v>76</v>
      </c>
      <c r="J157" s="185">
        <f t="shared" si="62"/>
        <v>99</v>
      </c>
      <c r="K157" s="185">
        <f t="shared" si="62"/>
        <v>101</v>
      </c>
      <c r="L157" s="185">
        <f t="shared" si="62"/>
        <v>42</v>
      </c>
      <c r="M157" s="185">
        <f t="shared" si="62"/>
        <v>10</v>
      </c>
      <c r="N157" s="185">
        <f t="shared" si="62"/>
        <v>12</v>
      </c>
      <c r="O157" s="185">
        <f t="shared" si="62"/>
        <v>7</v>
      </c>
      <c r="P157" s="185">
        <f t="shared" si="62"/>
        <v>6</v>
      </c>
      <c r="Q157" s="185">
        <f t="shared" si="62"/>
        <v>14</v>
      </c>
      <c r="R157" s="185">
        <f t="shared" si="62"/>
        <v>16</v>
      </c>
      <c r="S157" s="185">
        <f t="shared" si="62"/>
        <v>14</v>
      </c>
      <c r="T157" s="185">
        <f t="shared" si="62"/>
        <v>1</v>
      </c>
      <c r="U157" s="185">
        <f t="shared" si="62"/>
        <v>4</v>
      </c>
      <c r="V157" s="185">
        <f t="shared" si="62"/>
        <v>11</v>
      </c>
      <c r="W157" s="185">
        <f t="shared" si="62"/>
        <v>41</v>
      </c>
      <c r="X157" s="185">
        <f t="shared" si="62"/>
        <v>21</v>
      </c>
      <c r="Y157" s="185">
        <f t="shared" si="62"/>
        <v>20</v>
      </c>
      <c r="Z157" s="185">
        <f t="shared" si="62"/>
        <v>18</v>
      </c>
      <c r="AA157" s="185">
        <f t="shared" si="62"/>
        <v>6</v>
      </c>
      <c r="AB157" s="185">
        <f t="shared" si="62"/>
        <v>10</v>
      </c>
      <c r="AC157" s="185">
        <f t="shared" si="62"/>
        <v>5</v>
      </c>
      <c r="AD157" s="185">
        <f t="shared" si="62"/>
        <v>15</v>
      </c>
      <c r="AE157" s="185">
        <f t="shared" si="62"/>
        <v>14</v>
      </c>
      <c r="AF157" s="185">
        <f t="shared" si="62"/>
        <v>10</v>
      </c>
      <c r="AG157" s="156">
        <f t="shared" ref="AG157:AG167" si="64">SUM(B157:AF157)</f>
        <v>1426</v>
      </c>
    </row>
    <row r="158">
      <c r="A158" s="157" t="s">
        <v>132</v>
      </c>
      <c r="B158" s="185">
        <f t="shared" ref="B158:AF158" si="63">B66-(B280+B293+B334+B400+B413)</f>
        <v>38</v>
      </c>
      <c r="C158" s="185">
        <f t="shared" si="63"/>
        <v>31</v>
      </c>
      <c r="D158" s="185">
        <f t="shared" si="63"/>
        <v>24</v>
      </c>
      <c r="E158" s="185">
        <f t="shared" si="63"/>
        <v>22</v>
      </c>
      <c r="F158" s="185">
        <f t="shared" si="63"/>
        <v>18</v>
      </c>
      <c r="G158" s="185">
        <f t="shared" si="63"/>
        <v>22</v>
      </c>
      <c r="H158" s="185">
        <f t="shared" si="63"/>
        <v>17</v>
      </c>
      <c r="I158" s="185">
        <f t="shared" si="63"/>
        <v>27</v>
      </c>
      <c r="J158" s="185">
        <f t="shared" si="63"/>
        <v>26</v>
      </c>
      <c r="K158" s="185">
        <f t="shared" si="63"/>
        <v>30</v>
      </c>
      <c r="L158" s="185">
        <f t="shared" si="63"/>
        <v>13</v>
      </c>
      <c r="M158" s="185">
        <f t="shared" si="63"/>
        <v>8</v>
      </c>
      <c r="N158" s="185">
        <f t="shared" si="63"/>
        <v>2</v>
      </c>
      <c r="O158" s="185">
        <f t="shared" si="63"/>
        <v>5</v>
      </c>
      <c r="P158" s="185">
        <f t="shared" si="63"/>
        <v>1</v>
      </c>
      <c r="Q158" s="185">
        <f t="shared" si="63"/>
        <v>11</v>
      </c>
      <c r="R158" s="185">
        <f t="shared" si="63"/>
        <v>8</v>
      </c>
      <c r="S158" s="185">
        <f t="shared" si="63"/>
        <v>13</v>
      </c>
      <c r="T158" s="185">
        <f t="shared" si="63"/>
        <v>9</v>
      </c>
      <c r="U158" s="185">
        <f t="shared" si="63"/>
        <v>9</v>
      </c>
      <c r="V158" s="185">
        <f t="shared" si="63"/>
        <v>8</v>
      </c>
      <c r="W158" s="185">
        <f t="shared" si="63"/>
        <v>13</v>
      </c>
      <c r="X158" s="185">
        <f t="shared" si="63"/>
        <v>11</v>
      </c>
      <c r="Y158" s="185">
        <f t="shared" si="63"/>
        <v>13</v>
      </c>
      <c r="Z158" s="185">
        <f t="shared" si="63"/>
        <v>11</v>
      </c>
      <c r="AA158" s="185">
        <f t="shared" si="63"/>
        <v>6</v>
      </c>
      <c r="AB158" s="185">
        <f t="shared" si="63"/>
        <v>6</v>
      </c>
      <c r="AC158" s="185">
        <f t="shared" si="63"/>
        <v>6</v>
      </c>
      <c r="AD158" s="185">
        <f t="shared" si="63"/>
        <v>9</v>
      </c>
      <c r="AE158" s="185">
        <f t="shared" si="63"/>
        <v>9</v>
      </c>
      <c r="AF158" s="185">
        <f t="shared" si="63"/>
        <v>8</v>
      </c>
      <c r="AG158" s="156">
        <f t="shared" si="64"/>
        <v>434</v>
      </c>
    </row>
    <row r="159">
      <c r="A159" s="157" t="s">
        <v>198</v>
      </c>
      <c r="B159" s="185">
        <f t="shared" ref="B159:AF159" si="65">B67-(B281+B294+B335+B401+B414)</f>
        <v>45</v>
      </c>
      <c r="C159" s="185">
        <f t="shared" si="65"/>
        <v>25</v>
      </c>
      <c r="D159" s="185">
        <f t="shared" si="65"/>
        <v>27</v>
      </c>
      <c r="E159" s="185">
        <f t="shared" si="65"/>
        <v>20</v>
      </c>
      <c r="F159" s="185">
        <f t="shared" si="65"/>
        <v>18</v>
      </c>
      <c r="G159" s="185">
        <f t="shared" si="65"/>
        <v>20</v>
      </c>
      <c r="H159" s="185">
        <f t="shared" si="65"/>
        <v>19</v>
      </c>
      <c r="I159" s="185">
        <f t="shared" si="65"/>
        <v>22</v>
      </c>
      <c r="J159" s="185">
        <f t="shared" si="65"/>
        <v>26</v>
      </c>
      <c r="K159" s="185">
        <f t="shared" si="65"/>
        <v>25</v>
      </c>
      <c r="L159" s="185">
        <f t="shared" si="65"/>
        <v>18</v>
      </c>
      <c r="M159" s="185">
        <f t="shared" si="65"/>
        <v>8</v>
      </c>
      <c r="N159" s="185">
        <f t="shared" si="65"/>
        <v>1</v>
      </c>
      <c r="O159" s="185">
        <f t="shared" si="65"/>
        <v>7</v>
      </c>
      <c r="P159" s="185">
        <f t="shared" si="65"/>
        <v>7</v>
      </c>
      <c r="Q159" s="185">
        <f t="shared" si="65"/>
        <v>9</v>
      </c>
      <c r="R159" s="185">
        <f t="shared" si="65"/>
        <v>7</v>
      </c>
      <c r="S159" s="185">
        <f t="shared" si="65"/>
        <v>6</v>
      </c>
      <c r="T159" s="185">
        <f t="shared" si="65"/>
        <v>5</v>
      </c>
      <c r="U159" s="185">
        <f t="shared" si="65"/>
        <v>2</v>
      </c>
      <c r="V159" s="185">
        <f t="shared" si="65"/>
        <v>4</v>
      </c>
      <c r="W159" s="185">
        <f t="shared" si="65"/>
        <v>13</v>
      </c>
      <c r="X159" s="185">
        <f t="shared" si="65"/>
        <v>10</v>
      </c>
      <c r="Y159" s="185">
        <f t="shared" si="65"/>
        <v>14</v>
      </c>
      <c r="Z159" s="185">
        <f t="shared" si="65"/>
        <v>5</v>
      </c>
      <c r="AA159" s="185">
        <f t="shared" si="65"/>
        <v>5</v>
      </c>
      <c r="AB159" s="185">
        <f t="shared" si="65"/>
        <v>7</v>
      </c>
      <c r="AC159" s="185">
        <f t="shared" si="65"/>
        <v>7</v>
      </c>
      <c r="AD159" s="185">
        <f t="shared" si="65"/>
        <v>9</v>
      </c>
      <c r="AE159" s="185">
        <f t="shared" si="65"/>
        <v>11</v>
      </c>
      <c r="AF159" s="185">
        <f t="shared" si="65"/>
        <v>4</v>
      </c>
      <c r="AG159" s="156">
        <f t="shared" si="64"/>
        <v>406</v>
      </c>
    </row>
    <row r="160">
      <c r="A160" s="157" t="s">
        <v>199</v>
      </c>
      <c r="B160" s="185">
        <f t="shared" ref="B160:AF160" si="66">B68-(B282+B295+B336+B402+B415)</f>
        <v>2</v>
      </c>
      <c r="C160" s="185">
        <f t="shared" si="66"/>
        <v>1</v>
      </c>
      <c r="D160" s="185">
        <f t="shared" si="66"/>
        <v>-1</v>
      </c>
      <c r="E160" s="185">
        <f t="shared" si="66"/>
        <v>1</v>
      </c>
      <c r="F160" s="185">
        <f t="shared" si="66"/>
        <v>0</v>
      </c>
      <c r="G160" s="185">
        <f t="shared" si="66"/>
        <v>1</v>
      </c>
      <c r="H160" s="185">
        <f t="shared" si="66"/>
        <v>2</v>
      </c>
      <c r="I160" s="185">
        <f t="shared" si="66"/>
        <v>1</v>
      </c>
      <c r="J160" s="185">
        <f t="shared" si="66"/>
        <v>3</v>
      </c>
      <c r="K160" s="185">
        <f t="shared" si="66"/>
        <v>1</v>
      </c>
      <c r="L160" s="185">
        <f t="shared" si="66"/>
        <v>0</v>
      </c>
      <c r="M160" s="185">
        <f t="shared" si="66"/>
        <v>1</v>
      </c>
      <c r="N160" s="185">
        <f t="shared" si="66"/>
        <v>0</v>
      </c>
      <c r="O160" s="185">
        <f t="shared" si="66"/>
        <v>4</v>
      </c>
      <c r="P160" s="185">
        <f t="shared" si="66"/>
        <v>3</v>
      </c>
      <c r="Q160" s="185">
        <f t="shared" si="66"/>
        <v>3</v>
      </c>
      <c r="R160" s="185">
        <f t="shared" si="66"/>
        <v>2</v>
      </c>
      <c r="S160" s="185">
        <f t="shared" si="66"/>
        <v>-1</v>
      </c>
      <c r="T160" s="185">
        <f t="shared" si="66"/>
        <v>1</v>
      </c>
      <c r="U160" s="185">
        <f t="shared" si="66"/>
        <v>0</v>
      </c>
      <c r="V160" s="185">
        <f t="shared" si="66"/>
        <v>2</v>
      </c>
      <c r="W160" s="185">
        <f t="shared" si="66"/>
        <v>0</v>
      </c>
      <c r="X160" s="185">
        <f t="shared" si="66"/>
        <v>1</v>
      </c>
      <c r="Y160" s="185">
        <f t="shared" si="66"/>
        <v>0</v>
      </c>
      <c r="Z160" s="185">
        <f t="shared" si="66"/>
        <v>1</v>
      </c>
      <c r="AA160" s="185">
        <f t="shared" si="66"/>
        <v>0</v>
      </c>
      <c r="AB160" s="185">
        <f t="shared" si="66"/>
        <v>1</v>
      </c>
      <c r="AC160" s="185">
        <f t="shared" si="66"/>
        <v>3</v>
      </c>
      <c r="AD160" s="185">
        <f t="shared" si="66"/>
        <v>0</v>
      </c>
      <c r="AE160" s="185">
        <f t="shared" si="66"/>
        <v>1</v>
      </c>
      <c r="AF160" s="185">
        <f t="shared" si="66"/>
        <v>1</v>
      </c>
      <c r="AG160" s="156">
        <f t="shared" si="64"/>
        <v>34</v>
      </c>
    </row>
    <row r="161">
      <c r="A161" s="157" t="s">
        <v>200</v>
      </c>
      <c r="B161" s="185">
        <f t="shared" ref="B161:AF161" si="67">B69-(B283+B296+B337+B403+B416)</f>
        <v>24</v>
      </c>
      <c r="C161" s="185">
        <f t="shared" si="67"/>
        <v>14</v>
      </c>
      <c r="D161" s="185">
        <f t="shared" si="67"/>
        <v>14</v>
      </c>
      <c r="E161" s="185">
        <f t="shared" si="67"/>
        <v>12</v>
      </c>
      <c r="F161" s="185">
        <f t="shared" si="67"/>
        <v>13</v>
      </c>
      <c r="G161" s="185">
        <f t="shared" si="67"/>
        <v>10</v>
      </c>
      <c r="H161" s="185">
        <f t="shared" si="67"/>
        <v>13</v>
      </c>
      <c r="I161" s="185">
        <f t="shared" si="67"/>
        <v>6</v>
      </c>
      <c r="J161" s="185">
        <f t="shared" si="67"/>
        <v>19</v>
      </c>
      <c r="K161" s="185">
        <f t="shared" si="67"/>
        <v>12</v>
      </c>
      <c r="L161" s="185">
        <f t="shared" si="67"/>
        <v>12</v>
      </c>
      <c r="M161" s="185">
        <f t="shared" si="67"/>
        <v>7</v>
      </c>
      <c r="N161" s="185">
        <f t="shared" si="67"/>
        <v>9</v>
      </c>
      <c r="O161" s="185">
        <f t="shared" si="67"/>
        <v>1</v>
      </c>
      <c r="P161" s="185">
        <f t="shared" si="67"/>
        <v>7</v>
      </c>
      <c r="Q161" s="185">
        <f t="shared" si="67"/>
        <v>7</v>
      </c>
      <c r="R161" s="185">
        <f t="shared" si="67"/>
        <v>2</v>
      </c>
      <c r="S161" s="185">
        <f t="shared" si="67"/>
        <v>6</v>
      </c>
      <c r="T161" s="185">
        <f t="shared" si="67"/>
        <v>4</v>
      </c>
      <c r="U161" s="185">
        <f t="shared" si="67"/>
        <v>0</v>
      </c>
      <c r="V161" s="185">
        <f t="shared" si="67"/>
        <v>3</v>
      </c>
      <c r="W161" s="185">
        <f t="shared" si="67"/>
        <v>6</v>
      </c>
      <c r="X161" s="185">
        <f t="shared" si="67"/>
        <v>11</v>
      </c>
      <c r="Y161" s="185">
        <f t="shared" si="67"/>
        <v>5</v>
      </c>
      <c r="Z161" s="185">
        <f t="shared" si="67"/>
        <v>7</v>
      </c>
      <c r="AA161" s="185">
        <f t="shared" si="67"/>
        <v>5</v>
      </c>
      <c r="AB161" s="185">
        <f t="shared" si="67"/>
        <v>9</v>
      </c>
      <c r="AC161" s="185">
        <f t="shared" si="67"/>
        <v>3</v>
      </c>
      <c r="AD161" s="185">
        <f t="shared" si="67"/>
        <v>3</v>
      </c>
      <c r="AE161" s="185">
        <f t="shared" si="67"/>
        <v>5</v>
      </c>
      <c r="AF161" s="185">
        <f t="shared" si="67"/>
        <v>7</v>
      </c>
      <c r="AG161" s="156">
        <f t="shared" si="64"/>
        <v>256</v>
      </c>
    </row>
    <row r="162">
      <c r="A162" s="157" t="s">
        <v>201</v>
      </c>
      <c r="B162" s="185">
        <f t="shared" ref="B162:AF162" si="68">B70-(B284+B297+B338+B404+B417)</f>
        <v>8</v>
      </c>
      <c r="C162" s="185">
        <f t="shared" si="68"/>
        <v>6</v>
      </c>
      <c r="D162" s="185">
        <f t="shared" si="68"/>
        <v>3</v>
      </c>
      <c r="E162" s="185">
        <f t="shared" si="68"/>
        <v>6</v>
      </c>
      <c r="F162" s="185">
        <f t="shared" si="68"/>
        <v>3</v>
      </c>
      <c r="G162" s="185">
        <f t="shared" si="68"/>
        <v>4</v>
      </c>
      <c r="H162" s="185">
        <f t="shared" si="68"/>
        <v>-1</v>
      </c>
      <c r="I162" s="185">
        <f t="shared" si="68"/>
        <v>0</v>
      </c>
      <c r="J162" s="185">
        <f t="shared" si="68"/>
        <v>4</v>
      </c>
      <c r="K162" s="185">
        <f t="shared" si="68"/>
        <v>4</v>
      </c>
      <c r="L162" s="185">
        <f t="shared" si="68"/>
        <v>2</v>
      </c>
      <c r="M162" s="185">
        <f t="shared" si="68"/>
        <v>4</v>
      </c>
      <c r="N162" s="185">
        <f t="shared" si="68"/>
        <v>0</v>
      </c>
      <c r="O162" s="185">
        <f t="shared" si="68"/>
        <v>1</v>
      </c>
      <c r="P162" s="185">
        <f t="shared" si="68"/>
        <v>2</v>
      </c>
      <c r="Q162" s="185">
        <f t="shared" si="68"/>
        <v>5</v>
      </c>
      <c r="R162" s="185">
        <f t="shared" si="68"/>
        <v>0</v>
      </c>
      <c r="S162" s="185">
        <f t="shared" si="68"/>
        <v>1</v>
      </c>
      <c r="T162" s="185">
        <f t="shared" si="68"/>
        <v>2</v>
      </c>
      <c r="U162" s="185">
        <f t="shared" si="68"/>
        <v>1</v>
      </c>
      <c r="V162" s="185">
        <f t="shared" si="68"/>
        <v>0</v>
      </c>
      <c r="W162" s="185">
        <f t="shared" si="68"/>
        <v>2</v>
      </c>
      <c r="X162" s="185">
        <f t="shared" si="68"/>
        <v>3</v>
      </c>
      <c r="Y162" s="185">
        <f t="shared" si="68"/>
        <v>0</v>
      </c>
      <c r="Z162" s="185">
        <f t="shared" si="68"/>
        <v>1</v>
      </c>
      <c r="AA162" s="185">
        <f t="shared" si="68"/>
        <v>0</v>
      </c>
      <c r="AB162" s="185">
        <f t="shared" si="68"/>
        <v>1</v>
      </c>
      <c r="AC162" s="185">
        <f t="shared" si="68"/>
        <v>3</v>
      </c>
      <c r="AD162" s="185">
        <f t="shared" si="68"/>
        <v>1</v>
      </c>
      <c r="AE162" s="185">
        <f t="shared" si="68"/>
        <v>1</v>
      </c>
      <c r="AF162" s="185">
        <f t="shared" si="68"/>
        <v>0</v>
      </c>
      <c r="AG162" s="156">
        <f t="shared" si="64"/>
        <v>67</v>
      </c>
    </row>
    <row r="163">
      <c r="A163" s="157" t="s">
        <v>202</v>
      </c>
      <c r="B163" s="185">
        <f t="shared" ref="B163:AF163" si="69">B71-(B285+B298+B339+B405+B418)</f>
        <v>114</v>
      </c>
      <c r="C163" s="185">
        <f t="shared" si="69"/>
        <v>81</v>
      </c>
      <c r="D163" s="185">
        <f t="shared" si="69"/>
        <v>67</v>
      </c>
      <c r="E163" s="185">
        <f t="shared" si="69"/>
        <v>62</v>
      </c>
      <c r="F163" s="185">
        <f t="shared" si="69"/>
        <v>49</v>
      </c>
      <c r="G163" s="185">
        <f t="shared" si="69"/>
        <v>54</v>
      </c>
      <c r="H163" s="185">
        <f t="shared" si="69"/>
        <v>48</v>
      </c>
      <c r="I163" s="185">
        <f t="shared" si="69"/>
        <v>43</v>
      </c>
      <c r="J163" s="185">
        <f t="shared" si="69"/>
        <v>66</v>
      </c>
      <c r="K163" s="185">
        <f t="shared" si="69"/>
        <v>58</v>
      </c>
      <c r="L163" s="185">
        <f t="shared" si="69"/>
        <v>40</v>
      </c>
      <c r="M163" s="185">
        <f t="shared" si="69"/>
        <v>21</v>
      </c>
      <c r="N163" s="185">
        <f t="shared" si="69"/>
        <v>14</v>
      </c>
      <c r="O163" s="185">
        <f t="shared" si="69"/>
        <v>20</v>
      </c>
      <c r="P163" s="185">
        <f t="shared" si="69"/>
        <v>18</v>
      </c>
      <c r="Q163" s="185">
        <f t="shared" si="69"/>
        <v>27</v>
      </c>
      <c r="R163" s="185">
        <f t="shared" si="69"/>
        <v>25</v>
      </c>
      <c r="S163" s="185">
        <f t="shared" si="69"/>
        <v>15</v>
      </c>
      <c r="T163" s="185">
        <f t="shared" si="69"/>
        <v>16</v>
      </c>
      <c r="U163" s="185">
        <f t="shared" si="69"/>
        <v>13</v>
      </c>
      <c r="V163" s="185">
        <f t="shared" si="69"/>
        <v>23</v>
      </c>
      <c r="W163" s="185">
        <f t="shared" si="69"/>
        <v>22</v>
      </c>
      <c r="X163" s="185">
        <f t="shared" si="69"/>
        <v>22</v>
      </c>
      <c r="Y163" s="185">
        <f t="shared" si="69"/>
        <v>36</v>
      </c>
      <c r="Z163" s="185">
        <f t="shared" si="69"/>
        <v>28</v>
      </c>
      <c r="AA163" s="185">
        <f t="shared" si="69"/>
        <v>19</v>
      </c>
      <c r="AB163" s="185">
        <f t="shared" si="69"/>
        <v>17</v>
      </c>
      <c r="AC163" s="185">
        <f t="shared" si="69"/>
        <v>20</v>
      </c>
      <c r="AD163" s="185">
        <f t="shared" si="69"/>
        <v>18</v>
      </c>
      <c r="AE163" s="185">
        <f t="shared" si="69"/>
        <v>22</v>
      </c>
      <c r="AF163" s="185">
        <f t="shared" si="69"/>
        <v>13</v>
      </c>
      <c r="AG163" s="156">
        <f t="shared" si="64"/>
        <v>1091</v>
      </c>
    </row>
    <row r="164">
      <c r="A164" s="157" t="s">
        <v>203</v>
      </c>
      <c r="B164" s="185">
        <f t="shared" ref="B164:AF164" si="70">B72-(B286+B299+B340+B406+B419)</f>
        <v>17</v>
      </c>
      <c r="C164" s="185">
        <f t="shared" si="70"/>
        <v>13</v>
      </c>
      <c r="D164" s="185">
        <f t="shared" si="70"/>
        <v>6</v>
      </c>
      <c r="E164" s="185">
        <f t="shared" si="70"/>
        <v>6</v>
      </c>
      <c r="F164" s="185">
        <f t="shared" si="70"/>
        <v>4</v>
      </c>
      <c r="G164" s="185">
        <f t="shared" si="70"/>
        <v>6</v>
      </c>
      <c r="H164" s="185">
        <f t="shared" si="70"/>
        <v>3</v>
      </c>
      <c r="I164" s="185">
        <f t="shared" si="70"/>
        <v>2</v>
      </c>
      <c r="J164" s="185">
        <f t="shared" si="70"/>
        <v>10</v>
      </c>
      <c r="K164" s="185">
        <f t="shared" si="70"/>
        <v>4</v>
      </c>
      <c r="L164" s="185">
        <f t="shared" si="70"/>
        <v>3</v>
      </c>
      <c r="M164" s="185">
        <f t="shared" si="70"/>
        <v>5</v>
      </c>
      <c r="N164" s="185">
        <f t="shared" si="70"/>
        <v>1</v>
      </c>
      <c r="O164" s="185">
        <f t="shared" si="70"/>
        <v>4</v>
      </c>
      <c r="P164" s="185">
        <f t="shared" si="70"/>
        <v>3</v>
      </c>
      <c r="Q164" s="185">
        <f t="shared" si="70"/>
        <v>10</v>
      </c>
      <c r="R164" s="185">
        <f t="shared" si="70"/>
        <v>3</v>
      </c>
      <c r="S164" s="185">
        <f t="shared" si="70"/>
        <v>4</v>
      </c>
      <c r="T164" s="185">
        <f t="shared" si="70"/>
        <v>2</v>
      </c>
      <c r="U164" s="185">
        <f t="shared" si="70"/>
        <v>6</v>
      </c>
      <c r="V164" s="185">
        <f t="shared" si="70"/>
        <v>2</v>
      </c>
      <c r="W164" s="185">
        <f t="shared" si="70"/>
        <v>1</v>
      </c>
      <c r="X164" s="185">
        <f t="shared" si="70"/>
        <v>4</v>
      </c>
      <c r="Y164" s="185">
        <f t="shared" si="70"/>
        <v>3</v>
      </c>
      <c r="Z164" s="185">
        <f t="shared" si="70"/>
        <v>2</v>
      </c>
      <c r="AA164" s="185">
        <f t="shared" si="70"/>
        <v>0</v>
      </c>
      <c r="AB164" s="185">
        <f t="shared" si="70"/>
        <v>0</v>
      </c>
      <c r="AC164" s="185">
        <f t="shared" si="70"/>
        <v>6</v>
      </c>
      <c r="AD164" s="185">
        <f t="shared" si="70"/>
        <v>2</v>
      </c>
      <c r="AE164" s="185">
        <f t="shared" si="70"/>
        <v>4</v>
      </c>
      <c r="AF164" s="185">
        <f t="shared" si="70"/>
        <v>5</v>
      </c>
      <c r="AG164" s="156">
        <f t="shared" si="64"/>
        <v>141</v>
      </c>
    </row>
    <row r="165">
      <c r="A165" s="157" t="s">
        <v>204</v>
      </c>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7"/>
      <c r="AC165" s="187"/>
      <c r="AD165" s="187"/>
      <c r="AE165" s="187"/>
      <c r="AF165" s="187"/>
      <c r="AG165" s="156">
        <f t="shared" si="64"/>
        <v>0</v>
      </c>
    </row>
    <row r="166">
      <c r="A166" s="157" t="s">
        <v>205</v>
      </c>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7"/>
      <c r="AC166" s="187"/>
      <c r="AD166" s="187"/>
      <c r="AE166" s="187"/>
      <c r="AF166" s="187"/>
      <c r="AG166" s="156">
        <f t="shared" si="64"/>
        <v>0</v>
      </c>
    </row>
    <row r="167">
      <c r="A167" s="163" t="s">
        <v>141</v>
      </c>
      <c r="B167" s="164">
        <f t="shared" ref="B167:AF167" si="71">SUM(B157:B166)</f>
        <v>418</v>
      </c>
      <c r="C167" s="164">
        <f t="shared" si="71"/>
        <v>293</v>
      </c>
      <c r="D167" s="164">
        <f t="shared" si="71"/>
        <v>282</v>
      </c>
      <c r="E167" s="164">
        <f t="shared" si="71"/>
        <v>253</v>
      </c>
      <c r="F167" s="164">
        <f t="shared" si="71"/>
        <v>210</v>
      </c>
      <c r="G167" s="164">
        <f t="shared" si="71"/>
        <v>222</v>
      </c>
      <c r="H167" s="164">
        <f t="shared" si="71"/>
        <v>186</v>
      </c>
      <c r="I167" s="164">
        <f t="shared" si="71"/>
        <v>177</v>
      </c>
      <c r="J167" s="164">
        <f t="shared" si="71"/>
        <v>253</v>
      </c>
      <c r="K167" s="164">
        <f t="shared" si="71"/>
        <v>235</v>
      </c>
      <c r="L167" s="164">
        <f t="shared" si="71"/>
        <v>130</v>
      </c>
      <c r="M167" s="164">
        <f t="shared" si="71"/>
        <v>64</v>
      </c>
      <c r="N167" s="164">
        <f t="shared" si="71"/>
        <v>39</v>
      </c>
      <c r="O167" s="164">
        <f t="shared" si="71"/>
        <v>49</v>
      </c>
      <c r="P167" s="164">
        <f t="shared" si="71"/>
        <v>47</v>
      </c>
      <c r="Q167" s="164">
        <f t="shared" si="71"/>
        <v>86</v>
      </c>
      <c r="R167" s="164">
        <f t="shared" si="71"/>
        <v>63</v>
      </c>
      <c r="S167" s="164">
        <f t="shared" si="71"/>
        <v>58</v>
      </c>
      <c r="T167" s="164">
        <f t="shared" si="71"/>
        <v>40</v>
      </c>
      <c r="U167" s="164">
        <f t="shared" si="71"/>
        <v>35</v>
      </c>
      <c r="V167" s="164">
        <f t="shared" si="71"/>
        <v>53</v>
      </c>
      <c r="W167" s="164">
        <f t="shared" si="71"/>
        <v>98</v>
      </c>
      <c r="X167" s="164">
        <f t="shared" si="71"/>
        <v>83</v>
      </c>
      <c r="Y167" s="164">
        <f t="shared" si="71"/>
        <v>91</v>
      </c>
      <c r="Z167" s="164">
        <f t="shared" si="71"/>
        <v>73</v>
      </c>
      <c r="AA167" s="164">
        <f t="shared" si="71"/>
        <v>41</v>
      </c>
      <c r="AB167" s="164">
        <f t="shared" si="71"/>
        <v>51</v>
      </c>
      <c r="AC167" s="164">
        <f t="shared" si="71"/>
        <v>53</v>
      </c>
      <c r="AD167" s="164">
        <f t="shared" si="71"/>
        <v>57</v>
      </c>
      <c r="AE167" s="164">
        <f t="shared" si="71"/>
        <v>67</v>
      </c>
      <c r="AF167" s="164">
        <f t="shared" si="71"/>
        <v>48</v>
      </c>
      <c r="AG167" s="156">
        <f t="shared" si="64"/>
        <v>3855</v>
      </c>
    </row>
    <row r="168">
      <c r="A168" s="172"/>
      <c r="AG168" s="156"/>
    </row>
    <row r="169">
      <c r="A169" s="188" t="s">
        <v>206</v>
      </c>
      <c r="B169" s="189"/>
      <c r="C169" s="189"/>
      <c r="D169" s="189"/>
      <c r="E169" s="189"/>
      <c r="F169" s="189"/>
      <c r="G169" s="189"/>
      <c r="H169" s="189"/>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6"/>
    </row>
    <row r="170">
      <c r="A170" s="190" t="s">
        <v>207</v>
      </c>
      <c r="B170" s="191"/>
      <c r="C170" s="191"/>
      <c r="D170" s="192"/>
      <c r="E170" s="192"/>
      <c r="F170" s="192"/>
      <c r="G170" s="192"/>
      <c r="H170" s="192"/>
      <c r="I170" s="192"/>
      <c r="J170" s="192"/>
      <c r="K170" s="191"/>
      <c r="L170" s="191"/>
      <c r="M170" s="191"/>
      <c r="N170" s="191"/>
      <c r="O170" s="191"/>
      <c r="P170" s="191"/>
      <c r="Q170" s="191"/>
      <c r="R170" s="191"/>
      <c r="S170" s="191"/>
      <c r="T170" s="191"/>
      <c r="U170" s="191"/>
      <c r="V170" s="191"/>
      <c r="W170" s="191"/>
      <c r="X170" s="191"/>
      <c r="Y170" s="191"/>
      <c r="Z170" s="191"/>
      <c r="AA170" s="191"/>
      <c r="AB170" s="191"/>
      <c r="AC170" s="191"/>
      <c r="AD170" s="191"/>
      <c r="AE170" s="191"/>
      <c r="AF170" s="191"/>
      <c r="AG170" s="156"/>
    </row>
    <row r="171" outlineLevel="1">
      <c r="A171" s="190" t="s">
        <v>208</v>
      </c>
      <c r="B171" s="165">
        <v>40.0</v>
      </c>
      <c r="C171" s="165">
        <v>36.0</v>
      </c>
      <c r="D171" s="165">
        <v>41.0</v>
      </c>
      <c r="E171" s="165">
        <v>37.0</v>
      </c>
      <c r="F171" s="165">
        <v>28.0</v>
      </c>
      <c r="G171" s="165">
        <v>27.0</v>
      </c>
      <c r="H171" s="165">
        <v>27.0</v>
      </c>
      <c r="I171" s="165">
        <v>22.0</v>
      </c>
      <c r="J171" s="165">
        <v>31.0</v>
      </c>
      <c r="K171" s="165">
        <v>24.0</v>
      </c>
      <c r="L171" s="165">
        <v>22.0</v>
      </c>
      <c r="M171" s="165">
        <v>16.0</v>
      </c>
      <c r="N171" s="165">
        <v>5.0</v>
      </c>
      <c r="O171" s="165">
        <v>11.0</v>
      </c>
      <c r="P171" s="165">
        <v>7.0</v>
      </c>
      <c r="Q171" s="165">
        <v>9.0</v>
      </c>
      <c r="R171" s="165">
        <v>11.0</v>
      </c>
      <c r="S171" s="165">
        <v>14.0</v>
      </c>
      <c r="T171" s="165">
        <v>6.0</v>
      </c>
      <c r="U171" s="165">
        <v>7.0</v>
      </c>
      <c r="V171" s="165">
        <v>6.0</v>
      </c>
      <c r="W171" s="165">
        <v>9.0</v>
      </c>
      <c r="X171" s="165">
        <v>13.0</v>
      </c>
      <c r="Y171" s="165">
        <v>16.0</v>
      </c>
      <c r="Z171" s="165">
        <v>11.0</v>
      </c>
      <c r="AA171" s="165">
        <v>8.0</v>
      </c>
      <c r="AB171" s="165">
        <v>7.0</v>
      </c>
      <c r="AC171" s="165">
        <v>8.0</v>
      </c>
      <c r="AD171" s="165">
        <v>9.0</v>
      </c>
      <c r="AE171" s="165">
        <v>6.0</v>
      </c>
      <c r="AF171" s="165">
        <v>6.0</v>
      </c>
      <c r="AG171" s="156">
        <f t="shared" ref="AG171:AG176" si="72">SUM(B171:AF171)</f>
        <v>520</v>
      </c>
    </row>
    <row r="172" outlineLevel="1">
      <c r="A172" s="190" t="s">
        <v>209</v>
      </c>
      <c r="B172" s="177">
        <v>0.0</v>
      </c>
      <c r="C172" s="177">
        <v>0.0</v>
      </c>
      <c r="D172" s="177">
        <v>0.0</v>
      </c>
      <c r="E172" s="177">
        <v>0.0</v>
      </c>
      <c r="F172" s="177">
        <v>0.0</v>
      </c>
      <c r="G172" s="177">
        <v>0.0</v>
      </c>
      <c r="H172" s="177">
        <v>0.0</v>
      </c>
      <c r="I172" s="177">
        <v>0.0</v>
      </c>
      <c r="J172" s="177">
        <v>0.0</v>
      </c>
      <c r="K172" s="177">
        <v>0.0</v>
      </c>
      <c r="L172" s="177">
        <v>0.0</v>
      </c>
      <c r="M172" s="177">
        <v>0.0</v>
      </c>
      <c r="N172" s="177">
        <v>0.0</v>
      </c>
      <c r="O172" s="177">
        <v>0.0</v>
      </c>
      <c r="P172" s="177">
        <v>0.0</v>
      </c>
      <c r="Q172" s="177">
        <v>0.0</v>
      </c>
      <c r="R172" s="177">
        <v>0.0</v>
      </c>
      <c r="S172" s="86">
        <v>0.0</v>
      </c>
      <c r="T172" s="86">
        <v>0.0</v>
      </c>
      <c r="U172" s="165">
        <v>0.0</v>
      </c>
      <c r="V172" s="165">
        <v>0.0</v>
      </c>
      <c r="W172" s="165">
        <v>0.0</v>
      </c>
      <c r="X172" s="165">
        <v>0.0</v>
      </c>
      <c r="Y172" s="165">
        <v>0.0</v>
      </c>
      <c r="Z172" s="165">
        <v>0.0</v>
      </c>
      <c r="AA172" s="165">
        <v>0.0</v>
      </c>
      <c r="AB172" s="165">
        <v>0.0</v>
      </c>
      <c r="AC172" s="165">
        <v>0.0</v>
      </c>
      <c r="AD172" s="165">
        <v>0.0</v>
      </c>
      <c r="AE172" s="165">
        <v>0.0</v>
      </c>
      <c r="AF172" s="165">
        <v>0.0</v>
      </c>
      <c r="AG172" s="156">
        <f t="shared" si="72"/>
        <v>0</v>
      </c>
    </row>
    <row r="173" outlineLevel="1">
      <c r="A173" s="190" t="s">
        <v>210</v>
      </c>
      <c r="B173" s="165">
        <v>124.0</v>
      </c>
      <c r="C173" s="165">
        <v>99.0</v>
      </c>
      <c r="D173" s="165">
        <v>110.0</v>
      </c>
      <c r="E173" s="165">
        <v>114.0</v>
      </c>
      <c r="F173" s="165">
        <v>108.0</v>
      </c>
      <c r="G173" s="165">
        <v>93.0</v>
      </c>
      <c r="H173" s="165">
        <v>83.0</v>
      </c>
      <c r="I173" s="165">
        <v>81.0</v>
      </c>
      <c r="J173" s="165">
        <v>95.0</v>
      </c>
      <c r="K173" s="165">
        <v>79.0</v>
      </c>
      <c r="L173" s="165">
        <v>51.0</v>
      </c>
      <c r="M173" s="165">
        <v>31.0</v>
      </c>
      <c r="N173" s="165">
        <v>31.0</v>
      </c>
      <c r="O173" s="165">
        <v>31.0</v>
      </c>
      <c r="P173" s="165">
        <v>35.0</v>
      </c>
      <c r="Q173" s="165">
        <v>41.0</v>
      </c>
      <c r="R173" s="165">
        <v>27.0</v>
      </c>
      <c r="S173" s="165">
        <v>23.0</v>
      </c>
      <c r="T173" s="165">
        <v>23.0</v>
      </c>
      <c r="U173" s="165">
        <v>18.0</v>
      </c>
      <c r="V173" s="165">
        <v>32.0</v>
      </c>
      <c r="W173" s="165">
        <v>66.0</v>
      </c>
      <c r="X173" s="165">
        <v>40.0</v>
      </c>
      <c r="Y173" s="165">
        <v>51.0</v>
      </c>
      <c r="Z173" s="165">
        <v>32.0</v>
      </c>
      <c r="AA173" s="165">
        <v>28.0</v>
      </c>
      <c r="AB173" s="165">
        <v>28.0</v>
      </c>
      <c r="AC173" s="165">
        <v>39.0</v>
      </c>
      <c r="AD173" s="165">
        <v>24.0</v>
      </c>
      <c r="AE173" s="165">
        <v>39.0</v>
      </c>
      <c r="AF173" s="165">
        <v>34.0</v>
      </c>
      <c r="AG173" s="156">
        <f t="shared" si="72"/>
        <v>1710</v>
      </c>
    </row>
    <row r="174" outlineLevel="1">
      <c r="A174" s="190" t="s">
        <v>211</v>
      </c>
      <c r="B174" s="177">
        <v>0.0</v>
      </c>
      <c r="C174" s="177">
        <v>0.0</v>
      </c>
      <c r="D174" s="177">
        <v>0.0</v>
      </c>
      <c r="E174" s="177">
        <v>0.0</v>
      </c>
      <c r="F174" s="177">
        <v>0.0</v>
      </c>
      <c r="G174" s="177">
        <v>0.0</v>
      </c>
      <c r="H174" s="177">
        <v>0.0</v>
      </c>
      <c r="I174" s="177">
        <v>0.0</v>
      </c>
      <c r="J174" s="177">
        <v>0.0</v>
      </c>
      <c r="K174" s="177">
        <v>0.0</v>
      </c>
      <c r="L174" s="177">
        <v>0.0</v>
      </c>
      <c r="M174" s="177">
        <v>0.0</v>
      </c>
      <c r="N174" s="177">
        <v>0.0</v>
      </c>
      <c r="O174" s="177">
        <v>0.0</v>
      </c>
      <c r="P174" s="177">
        <v>0.0</v>
      </c>
      <c r="Q174" s="177">
        <v>0.0</v>
      </c>
      <c r="R174" s="177">
        <v>0.0</v>
      </c>
      <c r="S174" s="86">
        <v>0.0</v>
      </c>
      <c r="T174" s="86">
        <v>0.0</v>
      </c>
      <c r="U174" s="165">
        <v>0.0</v>
      </c>
      <c r="V174" s="165">
        <v>0.0</v>
      </c>
      <c r="W174" s="165">
        <v>0.0</v>
      </c>
      <c r="X174" s="165">
        <v>0.0</v>
      </c>
      <c r="Y174" s="165">
        <v>0.0</v>
      </c>
      <c r="Z174" s="165">
        <v>0.0</v>
      </c>
      <c r="AA174" s="165">
        <v>0.0</v>
      </c>
      <c r="AB174" s="165">
        <v>0.0</v>
      </c>
      <c r="AC174" s="165">
        <v>0.0</v>
      </c>
      <c r="AD174" s="165">
        <v>0.0</v>
      </c>
      <c r="AE174" s="165">
        <v>0.0</v>
      </c>
      <c r="AF174" s="165">
        <v>0.0</v>
      </c>
      <c r="AG174" s="156">
        <f t="shared" si="72"/>
        <v>0</v>
      </c>
    </row>
    <row r="175" outlineLevel="1">
      <c r="A175" s="190" t="s">
        <v>212</v>
      </c>
      <c r="B175" s="165">
        <v>502.0</v>
      </c>
      <c r="C175" s="165">
        <v>56.0</v>
      </c>
      <c r="D175" s="165">
        <v>36.0</v>
      </c>
      <c r="E175" s="165">
        <v>29.0</v>
      </c>
      <c r="F175" s="165">
        <v>19.0</v>
      </c>
      <c r="G175" s="165">
        <v>10.0</v>
      </c>
      <c r="H175" s="165">
        <v>23.0</v>
      </c>
      <c r="I175" s="165">
        <v>32.0</v>
      </c>
      <c r="J175" s="86">
        <v>17.0</v>
      </c>
      <c r="K175" s="86">
        <v>22.0</v>
      </c>
      <c r="L175" s="86">
        <v>26.0</v>
      </c>
      <c r="M175" s="86">
        <v>10.0</v>
      </c>
      <c r="N175" s="86">
        <v>11.0</v>
      </c>
      <c r="O175" s="86">
        <v>8.0</v>
      </c>
      <c r="P175" s="86">
        <v>6.0</v>
      </c>
      <c r="Q175" s="86">
        <v>6.0</v>
      </c>
      <c r="R175" s="86">
        <v>7.0</v>
      </c>
      <c r="S175" s="86">
        <v>5.0</v>
      </c>
      <c r="T175" s="86">
        <v>6.0</v>
      </c>
      <c r="U175" s="86">
        <v>10.0</v>
      </c>
      <c r="V175" s="86">
        <v>3.0</v>
      </c>
      <c r="W175" s="86">
        <v>6.0</v>
      </c>
      <c r="X175" s="86">
        <v>9.0</v>
      </c>
      <c r="Y175" s="86">
        <v>5.0</v>
      </c>
      <c r="Z175" s="86">
        <v>8.0</v>
      </c>
      <c r="AA175" s="86">
        <v>4.0</v>
      </c>
      <c r="AB175" s="86">
        <v>2.0</v>
      </c>
      <c r="AC175" s="165">
        <v>3.0</v>
      </c>
      <c r="AD175" s="165">
        <v>5.0</v>
      </c>
      <c r="AE175" s="165">
        <v>2.0</v>
      </c>
      <c r="AF175" s="165">
        <v>1.0</v>
      </c>
      <c r="AG175" s="156">
        <f t="shared" si="72"/>
        <v>889</v>
      </c>
    </row>
    <row r="176" outlineLevel="1">
      <c r="A176" s="190" t="s">
        <v>213</v>
      </c>
      <c r="B176" s="165">
        <v>1275.0</v>
      </c>
      <c r="C176" s="165">
        <v>163.0</v>
      </c>
      <c r="D176" s="165">
        <v>127.0</v>
      </c>
      <c r="E176" s="165">
        <v>94.0</v>
      </c>
      <c r="F176" s="165">
        <v>55.0</v>
      </c>
      <c r="G176" s="165">
        <v>49.0</v>
      </c>
      <c r="H176" s="165">
        <v>51.0</v>
      </c>
      <c r="I176" s="165">
        <v>50.0</v>
      </c>
      <c r="J176" s="86">
        <v>78.0</v>
      </c>
      <c r="K176" s="86">
        <v>67.0</v>
      </c>
      <c r="L176" s="86">
        <v>48.0</v>
      </c>
      <c r="M176" s="86">
        <v>31.0</v>
      </c>
      <c r="N176" s="86">
        <v>20.0</v>
      </c>
      <c r="O176" s="86">
        <v>33.0</v>
      </c>
      <c r="P176" s="86">
        <v>16.0</v>
      </c>
      <c r="Q176" s="86">
        <v>25.0</v>
      </c>
      <c r="R176" s="86">
        <v>19.0</v>
      </c>
      <c r="S176" s="86">
        <v>13.0</v>
      </c>
      <c r="T176" s="86">
        <v>14.0</v>
      </c>
      <c r="U176" s="86">
        <v>19.0</v>
      </c>
      <c r="V176" s="86">
        <v>14.0</v>
      </c>
      <c r="W176" s="86">
        <v>22.0</v>
      </c>
      <c r="X176" s="86">
        <v>18.0</v>
      </c>
      <c r="Y176" s="86">
        <v>23.0</v>
      </c>
      <c r="Z176" s="86">
        <v>18.0</v>
      </c>
      <c r="AA176" s="86">
        <v>11.0</v>
      </c>
      <c r="AB176" s="86">
        <v>12.0</v>
      </c>
      <c r="AC176" s="165">
        <v>10.0</v>
      </c>
      <c r="AD176" s="165">
        <v>6.0</v>
      </c>
      <c r="AE176" s="165">
        <v>7.0</v>
      </c>
      <c r="AF176" s="165">
        <v>6.0</v>
      </c>
      <c r="AG176" s="156">
        <f t="shared" si="72"/>
        <v>2394</v>
      </c>
    </row>
    <row r="177">
      <c r="A177" s="190" t="s">
        <v>214</v>
      </c>
      <c r="B177" s="191"/>
      <c r="C177" s="191"/>
      <c r="D177" s="192"/>
      <c r="E177" s="192"/>
      <c r="F177" s="192"/>
      <c r="G177" s="192"/>
      <c r="H177" s="192"/>
      <c r="I177" s="192"/>
      <c r="J177" s="192"/>
      <c r="K177" s="191"/>
      <c r="L177" s="191"/>
      <c r="M177" s="191"/>
      <c r="N177" s="191"/>
      <c r="O177" s="191"/>
      <c r="P177" s="191"/>
      <c r="Q177" s="191"/>
      <c r="R177" s="191"/>
      <c r="S177" s="191"/>
      <c r="T177" s="191"/>
      <c r="U177" s="191"/>
      <c r="V177" s="191"/>
      <c r="W177" s="191"/>
      <c r="X177" s="191"/>
      <c r="Y177" s="191"/>
      <c r="Z177" s="191"/>
      <c r="AA177" s="191"/>
      <c r="AB177" s="191"/>
      <c r="AC177" s="191"/>
      <c r="AD177" s="191"/>
      <c r="AE177" s="191"/>
      <c r="AF177" s="191"/>
      <c r="AG177" s="156"/>
    </row>
    <row r="178" outlineLevel="1">
      <c r="A178" s="190" t="s">
        <v>215</v>
      </c>
      <c r="B178" s="165">
        <v>0.0</v>
      </c>
      <c r="C178" s="165">
        <v>1.0</v>
      </c>
      <c r="D178" s="165">
        <v>0.0</v>
      </c>
      <c r="E178" s="165">
        <v>0.0</v>
      </c>
      <c r="F178" s="165">
        <v>0.0</v>
      </c>
      <c r="G178" s="165">
        <v>1.0</v>
      </c>
      <c r="H178" s="165">
        <v>0.0</v>
      </c>
      <c r="I178" s="165">
        <v>1.0</v>
      </c>
      <c r="J178" s="165">
        <v>0.0</v>
      </c>
      <c r="K178" s="165">
        <v>0.0</v>
      </c>
      <c r="L178" s="165">
        <v>0.0</v>
      </c>
      <c r="M178" s="165">
        <v>0.0</v>
      </c>
      <c r="N178" s="165">
        <v>0.0</v>
      </c>
      <c r="O178" s="165">
        <v>0.0</v>
      </c>
      <c r="P178" s="165">
        <v>0.0</v>
      </c>
      <c r="Q178" s="165">
        <v>0.0</v>
      </c>
      <c r="R178" s="165">
        <v>0.0</v>
      </c>
      <c r="S178" s="165">
        <v>0.0</v>
      </c>
      <c r="T178" s="165">
        <v>0.0</v>
      </c>
      <c r="U178" s="165">
        <v>0.0</v>
      </c>
      <c r="V178" s="165">
        <v>0.0</v>
      </c>
      <c r="W178" s="165">
        <v>0.0</v>
      </c>
      <c r="X178" s="165">
        <v>0.0</v>
      </c>
      <c r="Y178" s="165">
        <v>0.0</v>
      </c>
      <c r="Z178" s="165">
        <v>0.0</v>
      </c>
      <c r="AA178" s="165">
        <v>0.0</v>
      </c>
      <c r="AB178" s="165">
        <v>0.0</v>
      </c>
      <c r="AC178" s="165">
        <v>0.0</v>
      </c>
      <c r="AD178" s="165">
        <v>0.0</v>
      </c>
      <c r="AE178" s="165">
        <v>0.0</v>
      </c>
      <c r="AF178" s="165">
        <v>0.0</v>
      </c>
      <c r="AG178" s="156">
        <f t="shared" ref="AG178:AG185" si="73">SUM(B178:AF178)</f>
        <v>3</v>
      </c>
    </row>
    <row r="179" outlineLevel="1">
      <c r="A179" s="190" t="s">
        <v>216</v>
      </c>
      <c r="B179" s="177">
        <v>0.0</v>
      </c>
      <c r="C179" s="177">
        <v>0.0</v>
      </c>
      <c r="D179" s="177">
        <v>0.0</v>
      </c>
      <c r="E179" s="177">
        <v>0.0</v>
      </c>
      <c r="F179" s="177">
        <v>0.0</v>
      </c>
      <c r="G179" s="177">
        <v>0.0</v>
      </c>
      <c r="H179" s="177">
        <v>0.0</v>
      </c>
      <c r="I179" s="177">
        <v>0.0</v>
      </c>
      <c r="J179" s="177">
        <v>0.0</v>
      </c>
      <c r="K179" s="177">
        <v>0.0</v>
      </c>
      <c r="L179" s="177">
        <v>0.0</v>
      </c>
      <c r="M179" s="177">
        <v>0.0</v>
      </c>
      <c r="N179" s="177">
        <v>0.0</v>
      </c>
      <c r="O179" s="177">
        <v>0.0</v>
      </c>
      <c r="P179" s="177">
        <v>0.0</v>
      </c>
      <c r="Q179" s="177">
        <v>0.0</v>
      </c>
      <c r="R179" s="177">
        <v>0.0</v>
      </c>
      <c r="S179" s="86">
        <v>0.0</v>
      </c>
      <c r="T179" s="86">
        <v>0.0</v>
      </c>
      <c r="U179" s="165">
        <v>0.0</v>
      </c>
      <c r="V179" s="165">
        <v>0.0</v>
      </c>
      <c r="W179" s="165">
        <v>0.0</v>
      </c>
      <c r="X179" s="165">
        <v>0.0</v>
      </c>
      <c r="Y179" s="165">
        <v>0.0</v>
      </c>
      <c r="Z179" s="165">
        <v>0.0</v>
      </c>
      <c r="AA179" s="165">
        <v>0.0</v>
      </c>
      <c r="AB179" s="165">
        <v>0.0</v>
      </c>
      <c r="AC179" s="165">
        <v>0.0</v>
      </c>
      <c r="AD179" s="165">
        <v>0.0</v>
      </c>
      <c r="AE179" s="165">
        <v>0.0</v>
      </c>
      <c r="AF179" s="165">
        <v>0.0</v>
      </c>
      <c r="AG179" s="156">
        <f t="shared" si="73"/>
        <v>0</v>
      </c>
    </row>
    <row r="180" outlineLevel="1">
      <c r="A180" s="190" t="s">
        <v>217</v>
      </c>
      <c r="B180" s="165">
        <v>1.0</v>
      </c>
      <c r="C180" s="165">
        <v>0.0</v>
      </c>
      <c r="D180" s="165">
        <v>0.0</v>
      </c>
      <c r="E180" s="165">
        <v>0.0</v>
      </c>
      <c r="F180" s="165">
        <v>0.0</v>
      </c>
      <c r="G180" s="165">
        <v>0.0</v>
      </c>
      <c r="H180" s="165">
        <v>0.0</v>
      </c>
      <c r="I180" s="165">
        <v>0.0</v>
      </c>
      <c r="J180" s="165">
        <v>0.0</v>
      </c>
      <c r="K180" s="165">
        <v>0.0</v>
      </c>
      <c r="L180" s="165">
        <v>0.0</v>
      </c>
      <c r="M180" s="165">
        <v>0.0</v>
      </c>
      <c r="N180" s="165">
        <v>0.0</v>
      </c>
      <c r="O180" s="165">
        <v>0.0</v>
      </c>
      <c r="P180" s="165">
        <v>0.0</v>
      </c>
      <c r="Q180" s="165">
        <v>0.0</v>
      </c>
      <c r="R180" s="165">
        <v>0.0</v>
      </c>
      <c r="S180" s="165">
        <v>1.0</v>
      </c>
      <c r="T180" s="165">
        <v>0.0</v>
      </c>
      <c r="U180" s="165">
        <v>0.0</v>
      </c>
      <c r="V180" s="165">
        <v>0.0</v>
      </c>
      <c r="W180" s="165">
        <v>0.0</v>
      </c>
      <c r="X180" s="165">
        <v>0.0</v>
      </c>
      <c r="Y180" s="165">
        <v>0.0</v>
      </c>
      <c r="Z180" s="165">
        <v>0.0</v>
      </c>
      <c r="AA180" s="165">
        <v>0.0</v>
      </c>
      <c r="AB180" s="165">
        <v>0.0</v>
      </c>
      <c r="AC180" s="165">
        <v>1.0</v>
      </c>
      <c r="AD180" s="165">
        <v>0.0</v>
      </c>
      <c r="AE180" s="165">
        <v>1.0</v>
      </c>
      <c r="AF180" s="165">
        <v>0.0</v>
      </c>
      <c r="AG180" s="156">
        <f t="shared" si="73"/>
        <v>4</v>
      </c>
    </row>
    <row r="181" outlineLevel="1">
      <c r="A181" s="190" t="s">
        <v>218</v>
      </c>
      <c r="B181" s="177">
        <v>0.0</v>
      </c>
      <c r="C181" s="177">
        <v>0.0</v>
      </c>
      <c r="D181" s="177">
        <v>0.0</v>
      </c>
      <c r="E181" s="177">
        <v>0.0</v>
      </c>
      <c r="F181" s="177">
        <v>0.0</v>
      </c>
      <c r="G181" s="177">
        <v>0.0</v>
      </c>
      <c r="H181" s="177">
        <v>0.0</v>
      </c>
      <c r="I181" s="177">
        <v>0.0</v>
      </c>
      <c r="J181" s="177">
        <v>0.0</v>
      </c>
      <c r="K181" s="177">
        <v>0.0</v>
      </c>
      <c r="L181" s="177">
        <v>0.0</v>
      </c>
      <c r="M181" s="177">
        <v>0.0</v>
      </c>
      <c r="N181" s="177">
        <v>0.0</v>
      </c>
      <c r="O181" s="177">
        <v>0.0</v>
      </c>
      <c r="P181" s="177">
        <v>0.0</v>
      </c>
      <c r="Q181" s="177">
        <v>0.0</v>
      </c>
      <c r="R181" s="177">
        <v>0.0</v>
      </c>
      <c r="S181" s="86">
        <v>0.0</v>
      </c>
      <c r="T181" s="86">
        <v>0.0</v>
      </c>
      <c r="U181" s="165">
        <v>0.0</v>
      </c>
      <c r="V181" s="165">
        <v>0.0</v>
      </c>
      <c r="W181" s="165">
        <v>0.0</v>
      </c>
      <c r="X181" s="165">
        <v>0.0</v>
      </c>
      <c r="Y181" s="165">
        <v>0.0</v>
      </c>
      <c r="Z181" s="165">
        <v>0.0</v>
      </c>
      <c r="AA181" s="165">
        <v>0.0</v>
      </c>
      <c r="AB181" s="165">
        <v>0.0</v>
      </c>
      <c r="AC181" s="165">
        <v>0.0</v>
      </c>
      <c r="AD181" s="165">
        <v>0.0</v>
      </c>
      <c r="AE181" s="165">
        <v>0.0</v>
      </c>
      <c r="AF181" s="165">
        <v>0.0</v>
      </c>
      <c r="AG181" s="156">
        <f t="shared" si="73"/>
        <v>0</v>
      </c>
    </row>
    <row r="182" outlineLevel="1">
      <c r="A182" s="190" t="s">
        <v>219</v>
      </c>
      <c r="B182" s="165">
        <v>0.0</v>
      </c>
      <c r="C182" s="165">
        <v>0.0</v>
      </c>
      <c r="D182" s="165">
        <v>0.0</v>
      </c>
      <c r="E182" s="165">
        <v>0.0</v>
      </c>
      <c r="F182" s="165">
        <v>0.0</v>
      </c>
      <c r="G182" s="165">
        <v>0.0</v>
      </c>
      <c r="H182" s="165">
        <v>0.0</v>
      </c>
      <c r="I182" s="165">
        <v>0.0</v>
      </c>
      <c r="J182" s="86">
        <v>0.0</v>
      </c>
      <c r="K182" s="86">
        <v>0.0</v>
      </c>
      <c r="L182" s="86">
        <v>0.0</v>
      </c>
      <c r="M182" s="86">
        <v>0.0</v>
      </c>
      <c r="N182" s="86">
        <v>0.0</v>
      </c>
      <c r="O182" s="86">
        <v>0.0</v>
      </c>
      <c r="P182" s="86">
        <v>0.0</v>
      </c>
      <c r="Q182" s="86">
        <v>0.0</v>
      </c>
      <c r="R182" s="86">
        <v>0.0</v>
      </c>
      <c r="S182" s="86">
        <v>0.0</v>
      </c>
      <c r="T182" s="86">
        <v>0.0</v>
      </c>
      <c r="U182" s="86">
        <v>0.0</v>
      </c>
      <c r="V182" s="86">
        <v>0.0</v>
      </c>
      <c r="W182" s="86">
        <v>0.0</v>
      </c>
      <c r="X182" s="86">
        <v>0.0</v>
      </c>
      <c r="Y182" s="86">
        <v>0.0</v>
      </c>
      <c r="Z182" s="86">
        <v>0.0</v>
      </c>
      <c r="AA182" s="86">
        <v>0.0</v>
      </c>
      <c r="AB182" s="165">
        <v>0.0</v>
      </c>
      <c r="AC182" s="165">
        <v>0.0</v>
      </c>
      <c r="AD182" s="165">
        <v>0.0</v>
      </c>
      <c r="AE182" s="165">
        <v>0.0</v>
      </c>
      <c r="AF182" s="165">
        <v>0.0</v>
      </c>
      <c r="AG182" s="156">
        <f t="shared" si="73"/>
        <v>0</v>
      </c>
    </row>
    <row r="183" outlineLevel="1">
      <c r="A183" s="190" t="s">
        <v>220</v>
      </c>
      <c r="B183" s="165">
        <v>0.0</v>
      </c>
      <c r="C183" s="165">
        <v>0.0</v>
      </c>
      <c r="D183" s="165">
        <v>0.0</v>
      </c>
      <c r="E183" s="165">
        <v>0.0</v>
      </c>
      <c r="F183" s="165">
        <v>0.0</v>
      </c>
      <c r="G183" s="165">
        <v>0.0</v>
      </c>
      <c r="H183" s="165">
        <v>0.0</v>
      </c>
      <c r="I183" s="165">
        <v>0.0</v>
      </c>
      <c r="J183" s="86">
        <v>0.0</v>
      </c>
      <c r="K183" s="86">
        <v>0.0</v>
      </c>
      <c r="L183" s="86">
        <v>0.0</v>
      </c>
      <c r="M183" s="86">
        <v>0.0</v>
      </c>
      <c r="N183" s="86">
        <v>0.0</v>
      </c>
      <c r="O183" s="86">
        <v>0.0</v>
      </c>
      <c r="P183" s="86">
        <v>0.0</v>
      </c>
      <c r="Q183" s="86">
        <v>0.0</v>
      </c>
      <c r="R183" s="86">
        <v>0.0</v>
      </c>
      <c r="S183" s="86">
        <v>0.0</v>
      </c>
      <c r="T183" s="86">
        <v>0.0</v>
      </c>
      <c r="U183" s="86">
        <v>0.0</v>
      </c>
      <c r="V183" s="86">
        <v>0.0</v>
      </c>
      <c r="W183" s="86">
        <v>0.0</v>
      </c>
      <c r="X183" s="86">
        <v>0.0</v>
      </c>
      <c r="Y183" s="86">
        <v>0.0</v>
      </c>
      <c r="Z183" s="86">
        <v>0.0</v>
      </c>
      <c r="AA183" s="86">
        <v>0.0</v>
      </c>
      <c r="AB183" s="165">
        <v>0.0</v>
      </c>
      <c r="AC183" s="165">
        <v>0.0</v>
      </c>
      <c r="AD183" s="165">
        <v>0.0</v>
      </c>
      <c r="AE183" s="165">
        <v>0.0</v>
      </c>
      <c r="AF183" s="165">
        <v>0.0</v>
      </c>
      <c r="AG183" s="156">
        <f t="shared" si="73"/>
        <v>0</v>
      </c>
    </row>
    <row r="184">
      <c r="A184" s="193" t="s">
        <v>221</v>
      </c>
      <c r="B184" s="194">
        <f t="shared" ref="B184:AF184" si="74">B171+B178+B172+B179</f>
        <v>40</v>
      </c>
      <c r="C184" s="194">
        <f t="shared" si="74"/>
        <v>37</v>
      </c>
      <c r="D184" s="194">
        <f t="shared" si="74"/>
        <v>41</v>
      </c>
      <c r="E184" s="194">
        <f t="shared" si="74"/>
        <v>37</v>
      </c>
      <c r="F184" s="194">
        <f t="shared" si="74"/>
        <v>28</v>
      </c>
      <c r="G184" s="194">
        <f t="shared" si="74"/>
        <v>28</v>
      </c>
      <c r="H184" s="194">
        <f t="shared" si="74"/>
        <v>27</v>
      </c>
      <c r="I184" s="194">
        <f t="shared" si="74"/>
        <v>23</v>
      </c>
      <c r="J184" s="194">
        <f t="shared" si="74"/>
        <v>31</v>
      </c>
      <c r="K184" s="194">
        <f t="shared" si="74"/>
        <v>24</v>
      </c>
      <c r="L184" s="194">
        <f t="shared" si="74"/>
        <v>22</v>
      </c>
      <c r="M184" s="194">
        <f t="shared" si="74"/>
        <v>16</v>
      </c>
      <c r="N184" s="194">
        <f t="shared" si="74"/>
        <v>5</v>
      </c>
      <c r="O184" s="194">
        <f t="shared" si="74"/>
        <v>11</v>
      </c>
      <c r="P184" s="194">
        <f t="shared" si="74"/>
        <v>7</v>
      </c>
      <c r="Q184" s="194">
        <f t="shared" si="74"/>
        <v>9</v>
      </c>
      <c r="R184" s="194">
        <f t="shared" si="74"/>
        <v>11</v>
      </c>
      <c r="S184" s="194">
        <f t="shared" si="74"/>
        <v>14</v>
      </c>
      <c r="T184" s="194">
        <f t="shared" si="74"/>
        <v>6</v>
      </c>
      <c r="U184" s="194">
        <f t="shared" si="74"/>
        <v>7</v>
      </c>
      <c r="V184" s="194">
        <f t="shared" si="74"/>
        <v>6</v>
      </c>
      <c r="W184" s="194">
        <f t="shared" si="74"/>
        <v>9</v>
      </c>
      <c r="X184" s="194">
        <f t="shared" si="74"/>
        <v>13</v>
      </c>
      <c r="Y184" s="194">
        <f t="shared" si="74"/>
        <v>16</v>
      </c>
      <c r="Z184" s="194">
        <f t="shared" si="74"/>
        <v>11</v>
      </c>
      <c r="AA184" s="194">
        <f t="shared" si="74"/>
        <v>8</v>
      </c>
      <c r="AB184" s="194">
        <f t="shared" si="74"/>
        <v>7</v>
      </c>
      <c r="AC184" s="194">
        <f t="shared" si="74"/>
        <v>8</v>
      </c>
      <c r="AD184" s="194">
        <f t="shared" si="74"/>
        <v>9</v>
      </c>
      <c r="AE184" s="194">
        <f t="shared" si="74"/>
        <v>6</v>
      </c>
      <c r="AF184" s="194">
        <f t="shared" si="74"/>
        <v>6</v>
      </c>
      <c r="AG184" s="156">
        <f t="shared" si="73"/>
        <v>523</v>
      </c>
    </row>
    <row r="185">
      <c r="A185" s="193" t="s">
        <v>222</v>
      </c>
      <c r="B185" s="194">
        <f t="shared" ref="B185:AF185" si="75">B173+B180+B174+B181</f>
        <v>125</v>
      </c>
      <c r="C185" s="194">
        <f t="shared" si="75"/>
        <v>99</v>
      </c>
      <c r="D185" s="194">
        <f t="shared" si="75"/>
        <v>110</v>
      </c>
      <c r="E185" s="194">
        <f t="shared" si="75"/>
        <v>114</v>
      </c>
      <c r="F185" s="194">
        <f t="shared" si="75"/>
        <v>108</v>
      </c>
      <c r="G185" s="194">
        <f t="shared" si="75"/>
        <v>93</v>
      </c>
      <c r="H185" s="194">
        <f t="shared" si="75"/>
        <v>83</v>
      </c>
      <c r="I185" s="194">
        <f t="shared" si="75"/>
        <v>81</v>
      </c>
      <c r="J185" s="194">
        <f t="shared" si="75"/>
        <v>95</v>
      </c>
      <c r="K185" s="194">
        <f t="shared" si="75"/>
        <v>79</v>
      </c>
      <c r="L185" s="194">
        <f t="shared" si="75"/>
        <v>51</v>
      </c>
      <c r="M185" s="194">
        <f t="shared" si="75"/>
        <v>31</v>
      </c>
      <c r="N185" s="194">
        <f t="shared" si="75"/>
        <v>31</v>
      </c>
      <c r="O185" s="194">
        <f t="shared" si="75"/>
        <v>31</v>
      </c>
      <c r="P185" s="194">
        <f t="shared" si="75"/>
        <v>35</v>
      </c>
      <c r="Q185" s="194">
        <f t="shared" si="75"/>
        <v>41</v>
      </c>
      <c r="R185" s="194">
        <f t="shared" si="75"/>
        <v>27</v>
      </c>
      <c r="S185" s="194">
        <f t="shared" si="75"/>
        <v>24</v>
      </c>
      <c r="T185" s="194">
        <f t="shared" si="75"/>
        <v>23</v>
      </c>
      <c r="U185" s="194">
        <f t="shared" si="75"/>
        <v>18</v>
      </c>
      <c r="V185" s="194">
        <f t="shared" si="75"/>
        <v>32</v>
      </c>
      <c r="W185" s="194">
        <f t="shared" si="75"/>
        <v>66</v>
      </c>
      <c r="X185" s="194">
        <f t="shared" si="75"/>
        <v>40</v>
      </c>
      <c r="Y185" s="194">
        <f t="shared" si="75"/>
        <v>51</v>
      </c>
      <c r="Z185" s="194">
        <f t="shared" si="75"/>
        <v>32</v>
      </c>
      <c r="AA185" s="194">
        <f t="shared" si="75"/>
        <v>28</v>
      </c>
      <c r="AB185" s="194">
        <f t="shared" si="75"/>
        <v>28</v>
      </c>
      <c r="AC185" s="194">
        <f t="shared" si="75"/>
        <v>40</v>
      </c>
      <c r="AD185" s="194">
        <f t="shared" si="75"/>
        <v>24</v>
      </c>
      <c r="AE185" s="194">
        <f t="shared" si="75"/>
        <v>40</v>
      </c>
      <c r="AF185" s="194">
        <f t="shared" si="75"/>
        <v>34</v>
      </c>
      <c r="AG185" s="156">
        <f t="shared" si="73"/>
        <v>1714</v>
      </c>
    </row>
    <row r="186" ht="21.0" customHeight="1">
      <c r="A186" s="100"/>
      <c r="B186" s="130"/>
      <c r="C186" s="130"/>
      <c r="D186" s="130"/>
      <c r="E186" s="130"/>
      <c r="F186" s="130"/>
      <c r="G186" s="130"/>
      <c r="H186" s="130"/>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156"/>
    </row>
    <row r="187">
      <c r="A187" s="190" t="s">
        <v>223</v>
      </c>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c r="AB187" s="191"/>
      <c r="AC187" s="191"/>
      <c r="AD187" s="191"/>
      <c r="AE187" s="191"/>
      <c r="AF187" s="191"/>
      <c r="AG187" s="156"/>
    </row>
    <row r="188" outlineLevel="1">
      <c r="A188" s="190" t="s">
        <v>224</v>
      </c>
      <c r="B188" s="165">
        <v>171.0</v>
      </c>
      <c r="C188" s="165">
        <v>120.0</v>
      </c>
      <c r="D188" s="165">
        <v>143.0</v>
      </c>
      <c r="E188" s="165">
        <v>126.0</v>
      </c>
      <c r="F188" s="165">
        <v>106.0</v>
      </c>
      <c r="G188" s="165">
        <v>106.0</v>
      </c>
      <c r="H188" s="165">
        <v>89.0</v>
      </c>
      <c r="I188" s="165">
        <v>80.0</v>
      </c>
      <c r="J188" s="165">
        <v>98.0</v>
      </c>
      <c r="K188" s="165">
        <v>100.0</v>
      </c>
      <c r="L188" s="165">
        <v>43.0</v>
      </c>
      <c r="M188" s="165">
        <v>16.0</v>
      </c>
      <c r="N188" s="165">
        <v>13.0</v>
      </c>
      <c r="O188" s="165">
        <v>13.0</v>
      </c>
      <c r="P188" s="165">
        <v>9.0</v>
      </c>
      <c r="Q188" s="165">
        <v>14.0</v>
      </c>
      <c r="R188" s="165">
        <v>15.0</v>
      </c>
      <c r="S188" s="165">
        <v>15.0</v>
      </c>
      <c r="T188" s="165">
        <v>7.0</v>
      </c>
      <c r="U188" s="86">
        <v>5.0</v>
      </c>
      <c r="V188" s="86">
        <v>11.0</v>
      </c>
      <c r="W188" s="86">
        <v>41.0</v>
      </c>
      <c r="X188" s="86">
        <v>21.0</v>
      </c>
      <c r="Y188" s="165">
        <v>20.0</v>
      </c>
      <c r="Z188" s="165">
        <v>18.0</v>
      </c>
      <c r="AA188" s="165">
        <v>9.0</v>
      </c>
      <c r="AB188" s="165">
        <v>15.0</v>
      </c>
      <c r="AC188" s="165">
        <v>14.0</v>
      </c>
      <c r="AD188" s="165">
        <v>15.0</v>
      </c>
      <c r="AE188" s="165">
        <v>13.0</v>
      </c>
      <c r="AF188" s="165">
        <v>10.0</v>
      </c>
      <c r="AG188" s="156">
        <f t="shared" ref="AG188:AG198" si="76">SUM(B188:AF188)</f>
        <v>1476</v>
      </c>
    </row>
    <row r="189" outlineLevel="1">
      <c r="A189" s="190" t="s">
        <v>225</v>
      </c>
      <c r="B189" s="165">
        <v>39.0</v>
      </c>
      <c r="C189" s="165">
        <v>31.0</v>
      </c>
      <c r="D189" s="165">
        <v>23.0</v>
      </c>
      <c r="E189" s="165">
        <v>27.0</v>
      </c>
      <c r="F189" s="165">
        <v>21.0</v>
      </c>
      <c r="G189" s="165">
        <v>21.0</v>
      </c>
      <c r="H189" s="165">
        <v>19.0</v>
      </c>
      <c r="I189" s="165">
        <v>27.0</v>
      </c>
      <c r="J189" s="165">
        <v>25.0</v>
      </c>
      <c r="K189" s="165">
        <v>26.0</v>
      </c>
      <c r="L189" s="165">
        <v>15.0</v>
      </c>
      <c r="M189" s="165">
        <v>10.0</v>
      </c>
      <c r="N189" s="165">
        <v>4.0</v>
      </c>
      <c r="O189" s="165">
        <v>8.0</v>
      </c>
      <c r="P189" s="165">
        <v>5.0</v>
      </c>
      <c r="Q189" s="165">
        <v>11.0</v>
      </c>
      <c r="R189" s="165">
        <v>8.0</v>
      </c>
      <c r="S189" s="165">
        <v>14.0</v>
      </c>
      <c r="T189" s="165">
        <v>9.0</v>
      </c>
      <c r="U189" s="86">
        <v>11.0</v>
      </c>
      <c r="V189" s="86">
        <v>9.0</v>
      </c>
      <c r="W189" s="86">
        <v>11.0</v>
      </c>
      <c r="X189" s="86">
        <v>12.0</v>
      </c>
      <c r="Y189" s="165">
        <v>13.0</v>
      </c>
      <c r="Z189" s="165">
        <v>11.0</v>
      </c>
      <c r="AA189" s="165">
        <v>11.0</v>
      </c>
      <c r="AB189" s="165">
        <v>9.0</v>
      </c>
      <c r="AC189" s="165">
        <v>8.0</v>
      </c>
      <c r="AD189" s="165">
        <v>9.0</v>
      </c>
      <c r="AE189" s="165">
        <v>9.0</v>
      </c>
      <c r="AF189" s="165">
        <v>8.0</v>
      </c>
      <c r="AG189" s="156">
        <f t="shared" si="76"/>
        <v>464</v>
      </c>
    </row>
    <row r="190" outlineLevel="1">
      <c r="A190" s="190" t="s">
        <v>226</v>
      </c>
      <c r="B190" s="165">
        <v>43.0</v>
      </c>
      <c r="C190" s="165">
        <v>26.0</v>
      </c>
      <c r="D190" s="165">
        <v>26.0</v>
      </c>
      <c r="E190" s="165">
        <v>21.0</v>
      </c>
      <c r="F190" s="165">
        <v>20.0</v>
      </c>
      <c r="G190" s="165">
        <v>20.0</v>
      </c>
      <c r="H190" s="165">
        <v>21.0</v>
      </c>
      <c r="I190" s="165">
        <v>22.0</v>
      </c>
      <c r="J190" s="165">
        <v>25.0</v>
      </c>
      <c r="K190" s="165">
        <v>24.0</v>
      </c>
      <c r="L190" s="165">
        <v>17.0</v>
      </c>
      <c r="M190" s="165">
        <v>10.0</v>
      </c>
      <c r="N190" s="165">
        <v>2.0</v>
      </c>
      <c r="O190" s="165">
        <v>8.0</v>
      </c>
      <c r="P190" s="165">
        <v>6.0</v>
      </c>
      <c r="Q190" s="165">
        <v>10.0</v>
      </c>
      <c r="R190" s="165">
        <v>7.0</v>
      </c>
      <c r="S190" s="165">
        <v>8.0</v>
      </c>
      <c r="T190" s="165">
        <v>4.0</v>
      </c>
      <c r="U190" s="159">
        <v>3.0</v>
      </c>
      <c r="V190" s="159">
        <v>5.0</v>
      </c>
      <c r="W190" s="159">
        <v>13.0</v>
      </c>
      <c r="X190" s="159">
        <v>10.0</v>
      </c>
      <c r="Y190" s="165">
        <v>14.0</v>
      </c>
      <c r="Z190" s="86">
        <v>5.0</v>
      </c>
      <c r="AA190" s="165">
        <v>6.0</v>
      </c>
      <c r="AB190" s="165">
        <v>7.0</v>
      </c>
      <c r="AC190" s="165">
        <v>7.0</v>
      </c>
      <c r="AD190" s="165">
        <v>9.0</v>
      </c>
      <c r="AE190" s="165">
        <v>11.0</v>
      </c>
      <c r="AF190" s="165">
        <v>4.0</v>
      </c>
      <c r="AG190" s="156">
        <f t="shared" si="76"/>
        <v>414</v>
      </c>
    </row>
    <row r="191" outlineLevel="1">
      <c r="A191" s="190" t="s">
        <v>227</v>
      </c>
      <c r="B191" s="165">
        <v>2.0</v>
      </c>
      <c r="C191" s="165">
        <v>1.0</v>
      </c>
      <c r="D191" s="165">
        <v>0.0</v>
      </c>
      <c r="E191" s="165">
        <v>1.0</v>
      </c>
      <c r="F191" s="165">
        <v>0.0</v>
      </c>
      <c r="G191" s="165">
        <v>1.0</v>
      </c>
      <c r="H191" s="165">
        <v>4.0</v>
      </c>
      <c r="I191" s="165">
        <v>1.0</v>
      </c>
      <c r="J191" s="165">
        <v>2.0</v>
      </c>
      <c r="K191" s="165">
        <v>1.0</v>
      </c>
      <c r="L191" s="165">
        <v>0.0</v>
      </c>
      <c r="M191" s="165">
        <v>1.0</v>
      </c>
      <c r="N191" s="165">
        <v>0.0</v>
      </c>
      <c r="O191" s="165">
        <v>4.0</v>
      </c>
      <c r="P191" s="165">
        <v>4.0</v>
      </c>
      <c r="Q191" s="165">
        <v>3.0</v>
      </c>
      <c r="R191" s="165">
        <v>2.0</v>
      </c>
      <c r="S191" s="86">
        <v>0.0</v>
      </c>
      <c r="T191" s="86">
        <v>1.0</v>
      </c>
      <c r="U191" s="158">
        <v>0.0</v>
      </c>
      <c r="V191" s="159">
        <v>2.0</v>
      </c>
      <c r="W191" s="159">
        <v>0.0</v>
      </c>
      <c r="X191" s="159">
        <v>1.0</v>
      </c>
      <c r="Y191" s="165">
        <v>0.0</v>
      </c>
      <c r="Z191" s="86">
        <v>1.0</v>
      </c>
      <c r="AA191" s="165">
        <v>0.0</v>
      </c>
      <c r="AB191" s="165">
        <v>1.0</v>
      </c>
      <c r="AC191" s="165">
        <v>3.0</v>
      </c>
      <c r="AD191" s="165">
        <v>0.0</v>
      </c>
      <c r="AE191" s="165">
        <v>1.0</v>
      </c>
      <c r="AF191" s="165">
        <v>1.0</v>
      </c>
      <c r="AG191" s="156">
        <f t="shared" si="76"/>
        <v>38</v>
      </c>
    </row>
    <row r="192" outlineLevel="1">
      <c r="A192" s="190" t="s">
        <v>228</v>
      </c>
      <c r="B192" s="165">
        <v>24.0</v>
      </c>
      <c r="C192" s="165">
        <v>14.0</v>
      </c>
      <c r="D192" s="165">
        <v>15.0</v>
      </c>
      <c r="E192" s="165">
        <v>14.0</v>
      </c>
      <c r="F192" s="165">
        <v>14.0</v>
      </c>
      <c r="G192" s="165">
        <v>12.0</v>
      </c>
      <c r="H192" s="165">
        <v>13.0</v>
      </c>
      <c r="I192" s="165">
        <v>8.0</v>
      </c>
      <c r="J192" s="165">
        <v>19.0</v>
      </c>
      <c r="K192" s="165">
        <v>12.0</v>
      </c>
      <c r="L192" s="165">
        <v>13.0</v>
      </c>
      <c r="M192" s="165">
        <v>8.0</v>
      </c>
      <c r="N192" s="165">
        <v>10.0</v>
      </c>
      <c r="O192" s="165">
        <v>3.0</v>
      </c>
      <c r="P192" s="165">
        <v>7.0</v>
      </c>
      <c r="Q192" s="165">
        <v>7.0</v>
      </c>
      <c r="R192" s="165">
        <v>2.0</v>
      </c>
      <c r="S192" s="165">
        <v>6.0</v>
      </c>
      <c r="T192" s="165">
        <v>4.0</v>
      </c>
      <c r="U192" s="159">
        <v>5.0</v>
      </c>
      <c r="V192" s="159">
        <v>3.0</v>
      </c>
      <c r="W192" s="159">
        <v>6.0</v>
      </c>
      <c r="X192" s="159">
        <v>11.0</v>
      </c>
      <c r="Y192" s="165">
        <v>5.0</v>
      </c>
      <c r="Z192" s="165">
        <v>7.0</v>
      </c>
      <c r="AA192" s="165">
        <v>5.0</v>
      </c>
      <c r="AB192" s="165">
        <v>10.0</v>
      </c>
      <c r="AC192" s="165">
        <v>7.0</v>
      </c>
      <c r="AD192" s="165">
        <v>4.0</v>
      </c>
      <c r="AE192" s="165">
        <v>5.0</v>
      </c>
      <c r="AF192" s="165">
        <v>7.0</v>
      </c>
      <c r="AG192" s="156">
        <f t="shared" si="76"/>
        <v>280</v>
      </c>
    </row>
    <row r="193" outlineLevel="1">
      <c r="A193" s="190" t="s">
        <v>229</v>
      </c>
      <c r="B193" s="165">
        <v>8.0</v>
      </c>
      <c r="C193" s="165">
        <v>6.0</v>
      </c>
      <c r="D193" s="165">
        <v>3.0</v>
      </c>
      <c r="E193" s="165">
        <v>6.0</v>
      </c>
      <c r="F193" s="165">
        <v>4.0</v>
      </c>
      <c r="G193" s="165">
        <v>3.0</v>
      </c>
      <c r="H193" s="165">
        <v>0.0</v>
      </c>
      <c r="I193" s="165">
        <v>0.0</v>
      </c>
      <c r="J193" s="165">
        <v>4.0</v>
      </c>
      <c r="K193" s="165">
        <v>3.0</v>
      </c>
      <c r="L193" s="165">
        <v>2.0</v>
      </c>
      <c r="M193" s="165">
        <v>3.0</v>
      </c>
      <c r="N193" s="165">
        <v>0.0</v>
      </c>
      <c r="O193" s="165">
        <v>1.0</v>
      </c>
      <c r="P193" s="165">
        <v>1.0</v>
      </c>
      <c r="Q193" s="165">
        <v>4.0</v>
      </c>
      <c r="R193" s="165">
        <v>0.0</v>
      </c>
      <c r="S193" s="86">
        <v>2.0</v>
      </c>
      <c r="T193" s="86">
        <v>2.0</v>
      </c>
      <c r="U193" s="159">
        <v>1.0</v>
      </c>
      <c r="V193" s="159">
        <v>0.0</v>
      </c>
      <c r="W193" s="159">
        <v>2.0</v>
      </c>
      <c r="X193" s="159">
        <v>3.0</v>
      </c>
      <c r="Y193" s="165">
        <v>0.0</v>
      </c>
      <c r="Z193" s="165">
        <v>1.0</v>
      </c>
      <c r="AA193" s="165">
        <v>0.0</v>
      </c>
      <c r="AB193" s="165">
        <v>1.0</v>
      </c>
      <c r="AC193" s="165">
        <v>3.0</v>
      </c>
      <c r="AD193" s="165">
        <v>1.0</v>
      </c>
      <c r="AE193" s="165">
        <v>1.0</v>
      </c>
      <c r="AF193" s="165">
        <v>0.0</v>
      </c>
      <c r="AG193" s="156">
        <f t="shared" si="76"/>
        <v>65</v>
      </c>
    </row>
    <row r="194" outlineLevel="1">
      <c r="A194" s="190" t="s">
        <v>230</v>
      </c>
      <c r="B194" s="165">
        <v>112.0</v>
      </c>
      <c r="C194" s="165">
        <v>80.0</v>
      </c>
      <c r="D194" s="165">
        <v>66.0</v>
      </c>
      <c r="E194" s="165">
        <v>61.0</v>
      </c>
      <c r="F194" s="165">
        <v>50.0</v>
      </c>
      <c r="G194" s="165">
        <v>54.0</v>
      </c>
      <c r="H194" s="165">
        <v>50.0</v>
      </c>
      <c r="I194" s="165">
        <v>43.0</v>
      </c>
      <c r="J194" s="165">
        <v>64.0</v>
      </c>
      <c r="K194" s="165">
        <v>56.0</v>
      </c>
      <c r="L194" s="165">
        <v>43.0</v>
      </c>
      <c r="M194" s="165">
        <v>26.0</v>
      </c>
      <c r="N194" s="165">
        <v>14.0</v>
      </c>
      <c r="O194" s="165">
        <v>22.0</v>
      </c>
      <c r="P194" s="165">
        <v>20.0</v>
      </c>
      <c r="Q194" s="165">
        <v>26.0</v>
      </c>
      <c r="R194" s="165">
        <v>25.0</v>
      </c>
      <c r="S194" s="165">
        <v>17.0</v>
      </c>
      <c r="T194" s="165">
        <v>19.0</v>
      </c>
      <c r="U194" s="159">
        <v>14.0</v>
      </c>
      <c r="V194" s="159">
        <v>23.0</v>
      </c>
      <c r="W194" s="159">
        <v>22.0</v>
      </c>
      <c r="X194" s="159">
        <v>20.0</v>
      </c>
      <c r="Y194" s="165">
        <v>35.0</v>
      </c>
      <c r="Z194" s="165">
        <v>28.0</v>
      </c>
      <c r="AA194" s="165">
        <v>20.0</v>
      </c>
      <c r="AB194" s="165">
        <v>19.0</v>
      </c>
      <c r="AC194" s="165">
        <v>20.0</v>
      </c>
      <c r="AD194" s="165">
        <v>18.0</v>
      </c>
      <c r="AE194" s="165">
        <v>21.0</v>
      </c>
      <c r="AF194" s="165">
        <v>13.0</v>
      </c>
      <c r="AG194" s="156">
        <f t="shared" si="76"/>
        <v>1101</v>
      </c>
    </row>
    <row r="195" outlineLevel="1">
      <c r="A195" s="190" t="s">
        <v>231</v>
      </c>
      <c r="B195" s="165">
        <v>16.0</v>
      </c>
      <c r="C195" s="165">
        <v>13.0</v>
      </c>
      <c r="D195" s="165">
        <v>6.0</v>
      </c>
      <c r="E195" s="165">
        <v>7.0</v>
      </c>
      <c r="F195" s="165">
        <v>4.0</v>
      </c>
      <c r="G195" s="165">
        <v>6.0</v>
      </c>
      <c r="H195" s="165">
        <v>3.0</v>
      </c>
      <c r="I195" s="165">
        <v>2.0</v>
      </c>
      <c r="J195" s="165">
        <v>9.0</v>
      </c>
      <c r="K195" s="165">
        <v>4.0</v>
      </c>
      <c r="L195" s="165">
        <v>1.0</v>
      </c>
      <c r="M195" s="165">
        <v>4.0</v>
      </c>
      <c r="N195" s="165">
        <v>2.0</v>
      </c>
      <c r="O195" s="165">
        <v>5.0</v>
      </c>
      <c r="P195" s="165">
        <v>4.0</v>
      </c>
      <c r="Q195" s="165">
        <v>9.0</v>
      </c>
      <c r="R195" s="165">
        <v>3.0</v>
      </c>
      <c r="S195" s="86">
        <v>4.0</v>
      </c>
      <c r="T195" s="86">
        <v>1.0</v>
      </c>
      <c r="U195" s="159">
        <v>6.0</v>
      </c>
      <c r="V195" s="159">
        <v>2.0</v>
      </c>
      <c r="W195" s="159">
        <v>1.0</v>
      </c>
      <c r="X195" s="159">
        <v>4.0</v>
      </c>
      <c r="Y195" s="165">
        <v>3.0</v>
      </c>
      <c r="Z195" s="165">
        <v>2.0</v>
      </c>
      <c r="AA195" s="165">
        <v>1.0</v>
      </c>
      <c r="AB195" s="165">
        <v>0.0</v>
      </c>
      <c r="AC195" s="165">
        <v>5.0</v>
      </c>
      <c r="AD195" s="165">
        <v>2.0</v>
      </c>
      <c r="AE195" s="165">
        <v>4.0</v>
      </c>
      <c r="AF195" s="165">
        <v>5.0</v>
      </c>
      <c r="AG195" s="156">
        <f t="shared" si="76"/>
        <v>138</v>
      </c>
    </row>
    <row r="196" outlineLevel="1">
      <c r="A196" s="190" t="s">
        <v>232</v>
      </c>
      <c r="B196" s="195">
        <v>0.0</v>
      </c>
      <c r="C196" s="165">
        <v>0.0</v>
      </c>
      <c r="D196" s="165">
        <v>0.0</v>
      </c>
      <c r="E196" s="165">
        <v>0.0</v>
      </c>
      <c r="F196" s="165">
        <v>0.0</v>
      </c>
      <c r="G196" s="165">
        <v>0.0</v>
      </c>
      <c r="H196" s="165">
        <v>0.0</v>
      </c>
      <c r="I196" s="165">
        <v>0.0</v>
      </c>
      <c r="J196" s="165">
        <v>0.0</v>
      </c>
      <c r="K196" s="165">
        <v>0.0</v>
      </c>
      <c r="L196" s="165">
        <v>0.0</v>
      </c>
      <c r="M196" s="165">
        <v>0.0</v>
      </c>
      <c r="N196" s="165">
        <v>3.0</v>
      </c>
      <c r="O196" s="165">
        <v>3.0</v>
      </c>
      <c r="P196" s="165">
        <v>6.0</v>
      </c>
      <c r="Q196" s="165">
        <v>3.0</v>
      </c>
      <c r="R196" s="165">
        <v>2.0</v>
      </c>
      <c r="S196" s="86">
        <v>0.0</v>
      </c>
      <c r="T196" s="86">
        <v>2.0</v>
      </c>
      <c r="U196" s="165">
        <v>3.0</v>
      </c>
      <c r="V196" s="165">
        <v>0.0</v>
      </c>
      <c r="W196" s="165">
        <v>5.0</v>
      </c>
      <c r="X196" s="165">
        <v>3.0</v>
      </c>
      <c r="Y196" s="165">
        <v>2.0</v>
      </c>
      <c r="Z196" s="165">
        <v>0.0</v>
      </c>
      <c r="AA196" s="165">
        <v>0.0</v>
      </c>
      <c r="AB196" s="86">
        <v>1.0</v>
      </c>
      <c r="AC196" s="86">
        <v>1.0</v>
      </c>
      <c r="AD196" s="165">
        <v>0.0</v>
      </c>
      <c r="AE196" s="165">
        <v>0.0</v>
      </c>
      <c r="AF196" s="165">
        <v>0.0</v>
      </c>
      <c r="AG196" s="156">
        <f t="shared" si="76"/>
        <v>34</v>
      </c>
    </row>
    <row r="197" outlineLevel="1">
      <c r="A197" s="190" t="s">
        <v>233</v>
      </c>
      <c r="B197" s="195">
        <v>29.0</v>
      </c>
      <c r="C197" s="165">
        <v>9.0</v>
      </c>
      <c r="D197" s="165">
        <v>1.0</v>
      </c>
      <c r="E197" s="165">
        <v>4.0</v>
      </c>
      <c r="F197" s="165">
        <v>2.0</v>
      </c>
      <c r="G197" s="165">
        <v>2.0</v>
      </c>
      <c r="H197" s="165">
        <v>0.0</v>
      </c>
      <c r="I197" s="165">
        <v>0.0</v>
      </c>
      <c r="J197" s="165">
        <v>3.0</v>
      </c>
      <c r="K197" s="165">
        <v>7.0</v>
      </c>
      <c r="L197" s="165">
        <v>1.0</v>
      </c>
      <c r="M197" s="165">
        <v>2.0</v>
      </c>
      <c r="N197" s="165">
        <v>2.0</v>
      </c>
      <c r="O197" s="165">
        <v>3.0</v>
      </c>
      <c r="P197" s="165">
        <v>2.0</v>
      </c>
      <c r="Q197" s="165">
        <v>2.0</v>
      </c>
      <c r="R197" s="165">
        <v>2.0</v>
      </c>
      <c r="S197" s="86">
        <v>2.0</v>
      </c>
      <c r="T197" s="86">
        <v>0.0</v>
      </c>
      <c r="U197" s="165">
        <v>1.0</v>
      </c>
      <c r="V197" s="165">
        <v>0.0</v>
      </c>
      <c r="W197" s="165">
        <v>2.0</v>
      </c>
      <c r="X197" s="165">
        <v>1.0</v>
      </c>
      <c r="Y197" s="165">
        <v>2.0</v>
      </c>
      <c r="Z197" s="165">
        <v>1.0</v>
      </c>
      <c r="AA197" s="165">
        <v>0.0</v>
      </c>
      <c r="AB197" s="86">
        <v>1.0</v>
      </c>
      <c r="AC197" s="86">
        <v>0.0</v>
      </c>
      <c r="AD197" s="165">
        <v>0.0</v>
      </c>
      <c r="AE197" s="165">
        <v>0.0</v>
      </c>
      <c r="AF197" s="165">
        <v>0.0</v>
      </c>
      <c r="AG197" s="156">
        <f t="shared" si="76"/>
        <v>81</v>
      </c>
    </row>
    <row r="198">
      <c r="A198" s="193" t="s">
        <v>141</v>
      </c>
      <c r="B198" s="194">
        <f t="shared" ref="B198:AF198" si="77">SUM(B188:B197)</f>
        <v>444</v>
      </c>
      <c r="C198" s="194">
        <f t="shared" si="77"/>
        <v>300</v>
      </c>
      <c r="D198" s="194">
        <f t="shared" si="77"/>
        <v>283</v>
      </c>
      <c r="E198" s="194">
        <f t="shared" si="77"/>
        <v>267</v>
      </c>
      <c r="F198" s="194">
        <f t="shared" si="77"/>
        <v>221</v>
      </c>
      <c r="G198" s="194">
        <f t="shared" si="77"/>
        <v>225</v>
      </c>
      <c r="H198" s="194">
        <f t="shared" si="77"/>
        <v>199</v>
      </c>
      <c r="I198" s="194">
        <f t="shared" si="77"/>
        <v>183</v>
      </c>
      <c r="J198" s="194">
        <f t="shared" si="77"/>
        <v>249</v>
      </c>
      <c r="K198" s="194">
        <f t="shared" si="77"/>
        <v>233</v>
      </c>
      <c r="L198" s="194">
        <f t="shared" si="77"/>
        <v>135</v>
      </c>
      <c r="M198" s="194">
        <f t="shared" si="77"/>
        <v>80</v>
      </c>
      <c r="N198" s="194">
        <f t="shared" si="77"/>
        <v>50</v>
      </c>
      <c r="O198" s="194">
        <f t="shared" si="77"/>
        <v>70</v>
      </c>
      <c r="P198" s="194">
        <f t="shared" si="77"/>
        <v>64</v>
      </c>
      <c r="Q198" s="194">
        <f t="shared" si="77"/>
        <v>89</v>
      </c>
      <c r="R198" s="194">
        <f t="shared" si="77"/>
        <v>66</v>
      </c>
      <c r="S198" s="194">
        <f t="shared" si="77"/>
        <v>68</v>
      </c>
      <c r="T198" s="194">
        <f t="shared" si="77"/>
        <v>49</v>
      </c>
      <c r="U198" s="194">
        <f t="shared" si="77"/>
        <v>49</v>
      </c>
      <c r="V198" s="194">
        <f t="shared" si="77"/>
        <v>55</v>
      </c>
      <c r="W198" s="194">
        <f t="shared" si="77"/>
        <v>103</v>
      </c>
      <c r="X198" s="194">
        <f t="shared" si="77"/>
        <v>86</v>
      </c>
      <c r="Y198" s="194">
        <f t="shared" si="77"/>
        <v>94</v>
      </c>
      <c r="Z198" s="194">
        <f t="shared" si="77"/>
        <v>74</v>
      </c>
      <c r="AA198" s="194">
        <f t="shared" si="77"/>
        <v>52</v>
      </c>
      <c r="AB198" s="194">
        <f t="shared" si="77"/>
        <v>64</v>
      </c>
      <c r="AC198" s="194">
        <f t="shared" si="77"/>
        <v>68</v>
      </c>
      <c r="AD198" s="194">
        <f t="shared" si="77"/>
        <v>58</v>
      </c>
      <c r="AE198" s="194">
        <f t="shared" si="77"/>
        <v>65</v>
      </c>
      <c r="AF198" s="194">
        <f t="shared" si="77"/>
        <v>48</v>
      </c>
      <c r="AG198" s="156">
        <f t="shared" si="76"/>
        <v>4091</v>
      </c>
    </row>
    <row r="199">
      <c r="A199" s="100"/>
      <c r="B199" s="130"/>
      <c r="C199" s="130"/>
      <c r="D199" s="130"/>
      <c r="E199" s="130"/>
      <c r="F199" s="130"/>
      <c r="G199" s="130"/>
      <c r="H199" s="130"/>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156"/>
    </row>
    <row r="200">
      <c r="A200" s="190" t="s">
        <v>234</v>
      </c>
      <c r="B200" s="191"/>
      <c r="C200" s="191"/>
      <c r="D200" s="192"/>
      <c r="E200" s="192"/>
      <c r="F200" s="192"/>
      <c r="G200" s="192"/>
      <c r="H200" s="192"/>
      <c r="I200" s="192"/>
      <c r="J200" s="192"/>
      <c r="K200" s="191"/>
      <c r="L200" s="191"/>
      <c r="M200" s="191"/>
      <c r="N200" s="191"/>
      <c r="O200" s="191"/>
      <c r="P200" s="191"/>
      <c r="Q200" s="191"/>
      <c r="R200" s="191"/>
      <c r="S200" s="191"/>
      <c r="T200" s="191"/>
      <c r="U200" s="191"/>
      <c r="V200" s="191"/>
      <c r="W200" s="191"/>
      <c r="X200" s="191"/>
      <c r="Y200" s="191"/>
      <c r="Z200" s="191"/>
      <c r="AA200" s="191"/>
      <c r="AB200" s="191"/>
      <c r="AC200" s="191"/>
      <c r="AD200" s="191"/>
      <c r="AE200" s="191"/>
      <c r="AF200" s="191"/>
      <c r="AG200" s="156"/>
    </row>
    <row r="201" outlineLevel="1">
      <c r="A201" s="190" t="s">
        <v>224</v>
      </c>
      <c r="B201" s="165">
        <v>2.0</v>
      </c>
      <c r="C201" s="165">
        <v>3.0</v>
      </c>
      <c r="D201" s="165">
        <v>0.0</v>
      </c>
      <c r="E201" s="165">
        <v>0.0</v>
      </c>
      <c r="F201" s="165">
        <v>0.0</v>
      </c>
      <c r="G201" s="165">
        <v>1.0</v>
      </c>
      <c r="H201" s="165">
        <v>0.0</v>
      </c>
      <c r="I201" s="165">
        <v>0.0</v>
      </c>
      <c r="J201" s="165">
        <v>1.0</v>
      </c>
      <c r="K201" s="165">
        <v>1.0</v>
      </c>
      <c r="L201" s="165">
        <v>0.0</v>
      </c>
      <c r="M201" s="165">
        <v>0.0</v>
      </c>
      <c r="N201" s="165">
        <v>0.0</v>
      </c>
      <c r="O201" s="165">
        <v>0.0</v>
      </c>
      <c r="P201" s="165">
        <v>0.0</v>
      </c>
      <c r="Q201" s="165">
        <v>1.0</v>
      </c>
      <c r="R201" s="165">
        <v>1.0</v>
      </c>
      <c r="S201" s="165">
        <v>2.0</v>
      </c>
      <c r="T201" s="158">
        <v>0.0</v>
      </c>
      <c r="U201" s="165">
        <v>1.0</v>
      </c>
      <c r="V201" s="165">
        <v>0.0</v>
      </c>
      <c r="W201" s="165">
        <v>0.0</v>
      </c>
      <c r="X201" s="165">
        <v>0.0</v>
      </c>
      <c r="Y201" s="165">
        <v>0.0</v>
      </c>
      <c r="Z201" s="165">
        <v>0.0</v>
      </c>
      <c r="AA201" s="165">
        <v>0.0</v>
      </c>
      <c r="AB201" s="165">
        <v>0.0</v>
      </c>
      <c r="AC201" s="165">
        <v>0.0</v>
      </c>
      <c r="AD201" s="165">
        <v>0.0</v>
      </c>
      <c r="AE201" s="165">
        <v>1.0</v>
      </c>
      <c r="AF201" s="165">
        <v>0.0</v>
      </c>
      <c r="AG201" s="156">
        <f t="shared" ref="AG201:AG211" si="78">SUM(B201:AF201)</f>
        <v>14</v>
      </c>
    </row>
    <row r="202" outlineLevel="1">
      <c r="A202" s="190" t="s">
        <v>225</v>
      </c>
      <c r="B202" s="165">
        <v>1.0</v>
      </c>
      <c r="C202" s="165">
        <v>0.0</v>
      </c>
      <c r="D202" s="165">
        <v>1.0</v>
      </c>
      <c r="E202" s="165">
        <v>1.0</v>
      </c>
      <c r="F202" s="165">
        <v>1.0</v>
      </c>
      <c r="G202" s="165">
        <v>1.0</v>
      </c>
      <c r="H202" s="165">
        <v>1.0</v>
      </c>
      <c r="I202" s="165">
        <v>0.0</v>
      </c>
      <c r="J202" s="165">
        <v>1.0</v>
      </c>
      <c r="K202" s="165">
        <v>4.0</v>
      </c>
      <c r="L202" s="165">
        <v>0.0</v>
      </c>
      <c r="M202" s="165">
        <v>1.0</v>
      </c>
      <c r="N202" s="165">
        <v>0.0</v>
      </c>
      <c r="O202" s="165">
        <v>0.0</v>
      </c>
      <c r="P202" s="165">
        <v>0.0</v>
      </c>
      <c r="Q202" s="165">
        <v>1.0</v>
      </c>
      <c r="R202" s="165">
        <v>0.0</v>
      </c>
      <c r="S202" s="165">
        <v>0.0</v>
      </c>
      <c r="T202" s="165">
        <v>2.0</v>
      </c>
      <c r="U202" s="165">
        <v>0.0</v>
      </c>
      <c r="V202" s="165">
        <v>0.0</v>
      </c>
      <c r="W202" s="165">
        <v>2.0</v>
      </c>
      <c r="X202" s="165">
        <v>0.0</v>
      </c>
      <c r="Y202" s="165">
        <v>0.0</v>
      </c>
      <c r="Z202" s="165">
        <v>0.0</v>
      </c>
      <c r="AA202" s="165">
        <v>0.0</v>
      </c>
      <c r="AB202" s="165">
        <v>0.0</v>
      </c>
      <c r="AC202" s="165">
        <v>0.0</v>
      </c>
      <c r="AD202" s="165">
        <v>0.0</v>
      </c>
      <c r="AE202" s="165">
        <v>0.0</v>
      </c>
      <c r="AF202" s="165">
        <v>0.0</v>
      </c>
      <c r="AG202" s="156">
        <f t="shared" si="78"/>
        <v>17</v>
      </c>
    </row>
    <row r="203" outlineLevel="1">
      <c r="A203" s="190" t="s">
        <v>235</v>
      </c>
      <c r="B203" s="165">
        <v>2.0</v>
      </c>
      <c r="C203" s="165">
        <v>0.0</v>
      </c>
      <c r="D203" s="165">
        <v>1.0</v>
      </c>
      <c r="E203" s="165">
        <v>1.0</v>
      </c>
      <c r="F203" s="165">
        <v>0.0</v>
      </c>
      <c r="G203" s="165">
        <v>0.0</v>
      </c>
      <c r="H203" s="165">
        <v>0.0</v>
      </c>
      <c r="I203" s="165">
        <v>0.0</v>
      </c>
      <c r="J203" s="165">
        <v>1.0</v>
      </c>
      <c r="K203" s="165">
        <v>1.0</v>
      </c>
      <c r="L203" s="165">
        <v>1.0</v>
      </c>
      <c r="M203" s="165">
        <v>0.0</v>
      </c>
      <c r="N203" s="165">
        <v>0.0</v>
      </c>
      <c r="O203" s="165">
        <v>0.0</v>
      </c>
      <c r="P203" s="165">
        <v>1.0</v>
      </c>
      <c r="Q203" s="165">
        <v>0.0</v>
      </c>
      <c r="R203" s="165">
        <v>0.0</v>
      </c>
      <c r="S203" s="165">
        <v>0.0</v>
      </c>
      <c r="T203" s="165">
        <v>1.0</v>
      </c>
      <c r="U203" s="165">
        <v>0.0</v>
      </c>
      <c r="V203" s="165">
        <v>0.0</v>
      </c>
      <c r="W203" s="165">
        <v>0.0</v>
      </c>
      <c r="X203" s="165">
        <v>0.0</v>
      </c>
      <c r="Y203" s="165">
        <v>0.0</v>
      </c>
      <c r="Z203" s="165">
        <v>0.0</v>
      </c>
      <c r="AA203" s="165">
        <v>0.0</v>
      </c>
      <c r="AB203" s="165">
        <v>0.0</v>
      </c>
      <c r="AC203" s="165">
        <v>2.0</v>
      </c>
      <c r="AD203" s="165">
        <v>0.0</v>
      </c>
      <c r="AE203" s="165">
        <v>0.0</v>
      </c>
      <c r="AF203" s="165">
        <v>0.0</v>
      </c>
      <c r="AG203" s="156">
        <f t="shared" si="78"/>
        <v>11</v>
      </c>
    </row>
    <row r="204" outlineLevel="1">
      <c r="A204" s="190" t="s">
        <v>236</v>
      </c>
      <c r="B204" s="165">
        <v>0.0</v>
      </c>
      <c r="C204" s="165">
        <v>0.0</v>
      </c>
      <c r="D204" s="165">
        <v>0.0</v>
      </c>
      <c r="E204" s="165">
        <v>0.0</v>
      </c>
      <c r="F204" s="165">
        <v>0.0</v>
      </c>
      <c r="G204" s="165">
        <v>0.0</v>
      </c>
      <c r="H204" s="165">
        <v>0.0</v>
      </c>
      <c r="I204" s="165">
        <v>0.0</v>
      </c>
      <c r="J204" s="165">
        <v>1.0</v>
      </c>
      <c r="K204" s="165">
        <v>0.0</v>
      </c>
      <c r="L204" s="165">
        <v>0.0</v>
      </c>
      <c r="M204" s="165">
        <v>0.0</v>
      </c>
      <c r="N204" s="165">
        <v>0.0</v>
      </c>
      <c r="O204" s="165">
        <v>0.0</v>
      </c>
      <c r="P204" s="165">
        <v>0.0</v>
      </c>
      <c r="Q204" s="165">
        <v>0.0</v>
      </c>
      <c r="R204" s="165">
        <v>0.0</v>
      </c>
      <c r="S204" s="86">
        <v>0.0</v>
      </c>
      <c r="T204" s="86">
        <v>0.0</v>
      </c>
      <c r="U204" s="165">
        <v>0.0</v>
      </c>
      <c r="V204" s="165">
        <v>0.0</v>
      </c>
      <c r="W204" s="165">
        <v>0.0</v>
      </c>
      <c r="X204" s="165">
        <v>0.0</v>
      </c>
      <c r="Y204" s="165">
        <v>0.0</v>
      </c>
      <c r="Z204" s="165">
        <v>0.0</v>
      </c>
      <c r="AA204" s="165">
        <v>0.0</v>
      </c>
      <c r="AB204" s="165">
        <v>0.0</v>
      </c>
      <c r="AC204" s="165">
        <v>0.0</v>
      </c>
      <c r="AD204" s="165">
        <v>0.0</v>
      </c>
      <c r="AE204" s="165">
        <v>0.0</v>
      </c>
      <c r="AF204" s="165">
        <v>0.0</v>
      </c>
      <c r="AG204" s="156">
        <f t="shared" si="78"/>
        <v>1</v>
      </c>
    </row>
    <row r="205" outlineLevel="1">
      <c r="A205" s="190" t="s">
        <v>237</v>
      </c>
      <c r="B205" s="165">
        <v>0.0</v>
      </c>
      <c r="C205" s="165">
        <v>0.0</v>
      </c>
      <c r="D205" s="165">
        <v>0.0</v>
      </c>
      <c r="E205" s="165">
        <v>0.0</v>
      </c>
      <c r="F205" s="165">
        <v>0.0</v>
      </c>
      <c r="G205" s="165">
        <v>0.0</v>
      </c>
      <c r="H205" s="165">
        <v>0.0</v>
      </c>
      <c r="I205" s="165">
        <v>0.0</v>
      </c>
      <c r="J205" s="165">
        <v>0.0</v>
      </c>
      <c r="K205" s="165">
        <v>0.0</v>
      </c>
      <c r="L205" s="165">
        <v>0.0</v>
      </c>
      <c r="M205" s="165">
        <v>0.0</v>
      </c>
      <c r="N205" s="165">
        <v>0.0</v>
      </c>
      <c r="O205" s="165">
        <v>0.0</v>
      </c>
      <c r="P205" s="165">
        <v>0.0</v>
      </c>
      <c r="Q205" s="165">
        <v>0.0</v>
      </c>
      <c r="R205" s="165">
        <v>0.0</v>
      </c>
      <c r="S205" s="165">
        <v>0.0</v>
      </c>
      <c r="T205" s="165">
        <v>0.0</v>
      </c>
      <c r="U205" s="165">
        <v>0.0</v>
      </c>
      <c r="V205" s="165">
        <v>0.0</v>
      </c>
      <c r="W205" s="165">
        <v>0.0</v>
      </c>
      <c r="X205" s="165">
        <v>0.0</v>
      </c>
      <c r="Y205" s="165">
        <v>0.0</v>
      </c>
      <c r="Z205" s="158">
        <v>0.0</v>
      </c>
      <c r="AA205" s="165">
        <v>0.0</v>
      </c>
      <c r="AB205" s="165">
        <v>0.0</v>
      </c>
      <c r="AC205" s="165">
        <v>0.0</v>
      </c>
      <c r="AD205" s="165">
        <v>0.0</v>
      </c>
      <c r="AE205" s="165">
        <v>0.0</v>
      </c>
      <c r="AF205" s="165">
        <v>0.0</v>
      </c>
      <c r="AG205" s="156">
        <f t="shared" si="78"/>
        <v>0</v>
      </c>
    </row>
    <row r="206" outlineLevel="1">
      <c r="A206" s="190" t="s">
        <v>238</v>
      </c>
      <c r="B206" s="165">
        <v>0.0</v>
      </c>
      <c r="C206" s="165">
        <v>0.0</v>
      </c>
      <c r="D206" s="165">
        <v>0.0</v>
      </c>
      <c r="E206" s="165">
        <v>0.0</v>
      </c>
      <c r="F206" s="165">
        <v>0.0</v>
      </c>
      <c r="G206" s="165">
        <v>1.0</v>
      </c>
      <c r="H206" s="165">
        <v>0.0</v>
      </c>
      <c r="I206" s="165">
        <v>0.0</v>
      </c>
      <c r="J206" s="165">
        <v>0.0</v>
      </c>
      <c r="K206" s="165">
        <v>1.0</v>
      </c>
      <c r="L206" s="165">
        <v>0.0</v>
      </c>
      <c r="M206" s="165">
        <v>1.0</v>
      </c>
      <c r="N206" s="165">
        <v>0.0</v>
      </c>
      <c r="O206" s="165">
        <v>0.0</v>
      </c>
      <c r="P206" s="165">
        <v>1.0</v>
      </c>
      <c r="Q206" s="165">
        <v>1.0</v>
      </c>
      <c r="R206" s="165">
        <v>0.0</v>
      </c>
      <c r="S206" s="86">
        <v>0.0</v>
      </c>
      <c r="T206" s="86">
        <v>0.0</v>
      </c>
      <c r="U206" s="165">
        <v>0.0</v>
      </c>
      <c r="V206" s="165">
        <v>0.0</v>
      </c>
      <c r="W206" s="165">
        <v>0.0</v>
      </c>
      <c r="X206" s="165">
        <v>0.0</v>
      </c>
      <c r="Y206" s="165">
        <v>0.0</v>
      </c>
      <c r="Z206" s="165">
        <v>0.0</v>
      </c>
      <c r="AA206" s="165">
        <v>0.0</v>
      </c>
      <c r="AB206" s="165">
        <v>0.0</v>
      </c>
      <c r="AC206" s="165">
        <v>0.0</v>
      </c>
      <c r="AD206" s="165">
        <v>0.0</v>
      </c>
      <c r="AE206" s="165">
        <v>0.0</v>
      </c>
      <c r="AF206" s="165">
        <v>0.0</v>
      </c>
      <c r="AG206" s="156">
        <f t="shared" si="78"/>
        <v>5</v>
      </c>
    </row>
    <row r="207" outlineLevel="1">
      <c r="A207" s="190" t="s">
        <v>239</v>
      </c>
      <c r="B207" s="165">
        <v>2.0</v>
      </c>
      <c r="C207" s="165">
        <v>2.0</v>
      </c>
      <c r="D207" s="165">
        <v>1.0</v>
      </c>
      <c r="E207" s="165">
        <v>3.0</v>
      </c>
      <c r="F207" s="165">
        <v>2.0</v>
      </c>
      <c r="G207" s="165">
        <v>0.0</v>
      </c>
      <c r="H207" s="165">
        <v>1.0</v>
      </c>
      <c r="I207" s="165">
        <v>0.0</v>
      </c>
      <c r="J207" s="165">
        <v>2.0</v>
      </c>
      <c r="K207" s="165">
        <v>2.0</v>
      </c>
      <c r="L207" s="165">
        <v>0.0</v>
      </c>
      <c r="M207" s="165">
        <v>0.0</v>
      </c>
      <c r="N207" s="165">
        <v>0.0</v>
      </c>
      <c r="O207" s="165">
        <v>0.0</v>
      </c>
      <c r="P207" s="165">
        <v>0.0</v>
      </c>
      <c r="Q207" s="165">
        <v>1.0</v>
      </c>
      <c r="R207" s="165">
        <v>0.0</v>
      </c>
      <c r="S207" s="165">
        <v>0.0</v>
      </c>
      <c r="T207" s="165">
        <v>0.0</v>
      </c>
      <c r="U207" s="165">
        <v>0.0</v>
      </c>
      <c r="V207" s="165">
        <v>0.0</v>
      </c>
      <c r="W207" s="165">
        <v>0.0</v>
      </c>
      <c r="X207" s="165">
        <v>2.0</v>
      </c>
      <c r="Y207" s="165">
        <v>1.0</v>
      </c>
      <c r="Z207" s="165">
        <v>0.0</v>
      </c>
      <c r="AA207" s="165">
        <v>1.0</v>
      </c>
      <c r="AB207" s="165">
        <v>0.0</v>
      </c>
      <c r="AC207" s="165">
        <v>2.0</v>
      </c>
      <c r="AD207" s="165">
        <v>0.0</v>
      </c>
      <c r="AE207" s="165">
        <v>1.0</v>
      </c>
      <c r="AF207" s="165">
        <v>0.0</v>
      </c>
      <c r="AG207" s="156">
        <f t="shared" si="78"/>
        <v>23</v>
      </c>
    </row>
    <row r="208" outlineLevel="1">
      <c r="A208" s="190" t="s">
        <v>240</v>
      </c>
      <c r="B208" s="165">
        <v>1.0</v>
      </c>
      <c r="C208" s="165">
        <v>0.0</v>
      </c>
      <c r="D208" s="165">
        <v>0.0</v>
      </c>
      <c r="E208" s="165">
        <v>0.0</v>
      </c>
      <c r="F208" s="165">
        <v>0.0</v>
      </c>
      <c r="G208" s="165">
        <v>0.0</v>
      </c>
      <c r="H208" s="165">
        <v>0.0</v>
      </c>
      <c r="I208" s="165">
        <v>0.0</v>
      </c>
      <c r="J208" s="165">
        <v>1.0</v>
      </c>
      <c r="K208" s="165">
        <v>0.0</v>
      </c>
      <c r="L208" s="165">
        <v>2.0</v>
      </c>
      <c r="M208" s="165">
        <v>1.0</v>
      </c>
      <c r="N208" s="165">
        <v>0.0</v>
      </c>
      <c r="O208" s="165">
        <v>0.0</v>
      </c>
      <c r="P208" s="165">
        <v>0.0</v>
      </c>
      <c r="Q208" s="165">
        <v>1.0</v>
      </c>
      <c r="R208" s="165">
        <v>0.0</v>
      </c>
      <c r="S208" s="86">
        <v>0.0</v>
      </c>
      <c r="T208" s="86">
        <v>1.0</v>
      </c>
      <c r="U208" s="165">
        <v>0.0</v>
      </c>
      <c r="V208" s="165">
        <v>0.0</v>
      </c>
      <c r="W208" s="165">
        <v>0.0</v>
      </c>
      <c r="X208" s="165">
        <v>1.0</v>
      </c>
      <c r="Y208" s="165">
        <v>0.0</v>
      </c>
      <c r="Z208" s="165">
        <v>0.0</v>
      </c>
      <c r="AA208" s="165">
        <v>0.0</v>
      </c>
      <c r="AB208" s="165">
        <v>0.0</v>
      </c>
      <c r="AC208" s="165">
        <v>1.0</v>
      </c>
      <c r="AD208" s="165">
        <v>0.0</v>
      </c>
      <c r="AE208" s="165">
        <v>0.0</v>
      </c>
      <c r="AF208" s="165">
        <v>0.0</v>
      </c>
      <c r="AG208" s="156">
        <f t="shared" si="78"/>
        <v>9</v>
      </c>
    </row>
    <row r="209" outlineLevel="1">
      <c r="A209" s="190" t="s">
        <v>241</v>
      </c>
      <c r="B209" s="195">
        <v>0.0</v>
      </c>
      <c r="C209" s="165">
        <v>0.0</v>
      </c>
      <c r="D209" s="165">
        <v>0.0</v>
      </c>
      <c r="E209" s="165">
        <v>0.0</v>
      </c>
      <c r="F209" s="165">
        <v>0.0</v>
      </c>
      <c r="G209" s="165">
        <v>0.0</v>
      </c>
      <c r="H209" s="165">
        <v>0.0</v>
      </c>
      <c r="I209" s="165">
        <v>0.0</v>
      </c>
      <c r="J209" s="165">
        <v>0.0</v>
      </c>
      <c r="K209" s="165">
        <v>0.0</v>
      </c>
      <c r="L209" s="165">
        <v>0.0</v>
      </c>
      <c r="M209" s="165">
        <v>0.0</v>
      </c>
      <c r="N209" s="165">
        <v>0.0</v>
      </c>
      <c r="O209" s="165">
        <v>0.0</v>
      </c>
      <c r="P209" s="165">
        <v>0.0</v>
      </c>
      <c r="Q209" s="165">
        <v>0.0</v>
      </c>
      <c r="R209" s="165">
        <v>0.0</v>
      </c>
      <c r="S209" s="86">
        <v>0.0</v>
      </c>
      <c r="T209" s="86">
        <v>0.0</v>
      </c>
      <c r="U209" s="165">
        <v>0.0</v>
      </c>
      <c r="V209" s="165">
        <v>0.0</v>
      </c>
      <c r="W209" s="165">
        <v>0.0</v>
      </c>
      <c r="X209" s="165">
        <v>0.0</v>
      </c>
      <c r="Y209" s="165">
        <v>0.0</v>
      </c>
      <c r="Z209" s="165">
        <v>0.0</v>
      </c>
      <c r="AA209" s="165">
        <v>0.0</v>
      </c>
      <c r="AB209" s="86">
        <v>0.0</v>
      </c>
      <c r="AC209" s="86">
        <v>0.0</v>
      </c>
      <c r="AD209" s="86">
        <v>0.0</v>
      </c>
      <c r="AE209" s="165">
        <v>0.0</v>
      </c>
      <c r="AF209" s="165">
        <v>0.0</v>
      </c>
      <c r="AG209" s="156">
        <f t="shared" si="78"/>
        <v>0</v>
      </c>
    </row>
    <row r="210" outlineLevel="1">
      <c r="A210" s="190" t="s">
        <v>242</v>
      </c>
      <c r="B210" s="195">
        <v>0.0</v>
      </c>
      <c r="C210" s="165">
        <v>0.0</v>
      </c>
      <c r="D210" s="165">
        <v>0.0</v>
      </c>
      <c r="E210" s="165">
        <v>0.0</v>
      </c>
      <c r="F210" s="165">
        <v>0.0</v>
      </c>
      <c r="G210" s="165">
        <v>0.0</v>
      </c>
      <c r="H210" s="165">
        <v>0.0</v>
      </c>
      <c r="I210" s="165">
        <v>0.0</v>
      </c>
      <c r="J210" s="165">
        <v>0.0</v>
      </c>
      <c r="K210" s="165">
        <v>0.0</v>
      </c>
      <c r="L210" s="165">
        <v>0.0</v>
      </c>
      <c r="M210" s="165">
        <v>0.0</v>
      </c>
      <c r="N210" s="165">
        <v>0.0</v>
      </c>
      <c r="O210" s="165">
        <v>0.0</v>
      </c>
      <c r="P210" s="165">
        <v>0.0</v>
      </c>
      <c r="Q210" s="165">
        <v>0.0</v>
      </c>
      <c r="R210" s="165">
        <v>0.0</v>
      </c>
      <c r="S210" s="86">
        <v>0.0</v>
      </c>
      <c r="T210" s="86">
        <v>0.0</v>
      </c>
      <c r="U210" s="165">
        <v>0.0</v>
      </c>
      <c r="V210" s="165">
        <v>0.0</v>
      </c>
      <c r="W210" s="165">
        <v>0.0</v>
      </c>
      <c r="X210" s="165">
        <v>0.0</v>
      </c>
      <c r="Y210" s="165">
        <v>0.0</v>
      </c>
      <c r="Z210" s="165">
        <v>0.0</v>
      </c>
      <c r="AA210" s="165">
        <v>0.0</v>
      </c>
      <c r="AB210" s="86">
        <v>0.0</v>
      </c>
      <c r="AC210" s="86">
        <v>0.0</v>
      </c>
      <c r="AD210" s="86">
        <v>0.0</v>
      </c>
      <c r="AE210" s="165">
        <v>0.0</v>
      </c>
      <c r="AF210" s="165">
        <v>0.0</v>
      </c>
      <c r="AG210" s="156">
        <f t="shared" si="78"/>
        <v>0</v>
      </c>
    </row>
    <row r="211">
      <c r="A211" s="193" t="s">
        <v>141</v>
      </c>
      <c r="B211" s="194">
        <f t="shared" ref="B211:AF211" si="79">SUM(B201:B210)</f>
        <v>8</v>
      </c>
      <c r="C211" s="194">
        <f t="shared" si="79"/>
        <v>5</v>
      </c>
      <c r="D211" s="194">
        <f t="shared" si="79"/>
        <v>3</v>
      </c>
      <c r="E211" s="194">
        <f t="shared" si="79"/>
        <v>5</v>
      </c>
      <c r="F211" s="194">
        <f t="shared" si="79"/>
        <v>3</v>
      </c>
      <c r="G211" s="194">
        <f t="shared" si="79"/>
        <v>3</v>
      </c>
      <c r="H211" s="194">
        <f t="shared" si="79"/>
        <v>2</v>
      </c>
      <c r="I211" s="194">
        <f t="shared" si="79"/>
        <v>0</v>
      </c>
      <c r="J211" s="194">
        <f t="shared" si="79"/>
        <v>7</v>
      </c>
      <c r="K211" s="194">
        <f t="shared" si="79"/>
        <v>9</v>
      </c>
      <c r="L211" s="194">
        <f t="shared" si="79"/>
        <v>3</v>
      </c>
      <c r="M211" s="194">
        <f t="shared" si="79"/>
        <v>3</v>
      </c>
      <c r="N211" s="194">
        <f t="shared" si="79"/>
        <v>0</v>
      </c>
      <c r="O211" s="194">
        <f t="shared" si="79"/>
        <v>0</v>
      </c>
      <c r="P211" s="194">
        <f t="shared" si="79"/>
        <v>2</v>
      </c>
      <c r="Q211" s="194">
        <f t="shared" si="79"/>
        <v>5</v>
      </c>
      <c r="R211" s="194">
        <f t="shared" si="79"/>
        <v>1</v>
      </c>
      <c r="S211" s="194">
        <f t="shared" si="79"/>
        <v>2</v>
      </c>
      <c r="T211" s="194">
        <f t="shared" si="79"/>
        <v>4</v>
      </c>
      <c r="U211" s="194">
        <f t="shared" si="79"/>
        <v>1</v>
      </c>
      <c r="V211" s="194">
        <f t="shared" si="79"/>
        <v>0</v>
      </c>
      <c r="W211" s="194">
        <f t="shared" si="79"/>
        <v>2</v>
      </c>
      <c r="X211" s="194">
        <f t="shared" si="79"/>
        <v>3</v>
      </c>
      <c r="Y211" s="194">
        <f t="shared" si="79"/>
        <v>1</v>
      </c>
      <c r="Z211" s="194">
        <f t="shared" si="79"/>
        <v>0</v>
      </c>
      <c r="AA211" s="194">
        <f t="shared" si="79"/>
        <v>1</v>
      </c>
      <c r="AB211" s="194">
        <f t="shared" si="79"/>
        <v>0</v>
      </c>
      <c r="AC211" s="194">
        <f t="shared" si="79"/>
        <v>5</v>
      </c>
      <c r="AD211" s="194">
        <f t="shared" si="79"/>
        <v>0</v>
      </c>
      <c r="AE211" s="194">
        <f t="shared" si="79"/>
        <v>2</v>
      </c>
      <c r="AF211" s="194">
        <f t="shared" si="79"/>
        <v>0</v>
      </c>
      <c r="AG211" s="156">
        <f t="shared" si="78"/>
        <v>80</v>
      </c>
    </row>
    <row r="212">
      <c r="A212" s="100"/>
      <c r="B212" s="130"/>
      <c r="C212" s="130"/>
      <c r="D212" s="130"/>
      <c r="E212" s="130"/>
      <c r="F212" s="130"/>
      <c r="G212" s="130"/>
      <c r="H212" s="130"/>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156"/>
    </row>
    <row r="213">
      <c r="A213" s="188" t="s">
        <v>243</v>
      </c>
      <c r="B213" s="196"/>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56"/>
    </row>
    <row r="214">
      <c r="A214" s="190" t="s">
        <v>207</v>
      </c>
      <c r="B214" s="191"/>
      <c r="C214" s="191"/>
      <c r="D214" s="192"/>
      <c r="E214" s="192"/>
      <c r="F214" s="192"/>
      <c r="G214" s="192"/>
      <c r="H214" s="192"/>
      <c r="I214" s="192"/>
      <c r="J214" s="192"/>
      <c r="K214" s="191"/>
      <c r="L214" s="191"/>
      <c r="M214" s="191"/>
      <c r="N214" s="191"/>
      <c r="O214" s="191"/>
      <c r="P214" s="191"/>
      <c r="Q214" s="191"/>
      <c r="R214" s="191"/>
      <c r="S214" s="191"/>
      <c r="T214" s="191"/>
      <c r="U214" s="191"/>
      <c r="V214" s="191"/>
      <c r="W214" s="191"/>
      <c r="X214" s="191"/>
      <c r="Y214" s="191"/>
      <c r="Z214" s="191"/>
      <c r="AA214" s="191"/>
      <c r="AB214" s="191"/>
      <c r="AC214" s="191"/>
      <c r="AD214" s="191"/>
      <c r="AE214" s="191"/>
      <c r="AF214" s="191"/>
      <c r="AG214" s="198"/>
    </row>
    <row r="215" outlineLevel="1">
      <c r="A215" s="190" t="s">
        <v>244</v>
      </c>
      <c r="B215" s="199">
        <v>7103.73</v>
      </c>
      <c r="C215" s="199">
        <v>6344.42</v>
      </c>
      <c r="D215" s="199">
        <v>7100.82</v>
      </c>
      <c r="E215" s="199">
        <v>6593.59</v>
      </c>
      <c r="F215" s="199">
        <v>4857.74</v>
      </c>
      <c r="G215" s="199">
        <v>4777.43</v>
      </c>
      <c r="H215" s="199">
        <v>4795.78</v>
      </c>
      <c r="I215" s="199">
        <v>3936.8</v>
      </c>
      <c r="J215" s="199">
        <v>5431.83</v>
      </c>
      <c r="K215" s="199">
        <v>4126.64</v>
      </c>
      <c r="L215" s="199">
        <v>4588.08</v>
      </c>
      <c r="M215" s="199">
        <v>3876.28</v>
      </c>
      <c r="N215" s="199">
        <v>1263.75</v>
      </c>
      <c r="O215" s="199">
        <v>2779.14</v>
      </c>
      <c r="P215" s="199">
        <v>1743.41</v>
      </c>
      <c r="Q215" s="199">
        <v>2171.36</v>
      </c>
      <c r="R215" s="199">
        <v>2683.45</v>
      </c>
      <c r="S215" s="199">
        <v>3346.58</v>
      </c>
      <c r="T215" s="199">
        <v>1522.73</v>
      </c>
      <c r="U215" s="199">
        <v>1737.48</v>
      </c>
      <c r="V215" s="199">
        <v>1507.95</v>
      </c>
      <c r="W215" s="199">
        <v>2239.81</v>
      </c>
      <c r="X215" s="199">
        <v>3252.66</v>
      </c>
      <c r="Y215" s="199">
        <v>3993.41</v>
      </c>
      <c r="Z215" s="199">
        <v>2760.38</v>
      </c>
      <c r="AA215" s="199">
        <v>2034.67</v>
      </c>
      <c r="AB215" s="199">
        <v>1732.76</v>
      </c>
      <c r="AC215" s="199">
        <v>1989.16</v>
      </c>
      <c r="AD215" s="199">
        <v>2220.7</v>
      </c>
      <c r="AE215" s="199">
        <v>1426.16</v>
      </c>
      <c r="AF215" s="199">
        <v>1512.65</v>
      </c>
      <c r="AG215" s="95">
        <f t="shared" ref="AG215:AG220" si="80">SUM(B215:AF215)</f>
        <v>105451.35</v>
      </c>
    </row>
    <row r="216" outlineLevel="1">
      <c r="A216" s="190" t="s">
        <v>245</v>
      </c>
      <c r="B216" s="199">
        <v>0.0</v>
      </c>
      <c r="C216" s="199">
        <v>0.0</v>
      </c>
      <c r="D216" s="199">
        <v>0.0</v>
      </c>
      <c r="E216" s="199">
        <v>0.0</v>
      </c>
      <c r="F216" s="199">
        <v>0.0</v>
      </c>
      <c r="G216" s="199">
        <v>0.0</v>
      </c>
      <c r="H216" s="199">
        <v>0.0</v>
      </c>
      <c r="I216" s="199">
        <v>0.0</v>
      </c>
      <c r="J216" s="199">
        <v>0.0</v>
      </c>
      <c r="K216" s="199">
        <v>0.0</v>
      </c>
      <c r="L216" s="199">
        <v>0.0</v>
      </c>
      <c r="M216" s="199">
        <v>0.0</v>
      </c>
      <c r="N216" s="199">
        <v>0.0</v>
      </c>
      <c r="O216" s="199">
        <v>0.0</v>
      </c>
      <c r="P216" s="199">
        <v>0.0</v>
      </c>
      <c r="Q216" s="199">
        <v>0.0</v>
      </c>
      <c r="R216" s="199">
        <v>0.0</v>
      </c>
      <c r="S216" s="199">
        <v>0.0</v>
      </c>
      <c r="T216" s="199">
        <v>0.0</v>
      </c>
      <c r="U216" s="199">
        <v>0.0</v>
      </c>
      <c r="V216" s="199">
        <v>0.0</v>
      </c>
      <c r="W216" s="199">
        <v>0.0</v>
      </c>
      <c r="X216" s="199">
        <v>0.0</v>
      </c>
      <c r="Y216" s="199">
        <v>0.0</v>
      </c>
      <c r="Z216" s="199">
        <v>0.0</v>
      </c>
      <c r="AA216" s="199">
        <v>0.0</v>
      </c>
      <c r="AB216" s="199">
        <v>0.0</v>
      </c>
      <c r="AC216" s="199">
        <v>0.0</v>
      </c>
      <c r="AD216" s="199">
        <v>0.0</v>
      </c>
      <c r="AE216" s="199">
        <v>0.0</v>
      </c>
      <c r="AF216" s="199">
        <v>0.0</v>
      </c>
      <c r="AG216" s="95">
        <f t="shared" si="80"/>
        <v>0</v>
      </c>
    </row>
    <row r="217" outlineLevel="1">
      <c r="A217" s="190" t="s">
        <v>246</v>
      </c>
      <c r="B217" s="199">
        <v>26969.6</v>
      </c>
      <c r="C217" s="199">
        <v>21314.85</v>
      </c>
      <c r="D217" s="199">
        <v>24124.33</v>
      </c>
      <c r="E217" s="199">
        <v>24826.56</v>
      </c>
      <c r="F217" s="199">
        <v>23744.68</v>
      </c>
      <c r="G217" s="199">
        <v>20427.66</v>
      </c>
      <c r="H217" s="199">
        <v>18204.56</v>
      </c>
      <c r="I217" s="200">
        <v>17547.63</v>
      </c>
      <c r="J217" s="199">
        <v>20351.79</v>
      </c>
      <c r="K217" s="199">
        <v>17302.49</v>
      </c>
      <c r="L217" s="199">
        <v>13369.88</v>
      </c>
      <c r="M217" s="199">
        <v>9738.6</v>
      </c>
      <c r="N217" s="199">
        <v>9250.42</v>
      </c>
      <c r="O217" s="199">
        <v>9638.56</v>
      </c>
      <c r="P217" s="199">
        <v>10738.56</v>
      </c>
      <c r="Q217" s="199">
        <v>12746.34</v>
      </c>
      <c r="R217" s="199">
        <v>8434.58</v>
      </c>
      <c r="S217" s="199">
        <v>7026.37</v>
      </c>
      <c r="T217" s="199">
        <v>7153.62</v>
      </c>
      <c r="U217" s="199">
        <v>5500.31</v>
      </c>
      <c r="V217" s="199">
        <v>9902.22</v>
      </c>
      <c r="W217" s="199">
        <v>20371.22</v>
      </c>
      <c r="X217" s="199">
        <v>12566.32</v>
      </c>
      <c r="Y217" s="199">
        <v>16060.47</v>
      </c>
      <c r="Z217" s="199">
        <v>9918.73</v>
      </c>
      <c r="AA217" s="199">
        <v>8693.82</v>
      </c>
      <c r="AB217" s="199">
        <v>8529.03</v>
      </c>
      <c r="AC217" s="199">
        <v>12057.81</v>
      </c>
      <c r="AD217" s="199">
        <v>7404.48</v>
      </c>
      <c r="AE217" s="199">
        <v>12212.41</v>
      </c>
      <c r="AF217" s="199">
        <v>10618.75</v>
      </c>
      <c r="AG217" s="95">
        <f t="shared" si="80"/>
        <v>436746.65</v>
      </c>
    </row>
    <row r="218" outlineLevel="1">
      <c r="A218" s="190" t="s">
        <v>247</v>
      </c>
      <c r="B218" s="199">
        <v>0.0</v>
      </c>
      <c r="C218" s="199">
        <v>0.0</v>
      </c>
      <c r="D218" s="199">
        <v>0.0</v>
      </c>
      <c r="E218" s="199">
        <v>0.0</v>
      </c>
      <c r="F218" s="199">
        <v>0.0</v>
      </c>
      <c r="G218" s="199">
        <v>0.0</v>
      </c>
      <c r="H218" s="199">
        <v>0.0</v>
      </c>
      <c r="I218" s="199">
        <v>0.0</v>
      </c>
      <c r="J218" s="199">
        <v>0.0</v>
      </c>
      <c r="K218" s="199">
        <v>0.0</v>
      </c>
      <c r="L218" s="199">
        <v>0.0</v>
      </c>
      <c r="M218" s="199">
        <v>0.0</v>
      </c>
      <c r="N218" s="199">
        <v>0.0</v>
      </c>
      <c r="O218" s="199">
        <v>0.0</v>
      </c>
      <c r="P218" s="199">
        <v>0.0</v>
      </c>
      <c r="Q218" s="199">
        <v>0.0</v>
      </c>
      <c r="R218" s="199">
        <v>0.0</v>
      </c>
      <c r="S218" s="199">
        <v>0.0</v>
      </c>
      <c r="T218" s="199">
        <v>0.0</v>
      </c>
      <c r="U218" s="199">
        <v>0.0</v>
      </c>
      <c r="V218" s="199">
        <v>0.0</v>
      </c>
      <c r="W218" s="199">
        <v>0.0</v>
      </c>
      <c r="X218" s="199">
        <v>0.0</v>
      </c>
      <c r="Y218" s="199">
        <v>0.0</v>
      </c>
      <c r="Z218" s="199">
        <v>0.0</v>
      </c>
      <c r="AA218" s="199">
        <v>0.0</v>
      </c>
      <c r="AB218" s="199">
        <v>0.0</v>
      </c>
      <c r="AC218" s="199">
        <v>0.0</v>
      </c>
      <c r="AD218" s="199">
        <v>0.0</v>
      </c>
      <c r="AE218" s="199">
        <v>0.0</v>
      </c>
      <c r="AF218" s="199">
        <v>0.0</v>
      </c>
      <c r="AG218" s="95">
        <f t="shared" si="80"/>
        <v>0</v>
      </c>
    </row>
    <row r="219" outlineLevel="1">
      <c r="A219" s="190" t="s">
        <v>248</v>
      </c>
      <c r="B219" s="199">
        <v>127243.53</v>
      </c>
      <c r="C219" s="199">
        <v>14289.86</v>
      </c>
      <c r="D219" s="199">
        <v>9187.32</v>
      </c>
      <c r="E219" s="199">
        <v>7272.86</v>
      </c>
      <c r="F219" s="199">
        <v>4857.27</v>
      </c>
      <c r="G219" s="199">
        <v>2499.35</v>
      </c>
      <c r="H219" s="199">
        <v>5757.44</v>
      </c>
      <c r="I219" s="199">
        <v>8058.51</v>
      </c>
      <c r="J219" s="199">
        <v>4333.23</v>
      </c>
      <c r="K219" s="199">
        <v>5556.52</v>
      </c>
      <c r="L219" s="199">
        <v>7261.92</v>
      </c>
      <c r="M219" s="199">
        <v>3092.57</v>
      </c>
      <c r="N219" s="199">
        <v>3308.28</v>
      </c>
      <c r="O219" s="199">
        <v>2391.4</v>
      </c>
      <c r="P219" s="199">
        <v>1834.61</v>
      </c>
      <c r="Q219" s="199">
        <v>1766.96</v>
      </c>
      <c r="R219" s="199">
        <v>2123.91</v>
      </c>
      <c r="S219" s="199">
        <v>1497.48</v>
      </c>
      <c r="T219" s="199">
        <v>1839.48</v>
      </c>
      <c r="U219" s="199">
        <v>3017.38</v>
      </c>
      <c r="V219" s="199">
        <v>924.8</v>
      </c>
      <c r="W219" s="199">
        <v>1802.8</v>
      </c>
      <c r="X219" s="199">
        <v>2747.86</v>
      </c>
      <c r="Y219" s="199">
        <v>1529.53</v>
      </c>
      <c r="Z219" s="199">
        <v>2448.27</v>
      </c>
      <c r="AA219" s="199">
        <v>1246.13</v>
      </c>
      <c r="AB219" s="199">
        <v>608.2</v>
      </c>
      <c r="AC219" s="199">
        <v>907.47</v>
      </c>
      <c r="AD219" s="199">
        <v>1550.5</v>
      </c>
      <c r="AE219" s="199">
        <v>619.69</v>
      </c>
      <c r="AF219" s="199">
        <v>309.23</v>
      </c>
      <c r="AG219" s="95">
        <f t="shared" si="80"/>
        <v>231884.36</v>
      </c>
    </row>
    <row r="220" outlineLevel="1">
      <c r="A220" s="190" t="s">
        <v>249</v>
      </c>
      <c r="B220" s="199">
        <v>404218.91</v>
      </c>
      <c r="C220" s="199">
        <v>51795.56</v>
      </c>
      <c r="D220" s="199">
        <v>40164.17</v>
      </c>
      <c r="E220" s="199">
        <v>29614.97</v>
      </c>
      <c r="F220" s="199">
        <v>17224.79</v>
      </c>
      <c r="G220" s="199">
        <v>15401.79</v>
      </c>
      <c r="H220" s="199">
        <v>15969.04</v>
      </c>
      <c r="I220" s="199">
        <v>15655.57</v>
      </c>
      <c r="J220" s="199">
        <v>24144.33</v>
      </c>
      <c r="K220" s="199">
        <v>21112.09</v>
      </c>
      <c r="L220" s="199">
        <v>16780.87</v>
      </c>
      <c r="M220" s="199">
        <v>11687.54</v>
      </c>
      <c r="N220" s="199">
        <v>6621.66</v>
      </c>
      <c r="O220" s="199">
        <v>11061.57</v>
      </c>
      <c r="P220" s="199">
        <v>4467.8</v>
      </c>
      <c r="Q220" s="199">
        <v>8363.71</v>
      </c>
      <c r="R220" s="199">
        <v>6630.91</v>
      </c>
      <c r="S220" s="199">
        <v>4949.62</v>
      </c>
      <c r="T220" s="199">
        <v>4787.85</v>
      </c>
      <c r="U220" s="199">
        <v>5955.9</v>
      </c>
      <c r="V220" s="199">
        <v>5320.82</v>
      </c>
      <c r="W220" s="199">
        <v>6886.95</v>
      </c>
      <c r="X220" s="199">
        <v>5878.06</v>
      </c>
      <c r="Y220" s="199">
        <v>8221.91</v>
      </c>
      <c r="Z220" s="199">
        <v>6827.3</v>
      </c>
      <c r="AA220" s="199">
        <v>3813.15</v>
      </c>
      <c r="AB220" s="199">
        <v>4202.56</v>
      </c>
      <c r="AC220" s="199">
        <v>3558.88</v>
      </c>
      <c r="AD220" s="199">
        <v>2291.3</v>
      </c>
      <c r="AE220" s="199">
        <v>2705.77</v>
      </c>
      <c r="AF220" s="199">
        <v>2274.45</v>
      </c>
      <c r="AG220" s="95">
        <f t="shared" si="80"/>
        <v>768589.8</v>
      </c>
    </row>
    <row r="221">
      <c r="A221" s="190" t="s">
        <v>214</v>
      </c>
      <c r="B221" s="191"/>
      <c r="C221" s="191"/>
      <c r="D221" s="192"/>
      <c r="E221" s="192"/>
      <c r="F221" s="192"/>
      <c r="G221" s="192"/>
      <c r="H221" s="192"/>
      <c r="I221" s="192"/>
      <c r="J221" s="192"/>
      <c r="K221" s="191"/>
      <c r="L221" s="191"/>
      <c r="M221" s="191"/>
      <c r="N221" s="191"/>
      <c r="O221" s="191"/>
      <c r="P221" s="191"/>
      <c r="Q221" s="191"/>
      <c r="R221" s="191"/>
      <c r="S221" s="191"/>
      <c r="T221" s="191"/>
      <c r="U221" s="191"/>
      <c r="V221" s="191"/>
      <c r="W221" s="191"/>
      <c r="X221" s="191"/>
      <c r="Y221" s="191"/>
      <c r="Z221" s="191"/>
      <c r="AA221" s="191"/>
      <c r="AB221" s="191"/>
      <c r="AC221" s="191"/>
      <c r="AD221" s="191"/>
      <c r="AE221" s="191"/>
      <c r="AF221" s="191"/>
      <c r="AG221" s="198"/>
    </row>
    <row r="222" outlineLevel="1">
      <c r="A222" s="190" t="s">
        <v>250</v>
      </c>
      <c r="B222" s="201">
        <v>0.0</v>
      </c>
      <c r="C222" s="201">
        <v>169.0</v>
      </c>
      <c r="D222" s="201">
        <v>0.0</v>
      </c>
      <c r="E222" s="201">
        <v>0.0</v>
      </c>
      <c r="F222" s="201">
        <v>0.0</v>
      </c>
      <c r="G222" s="201">
        <v>183.41</v>
      </c>
      <c r="H222" s="201">
        <v>0.0</v>
      </c>
      <c r="I222" s="199">
        <v>143.65</v>
      </c>
      <c r="J222" s="199">
        <v>0.0</v>
      </c>
      <c r="K222" s="199">
        <v>0.0</v>
      </c>
      <c r="L222" s="199">
        <v>0.0</v>
      </c>
      <c r="M222" s="199">
        <v>0.0</v>
      </c>
      <c r="N222" s="202">
        <v>0.0</v>
      </c>
      <c r="O222" s="199">
        <v>0.0</v>
      </c>
      <c r="P222" s="199">
        <v>0.0</v>
      </c>
      <c r="Q222" s="199">
        <v>0.0</v>
      </c>
      <c r="R222" s="199">
        <v>0.0</v>
      </c>
      <c r="S222" s="199">
        <v>0.0</v>
      </c>
      <c r="T222" s="199">
        <v>0.0</v>
      </c>
      <c r="U222" s="199">
        <v>0.0</v>
      </c>
      <c r="V222" s="199">
        <v>0.0</v>
      </c>
      <c r="W222" s="199">
        <v>0.0</v>
      </c>
      <c r="X222" s="199">
        <v>0.0</v>
      </c>
      <c r="Y222" s="199">
        <v>0.0</v>
      </c>
      <c r="Z222" s="199">
        <v>0.0</v>
      </c>
      <c r="AA222" s="199">
        <v>0.0</v>
      </c>
      <c r="AB222" s="199">
        <v>0.0</v>
      </c>
      <c r="AC222" s="199">
        <v>0.0</v>
      </c>
      <c r="AD222" s="199">
        <v>0.0</v>
      </c>
      <c r="AE222" s="199">
        <v>0.0</v>
      </c>
      <c r="AF222" s="199">
        <v>0.0</v>
      </c>
      <c r="AG222" s="95">
        <f t="shared" ref="AG222:AG229" si="81">SUM(B222:AF222)</f>
        <v>496.06</v>
      </c>
    </row>
    <row r="223" outlineLevel="1">
      <c r="A223" s="190" t="s">
        <v>251</v>
      </c>
      <c r="B223" s="201">
        <v>0.0</v>
      </c>
      <c r="C223" s="201">
        <v>0.0</v>
      </c>
      <c r="D223" s="201">
        <v>0.0</v>
      </c>
      <c r="E223" s="201">
        <v>0.0</v>
      </c>
      <c r="F223" s="201">
        <v>0.0</v>
      </c>
      <c r="G223" s="201">
        <v>0.0</v>
      </c>
      <c r="H223" s="201">
        <v>0.0</v>
      </c>
      <c r="I223" s="199">
        <v>0.0</v>
      </c>
      <c r="J223" s="199">
        <v>0.0</v>
      </c>
      <c r="K223" s="199">
        <v>0.0</v>
      </c>
      <c r="L223" s="199">
        <v>0.0</v>
      </c>
      <c r="M223" s="199">
        <v>0.0</v>
      </c>
      <c r="N223" s="199">
        <v>0.0</v>
      </c>
      <c r="O223" s="199">
        <v>0.0</v>
      </c>
      <c r="P223" s="199">
        <v>0.0</v>
      </c>
      <c r="Q223" s="199">
        <v>0.0</v>
      </c>
      <c r="R223" s="199">
        <v>0.0</v>
      </c>
      <c r="S223" s="199">
        <v>0.0</v>
      </c>
      <c r="T223" s="199">
        <v>0.0</v>
      </c>
      <c r="U223" s="199">
        <v>0.0</v>
      </c>
      <c r="V223" s="199">
        <v>0.0</v>
      </c>
      <c r="W223" s="199">
        <v>0.0</v>
      </c>
      <c r="X223" s="199">
        <v>0.0</v>
      </c>
      <c r="Y223" s="199">
        <v>0.0</v>
      </c>
      <c r="Z223" s="199">
        <v>0.0</v>
      </c>
      <c r="AA223" s="199">
        <v>0.0</v>
      </c>
      <c r="AB223" s="199">
        <v>0.0</v>
      </c>
      <c r="AC223" s="199">
        <v>0.0</v>
      </c>
      <c r="AD223" s="199">
        <v>0.0</v>
      </c>
      <c r="AE223" s="199">
        <v>0.0</v>
      </c>
      <c r="AF223" s="199">
        <v>0.0</v>
      </c>
      <c r="AG223" s="95">
        <f t="shared" si="81"/>
        <v>0</v>
      </c>
    </row>
    <row r="224" outlineLevel="1">
      <c r="A224" s="190" t="s">
        <v>252</v>
      </c>
      <c r="B224" s="201">
        <v>209.0</v>
      </c>
      <c r="C224" s="201">
        <v>0.0</v>
      </c>
      <c r="D224" s="201">
        <v>0.0</v>
      </c>
      <c r="E224" s="201">
        <v>0.0</v>
      </c>
      <c r="F224" s="201">
        <v>0.0</v>
      </c>
      <c r="G224" s="201">
        <v>0.0</v>
      </c>
      <c r="H224" s="201">
        <v>0.0</v>
      </c>
      <c r="I224" s="199">
        <v>0.0</v>
      </c>
      <c r="J224" s="199">
        <v>0.0</v>
      </c>
      <c r="K224" s="199">
        <v>0.0</v>
      </c>
      <c r="L224" s="199">
        <v>0.0</v>
      </c>
      <c r="M224" s="199">
        <v>0.0</v>
      </c>
      <c r="N224" s="199">
        <v>0.0</v>
      </c>
      <c r="O224" s="199">
        <v>0.0</v>
      </c>
      <c r="P224" s="199">
        <v>0.0</v>
      </c>
      <c r="Q224" s="199">
        <v>0.0</v>
      </c>
      <c r="R224" s="199">
        <v>0.0</v>
      </c>
      <c r="S224" s="202">
        <v>279.0</v>
      </c>
      <c r="T224" s="199">
        <v>0.0</v>
      </c>
      <c r="U224" s="199">
        <v>0.0</v>
      </c>
      <c r="V224" s="199">
        <v>0.0</v>
      </c>
      <c r="W224" s="199">
        <v>0.0</v>
      </c>
      <c r="X224" s="199">
        <v>0.0</v>
      </c>
      <c r="Y224" s="199">
        <v>0.0</v>
      </c>
      <c r="Z224" s="199">
        <v>0.0</v>
      </c>
      <c r="AA224" s="199">
        <v>0.0</v>
      </c>
      <c r="AB224" s="199">
        <v>0.0</v>
      </c>
      <c r="AC224" s="199">
        <v>319.78</v>
      </c>
      <c r="AD224" s="199">
        <v>0.0</v>
      </c>
      <c r="AE224" s="199">
        <v>316.94</v>
      </c>
      <c r="AF224" s="199">
        <v>0.0</v>
      </c>
      <c r="AG224" s="95">
        <f t="shared" si="81"/>
        <v>1124.72</v>
      </c>
    </row>
    <row r="225" outlineLevel="1">
      <c r="A225" s="190" t="s">
        <v>253</v>
      </c>
      <c r="B225" s="201">
        <v>0.0</v>
      </c>
      <c r="C225" s="201">
        <v>0.0</v>
      </c>
      <c r="D225" s="201">
        <v>0.0</v>
      </c>
      <c r="E225" s="201">
        <v>0.0</v>
      </c>
      <c r="F225" s="201">
        <v>0.0</v>
      </c>
      <c r="G225" s="201">
        <v>0.0</v>
      </c>
      <c r="H225" s="201">
        <v>0.0</v>
      </c>
      <c r="I225" s="199">
        <v>0.0</v>
      </c>
      <c r="J225" s="199">
        <v>0.0</v>
      </c>
      <c r="K225" s="199">
        <v>0.0</v>
      </c>
      <c r="L225" s="199">
        <v>0.0</v>
      </c>
      <c r="M225" s="199">
        <v>0.0</v>
      </c>
      <c r="N225" s="199">
        <v>0.0</v>
      </c>
      <c r="O225" s="199">
        <v>0.0</v>
      </c>
      <c r="P225" s="199">
        <v>0.0</v>
      </c>
      <c r="Q225" s="199">
        <v>0.0</v>
      </c>
      <c r="R225" s="199">
        <v>0.0</v>
      </c>
      <c r="S225" s="199">
        <v>0.0</v>
      </c>
      <c r="T225" s="199">
        <v>0.0</v>
      </c>
      <c r="U225" s="199">
        <v>0.0</v>
      </c>
      <c r="V225" s="199">
        <v>0.0</v>
      </c>
      <c r="W225" s="199">
        <v>0.0</v>
      </c>
      <c r="X225" s="199">
        <v>0.0</v>
      </c>
      <c r="Y225" s="199">
        <v>0.0</v>
      </c>
      <c r="Z225" s="199">
        <v>0.0</v>
      </c>
      <c r="AA225" s="199">
        <v>0.0</v>
      </c>
      <c r="AB225" s="199">
        <v>0.0</v>
      </c>
      <c r="AC225" s="199">
        <v>0.0</v>
      </c>
      <c r="AD225" s="199">
        <v>0.0</v>
      </c>
      <c r="AE225" s="199">
        <v>0.0</v>
      </c>
      <c r="AF225" s="199">
        <v>0.0</v>
      </c>
      <c r="AG225" s="95">
        <f t="shared" si="81"/>
        <v>0</v>
      </c>
    </row>
    <row r="226" outlineLevel="1">
      <c r="A226" s="190" t="s">
        <v>254</v>
      </c>
      <c r="B226" s="200">
        <v>0.0</v>
      </c>
      <c r="C226" s="200">
        <v>0.0</v>
      </c>
      <c r="D226" s="200">
        <v>0.0</v>
      </c>
      <c r="E226" s="200">
        <v>0.0</v>
      </c>
      <c r="F226" s="200">
        <v>0.0</v>
      </c>
      <c r="G226" s="200">
        <v>0.0</v>
      </c>
      <c r="H226" s="200">
        <v>0.0</v>
      </c>
      <c r="I226" s="200">
        <v>0.0</v>
      </c>
      <c r="J226" s="200">
        <v>0.0</v>
      </c>
      <c r="K226" s="200">
        <v>0.0</v>
      </c>
      <c r="L226" s="200">
        <v>0.0</v>
      </c>
      <c r="M226" s="200">
        <v>0.0</v>
      </c>
      <c r="N226" s="200">
        <v>0.0</v>
      </c>
      <c r="O226" s="200">
        <v>0.0</v>
      </c>
      <c r="P226" s="200">
        <v>0.0</v>
      </c>
      <c r="Q226" s="200">
        <v>0.0</v>
      </c>
      <c r="R226" s="200">
        <v>0.0</v>
      </c>
      <c r="S226" s="200">
        <v>0.0</v>
      </c>
      <c r="T226" s="200">
        <v>0.0</v>
      </c>
      <c r="U226" s="200">
        <v>0.0</v>
      </c>
      <c r="V226" s="200">
        <v>0.0</v>
      </c>
      <c r="W226" s="200">
        <v>0.0</v>
      </c>
      <c r="X226" s="200">
        <v>0.0</v>
      </c>
      <c r="Y226" s="200">
        <v>0.0</v>
      </c>
      <c r="Z226" s="200">
        <v>0.0</v>
      </c>
      <c r="AA226" s="200">
        <v>0.0</v>
      </c>
      <c r="AB226" s="200">
        <v>0.0</v>
      </c>
      <c r="AC226" s="200">
        <v>0.0</v>
      </c>
      <c r="AD226" s="200">
        <v>0.0</v>
      </c>
      <c r="AE226" s="200">
        <v>0.0</v>
      </c>
      <c r="AF226" s="200">
        <v>0.0</v>
      </c>
      <c r="AG226" s="95">
        <f t="shared" si="81"/>
        <v>0</v>
      </c>
    </row>
    <row r="227" outlineLevel="1">
      <c r="A227" s="190" t="s">
        <v>255</v>
      </c>
      <c r="B227" s="200">
        <v>0.0</v>
      </c>
      <c r="C227" s="200">
        <v>0.0</v>
      </c>
      <c r="D227" s="200">
        <v>0.0</v>
      </c>
      <c r="E227" s="200">
        <v>0.0</v>
      </c>
      <c r="F227" s="200">
        <v>0.0</v>
      </c>
      <c r="G227" s="200">
        <v>0.0</v>
      </c>
      <c r="H227" s="200">
        <v>0.0</v>
      </c>
      <c r="I227" s="200">
        <v>0.0</v>
      </c>
      <c r="J227" s="200">
        <v>0.0</v>
      </c>
      <c r="K227" s="200">
        <v>0.0</v>
      </c>
      <c r="L227" s="200">
        <v>0.0</v>
      </c>
      <c r="M227" s="200">
        <v>0.0</v>
      </c>
      <c r="N227" s="200">
        <v>0.0</v>
      </c>
      <c r="O227" s="200">
        <v>0.0</v>
      </c>
      <c r="P227" s="200">
        <v>0.0</v>
      </c>
      <c r="Q227" s="200">
        <v>0.0</v>
      </c>
      <c r="R227" s="200">
        <v>0.0</v>
      </c>
      <c r="S227" s="200">
        <v>0.0</v>
      </c>
      <c r="T227" s="200">
        <v>0.0</v>
      </c>
      <c r="U227" s="200">
        <v>0.0</v>
      </c>
      <c r="V227" s="200">
        <v>0.0</v>
      </c>
      <c r="W227" s="200">
        <v>0.0</v>
      </c>
      <c r="X227" s="200">
        <v>0.0</v>
      </c>
      <c r="Y227" s="200">
        <v>0.0</v>
      </c>
      <c r="Z227" s="200">
        <v>0.0</v>
      </c>
      <c r="AA227" s="200">
        <v>0.0</v>
      </c>
      <c r="AB227" s="200">
        <v>0.0</v>
      </c>
      <c r="AC227" s="200">
        <v>0.0</v>
      </c>
      <c r="AD227" s="200">
        <v>0.0</v>
      </c>
      <c r="AE227" s="200">
        <v>0.0</v>
      </c>
      <c r="AF227" s="200">
        <v>0.0</v>
      </c>
      <c r="AG227" s="95">
        <f t="shared" si="81"/>
        <v>0</v>
      </c>
    </row>
    <row r="228">
      <c r="A228" s="193" t="s">
        <v>221</v>
      </c>
      <c r="B228" s="203">
        <f t="shared" ref="B228:AF228" si="82">B215+B222+B216+B223</f>
        <v>7103.73</v>
      </c>
      <c r="C228" s="203">
        <f t="shared" si="82"/>
        <v>6513.42</v>
      </c>
      <c r="D228" s="203">
        <f t="shared" si="82"/>
        <v>7100.82</v>
      </c>
      <c r="E228" s="203">
        <f t="shared" si="82"/>
        <v>6593.59</v>
      </c>
      <c r="F228" s="203">
        <f t="shared" si="82"/>
        <v>4857.74</v>
      </c>
      <c r="G228" s="203">
        <f t="shared" si="82"/>
        <v>4960.84</v>
      </c>
      <c r="H228" s="203">
        <f t="shared" si="82"/>
        <v>4795.78</v>
      </c>
      <c r="I228" s="203">
        <f t="shared" si="82"/>
        <v>4080.45</v>
      </c>
      <c r="J228" s="203">
        <f t="shared" si="82"/>
        <v>5431.83</v>
      </c>
      <c r="K228" s="203">
        <f t="shared" si="82"/>
        <v>4126.64</v>
      </c>
      <c r="L228" s="203">
        <f t="shared" si="82"/>
        <v>4588.08</v>
      </c>
      <c r="M228" s="203">
        <f t="shared" si="82"/>
        <v>3876.28</v>
      </c>
      <c r="N228" s="203">
        <f t="shared" si="82"/>
        <v>1263.75</v>
      </c>
      <c r="O228" s="203">
        <f t="shared" si="82"/>
        <v>2779.14</v>
      </c>
      <c r="P228" s="203">
        <f t="shared" si="82"/>
        <v>1743.41</v>
      </c>
      <c r="Q228" s="203">
        <f t="shared" si="82"/>
        <v>2171.36</v>
      </c>
      <c r="R228" s="203">
        <f t="shared" si="82"/>
        <v>2683.45</v>
      </c>
      <c r="S228" s="203">
        <f t="shared" si="82"/>
        <v>3346.58</v>
      </c>
      <c r="T228" s="203">
        <f t="shared" si="82"/>
        <v>1522.73</v>
      </c>
      <c r="U228" s="203">
        <f t="shared" si="82"/>
        <v>1737.48</v>
      </c>
      <c r="V228" s="203">
        <f t="shared" si="82"/>
        <v>1507.95</v>
      </c>
      <c r="W228" s="203">
        <f t="shared" si="82"/>
        <v>2239.81</v>
      </c>
      <c r="X228" s="203">
        <f t="shared" si="82"/>
        <v>3252.66</v>
      </c>
      <c r="Y228" s="203">
        <f t="shared" si="82"/>
        <v>3993.41</v>
      </c>
      <c r="Z228" s="203">
        <f t="shared" si="82"/>
        <v>2760.38</v>
      </c>
      <c r="AA228" s="203">
        <f t="shared" si="82"/>
        <v>2034.67</v>
      </c>
      <c r="AB228" s="203">
        <f t="shared" si="82"/>
        <v>1732.76</v>
      </c>
      <c r="AC228" s="203">
        <f t="shared" si="82"/>
        <v>1989.16</v>
      </c>
      <c r="AD228" s="203">
        <f t="shared" si="82"/>
        <v>2220.7</v>
      </c>
      <c r="AE228" s="203">
        <f t="shared" si="82"/>
        <v>1426.16</v>
      </c>
      <c r="AF228" s="203">
        <f t="shared" si="82"/>
        <v>1512.65</v>
      </c>
      <c r="AG228" s="95">
        <f t="shared" si="81"/>
        <v>105947.41</v>
      </c>
    </row>
    <row r="229">
      <c r="A229" s="193" t="s">
        <v>222</v>
      </c>
      <c r="B229" s="203">
        <f t="shared" ref="B229:AF229" si="83">B217+B224+B218+B225</f>
        <v>27178.6</v>
      </c>
      <c r="C229" s="203">
        <f t="shared" si="83"/>
        <v>21314.85</v>
      </c>
      <c r="D229" s="203">
        <f t="shared" si="83"/>
        <v>24124.33</v>
      </c>
      <c r="E229" s="203">
        <f t="shared" si="83"/>
        <v>24826.56</v>
      </c>
      <c r="F229" s="203">
        <f t="shared" si="83"/>
        <v>23744.68</v>
      </c>
      <c r="G229" s="203">
        <f t="shared" si="83"/>
        <v>20427.66</v>
      </c>
      <c r="H229" s="203">
        <f t="shared" si="83"/>
        <v>18204.56</v>
      </c>
      <c r="I229" s="203">
        <f t="shared" si="83"/>
        <v>17547.63</v>
      </c>
      <c r="J229" s="203">
        <f t="shared" si="83"/>
        <v>20351.79</v>
      </c>
      <c r="K229" s="203">
        <f t="shared" si="83"/>
        <v>17302.49</v>
      </c>
      <c r="L229" s="203">
        <f t="shared" si="83"/>
        <v>13369.88</v>
      </c>
      <c r="M229" s="203">
        <f t="shared" si="83"/>
        <v>9738.6</v>
      </c>
      <c r="N229" s="203">
        <f t="shared" si="83"/>
        <v>9250.42</v>
      </c>
      <c r="O229" s="203">
        <f t="shared" si="83"/>
        <v>9638.56</v>
      </c>
      <c r="P229" s="203">
        <f t="shared" si="83"/>
        <v>10738.56</v>
      </c>
      <c r="Q229" s="203">
        <f t="shared" si="83"/>
        <v>12746.34</v>
      </c>
      <c r="R229" s="203">
        <f t="shared" si="83"/>
        <v>8434.58</v>
      </c>
      <c r="S229" s="203">
        <f t="shared" si="83"/>
        <v>7305.37</v>
      </c>
      <c r="T229" s="203">
        <f t="shared" si="83"/>
        <v>7153.62</v>
      </c>
      <c r="U229" s="203">
        <f t="shared" si="83"/>
        <v>5500.31</v>
      </c>
      <c r="V229" s="203">
        <f t="shared" si="83"/>
        <v>9902.22</v>
      </c>
      <c r="W229" s="203">
        <f t="shared" si="83"/>
        <v>20371.22</v>
      </c>
      <c r="X229" s="203">
        <f t="shared" si="83"/>
        <v>12566.32</v>
      </c>
      <c r="Y229" s="203">
        <f t="shared" si="83"/>
        <v>16060.47</v>
      </c>
      <c r="Z229" s="203">
        <f t="shared" si="83"/>
        <v>9918.73</v>
      </c>
      <c r="AA229" s="203">
        <f t="shared" si="83"/>
        <v>8693.82</v>
      </c>
      <c r="AB229" s="203">
        <f t="shared" si="83"/>
        <v>8529.03</v>
      </c>
      <c r="AC229" s="203">
        <f t="shared" si="83"/>
        <v>12377.59</v>
      </c>
      <c r="AD229" s="203">
        <f t="shared" si="83"/>
        <v>7404.48</v>
      </c>
      <c r="AE229" s="203">
        <f t="shared" si="83"/>
        <v>12529.35</v>
      </c>
      <c r="AF229" s="203">
        <f t="shared" si="83"/>
        <v>10618.75</v>
      </c>
      <c r="AG229" s="95">
        <f t="shared" si="81"/>
        <v>437871.37</v>
      </c>
    </row>
    <row r="230" ht="16.5" customHeight="1">
      <c r="A230" s="100"/>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198"/>
    </row>
    <row r="231">
      <c r="A231" s="190" t="s">
        <v>223</v>
      </c>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c r="AB231" s="191"/>
      <c r="AC231" s="191"/>
      <c r="AD231" s="191"/>
      <c r="AE231" s="191"/>
      <c r="AF231" s="191"/>
      <c r="AG231" s="198"/>
    </row>
    <row r="232" outlineLevel="1">
      <c r="A232" s="190" t="s">
        <v>224</v>
      </c>
      <c r="B232" s="205">
        <v>865.97</v>
      </c>
      <c r="C232" s="201">
        <v>452.97</v>
      </c>
      <c r="D232" s="205">
        <v>562.26</v>
      </c>
      <c r="E232" s="205">
        <v>419.79</v>
      </c>
      <c r="F232" s="205">
        <v>437.87</v>
      </c>
      <c r="G232" s="205">
        <v>511.51</v>
      </c>
      <c r="H232" s="205">
        <v>416.87</v>
      </c>
      <c r="I232" s="201">
        <v>463.68</v>
      </c>
      <c r="J232" s="205">
        <v>393.89</v>
      </c>
      <c r="K232" s="205">
        <v>401.83</v>
      </c>
      <c r="L232" s="205">
        <v>461.22</v>
      </c>
      <c r="M232" s="205">
        <v>421.24</v>
      </c>
      <c r="N232" s="205">
        <v>372.89</v>
      </c>
      <c r="O232" s="205">
        <v>335.99</v>
      </c>
      <c r="P232" s="205">
        <v>268.85</v>
      </c>
      <c r="Q232" s="205">
        <v>415.93</v>
      </c>
      <c r="R232" s="205">
        <v>461.86</v>
      </c>
      <c r="S232" s="205">
        <v>443.86</v>
      </c>
      <c r="T232" s="205">
        <v>182.12</v>
      </c>
      <c r="U232" s="205">
        <v>154.64</v>
      </c>
      <c r="V232" s="205">
        <v>320.83</v>
      </c>
      <c r="W232" s="205">
        <v>1206.76</v>
      </c>
      <c r="X232" s="205">
        <v>636.27</v>
      </c>
      <c r="Y232" s="205">
        <v>608.52</v>
      </c>
      <c r="Z232" s="205">
        <v>530.31</v>
      </c>
      <c r="AA232" s="205">
        <v>274.46</v>
      </c>
      <c r="AB232" s="205">
        <v>439.27</v>
      </c>
      <c r="AC232" s="205">
        <v>368.04</v>
      </c>
      <c r="AD232" s="205">
        <v>405.72</v>
      </c>
      <c r="AE232" s="205">
        <v>392.03</v>
      </c>
      <c r="AF232" s="205">
        <v>295.87</v>
      </c>
      <c r="AG232" s="95">
        <f t="shared" ref="AG232:AG242" si="84">SUM(B232:AF232)</f>
        <v>13923.32</v>
      </c>
    </row>
    <row r="233" outlineLevel="1">
      <c r="A233" s="190" t="s">
        <v>225</v>
      </c>
      <c r="B233" s="205">
        <v>561.3</v>
      </c>
      <c r="C233" s="205">
        <v>454.48</v>
      </c>
      <c r="D233" s="205">
        <v>341.99</v>
      </c>
      <c r="E233" s="205">
        <v>380.75</v>
      </c>
      <c r="F233" s="205">
        <v>308.35</v>
      </c>
      <c r="G233" s="205">
        <v>305.63</v>
      </c>
      <c r="H233" s="205">
        <v>283.66</v>
      </c>
      <c r="I233" s="205">
        <v>398.31</v>
      </c>
      <c r="J233" s="201">
        <v>347.27</v>
      </c>
      <c r="K233" s="205">
        <v>380.92</v>
      </c>
      <c r="L233" s="205">
        <v>280.67</v>
      </c>
      <c r="M233" s="205">
        <v>199.67</v>
      </c>
      <c r="N233" s="205">
        <v>80.56</v>
      </c>
      <c r="O233" s="205">
        <v>163.28</v>
      </c>
      <c r="P233" s="205">
        <v>100.81</v>
      </c>
      <c r="Q233" s="205">
        <v>214.31</v>
      </c>
      <c r="R233" s="205">
        <v>156.9</v>
      </c>
      <c r="S233" s="205">
        <v>278.37</v>
      </c>
      <c r="T233" s="205">
        <v>84.52</v>
      </c>
      <c r="U233" s="205">
        <v>165.8</v>
      </c>
      <c r="V233" s="205">
        <v>122.58</v>
      </c>
      <c r="W233" s="205">
        <v>156.69</v>
      </c>
      <c r="X233" s="205">
        <v>176.67</v>
      </c>
      <c r="Y233" s="205">
        <v>198.69</v>
      </c>
      <c r="Z233" s="205">
        <v>186.22</v>
      </c>
      <c r="AA233" s="205">
        <v>214.14</v>
      </c>
      <c r="AB233" s="205">
        <v>153.51</v>
      </c>
      <c r="AC233" s="205">
        <v>158.29</v>
      </c>
      <c r="AD233" s="205">
        <v>166.38</v>
      </c>
      <c r="AE233" s="205">
        <v>177.03</v>
      </c>
      <c r="AF233" s="205">
        <v>161.73</v>
      </c>
      <c r="AG233" s="95">
        <f t="shared" si="84"/>
        <v>7359.48</v>
      </c>
    </row>
    <row r="234" outlineLevel="1">
      <c r="A234" s="190" t="s">
        <v>256</v>
      </c>
      <c r="B234" s="205">
        <v>1308.98</v>
      </c>
      <c r="C234" s="205">
        <v>782.76</v>
      </c>
      <c r="D234" s="205">
        <v>800.84</v>
      </c>
      <c r="E234" s="205">
        <v>633.84</v>
      </c>
      <c r="F234" s="205">
        <v>605.47</v>
      </c>
      <c r="G234" s="205">
        <v>606.85</v>
      </c>
      <c r="H234" s="205">
        <v>646.41</v>
      </c>
      <c r="I234" s="205">
        <v>672.2</v>
      </c>
      <c r="J234" s="205">
        <v>688.22</v>
      </c>
      <c r="K234" s="205">
        <v>731.12</v>
      </c>
      <c r="L234" s="205">
        <v>589.82</v>
      </c>
      <c r="M234" s="205">
        <v>413.78</v>
      </c>
      <c r="N234" s="205">
        <v>82.68</v>
      </c>
      <c r="O234" s="205">
        <v>332.13</v>
      </c>
      <c r="P234" s="205">
        <v>243.24</v>
      </c>
      <c r="Q234" s="205">
        <v>402.2</v>
      </c>
      <c r="R234" s="205">
        <v>285.52</v>
      </c>
      <c r="S234" s="205">
        <v>324.64</v>
      </c>
      <c r="T234" s="205">
        <v>157.99</v>
      </c>
      <c r="U234" s="205">
        <v>126.14</v>
      </c>
      <c r="V234" s="205">
        <v>203.59</v>
      </c>
      <c r="W234" s="205">
        <v>532.37</v>
      </c>
      <c r="X234" s="205">
        <v>403.38</v>
      </c>
      <c r="Y234" s="205">
        <v>575.45</v>
      </c>
      <c r="Z234" s="205">
        <v>210.42</v>
      </c>
      <c r="AA234" s="205">
        <v>240.29</v>
      </c>
      <c r="AB234" s="205">
        <v>278.18</v>
      </c>
      <c r="AC234" s="205">
        <v>281.94</v>
      </c>
      <c r="AD234" s="205">
        <v>352.69</v>
      </c>
      <c r="AE234" s="205">
        <v>428.19</v>
      </c>
      <c r="AF234" s="205">
        <v>167.4</v>
      </c>
      <c r="AG234" s="95">
        <f t="shared" si="84"/>
        <v>14108.73</v>
      </c>
    </row>
    <row r="235" outlineLevel="1">
      <c r="A235" s="190" t="s">
        <v>257</v>
      </c>
      <c r="B235" s="199">
        <v>62.27</v>
      </c>
      <c r="C235" s="199">
        <v>30.74</v>
      </c>
      <c r="D235" s="199">
        <v>0.0</v>
      </c>
      <c r="E235" s="199">
        <v>31.18</v>
      </c>
      <c r="F235" s="199">
        <v>0.0</v>
      </c>
      <c r="G235" s="199">
        <v>31.62</v>
      </c>
      <c r="H235" s="199">
        <v>125.87</v>
      </c>
      <c r="I235" s="199">
        <v>26.5</v>
      </c>
      <c r="J235" s="199">
        <v>61.92</v>
      </c>
      <c r="K235" s="199">
        <v>31.25</v>
      </c>
      <c r="L235" s="199">
        <v>0.0</v>
      </c>
      <c r="M235" s="199">
        <v>39.0</v>
      </c>
      <c r="N235" s="199">
        <v>0.0</v>
      </c>
      <c r="O235" s="199">
        <v>135.2</v>
      </c>
      <c r="P235" s="199">
        <v>157.9</v>
      </c>
      <c r="Q235" s="199">
        <v>112.8</v>
      </c>
      <c r="R235" s="199">
        <v>83.17</v>
      </c>
      <c r="S235" s="199">
        <v>0.0</v>
      </c>
      <c r="T235" s="199">
        <v>42.13</v>
      </c>
      <c r="U235" s="205">
        <v>0.0</v>
      </c>
      <c r="V235" s="205">
        <v>82.78</v>
      </c>
      <c r="W235" s="205">
        <v>0.0</v>
      </c>
      <c r="X235" s="205">
        <v>42.52</v>
      </c>
      <c r="Y235" s="205">
        <v>0.0</v>
      </c>
      <c r="Z235" s="205">
        <v>41.34</v>
      </c>
      <c r="AA235" s="205">
        <v>0.0</v>
      </c>
      <c r="AB235" s="205">
        <v>41.73</v>
      </c>
      <c r="AC235" s="205">
        <v>124.12</v>
      </c>
      <c r="AD235" s="205">
        <v>0.0</v>
      </c>
      <c r="AE235" s="205">
        <v>41.34</v>
      </c>
      <c r="AF235" s="205">
        <v>41.44</v>
      </c>
      <c r="AG235" s="95">
        <f t="shared" si="84"/>
        <v>1386.82</v>
      </c>
    </row>
    <row r="236" outlineLevel="1">
      <c r="A236" s="190" t="s">
        <v>258</v>
      </c>
      <c r="B236" s="205">
        <v>1354.83</v>
      </c>
      <c r="C236" s="205">
        <v>881.95</v>
      </c>
      <c r="D236" s="205">
        <v>947.67</v>
      </c>
      <c r="E236" s="205">
        <v>851.12</v>
      </c>
      <c r="F236" s="205">
        <v>787.0</v>
      </c>
      <c r="G236" s="205">
        <v>739.35</v>
      </c>
      <c r="H236" s="205">
        <v>822.28</v>
      </c>
      <c r="I236" s="205">
        <v>295.19</v>
      </c>
      <c r="J236" s="205">
        <v>1120.15</v>
      </c>
      <c r="K236" s="205">
        <v>721.71</v>
      </c>
      <c r="L236" s="205">
        <v>844.24</v>
      </c>
      <c r="M236" s="205">
        <v>651.84</v>
      </c>
      <c r="N236" s="205">
        <v>823.26</v>
      </c>
      <c r="O236" s="205">
        <v>161.67</v>
      </c>
      <c r="P236" s="205">
        <v>607.55</v>
      </c>
      <c r="Q236" s="205">
        <v>538.28</v>
      </c>
      <c r="R236" s="205">
        <v>188.68</v>
      </c>
      <c r="S236" s="205">
        <v>520.71</v>
      </c>
      <c r="T236" s="205">
        <v>369.37</v>
      </c>
      <c r="U236" s="205">
        <v>406.47</v>
      </c>
      <c r="V236" s="205">
        <v>285.19</v>
      </c>
      <c r="W236" s="205">
        <v>448.05</v>
      </c>
      <c r="X236" s="205">
        <v>1041.9</v>
      </c>
      <c r="Y236" s="205">
        <v>462.82</v>
      </c>
      <c r="Z236" s="205">
        <v>607.92</v>
      </c>
      <c r="AA236" s="205">
        <v>417.44</v>
      </c>
      <c r="AB236" s="205">
        <v>729.6</v>
      </c>
      <c r="AC236" s="205">
        <v>558.77</v>
      </c>
      <c r="AD236" s="205">
        <v>376.25</v>
      </c>
      <c r="AE236" s="205">
        <v>477.13</v>
      </c>
      <c r="AF236" s="205">
        <v>636.58</v>
      </c>
      <c r="AG236" s="95">
        <f t="shared" si="84"/>
        <v>19674.97</v>
      </c>
    </row>
    <row r="237" outlineLevel="1">
      <c r="A237" s="190" t="s">
        <v>259</v>
      </c>
      <c r="B237" s="199">
        <v>485.79</v>
      </c>
      <c r="C237" s="199">
        <v>367.78</v>
      </c>
      <c r="D237" s="199">
        <v>171.16</v>
      </c>
      <c r="E237" s="199">
        <v>377.49</v>
      </c>
      <c r="F237" s="199">
        <v>251.79</v>
      </c>
      <c r="G237" s="199">
        <v>190.94</v>
      </c>
      <c r="H237" s="199">
        <v>0.0</v>
      </c>
      <c r="I237" s="199">
        <v>0.0</v>
      </c>
      <c r="J237" s="199">
        <v>179.89</v>
      </c>
      <c r="K237" s="199">
        <v>189.84</v>
      </c>
      <c r="L237" s="199">
        <v>156.88</v>
      </c>
      <c r="M237" s="199">
        <v>275.19</v>
      </c>
      <c r="N237" s="199">
        <v>0.0</v>
      </c>
      <c r="O237" s="199">
        <v>95.9</v>
      </c>
      <c r="P237" s="199">
        <v>0.0</v>
      </c>
      <c r="Q237" s="199">
        <v>383.48</v>
      </c>
      <c r="R237" s="199">
        <v>0.0</v>
      </c>
      <c r="S237" s="199">
        <v>160.38</v>
      </c>
      <c r="T237" s="199">
        <v>162.2</v>
      </c>
      <c r="U237" s="205">
        <v>94.34</v>
      </c>
      <c r="V237" s="205">
        <v>0.0</v>
      </c>
      <c r="W237" s="205">
        <v>67.51</v>
      </c>
      <c r="X237" s="205">
        <v>279.43</v>
      </c>
      <c r="Y237" s="205">
        <v>0.0</v>
      </c>
      <c r="Z237" s="205">
        <v>94.9</v>
      </c>
      <c r="AA237" s="205">
        <v>0.0</v>
      </c>
      <c r="AB237" s="205">
        <v>96.12</v>
      </c>
      <c r="AC237" s="205">
        <v>281.55</v>
      </c>
      <c r="AD237" s="205">
        <v>96.12</v>
      </c>
      <c r="AE237" s="205">
        <v>94.61</v>
      </c>
      <c r="AF237" s="205">
        <v>0.0</v>
      </c>
      <c r="AG237" s="95">
        <f t="shared" si="84"/>
        <v>4553.29</v>
      </c>
    </row>
    <row r="238" outlineLevel="1">
      <c r="A238" s="190" t="s">
        <v>260</v>
      </c>
      <c r="B238" s="205">
        <v>2213.0</v>
      </c>
      <c r="C238" s="205">
        <v>1591.61</v>
      </c>
      <c r="D238" s="205">
        <v>1327.98</v>
      </c>
      <c r="E238" s="205">
        <v>1212.33</v>
      </c>
      <c r="F238" s="205">
        <v>992.21</v>
      </c>
      <c r="G238" s="205">
        <v>1059.16</v>
      </c>
      <c r="H238" s="205">
        <v>1000.24</v>
      </c>
      <c r="I238" s="205">
        <v>832.66</v>
      </c>
      <c r="J238" s="205">
        <v>1232.47</v>
      </c>
      <c r="K238" s="205">
        <v>1080.9</v>
      </c>
      <c r="L238" s="199">
        <v>1096.29</v>
      </c>
      <c r="M238" s="205">
        <v>783.97</v>
      </c>
      <c r="N238" s="205">
        <v>407.12</v>
      </c>
      <c r="O238" s="205">
        <v>662.47</v>
      </c>
      <c r="P238" s="205">
        <v>602.62</v>
      </c>
      <c r="Q238" s="205">
        <v>778.14</v>
      </c>
      <c r="R238" s="205">
        <v>747.67</v>
      </c>
      <c r="S238" s="205">
        <v>507.01</v>
      </c>
      <c r="T238" s="205">
        <v>566.34</v>
      </c>
      <c r="U238" s="205">
        <v>423.46</v>
      </c>
      <c r="V238" s="205">
        <v>690.34</v>
      </c>
      <c r="W238" s="205">
        <v>640.25</v>
      </c>
      <c r="X238" s="205">
        <v>603.01</v>
      </c>
      <c r="Y238" s="205">
        <v>1038.71</v>
      </c>
      <c r="Z238" s="205">
        <v>827.19</v>
      </c>
      <c r="AA238" s="205">
        <v>610.57</v>
      </c>
      <c r="AB238" s="205">
        <v>565.67</v>
      </c>
      <c r="AC238" s="205">
        <v>603.55</v>
      </c>
      <c r="AD238" s="205">
        <v>501.08</v>
      </c>
      <c r="AE238" s="205">
        <v>637.72</v>
      </c>
      <c r="AF238" s="205">
        <v>394.3</v>
      </c>
      <c r="AG238" s="95">
        <f t="shared" si="84"/>
        <v>26230.04</v>
      </c>
    </row>
    <row r="239" outlineLevel="1">
      <c r="A239" s="190" t="s">
        <v>261</v>
      </c>
      <c r="B239" s="205">
        <v>314.65</v>
      </c>
      <c r="C239" s="205">
        <v>259.19</v>
      </c>
      <c r="D239" s="205">
        <v>114.49</v>
      </c>
      <c r="E239" s="205">
        <v>142.15</v>
      </c>
      <c r="F239" s="205">
        <v>79.39</v>
      </c>
      <c r="G239" s="205">
        <v>122.41</v>
      </c>
      <c r="H239" s="205">
        <v>61.38</v>
      </c>
      <c r="I239" s="205">
        <v>41.13</v>
      </c>
      <c r="J239" s="205">
        <v>179.86</v>
      </c>
      <c r="K239" s="205">
        <v>81.69</v>
      </c>
      <c r="L239" s="205">
        <v>30.74</v>
      </c>
      <c r="M239" s="205">
        <v>117.41</v>
      </c>
      <c r="N239" s="205">
        <v>49.3</v>
      </c>
      <c r="O239" s="205">
        <v>122.82</v>
      </c>
      <c r="P239" s="205">
        <v>114.87</v>
      </c>
      <c r="Q239" s="205">
        <v>274.04</v>
      </c>
      <c r="R239" s="205">
        <v>90.55</v>
      </c>
      <c r="S239" s="199">
        <v>116.01</v>
      </c>
      <c r="T239" s="199">
        <v>31.03</v>
      </c>
      <c r="U239" s="205">
        <v>180.12</v>
      </c>
      <c r="V239" s="205">
        <v>56.54</v>
      </c>
      <c r="W239" s="205">
        <v>31.18</v>
      </c>
      <c r="X239" s="205">
        <v>117.35</v>
      </c>
      <c r="Y239" s="205">
        <v>91.93</v>
      </c>
      <c r="Z239" s="205">
        <v>60.39</v>
      </c>
      <c r="AA239" s="205">
        <v>31.39</v>
      </c>
      <c r="AB239" s="205">
        <v>0.0</v>
      </c>
      <c r="AC239" s="205">
        <v>153.63</v>
      </c>
      <c r="AD239" s="205">
        <v>62.06</v>
      </c>
      <c r="AE239" s="205">
        <v>125.13</v>
      </c>
      <c r="AF239" s="205">
        <v>154.32</v>
      </c>
      <c r="AG239" s="95">
        <f t="shared" si="84"/>
        <v>3407.15</v>
      </c>
    </row>
    <row r="240" outlineLevel="1">
      <c r="A240" s="190" t="s">
        <v>262</v>
      </c>
      <c r="B240" s="200">
        <v>0.0</v>
      </c>
      <c r="C240" s="200">
        <v>0.0</v>
      </c>
      <c r="D240" s="200">
        <v>0.0</v>
      </c>
      <c r="E240" s="200">
        <v>0.0</v>
      </c>
      <c r="F240" s="200">
        <v>0.0</v>
      </c>
      <c r="G240" s="200">
        <v>0.0</v>
      </c>
      <c r="H240" s="200">
        <v>0.0</v>
      </c>
      <c r="I240" s="200">
        <v>0.0</v>
      </c>
      <c r="J240" s="200">
        <v>0.0</v>
      </c>
      <c r="K240" s="200">
        <v>0.0</v>
      </c>
      <c r="L240" s="200">
        <v>0.0</v>
      </c>
      <c r="M240" s="200">
        <v>0.0</v>
      </c>
      <c r="N240" s="200">
        <v>277.57</v>
      </c>
      <c r="O240" s="200">
        <v>267.93</v>
      </c>
      <c r="P240" s="200">
        <v>638.31</v>
      </c>
      <c r="Q240" s="200">
        <v>296.06</v>
      </c>
      <c r="R240" s="200">
        <v>204.29</v>
      </c>
      <c r="S240" s="200">
        <v>0.0</v>
      </c>
      <c r="T240" s="200">
        <v>198.0</v>
      </c>
      <c r="U240" s="200">
        <v>301.24</v>
      </c>
      <c r="V240" s="200">
        <v>0.0</v>
      </c>
      <c r="W240" s="200">
        <v>529.17</v>
      </c>
      <c r="X240" s="200">
        <v>320.77</v>
      </c>
      <c r="Y240" s="200">
        <v>203.94</v>
      </c>
      <c r="Z240" s="200">
        <v>0.0</v>
      </c>
      <c r="AA240" s="200">
        <v>0.0</v>
      </c>
      <c r="AB240" s="206">
        <v>107.54</v>
      </c>
      <c r="AC240" s="206">
        <v>99.0</v>
      </c>
      <c r="AD240" s="200">
        <v>0.0</v>
      </c>
      <c r="AE240" s="200">
        <v>0.0</v>
      </c>
      <c r="AF240" s="200">
        <v>0.0</v>
      </c>
      <c r="AG240" s="95">
        <f t="shared" si="84"/>
        <v>3443.82</v>
      </c>
    </row>
    <row r="241" outlineLevel="1">
      <c r="A241" s="190" t="s">
        <v>263</v>
      </c>
      <c r="B241" s="200">
        <v>3071.53</v>
      </c>
      <c r="C241" s="200">
        <v>921.3</v>
      </c>
      <c r="D241" s="200">
        <v>107.18</v>
      </c>
      <c r="E241" s="200">
        <v>423.35</v>
      </c>
      <c r="F241" s="200">
        <v>204.68</v>
      </c>
      <c r="G241" s="200">
        <v>211.49</v>
      </c>
      <c r="H241" s="200">
        <v>0.0</v>
      </c>
      <c r="I241" s="200">
        <v>0.0</v>
      </c>
      <c r="J241" s="200">
        <v>314.2</v>
      </c>
      <c r="K241" s="200">
        <v>735.03</v>
      </c>
      <c r="L241" s="200">
        <v>109.65</v>
      </c>
      <c r="M241" s="200">
        <v>252.28</v>
      </c>
      <c r="N241" s="200">
        <v>234.16</v>
      </c>
      <c r="O241" s="200">
        <v>382.59</v>
      </c>
      <c r="P241" s="200">
        <v>252.88</v>
      </c>
      <c r="Q241" s="200">
        <v>257.34</v>
      </c>
      <c r="R241" s="200">
        <v>220.15</v>
      </c>
      <c r="S241" s="200">
        <v>255.92</v>
      </c>
      <c r="T241" s="200">
        <v>0.0</v>
      </c>
      <c r="U241" s="200">
        <v>108.74</v>
      </c>
      <c r="V241" s="200">
        <v>0.0</v>
      </c>
      <c r="W241" s="200">
        <v>256.45</v>
      </c>
      <c r="X241" s="200">
        <v>128.82</v>
      </c>
      <c r="Y241" s="200">
        <v>248.71</v>
      </c>
      <c r="Z241" s="200">
        <v>127.33</v>
      </c>
      <c r="AA241" s="200">
        <v>0.0</v>
      </c>
      <c r="AB241" s="206">
        <v>129.27</v>
      </c>
      <c r="AC241" s="206">
        <v>0.0</v>
      </c>
      <c r="AD241" s="200">
        <v>0.0</v>
      </c>
      <c r="AE241" s="200">
        <v>0.0</v>
      </c>
      <c r="AF241" s="200">
        <v>0.0</v>
      </c>
      <c r="AG241" s="95">
        <f t="shared" si="84"/>
        <v>8953.05</v>
      </c>
    </row>
    <row r="242">
      <c r="A242" s="193" t="s">
        <v>141</v>
      </c>
      <c r="B242" s="203">
        <f t="shared" ref="B242:AF242" si="85">SUM(B232:B241)</f>
        <v>10238.32</v>
      </c>
      <c r="C242" s="203">
        <f t="shared" si="85"/>
        <v>5742.78</v>
      </c>
      <c r="D242" s="203">
        <f t="shared" si="85"/>
        <v>4373.57</v>
      </c>
      <c r="E242" s="203">
        <f t="shared" si="85"/>
        <v>4472</v>
      </c>
      <c r="F242" s="203">
        <f t="shared" si="85"/>
        <v>3666.76</v>
      </c>
      <c r="G242" s="203">
        <f t="shared" si="85"/>
        <v>3778.96</v>
      </c>
      <c r="H242" s="203">
        <f t="shared" si="85"/>
        <v>3356.71</v>
      </c>
      <c r="I242" s="203">
        <f t="shared" si="85"/>
        <v>2729.67</v>
      </c>
      <c r="J242" s="203">
        <f t="shared" si="85"/>
        <v>4517.87</v>
      </c>
      <c r="K242" s="203">
        <f t="shared" si="85"/>
        <v>4354.29</v>
      </c>
      <c r="L242" s="203">
        <f t="shared" si="85"/>
        <v>3569.51</v>
      </c>
      <c r="M242" s="203">
        <f t="shared" si="85"/>
        <v>3154.38</v>
      </c>
      <c r="N242" s="203">
        <f t="shared" si="85"/>
        <v>2327.54</v>
      </c>
      <c r="O242" s="203">
        <f t="shared" si="85"/>
        <v>2659.98</v>
      </c>
      <c r="P242" s="203">
        <f t="shared" si="85"/>
        <v>2987.03</v>
      </c>
      <c r="Q242" s="203">
        <f t="shared" si="85"/>
        <v>3672.58</v>
      </c>
      <c r="R242" s="203">
        <f t="shared" si="85"/>
        <v>2438.79</v>
      </c>
      <c r="S242" s="203">
        <f t="shared" si="85"/>
        <v>2606.9</v>
      </c>
      <c r="T242" s="203">
        <f t="shared" si="85"/>
        <v>1793.7</v>
      </c>
      <c r="U242" s="203">
        <f t="shared" si="85"/>
        <v>1960.95</v>
      </c>
      <c r="V242" s="203">
        <f t="shared" si="85"/>
        <v>1761.85</v>
      </c>
      <c r="W242" s="203">
        <f t="shared" si="85"/>
        <v>3868.43</v>
      </c>
      <c r="X242" s="203">
        <f t="shared" si="85"/>
        <v>3750.12</v>
      </c>
      <c r="Y242" s="203">
        <f t="shared" si="85"/>
        <v>3428.77</v>
      </c>
      <c r="Z242" s="203">
        <f t="shared" si="85"/>
        <v>2686.02</v>
      </c>
      <c r="AA242" s="203">
        <f t="shared" si="85"/>
        <v>1788.29</v>
      </c>
      <c r="AB242" s="203">
        <f t="shared" si="85"/>
        <v>2540.89</v>
      </c>
      <c r="AC242" s="203">
        <f t="shared" si="85"/>
        <v>2628.89</v>
      </c>
      <c r="AD242" s="203">
        <f t="shared" si="85"/>
        <v>1960.3</v>
      </c>
      <c r="AE242" s="203">
        <f t="shared" si="85"/>
        <v>2373.18</v>
      </c>
      <c r="AF242" s="203">
        <f t="shared" si="85"/>
        <v>1851.64</v>
      </c>
      <c r="AG242" s="95">
        <f t="shared" si="84"/>
        <v>103040.67</v>
      </c>
    </row>
    <row r="243">
      <c r="A243" s="100"/>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198"/>
    </row>
    <row r="244">
      <c r="A244" s="190" t="s">
        <v>264</v>
      </c>
      <c r="B244" s="191"/>
      <c r="C244" s="191"/>
      <c r="D244" s="192"/>
      <c r="E244" s="192"/>
      <c r="F244" s="192"/>
      <c r="G244" s="192"/>
      <c r="H244" s="192"/>
      <c r="I244" s="192"/>
      <c r="J244" s="192"/>
      <c r="K244" s="191"/>
      <c r="L244" s="191"/>
      <c r="M244" s="191"/>
      <c r="N244" s="191"/>
      <c r="O244" s="191"/>
      <c r="P244" s="191"/>
      <c r="Q244" s="191"/>
      <c r="R244" s="191"/>
      <c r="S244" s="191"/>
      <c r="T244" s="191"/>
      <c r="U244" s="191"/>
      <c r="V244" s="191"/>
      <c r="W244" s="191"/>
      <c r="X244" s="191"/>
      <c r="Y244" s="191"/>
      <c r="Z244" s="191"/>
      <c r="AA244" s="191"/>
      <c r="AB244" s="191"/>
      <c r="AC244" s="191"/>
      <c r="AD244" s="191"/>
      <c r="AE244" s="191"/>
      <c r="AF244" s="191"/>
      <c r="AG244" s="198"/>
    </row>
    <row r="245" outlineLevel="1">
      <c r="A245" s="190" t="s">
        <v>224</v>
      </c>
      <c r="B245" s="199">
        <v>19.0</v>
      </c>
      <c r="C245" s="201">
        <v>38.0</v>
      </c>
      <c r="D245" s="199">
        <v>0.0</v>
      </c>
      <c r="E245" s="205">
        <v>0.0</v>
      </c>
      <c r="F245" s="199">
        <v>0.0</v>
      </c>
      <c r="G245" s="205">
        <v>0.0</v>
      </c>
      <c r="H245" s="199">
        <v>0.0</v>
      </c>
      <c r="I245" s="199">
        <v>0.0</v>
      </c>
      <c r="J245" s="199">
        <v>19.0</v>
      </c>
      <c r="K245" s="199">
        <v>19.0</v>
      </c>
      <c r="L245" s="199">
        <v>0.0</v>
      </c>
      <c r="M245" s="199">
        <v>0.0</v>
      </c>
      <c r="N245" s="199">
        <v>0.0</v>
      </c>
      <c r="O245" s="199">
        <v>0.0</v>
      </c>
      <c r="P245" s="199">
        <v>0.0</v>
      </c>
      <c r="Q245" s="199">
        <v>29.0</v>
      </c>
      <c r="R245" s="199">
        <v>29.0</v>
      </c>
      <c r="S245" s="199">
        <v>58.0</v>
      </c>
      <c r="T245" s="205">
        <v>0.0</v>
      </c>
      <c r="U245" s="199">
        <v>29.0</v>
      </c>
      <c r="V245" s="199">
        <v>0.0</v>
      </c>
      <c r="W245" s="199">
        <v>0.0</v>
      </c>
      <c r="X245" s="199">
        <v>0.0</v>
      </c>
      <c r="Y245" s="199">
        <v>0.0</v>
      </c>
      <c r="Z245" s="199">
        <v>0.0</v>
      </c>
      <c r="AA245" s="199">
        <v>0.0</v>
      </c>
      <c r="AB245" s="199">
        <v>0.0</v>
      </c>
      <c r="AC245" s="199">
        <v>0.0</v>
      </c>
      <c r="AD245" s="199">
        <v>0.0</v>
      </c>
      <c r="AE245" s="199">
        <v>30.74</v>
      </c>
      <c r="AF245" s="199">
        <v>0.0</v>
      </c>
      <c r="AG245" s="95">
        <f t="shared" ref="AG245:AG255" si="86">SUM(B245:AF245)</f>
        <v>270.74</v>
      </c>
    </row>
    <row r="246" outlineLevel="1">
      <c r="A246" s="190" t="s">
        <v>225</v>
      </c>
      <c r="B246" s="199">
        <v>10.67</v>
      </c>
      <c r="C246" s="205">
        <v>0.0</v>
      </c>
      <c r="D246" s="199">
        <v>14.0</v>
      </c>
      <c r="E246" s="205">
        <v>14.0</v>
      </c>
      <c r="F246" s="199">
        <v>14.0</v>
      </c>
      <c r="G246" s="205">
        <v>14.0</v>
      </c>
      <c r="H246" s="199">
        <v>14.0</v>
      </c>
      <c r="I246" s="199">
        <v>0.0</v>
      </c>
      <c r="J246" s="199">
        <v>14.0</v>
      </c>
      <c r="K246" s="199">
        <v>56.0</v>
      </c>
      <c r="L246" s="199">
        <v>0.0</v>
      </c>
      <c r="M246" s="199">
        <v>13.3</v>
      </c>
      <c r="N246" s="199">
        <v>0.0</v>
      </c>
      <c r="O246" s="199">
        <v>0.0</v>
      </c>
      <c r="P246" s="199">
        <v>0.0</v>
      </c>
      <c r="Q246" s="199">
        <v>19.0</v>
      </c>
      <c r="R246" s="199">
        <v>0.0</v>
      </c>
      <c r="S246" s="199">
        <v>0.0</v>
      </c>
      <c r="T246" s="199">
        <v>38.0</v>
      </c>
      <c r="U246" s="199">
        <v>0.0</v>
      </c>
      <c r="V246" s="199">
        <v>0.0</v>
      </c>
      <c r="W246" s="199">
        <v>38.0</v>
      </c>
      <c r="X246" s="199">
        <v>0.0</v>
      </c>
      <c r="Y246" s="205">
        <v>0.0</v>
      </c>
      <c r="Z246" s="199">
        <v>0.0</v>
      </c>
      <c r="AA246" s="199">
        <v>0.0</v>
      </c>
      <c r="AB246" s="199">
        <v>0.0</v>
      </c>
      <c r="AC246" s="199">
        <v>0.0</v>
      </c>
      <c r="AD246" s="199">
        <v>0.0</v>
      </c>
      <c r="AE246" s="199">
        <v>0.0</v>
      </c>
      <c r="AF246" s="199">
        <v>0.0</v>
      </c>
      <c r="AG246" s="95">
        <f t="shared" si="86"/>
        <v>258.97</v>
      </c>
    </row>
    <row r="247" outlineLevel="1">
      <c r="A247" s="190" t="s">
        <v>265</v>
      </c>
      <c r="B247" s="199">
        <v>54.66</v>
      </c>
      <c r="C247" s="205">
        <v>0.0</v>
      </c>
      <c r="D247" s="199">
        <v>29.0</v>
      </c>
      <c r="E247" s="205">
        <v>29.0</v>
      </c>
      <c r="F247" s="199">
        <v>0.0</v>
      </c>
      <c r="G247" s="205">
        <v>0.0</v>
      </c>
      <c r="H247" s="199">
        <v>0.0</v>
      </c>
      <c r="I247" s="199">
        <v>0.0</v>
      </c>
      <c r="J247" s="199">
        <v>29.0</v>
      </c>
      <c r="K247" s="199">
        <v>29.0</v>
      </c>
      <c r="L247" s="199">
        <v>29.0</v>
      </c>
      <c r="M247" s="199">
        <v>0.0</v>
      </c>
      <c r="N247" s="199">
        <v>0.0</v>
      </c>
      <c r="O247" s="199">
        <v>0.0</v>
      </c>
      <c r="P247" s="199">
        <v>39.0</v>
      </c>
      <c r="Q247" s="199">
        <v>0.0</v>
      </c>
      <c r="R247" s="199">
        <v>0.0</v>
      </c>
      <c r="S247" s="199">
        <v>0.0</v>
      </c>
      <c r="T247" s="199">
        <v>39.0</v>
      </c>
      <c r="U247" s="199">
        <v>0.0</v>
      </c>
      <c r="V247" s="199">
        <v>0.0</v>
      </c>
      <c r="W247" s="199">
        <v>0.0</v>
      </c>
      <c r="X247" s="199">
        <v>0.0</v>
      </c>
      <c r="Y247" s="199">
        <v>0.0</v>
      </c>
      <c r="Z247" s="199">
        <v>0.0</v>
      </c>
      <c r="AA247" s="199">
        <v>0.0</v>
      </c>
      <c r="AB247" s="199">
        <v>0.0</v>
      </c>
      <c r="AC247" s="199">
        <v>80.71</v>
      </c>
      <c r="AD247" s="199">
        <v>0.0</v>
      </c>
      <c r="AE247" s="199">
        <v>0.0</v>
      </c>
      <c r="AF247" s="199">
        <v>0.0</v>
      </c>
      <c r="AG247" s="95">
        <f t="shared" si="86"/>
        <v>358.37</v>
      </c>
    </row>
    <row r="248" outlineLevel="1">
      <c r="A248" s="190" t="s">
        <v>266</v>
      </c>
      <c r="B248" s="199">
        <v>0.0</v>
      </c>
      <c r="C248" s="199">
        <v>0.0</v>
      </c>
      <c r="D248" s="199">
        <v>0.0</v>
      </c>
      <c r="E248" s="199">
        <v>0.0</v>
      </c>
      <c r="F248" s="199">
        <v>0.0</v>
      </c>
      <c r="G248" s="199">
        <v>0.0</v>
      </c>
      <c r="H248" s="199">
        <v>0.0</v>
      </c>
      <c r="I248" s="199">
        <v>0.0</v>
      </c>
      <c r="J248" s="199">
        <v>24.65</v>
      </c>
      <c r="K248" s="199">
        <v>0.0</v>
      </c>
      <c r="L248" s="199">
        <v>0.0</v>
      </c>
      <c r="M248" s="199">
        <v>0.0</v>
      </c>
      <c r="N248" s="199">
        <v>0.0</v>
      </c>
      <c r="O248" s="199">
        <v>0.0</v>
      </c>
      <c r="P248" s="199">
        <v>0.0</v>
      </c>
      <c r="Q248" s="199">
        <v>0.0</v>
      </c>
      <c r="R248" s="199">
        <v>0.0</v>
      </c>
      <c r="S248" s="199">
        <v>0.0</v>
      </c>
      <c r="T248" s="199">
        <v>0.0</v>
      </c>
      <c r="U248" s="199">
        <v>0.0</v>
      </c>
      <c r="V248" s="199">
        <v>0.0</v>
      </c>
      <c r="W248" s="199">
        <v>0.0</v>
      </c>
      <c r="X248" s="199">
        <v>0.0</v>
      </c>
      <c r="Y248" s="199">
        <v>0.0</v>
      </c>
      <c r="Z248" s="199">
        <v>0.0</v>
      </c>
      <c r="AA248" s="199">
        <v>0.0</v>
      </c>
      <c r="AB248" s="199">
        <v>0.0</v>
      </c>
      <c r="AC248" s="199">
        <v>0.0</v>
      </c>
      <c r="AD248" s="199">
        <v>0.0</v>
      </c>
      <c r="AE248" s="199">
        <v>0.0</v>
      </c>
      <c r="AF248" s="199">
        <v>0.0</v>
      </c>
      <c r="AG248" s="95">
        <f t="shared" si="86"/>
        <v>24.65</v>
      </c>
    </row>
    <row r="249" outlineLevel="1">
      <c r="A249" s="190" t="s">
        <v>267</v>
      </c>
      <c r="B249" s="199">
        <v>0.0</v>
      </c>
      <c r="C249" s="205">
        <v>0.0</v>
      </c>
      <c r="D249" s="199">
        <v>0.0</v>
      </c>
      <c r="E249" s="205">
        <v>0.0</v>
      </c>
      <c r="F249" s="199">
        <v>0.0</v>
      </c>
      <c r="G249" s="205">
        <v>0.0</v>
      </c>
      <c r="H249" s="199">
        <v>0.0</v>
      </c>
      <c r="I249" s="199">
        <v>0.0</v>
      </c>
      <c r="J249" s="199">
        <v>0.0</v>
      </c>
      <c r="K249" s="199">
        <v>0.0</v>
      </c>
      <c r="L249" s="199">
        <v>0.0</v>
      </c>
      <c r="M249" s="199">
        <v>0.0</v>
      </c>
      <c r="N249" s="199">
        <v>0.0</v>
      </c>
      <c r="O249" s="199">
        <v>0.0</v>
      </c>
      <c r="P249" s="199">
        <v>0.0</v>
      </c>
      <c r="Q249" s="199">
        <v>0.0</v>
      </c>
      <c r="R249" s="199">
        <v>0.0</v>
      </c>
      <c r="S249" s="199">
        <v>0.0</v>
      </c>
      <c r="T249" s="199">
        <v>0.0</v>
      </c>
      <c r="U249" s="199">
        <v>0.0</v>
      </c>
      <c r="V249" s="199">
        <v>0.0</v>
      </c>
      <c r="W249" s="199">
        <v>0.0</v>
      </c>
      <c r="X249" s="199">
        <v>0.0</v>
      </c>
      <c r="Y249" s="199">
        <v>0.0</v>
      </c>
      <c r="Z249" s="199">
        <v>0.0</v>
      </c>
      <c r="AA249" s="199">
        <v>0.0</v>
      </c>
      <c r="AB249" s="199">
        <v>0.0</v>
      </c>
      <c r="AC249" s="199">
        <v>0.0</v>
      </c>
      <c r="AD249" s="199">
        <v>0.0</v>
      </c>
      <c r="AE249" s="199">
        <v>0.0</v>
      </c>
      <c r="AF249" s="199">
        <v>0.0</v>
      </c>
      <c r="AG249" s="95">
        <f t="shared" si="86"/>
        <v>0</v>
      </c>
    </row>
    <row r="250" outlineLevel="1">
      <c r="A250" s="190" t="s">
        <v>268</v>
      </c>
      <c r="B250" s="199">
        <v>0.0</v>
      </c>
      <c r="C250" s="199">
        <v>0.0</v>
      </c>
      <c r="D250" s="199">
        <v>0.0</v>
      </c>
      <c r="E250" s="199">
        <v>0.0</v>
      </c>
      <c r="F250" s="199">
        <v>0.0</v>
      </c>
      <c r="G250" s="199">
        <v>59.0</v>
      </c>
      <c r="H250" s="199">
        <v>0.0</v>
      </c>
      <c r="I250" s="199">
        <v>0.0</v>
      </c>
      <c r="J250" s="199">
        <v>0.0</v>
      </c>
      <c r="K250" s="199">
        <v>0.0</v>
      </c>
      <c r="L250" s="199">
        <v>0.0</v>
      </c>
      <c r="M250" s="199">
        <v>62.3</v>
      </c>
      <c r="N250" s="199">
        <v>0.0</v>
      </c>
      <c r="O250" s="199">
        <v>0.0</v>
      </c>
      <c r="P250" s="199">
        <v>89.0</v>
      </c>
      <c r="Q250" s="199">
        <v>89.0</v>
      </c>
      <c r="R250" s="199">
        <v>0.0</v>
      </c>
      <c r="S250" s="199">
        <v>0.0</v>
      </c>
      <c r="T250" s="199">
        <v>0.0</v>
      </c>
      <c r="U250" s="199">
        <v>0.0</v>
      </c>
      <c r="V250" s="199">
        <v>0.0</v>
      </c>
      <c r="W250" s="199">
        <v>0.0</v>
      </c>
      <c r="X250" s="199">
        <v>0.0</v>
      </c>
      <c r="Y250" s="199">
        <v>0.0</v>
      </c>
      <c r="Z250" s="199">
        <v>0.0</v>
      </c>
      <c r="AA250" s="199">
        <v>0.0</v>
      </c>
      <c r="AB250" s="199">
        <v>0.0</v>
      </c>
      <c r="AC250" s="199">
        <v>0.0</v>
      </c>
      <c r="AD250" s="199">
        <v>0.0</v>
      </c>
      <c r="AE250" s="199">
        <v>0.0</v>
      </c>
      <c r="AF250" s="199">
        <v>0.0</v>
      </c>
      <c r="AG250" s="95">
        <f t="shared" si="86"/>
        <v>299.3</v>
      </c>
    </row>
    <row r="251" outlineLevel="1">
      <c r="A251" s="190" t="s">
        <v>269</v>
      </c>
      <c r="B251" s="199">
        <v>34.67</v>
      </c>
      <c r="C251" s="205">
        <v>38.0</v>
      </c>
      <c r="D251" s="199">
        <v>19.0</v>
      </c>
      <c r="E251" s="205">
        <v>57.0</v>
      </c>
      <c r="F251" s="199">
        <v>38.0</v>
      </c>
      <c r="G251" s="205">
        <v>0.0</v>
      </c>
      <c r="H251" s="199">
        <v>19.0</v>
      </c>
      <c r="I251" s="199">
        <v>0.0</v>
      </c>
      <c r="J251" s="199">
        <v>35.15</v>
      </c>
      <c r="K251" s="199">
        <v>38.0</v>
      </c>
      <c r="L251" s="199">
        <v>0.0</v>
      </c>
      <c r="M251" s="199">
        <v>0.0</v>
      </c>
      <c r="N251" s="199">
        <v>0.0</v>
      </c>
      <c r="O251" s="199">
        <v>0.0</v>
      </c>
      <c r="P251" s="199">
        <v>0.0</v>
      </c>
      <c r="Q251" s="199">
        <v>29.0</v>
      </c>
      <c r="R251" s="199">
        <v>0.0</v>
      </c>
      <c r="S251" s="199">
        <v>0.0</v>
      </c>
      <c r="T251" s="199">
        <v>0.0</v>
      </c>
      <c r="U251" s="199">
        <v>0.0</v>
      </c>
      <c r="V251" s="199">
        <v>0.0</v>
      </c>
      <c r="W251" s="199">
        <v>0.0</v>
      </c>
      <c r="X251" s="199">
        <v>58.0</v>
      </c>
      <c r="Y251" s="199">
        <v>29.0</v>
      </c>
      <c r="Z251" s="199">
        <v>0.0</v>
      </c>
      <c r="AA251" s="199">
        <v>19.0</v>
      </c>
      <c r="AB251" s="199">
        <v>0.0</v>
      </c>
      <c r="AC251" s="199">
        <v>60.02</v>
      </c>
      <c r="AD251" s="199">
        <v>0.0</v>
      </c>
      <c r="AE251" s="199">
        <v>30.74</v>
      </c>
      <c r="AF251" s="199">
        <v>0.0</v>
      </c>
      <c r="AG251" s="95">
        <f t="shared" si="86"/>
        <v>504.58</v>
      </c>
    </row>
    <row r="252" outlineLevel="1">
      <c r="A252" s="190" t="s">
        <v>270</v>
      </c>
      <c r="B252" s="199">
        <v>19.0</v>
      </c>
      <c r="C252" s="205">
        <v>0.0</v>
      </c>
      <c r="D252" s="199">
        <v>0.0</v>
      </c>
      <c r="E252" s="205">
        <v>0.0</v>
      </c>
      <c r="F252" s="199">
        <v>0.0</v>
      </c>
      <c r="G252" s="205">
        <v>0.0</v>
      </c>
      <c r="H252" s="199">
        <v>0.0</v>
      </c>
      <c r="I252" s="199">
        <v>0.0</v>
      </c>
      <c r="J252" s="199">
        <v>16.15</v>
      </c>
      <c r="K252" s="199">
        <v>0.0</v>
      </c>
      <c r="L252" s="199">
        <v>48.0</v>
      </c>
      <c r="M252" s="199">
        <v>20.3</v>
      </c>
      <c r="N252" s="199">
        <v>0.0</v>
      </c>
      <c r="O252" s="199">
        <v>0.0</v>
      </c>
      <c r="P252" s="199">
        <v>0.0</v>
      </c>
      <c r="Q252" s="199">
        <v>29.0</v>
      </c>
      <c r="R252" s="199">
        <v>0.0</v>
      </c>
      <c r="S252" s="199">
        <v>0.0</v>
      </c>
      <c r="T252" s="199">
        <v>29.0</v>
      </c>
      <c r="U252" s="199">
        <v>0.0</v>
      </c>
      <c r="V252" s="199">
        <v>0.0</v>
      </c>
      <c r="W252" s="199">
        <v>0.0</v>
      </c>
      <c r="X252" s="199">
        <v>29.0</v>
      </c>
      <c r="Y252" s="199">
        <v>0.0</v>
      </c>
      <c r="Z252" s="199">
        <v>0.0</v>
      </c>
      <c r="AA252" s="199">
        <v>0.0</v>
      </c>
      <c r="AB252" s="199">
        <v>0.0</v>
      </c>
      <c r="AC252" s="199">
        <v>29.0</v>
      </c>
      <c r="AD252" s="199">
        <v>0.0</v>
      </c>
      <c r="AE252" s="199">
        <v>0.0</v>
      </c>
      <c r="AF252" s="199">
        <v>0.0</v>
      </c>
      <c r="AG252" s="95">
        <f t="shared" si="86"/>
        <v>219.45</v>
      </c>
    </row>
    <row r="253" outlineLevel="1">
      <c r="A253" s="190" t="s">
        <v>271</v>
      </c>
      <c r="B253" s="200">
        <v>0.0</v>
      </c>
      <c r="C253" s="200">
        <v>0.0</v>
      </c>
      <c r="D253" s="200">
        <v>0.0</v>
      </c>
      <c r="E253" s="200">
        <v>0.0</v>
      </c>
      <c r="F253" s="200">
        <v>0.0</v>
      </c>
      <c r="G253" s="200">
        <v>0.0</v>
      </c>
      <c r="H253" s="200">
        <v>0.0</v>
      </c>
      <c r="I253" s="200">
        <v>0.0</v>
      </c>
      <c r="J253" s="200">
        <v>0.0</v>
      </c>
      <c r="K253" s="200">
        <v>0.0</v>
      </c>
      <c r="L253" s="200">
        <v>0.0</v>
      </c>
      <c r="M253" s="200">
        <v>0.0</v>
      </c>
      <c r="N253" s="200">
        <v>0.0</v>
      </c>
      <c r="O253" s="200">
        <v>0.0</v>
      </c>
      <c r="P253" s="200">
        <v>0.0</v>
      </c>
      <c r="Q253" s="200">
        <v>0.0</v>
      </c>
      <c r="R253" s="200">
        <v>0.0</v>
      </c>
      <c r="S253" s="200">
        <v>0.0</v>
      </c>
      <c r="T253" s="200">
        <v>0.0</v>
      </c>
      <c r="U253" s="200">
        <v>0.0</v>
      </c>
      <c r="V253" s="200">
        <v>0.0</v>
      </c>
      <c r="W253" s="200">
        <v>0.0</v>
      </c>
      <c r="X253" s="200">
        <v>0.0</v>
      </c>
      <c r="Y253" s="200">
        <v>0.0</v>
      </c>
      <c r="Z253" s="200">
        <v>0.0</v>
      </c>
      <c r="AA253" s="200">
        <v>0.0</v>
      </c>
      <c r="AB253" s="206">
        <v>0.0</v>
      </c>
      <c r="AC253" s="206">
        <v>0.0</v>
      </c>
      <c r="AD253" s="200">
        <v>0.0</v>
      </c>
      <c r="AE253" s="200">
        <v>0.0</v>
      </c>
      <c r="AF253" s="200">
        <v>0.0</v>
      </c>
      <c r="AG253" s="95">
        <f t="shared" si="86"/>
        <v>0</v>
      </c>
    </row>
    <row r="254" outlineLevel="1">
      <c r="A254" s="190" t="s">
        <v>272</v>
      </c>
      <c r="B254" s="200">
        <v>0.0</v>
      </c>
      <c r="C254" s="200">
        <v>0.0</v>
      </c>
      <c r="D254" s="200">
        <v>0.0</v>
      </c>
      <c r="E254" s="200">
        <v>0.0</v>
      </c>
      <c r="F254" s="200">
        <v>0.0</v>
      </c>
      <c r="G254" s="200">
        <v>0.0</v>
      </c>
      <c r="H254" s="200">
        <v>0.0</v>
      </c>
      <c r="I254" s="200">
        <v>0.0</v>
      </c>
      <c r="J254" s="200">
        <v>0.0</v>
      </c>
      <c r="K254" s="200">
        <v>0.0</v>
      </c>
      <c r="L254" s="200">
        <v>0.0</v>
      </c>
      <c r="M254" s="200">
        <v>0.0</v>
      </c>
      <c r="N254" s="200">
        <v>0.0</v>
      </c>
      <c r="O254" s="200">
        <v>0.0</v>
      </c>
      <c r="P254" s="200">
        <v>0.0</v>
      </c>
      <c r="Q254" s="200">
        <v>0.0</v>
      </c>
      <c r="R254" s="200">
        <v>0.0</v>
      </c>
      <c r="S254" s="200">
        <v>0.0</v>
      </c>
      <c r="T254" s="200">
        <v>0.0</v>
      </c>
      <c r="U254" s="200">
        <v>0.0</v>
      </c>
      <c r="V254" s="200">
        <v>0.0</v>
      </c>
      <c r="W254" s="200">
        <v>0.0</v>
      </c>
      <c r="X254" s="200">
        <v>0.0</v>
      </c>
      <c r="Y254" s="200">
        <v>0.0</v>
      </c>
      <c r="Z254" s="200">
        <v>0.0</v>
      </c>
      <c r="AA254" s="200">
        <v>0.0</v>
      </c>
      <c r="AB254" s="206">
        <v>0.0</v>
      </c>
      <c r="AC254" s="206">
        <v>0.0</v>
      </c>
      <c r="AD254" s="200">
        <v>0.0</v>
      </c>
      <c r="AE254" s="200">
        <v>0.0</v>
      </c>
      <c r="AF254" s="200">
        <v>0.0</v>
      </c>
      <c r="AG254" s="95">
        <f t="shared" si="86"/>
        <v>0</v>
      </c>
    </row>
    <row r="255">
      <c r="A255" s="193" t="s">
        <v>141</v>
      </c>
      <c r="B255" s="203">
        <f t="shared" ref="B255:AF255" si="87">SUM(B245:B254)</f>
        <v>138</v>
      </c>
      <c r="C255" s="203">
        <f t="shared" si="87"/>
        <v>76</v>
      </c>
      <c r="D255" s="203">
        <f t="shared" si="87"/>
        <v>62</v>
      </c>
      <c r="E255" s="203">
        <f t="shared" si="87"/>
        <v>100</v>
      </c>
      <c r="F255" s="203">
        <f t="shared" si="87"/>
        <v>52</v>
      </c>
      <c r="G255" s="203">
        <f t="shared" si="87"/>
        <v>73</v>
      </c>
      <c r="H255" s="203">
        <f t="shared" si="87"/>
        <v>33</v>
      </c>
      <c r="I255" s="203">
        <f t="shared" si="87"/>
        <v>0</v>
      </c>
      <c r="J255" s="203">
        <f t="shared" si="87"/>
        <v>137.95</v>
      </c>
      <c r="K255" s="203">
        <f t="shared" si="87"/>
        <v>142</v>
      </c>
      <c r="L255" s="203">
        <f t="shared" si="87"/>
        <v>77</v>
      </c>
      <c r="M255" s="203">
        <f t="shared" si="87"/>
        <v>95.9</v>
      </c>
      <c r="N255" s="203">
        <f t="shared" si="87"/>
        <v>0</v>
      </c>
      <c r="O255" s="203">
        <f t="shared" si="87"/>
        <v>0</v>
      </c>
      <c r="P255" s="203">
        <f t="shared" si="87"/>
        <v>128</v>
      </c>
      <c r="Q255" s="203">
        <f t="shared" si="87"/>
        <v>195</v>
      </c>
      <c r="R255" s="203">
        <f t="shared" si="87"/>
        <v>29</v>
      </c>
      <c r="S255" s="203">
        <f t="shared" si="87"/>
        <v>58</v>
      </c>
      <c r="T255" s="203">
        <f t="shared" si="87"/>
        <v>106</v>
      </c>
      <c r="U255" s="203">
        <f t="shared" si="87"/>
        <v>29</v>
      </c>
      <c r="V255" s="203">
        <f t="shared" si="87"/>
        <v>0</v>
      </c>
      <c r="W255" s="203">
        <f t="shared" si="87"/>
        <v>38</v>
      </c>
      <c r="X255" s="203">
        <f t="shared" si="87"/>
        <v>87</v>
      </c>
      <c r="Y255" s="203">
        <f t="shared" si="87"/>
        <v>29</v>
      </c>
      <c r="Z255" s="203">
        <f t="shared" si="87"/>
        <v>0</v>
      </c>
      <c r="AA255" s="203">
        <f t="shared" si="87"/>
        <v>19</v>
      </c>
      <c r="AB255" s="203">
        <f t="shared" si="87"/>
        <v>0</v>
      </c>
      <c r="AC255" s="203">
        <f t="shared" si="87"/>
        <v>169.73</v>
      </c>
      <c r="AD255" s="203">
        <f t="shared" si="87"/>
        <v>0</v>
      </c>
      <c r="AE255" s="203">
        <f t="shared" si="87"/>
        <v>61.48</v>
      </c>
      <c r="AF255" s="203">
        <f t="shared" si="87"/>
        <v>0</v>
      </c>
      <c r="AG255" s="95">
        <f t="shared" si="86"/>
        <v>1936.06</v>
      </c>
    </row>
    <row r="256">
      <c r="A256" s="172"/>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81"/>
      <c r="AB256" s="181"/>
      <c r="AC256" s="181"/>
      <c r="AD256" s="181"/>
      <c r="AE256" s="181"/>
      <c r="AF256" s="181"/>
      <c r="AG256" s="207"/>
    </row>
    <row r="257">
      <c r="A257" s="208" t="s">
        <v>273</v>
      </c>
      <c r="B257" s="209"/>
      <c r="C257" s="209"/>
      <c r="D257" s="210"/>
      <c r="E257" s="210"/>
      <c r="F257" s="210"/>
      <c r="G257" s="210"/>
      <c r="H257" s="210"/>
      <c r="I257" s="210"/>
      <c r="J257" s="210"/>
      <c r="K257" s="209"/>
      <c r="L257" s="209"/>
      <c r="M257" s="209"/>
      <c r="N257" s="209"/>
      <c r="O257" s="209"/>
      <c r="P257" s="209"/>
      <c r="Q257" s="209"/>
      <c r="R257" s="209"/>
      <c r="S257" s="209"/>
      <c r="T257" s="209"/>
      <c r="U257" s="209"/>
      <c r="V257" s="209"/>
      <c r="W257" s="209"/>
      <c r="X257" s="209"/>
      <c r="Y257" s="209"/>
      <c r="Z257" s="209"/>
      <c r="AA257" s="209"/>
      <c r="AB257" s="209"/>
      <c r="AC257" s="209"/>
      <c r="AD257" s="209"/>
      <c r="AE257" s="209"/>
      <c r="AF257" s="209"/>
      <c r="AG257" s="207"/>
    </row>
    <row r="258">
      <c r="A258" s="211" t="s">
        <v>119</v>
      </c>
      <c r="B258" s="212">
        <v>0.0</v>
      </c>
      <c r="C258" s="212">
        <v>0.0</v>
      </c>
      <c r="D258" s="212">
        <v>0.0</v>
      </c>
      <c r="E258" s="212">
        <v>0.0</v>
      </c>
      <c r="F258" s="212">
        <v>0.0</v>
      </c>
      <c r="G258" s="212">
        <v>184.94</v>
      </c>
      <c r="H258" s="212">
        <v>0.0</v>
      </c>
      <c r="I258" s="212">
        <v>0.0</v>
      </c>
      <c r="J258" s="212">
        <v>0.0</v>
      </c>
      <c r="K258" s="212">
        <v>0.0</v>
      </c>
      <c r="L258" s="212">
        <v>0.0</v>
      </c>
      <c r="M258" s="212">
        <v>0.0</v>
      </c>
      <c r="N258" s="212">
        <v>0.0</v>
      </c>
      <c r="O258" s="212">
        <v>0.0</v>
      </c>
      <c r="P258" s="212">
        <v>0.0</v>
      </c>
      <c r="Q258" s="212">
        <v>42.39</v>
      </c>
      <c r="R258" s="212">
        <v>0.0</v>
      </c>
      <c r="S258" s="212">
        <v>0.0</v>
      </c>
      <c r="T258" s="212">
        <v>32.09</v>
      </c>
      <c r="U258" s="212">
        <v>0.0</v>
      </c>
      <c r="V258" s="212">
        <v>0.0</v>
      </c>
      <c r="W258" s="212">
        <v>0.0</v>
      </c>
      <c r="X258" s="212">
        <v>43.59</v>
      </c>
      <c r="Y258" s="212">
        <v>0.0</v>
      </c>
      <c r="Z258" s="212">
        <v>0.0</v>
      </c>
      <c r="AA258" s="212">
        <v>0.0</v>
      </c>
      <c r="AB258" s="212">
        <v>0.0</v>
      </c>
      <c r="AC258" s="212">
        <v>0.0</v>
      </c>
      <c r="AD258" s="212">
        <v>0.0</v>
      </c>
      <c r="AE258" s="212">
        <v>42.64</v>
      </c>
      <c r="AF258" s="212">
        <v>0.0</v>
      </c>
      <c r="AG258" s="95">
        <f>SUM(B258:AF258)</f>
        <v>345.65</v>
      </c>
    </row>
    <row r="259">
      <c r="A259" s="172"/>
      <c r="J259" s="4" t="s">
        <v>94</v>
      </c>
      <c r="T259" s="181"/>
      <c r="U259" s="181"/>
      <c r="V259" s="181"/>
      <c r="W259" s="181"/>
      <c r="X259" s="181"/>
      <c r="Y259" s="181"/>
      <c r="Z259" s="181"/>
      <c r="AA259" s="181"/>
      <c r="AB259" s="181"/>
      <c r="AC259" s="181"/>
      <c r="AD259" s="181"/>
      <c r="AE259" s="181"/>
      <c r="AF259" s="181"/>
      <c r="AG259" s="207"/>
    </row>
    <row r="260">
      <c r="A260" s="149" t="s">
        <v>274</v>
      </c>
      <c r="B260" s="189"/>
      <c r="C260" s="189"/>
      <c r="D260" s="189"/>
      <c r="E260" s="189"/>
      <c r="F260" s="189"/>
      <c r="G260" s="189"/>
      <c r="H260" s="189"/>
      <c r="I260" s="150"/>
      <c r="J260" s="150"/>
      <c r="K260" s="150"/>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207"/>
    </row>
    <row r="261">
      <c r="A261" s="213" t="s">
        <v>207</v>
      </c>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c r="AG261" s="156"/>
    </row>
    <row r="262" outlineLevel="1">
      <c r="A262" s="213" t="s">
        <v>275</v>
      </c>
      <c r="B262" s="165">
        <v>3.0</v>
      </c>
      <c r="C262" s="165">
        <v>0.0</v>
      </c>
      <c r="D262" s="165">
        <v>0.0</v>
      </c>
      <c r="E262" s="165">
        <v>0.0</v>
      </c>
      <c r="F262" s="165">
        <v>3.0</v>
      </c>
      <c r="G262" s="165">
        <v>1.0</v>
      </c>
      <c r="H262" s="165">
        <v>0.0</v>
      </c>
      <c r="I262" s="165">
        <v>0.0</v>
      </c>
      <c r="J262" s="165">
        <v>0.0</v>
      </c>
      <c r="K262" s="165">
        <v>0.0</v>
      </c>
      <c r="L262" s="165">
        <v>0.0</v>
      </c>
      <c r="M262" s="165">
        <v>0.0</v>
      </c>
      <c r="N262" s="165">
        <v>1.0</v>
      </c>
      <c r="O262" s="165">
        <v>0.0</v>
      </c>
      <c r="P262" s="165">
        <v>0.0</v>
      </c>
      <c r="Q262" s="165">
        <v>1.0</v>
      </c>
      <c r="R262" s="165">
        <v>0.0</v>
      </c>
      <c r="S262" s="165">
        <v>0.0</v>
      </c>
      <c r="T262" s="165">
        <v>0.0</v>
      </c>
      <c r="U262" s="165">
        <v>0.0</v>
      </c>
      <c r="V262" s="165">
        <v>0.0</v>
      </c>
      <c r="W262" s="165">
        <v>0.0</v>
      </c>
      <c r="X262" s="165">
        <v>0.0</v>
      </c>
      <c r="Y262" s="165">
        <v>0.0</v>
      </c>
      <c r="Z262" s="165">
        <v>0.0</v>
      </c>
      <c r="AA262" s="165">
        <v>0.0</v>
      </c>
      <c r="AB262" s="165">
        <v>0.0</v>
      </c>
      <c r="AC262" s="165">
        <v>0.0</v>
      </c>
      <c r="AD262" s="165">
        <v>0.0</v>
      </c>
      <c r="AE262" s="165">
        <v>0.0</v>
      </c>
      <c r="AF262" s="165"/>
      <c r="AG262" s="95">
        <f t="shared" ref="AG262:AG267" si="88">SUM(B262:AF262)</f>
        <v>9</v>
      </c>
    </row>
    <row r="263" outlineLevel="1">
      <c r="A263" s="213" t="s">
        <v>276</v>
      </c>
      <c r="B263" s="165">
        <v>0.0</v>
      </c>
      <c r="C263" s="165">
        <v>0.0</v>
      </c>
      <c r="D263" s="165">
        <v>0.0</v>
      </c>
      <c r="E263" s="165">
        <v>0.0</v>
      </c>
      <c r="F263" s="165">
        <v>0.0</v>
      </c>
      <c r="G263" s="165">
        <v>0.0</v>
      </c>
      <c r="H263" s="165">
        <v>0.0</v>
      </c>
      <c r="I263" s="165">
        <v>0.0</v>
      </c>
      <c r="J263" s="165">
        <v>0.0</v>
      </c>
      <c r="K263" s="165">
        <v>0.0</v>
      </c>
      <c r="L263" s="165">
        <v>0.0</v>
      </c>
      <c r="M263" s="165">
        <v>0.0</v>
      </c>
      <c r="N263" s="165">
        <v>2.0</v>
      </c>
      <c r="O263" s="165">
        <v>0.0</v>
      </c>
      <c r="P263" s="165">
        <v>0.0</v>
      </c>
      <c r="Q263" s="165">
        <v>0.0</v>
      </c>
      <c r="R263" s="165">
        <v>0.0</v>
      </c>
      <c r="S263" s="165">
        <v>0.0</v>
      </c>
      <c r="T263" s="165">
        <v>0.0</v>
      </c>
      <c r="U263" s="165">
        <v>0.0</v>
      </c>
      <c r="V263" s="165">
        <v>0.0</v>
      </c>
      <c r="W263" s="165">
        <v>0.0</v>
      </c>
      <c r="X263" s="165">
        <v>0.0</v>
      </c>
      <c r="Y263" s="165">
        <v>0.0</v>
      </c>
      <c r="Z263" s="165">
        <v>0.0</v>
      </c>
      <c r="AA263" s="165">
        <v>1.0</v>
      </c>
      <c r="AB263" s="165">
        <v>0.0</v>
      </c>
      <c r="AC263" s="165">
        <v>0.0</v>
      </c>
      <c r="AD263" s="165">
        <v>0.0</v>
      </c>
      <c r="AE263" s="165">
        <v>0.0</v>
      </c>
      <c r="AF263" s="165"/>
      <c r="AG263" s="95">
        <f t="shared" si="88"/>
        <v>3</v>
      </c>
    </row>
    <row r="264" outlineLevel="1">
      <c r="A264" s="213" t="s">
        <v>277</v>
      </c>
      <c r="B264" s="158">
        <v>1.0</v>
      </c>
      <c r="C264" s="158">
        <v>1.0</v>
      </c>
      <c r="D264" s="158">
        <v>0.0</v>
      </c>
      <c r="E264" s="158">
        <v>0.0</v>
      </c>
      <c r="F264" s="158">
        <v>0.0</v>
      </c>
      <c r="G264" s="158">
        <v>0.0</v>
      </c>
      <c r="H264" s="158">
        <v>0.0</v>
      </c>
      <c r="I264" s="86">
        <v>2.0</v>
      </c>
      <c r="J264" s="86">
        <v>0.0</v>
      </c>
      <c r="K264" s="86">
        <v>0.0</v>
      </c>
      <c r="L264" s="86">
        <v>1.0</v>
      </c>
      <c r="M264" s="165">
        <v>1.0</v>
      </c>
      <c r="N264" s="165">
        <v>0.0</v>
      </c>
      <c r="O264" s="165">
        <v>0.0</v>
      </c>
      <c r="P264" s="165">
        <v>0.0</v>
      </c>
      <c r="Q264" s="165">
        <v>0.0</v>
      </c>
      <c r="R264" s="165">
        <v>0.0</v>
      </c>
      <c r="S264" s="165">
        <v>0.0</v>
      </c>
      <c r="T264" s="165">
        <v>0.0</v>
      </c>
      <c r="U264" s="165">
        <v>0.0</v>
      </c>
      <c r="V264" s="165">
        <v>0.0</v>
      </c>
      <c r="W264" s="165">
        <v>0.0</v>
      </c>
      <c r="X264" s="165">
        <v>0.0</v>
      </c>
      <c r="Y264" s="165">
        <v>0.0</v>
      </c>
      <c r="Z264" s="165">
        <v>0.0</v>
      </c>
      <c r="AA264" s="165">
        <v>1.0</v>
      </c>
      <c r="AB264" s="165">
        <v>0.0</v>
      </c>
      <c r="AC264" s="165">
        <v>0.0</v>
      </c>
      <c r="AD264" s="165">
        <v>0.0</v>
      </c>
      <c r="AE264" s="165">
        <v>0.0</v>
      </c>
      <c r="AF264" s="165"/>
      <c r="AG264" s="95">
        <f t="shared" si="88"/>
        <v>7</v>
      </c>
    </row>
    <row r="265" outlineLevel="1">
      <c r="A265" s="213" t="s">
        <v>278</v>
      </c>
      <c r="B265" s="158">
        <v>0.0</v>
      </c>
      <c r="C265" s="158">
        <v>0.0</v>
      </c>
      <c r="D265" s="158">
        <v>0.0</v>
      </c>
      <c r="E265" s="158">
        <v>0.0</v>
      </c>
      <c r="F265" s="158">
        <v>0.0</v>
      </c>
      <c r="G265" s="158">
        <v>0.0</v>
      </c>
      <c r="H265" s="158">
        <v>0.0</v>
      </c>
      <c r="I265" s="86">
        <v>0.0</v>
      </c>
      <c r="J265" s="86">
        <v>0.0</v>
      </c>
      <c r="K265" s="86">
        <v>0.0</v>
      </c>
      <c r="L265" s="86">
        <v>0.0</v>
      </c>
      <c r="M265" s="165">
        <v>0.0</v>
      </c>
      <c r="N265" s="165">
        <v>0.0</v>
      </c>
      <c r="O265" s="165">
        <v>1.0</v>
      </c>
      <c r="P265" s="165">
        <v>0.0</v>
      </c>
      <c r="Q265" s="165">
        <v>0.0</v>
      </c>
      <c r="R265" s="165">
        <v>0.0</v>
      </c>
      <c r="S265" s="165">
        <v>0.0</v>
      </c>
      <c r="T265" s="165">
        <v>0.0</v>
      </c>
      <c r="U265" s="165">
        <v>1.0</v>
      </c>
      <c r="V265" s="165">
        <v>0.0</v>
      </c>
      <c r="W265" s="165">
        <v>0.0</v>
      </c>
      <c r="X265" s="165">
        <v>1.0</v>
      </c>
      <c r="Y265" s="165">
        <v>0.0</v>
      </c>
      <c r="Z265" s="165">
        <v>0.0</v>
      </c>
      <c r="AA265" s="165">
        <v>0.0</v>
      </c>
      <c r="AB265" s="165">
        <v>0.0</v>
      </c>
      <c r="AC265" s="165">
        <v>0.0</v>
      </c>
      <c r="AD265" s="165">
        <v>0.0</v>
      </c>
      <c r="AE265" s="165">
        <v>0.0</v>
      </c>
      <c r="AF265" s="165"/>
      <c r="AG265" s="95">
        <f t="shared" si="88"/>
        <v>3</v>
      </c>
    </row>
    <row r="266" outlineLevel="1">
      <c r="A266" s="213" t="s">
        <v>279</v>
      </c>
      <c r="B266" s="86">
        <v>16.0</v>
      </c>
      <c r="C266" s="86">
        <v>4.0</v>
      </c>
      <c r="D266" s="86">
        <v>4.0</v>
      </c>
      <c r="E266" s="86">
        <v>6.0</v>
      </c>
      <c r="F266" s="86">
        <v>6.0</v>
      </c>
      <c r="G266" s="86">
        <v>0.0</v>
      </c>
      <c r="H266" s="86">
        <v>2.0</v>
      </c>
      <c r="I266" s="86">
        <v>3.0</v>
      </c>
      <c r="J266" s="86">
        <v>1.0</v>
      </c>
      <c r="K266" s="86">
        <v>3.0</v>
      </c>
      <c r="L266" s="86">
        <v>8.0</v>
      </c>
      <c r="M266" s="86">
        <v>9.0</v>
      </c>
      <c r="N266" s="86">
        <v>0.0</v>
      </c>
      <c r="O266" s="86">
        <v>2.0</v>
      </c>
      <c r="P266" s="86">
        <v>2.0</v>
      </c>
      <c r="Q266" s="86">
        <v>2.0</v>
      </c>
      <c r="R266" s="86">
        <v>0.0</v>
      </c>
      <c r="S266" s="86">
        <v>1.0</v>
      </c>
      <c r="T266" s="159">
        <v>0.0</v>
      </c>
      <c r="U266" s="86">
        <v>0.0</v>
      </c>
      <c r="V266" s="86">
        <v>2.0</v>
      </c>
      <c r="W266" s="159">
        <v>0.0</v>
      </c>
      <c r="X266" s="86">
        <v>0.0</v>
      </c>
      <c r="Y266" s="86">
        <v>0.0</v>
      </c>
      <c r="Z266" s="86">
        <v>1.0</v>
      </c>
      <c r="AA266" s="86">
        <v>0.0</v>
      </c>
      <c r="AB266" s="86">
        <v>2.0</v>
      </c>
      <c r="AC266" s="86">
        <v>0.0</v>
      </c>
      <c r="AD266" s="86">
        <v>0.0</v>
      </c>
      <c r="AE266" s="86">
        <v>0.0</v>
      </c>
      <c r="AF266" s="86"/>
      <c r="AG266" s="95">
        <f t="shared" si="88"/>
        <v>74</v>
      </c>
    </row>
    <row r="267" outlineLevel="1">
      <c r="A267" s="213" t="s">
        <v>280</v>
      </c>
      <c r="B267" s="86">
        <v>36.0</v>
      </c>
      <c r="C267" s="86">
        <v>4.0</v>
      </c>
      <c r="D267" s="86">
        <v>7.0</v>
      </c>
      <c r="E267" s="86">
        <v>20.0</v>
      </c>
      <c r="F267" s="86">
        <v>10.0</v>
      </c>
      <c r="G267" s="86">
        <v>1.0</v>
      </c>
      <c r="H267" s="86">
        <v>2.0</v>
      </c>
      <c r="I267" s="86">
        <v>2.0</v>
      </c>
      <c r="J267" s="86">
        <v>1.0</v>
      </c>
      <c r="K267" s="86">
        <v>1.0</v>
      </c>
      <c r="L267" s="86">
        <v>4.0</v>
      </c>
      <c r="M267" s="86">
        <v>13.0</v>
      </c>
      <c r="N267" s="86">
        <v>1.0</v>
      </c>
      <c r="O267" s="86">
        <v>8.0</v>
      </c>
      <c r="P267" s="86">
        <v>0.0</v>
      </c>
      <c r="Q267" s="86">
        <v>2.0</v>
      </c>
      <c r="R267" s="86">
        <v>0.0</v>
      </c>
      <c r="S267" s="86">
        <v>2.0</v>
      </c>
      <c r="T267" s="159">
        <v>0.0</v>
      </c>
      <c r="U267" s="86">
        <v>1.0</v>
      </c>
      <c r="V267" s="86">
        <v>1.0</v>
      </c>
      <c r="W267" s="159">
        <v>0.0</v>
      </c>
      <c r="X267" s="86">
        <v>1.0</v>
      </c>
      <c r="Y267" s="86">
        <v>0.0</v>
      </c>
      <c r="Z267" s="86">
        <v>0.0</v>
      </c>
      <c r="AA267" s="86">
        <v>1.0</v>
      </c>
      <c r="AB267" s="86">
        <v>2.0</v>
      </c>
      <c r="AC267" s="86">
        <v>0.0</v>
      </c>
      <c r="AD267" s="86">
        <v>0.0</v>
      </c>
      <c r="AE267" s="86">
        <v>3.0</v>
      </c>
      <c r="AF267" s="86"/>
      <c r="AG267" s="95">
        <f t="shared" si="88"/>
        <v>123</v>
      </c>
    </row>
    <row r="268">
      <c r="A268" s="213" t="s">
        <v>214</v>
      </c>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156"/>
    </row>
    <row r="269" outlineLevel="1">
      <c r="A269" s="213" t="s">
        <v>281</v>
      </c>
      <c r="B269" s="165">
        <v>0.0</v>
      </c>
      <c r="C269" s="165">
        <v>0.0</v>
      </c>
      <c r="D269" s="165">
        <v>0.0</v>
      </c>
      <c r="E269" s="165">
        <v>0.0</v>
      </c>
      <c r="F269" s="165">
        <v>0.0</v>
      </c>
      <c r="G269" s="165">
        <v>0.0</v>
      </c>
      <c r="H269" s="165">
        <v>0.0</v>
      </c>
      <c r="I269" s="165">
        <v>0.0</v>
      </c>
      <c r="J269" s="165">
        <v>0.0</v>
      </c>
      <c r="K269" s="165">
        <v>0.0</v>
      </c>
      <c r="L269" s="165">
        <v>0.0</v>
      </c>
      <c r="M269" s="165">
        <v>0.0</v>
      </c>
      <c r="N269" s="165">
        <v>0.0</v>
      </c>
      <c r="O269" s="165">
        <v>0.0</v>
      </c>
      <c r="P269" s="165">
        <v>0.0</v>
      </c>
      <c r="Q269" s="165">
        <v>0.0</v>
      </c>
      <c r="R269" s="165">
        <v>0.0</v>
      </c>
      <c r="S269" s="165">
        <v>0.0</v>
      </c>
      <c r="T269" s="165">
        <v>0.0</v>
      </c>
      <c r="U269" s="165">
        <v>0.0</v>
      </c>
      <c r="V269" s="165">
        <v>0.0</v>
      </c>
      <c r="W269" s="165">
        <v>0.0</v>
      </c>
      <c r="X269" s="165">
        <v>0.0</v>
      </c>
      <c r="Y269" s="165">
        <v>0.0</v>
      </c>
      <c r="Z269" s="165">
        <v>0.0</v>
      </c>
      <c r="AA269" s="165">
        <v>0.0</v>
      </c>
      <c r="AB269" s="165">
        <v>0.0</v>
      </c>
      <c r="AC269" s="165">
        <v>0.0</v>
      </c>
      <c r="AD269" s="165">
        <v>0.0</v>
      </c>
      <c r="AE269" s="165">
        <v>0.0</v>
      </c>
      <c r="AF269" s="165"/>
      <c r="AG269" s="95">
        <f t="shared" ref="AG269:AG276" si="89">SUM(B269:AF269)</f>
        <v>0</v>
      </c>
    </row>
    <row r="270" outlineLevel="1">
      <c r="A270" s="213" t="s">
        <v>282</v>
      </c>
      <c r="B270" s="165">
        <v>0.0</v>
      </c>
      <c r="C270" s="165">
        <v>0.0</v>
      </c>
      <c r="D270" s="165">
        <v>0.0</v>
      </c>
      <c r="E270" s="165">
        <v>0.0</v>
      </c>
      <c r="F270" s="165">
        <v>0.0</v>
      </c>
      <c r="G270" s="165">
        <v>0.0</v>
      </c>
      <c r="H270" s="165">
        <v>0.0</v>
      </c>
      <c r="I270" s="165">
        <v>0.0</v>
      </c>
      <c r="J270" s="165">
        <v>0.0</v>
      </c>
      <c r="K270" s="165">
        <v>0.0</v>
      </c>
      <c r="L270" s="165">
        <v>0.0</v>
      </c>
      <c r="M270" s="165">
        <v>0.0</v>
      </c>
      <c r="N270" s="165">
        <v>0.0</v>
      </c>
      <c r="O270" s="165">
        <v>0.0</v>
      </c>
      <c r="P270" s="165">
        <v>0.0</v>
      </c>
      <c r="Q270" s="165">
        <v>0.0</v>
      </c>
      <c r="R270" s="165">
        <v>0.0</v>
      </c>
      <c r="S270" s="165">
        <v>0.0</v>
      </c>
      <c r="T270" s="165">
        <v>0.0</v>
      </c>
      <c r="U270" s="165">
        <v>0.0</v>
      </c>
      <c r="V270" s="165">
        <v>0.0</v>
      </c>
      <c r="W270" s="165">
        <v>0.0</v>
      </c>
      <c r="X270" s="165">
        <v>0.0</v>
      </c>
      <c r="Y270" s="165">
        <v>0.0</v>
      </c>
      <c r="Z270" s="165">
        <v>0.0</v>
      </c>
      <c r="AA270" s="165">
        <v>0.0</v>
      </c>
      <c r="AB270" s="165">
        <v>0.0</v>
      </c>
      <c r="AC270" s="165">
        <v>0.0</v>
      </c>
      <c r="AD270" s="165">
        <v>0.0</v>
      </c>
      <c r="AE270" s="165">
        <v>0.0</v>
      </c>
      <c r="AF270" s="165"/>
      <c r="AG270" s="95">
        <f t="shared" si="89"/>
        <v>0</v>
      </c>
    </row>
    <row r="271" outlineLevel="1">
      <c r="A271" s="213" t="s">
        <v>283</v>
      </c>
      <c r="B271" s="165">
        <v>0.0</v>
      </c>
      <c r="C271" s="165">
        <v>0.0</v>
      </c>
      <c r="D271" s="165">
        <v>0.0</v>
      </c>
      <c r="E271" s="165">
        <v>0.0</v>
      </c>
      <c r="F271" s="177">
        <v>0.0</v>
      </c>
      <c r="G271" s="177">
        <v>0.0</v>
      </c>
      <c r="H271" s="177">
        <v>0.0</v>
      </c>
      <c r="I271" s="177">
        <v>0.0</v>
      </c>
      <c r="J271" s="177">
        <v>0.0</v>
      </c>
      <c r="K271" s="177">
        <v>0.0</v>
      </c>
      <c r="L271" s="177">
        <v>0.0</v>
      </c>
      <c r="M271" s="177">
        <v>0.0</v>
      </c>
      <c r="N271" s="177">
        <v>0.0</v>
      </c>
      <c r="O271" s="177">
        <v>0.0</v>
      </c>
      <c r="P271" s="165">
        <v>0.0</v>
      </c>
      <c r="Q271" s="165">
        <v>0.0</v>
      </c>
      <c r="R271" s="165">
        <v>0.0</v>
      </c>
      <c r="S271" s="165">
        <v>0.0</v>
      </c>
      <c r="T271" s="165">
        <v>0.0</v>
      </c>
      <c r="U271" s="165">
        <v>0.0</v>
      </c>
      <c r="V271" s="165">
        <v>0.0</v>
      </c>
      <c r="W271" s="165">
        <v>0.0</v>
      </c>
      <c r="X271" s="165">
        <v>0.0</v>
      </c>
      <c r="Y271" s="165">
        <v>0.0</v>
      </c>
      <c r="Z271" s="165">
        <v>0.0</v>
      </c>
      <c r="AA271" s="165">
        <v>0.0</v>
      </c>
      <c r="AB271" s="165">
        <v>0.0</v>
      </c>
      <c r="AC271" s="165">
        <v>0.0</v>
      </c>
      <c r="AD271" s="165">
        <v>0.0</v>
      </c>
      <c r="AE271" s="165">
        <v>0.0</v>
      </c>
      <c r="AF271" s="165"/>
      <c r="AG271" s="95">
        <f t="shared" si="89"/>
        <v>0</v>
      </c>
    </row>
    <row r="272" outlineLevel="1">
      <c r="A272" s="213" t="s">
        <v>284</v>
      </c>
      <c r="B272" s="165">
        <v>0.0</v>
      </c>
      <c r="C272" s="165">
        <v>0.0</v>
      </c>
      <c r="D272" s="165">
        <v>0.0</v>
      </c>
      <c r="E272" s="165">
        <v>0.0</v>
      </c>
      <c r="F272" s="177">
        <v>0.0</v>
      </c>
      <c r="G272" s="177">
        <v>0.0</v>
      </c>
      <c r="H272" s="177">
        <v>0.0</v>
      </c>
      <c r="I272" s="177">
        <v>0.0</v>
      </c>
      <c r="J272" s="177">
        <v>0.0</v>
      </c>
      <c r="K272" s="177">
        <v>0.0</v>
      </c>
      <c r="L272" s="177">
        <v>0.0</v>
      </c>
      <c r="M272" s="177">
        <v>0.0</v>
      </c>
      <c r="N272" s="177">
        <v>0.0</v>
      </c>
      <c r="O272" s="177">
        <v>0.0</v>
      </c>
      <c r="P272" s="165">
        <v>0.0</v>
      </c>
      <c r="Q272" s="165">
        <v>1.0</v>
      </c>
      <c r="R272" s="165">
        <v>0.0</v>
      </c>
      <c r="S272" s="165">
        <v>0.0</v>
      </c>
      <c r="T272" s="165">
        <v>0.0</v>
      </c>
      <c r="U272" s="165">
        <v>0.0</v>
      </c>
      <c r="V272" s="165">
        <v>0.0</v>
      </c>
      <c r="W272" s="165">
        <v>0.0</v>
      </c>
      <c r="X272" s="165">
        <v>0.0</v>
      </c>
      <c r="Y272" s="165">
        <v>0.0</v>
      </c>
      <c r="Z272" s="165">
        <v>0.0</v>
      </c>
      <c r="AA272" s="165">
        <v>0.0</v>
      </c>
      <c r="AB272" s="165">
        <v>0.0</v>
      </c>
      <c r="AC272" s="165">
        <v>0.0</v>
      </c>
      <c r="AD272" s="165">
        <v>0.0</v>
      </c>
      <c r="AE272" s="165">
        <v>0.0</v>
      </c>
      <c r="AF272" s="165"/>
      <c r="AG272" s="95">
        <f t="shared" si="89"/>
        <v>1</v>
      </c>
    </row>
    <row r="273" outlineLevel="1">
      <c r="A273" s="213" t="s">
        <v>285</v>
      </c>
      <c r="B273" s="159">
        <v>0.0</v>
      </c>
      <c r="C273" s="159">
        <v>0.0</v>
      </c>
      <c r="D273" s="159">
        <v>0.0</v>
      </c>
      <c r="E273" s="159">
        <v>0.0</v>
      </c>
      <c r="F273" s="159">
        <v>0.0</v>
      </c>
      <c r="G273" s="159">
        <v>0.0</v>
      </c>
      <c r="H273" s="159">
        <v>0.0</v>
      </c>
      <c r="I273" s="159">
        <v>0.0</v>
      </c>
      <c r="J273" s="159">
        <v>0.0</v>
      </c>
      <c r="K273" s="159">
        <v>0.0</v>
      </c>
      <c r="L273" s="159">
        <v>0.0</v>
      </c>
      <c r="M273" s="159">
        <v>0.0</v>
      </c>
      <c r="N273" s="159">
        <v>0.0</v>
      </c>
      <c r="O273" s="159">
        <v>0.0</v>
      </c>
      <c r="P273" s="159">
        <v>0.0</v>
      </c>
      <c r="Q273" s="159">
        <v>0.0</v>
      </c>
      <c r="R273" s="159">
        <v>0.0</v>
      </c>
      <c r="S273" s="159">
        <v>0.0</v>
      </c>
      <c r="T273" s="159">
        <v>0.0</v>
      </c>
      <c r="U273" s="159">
        <v>0.0</v>
      </c>
      <c r="V273" s="159">
        <v>0.0</v>
      </c>
      <c r="W273" s="159">
        <v>0.0</v>
      </c>
      <c r="X273" s="159">
        <v>0.0</v>
      </c>
      <c r="Y273" s="159">
        <v>0.0</v>
      </c>
      <c r="Z273" s="159">
        <v>0.0</v>
      </c>
      <c r="AA273" s="159">
        <v>0.0</v>
      </c>
      <c r="AB273" s="86">
        <v>0.0</v>
      </c>
      <c r="AC273" s="159">
        <v>0.0</v>
      </c>
      <c r="AD273" s="159">
        <v>0.0</v>
      </c>
      <c r="AE273" s="159">
        <v>0.0</v>
      </c>
      <c r="AF273" s="159"/>
      <c r="AG273" s="95">
        <f t="shared" si="89"/>
        <v>0</v>
      </c>
    </row>
    <row r="274" outlineLevel="1">
      <c r="A274" s="213" t="s">
        <v>286</v>
      </c>
      <c r="B274" s="159">
        <v>0.0</v>
      </c>
      <c r="C274" s="159">
        <v>0.0</v>
      </c>
      <c r="D274" s="159">
        <v>0.0</v>
      </c>
      <c r="E274" s="159">
        <v>0.0</v>
      </c>
      <c r="F274" s="159">
        <v>0.0</v>
      </c>
      <c r="G274" s="159">
        <v>0.0</v>
      </c>
      <c r="H274" s="159">
        <v>0.0</v>
      </c>
      <c r="I274" s="159">
        <v>0.0</v>
      </c>
      <c r="J274" s="159">
        <v>0.0</v>
      </c>
      <c r="K274" s="159">
        <v>0.0</v>
      </c>
      <c r="L274" s="159">
        <v>0.0</v>
      </c>
      <c r="M274" s="159">
        <v>0.0</v>
      </c>
      <c r="N274" s="159">
        <v>0.0</v>
      </c>
      <c r="O274" s="159">
        <v>0.0</v>
      </c>
      <c r="P274" s="159">
        <v>0.0</v>
      </c>
      <c r="Q274" s="159">
        <v>0.0</v>
      </c>
      <c r="R274" s="159">
        <v>0.0</v>
      </c>
      <c r="S274" s="159">
        <v>0.0</v>
      </c>
      <c r="T274" s="159">
        <v>0.0</v>
      </c>
      <c r="U274" s="159">
        <v>0.0</v>
      </c>
      <c r="V274" s="159">
        <v>0.0</v>
      </c>
      <c r="W274" s="159">
        <v>0.0</v>
      </c>
      <c r="X274" s="159">
        <v>0.0</v>
      </c>
      <c r="Y274" s="159">
        <v>0.0</v>
      </c>
      <c r="Z274" s="159">
        <v>0.0</v>
      </c>
      <c r="AA274" s="159">
        <v>0.0</v>
      </c>
      <c r="AB274" s="86">
        <v>0.0</v>
      </c>
      <c r="AC274" s="159">
        <v>0.0</v>
      </c>
      <c r="AD274" s="159">
        <v>0.0</v>
      </c>
      <c r="AE274" s="159">
        <v>0.0</v>
      </c>
      <c r="AF274" s="159"/>
      <c r="AG274" s="95">
        <f t="shared" si="89"/>
        <v>0</v>
      </c>
    </row>
    <row r="275">
      <c r="A275" s="215" t="s">
        <v>221</v>
      </c>
      <c r="B275" s="216">
        <f t="shared" ref="B275:AF275" si="90">SUM(B262,B263,B269,B270)</f>
        <v>3</v>
      </c>
      <c r="C275" s="216">
        <f t="shared" si="90"/>
        <v>0</v>
      </c>
      <c r="D275" s="216">
        <f t="shared" si="90"/>
        <v>0</v>
      </c>
      <c r="E275" s="216">
        <f t="shared" si="90"/>
        <v>0</v>
      </c>
      <c r="F275" s="216">
        <f t="shared" si="90"/>
        <v>3</v>
      </c>
      <c r="G275" s="216">
        <f t="shared" si="90"/>
        <v>1</v>
      </c>
      <c r="H275" s="216">
        <f t="shared" si="90"/>
        <v>0</v>
      </c>
      <c r="I275" s="216">
        <f t="shared" si="90"/>
        <v>0</v>
      </c>
      <c r="J275" s="216">
        <f t="shared" si="90"/>
        <v>0</v>
      </c>
      <c r="K275" s="216">
        <f t="shared" si="90"/>
        <v>0</v>
      </c>
      <c r="L275" s="216">
        <f t="shared" si="90"/>
        <v>0</v>
      </c>
      <c r="M275" s="216">
        <f t="shared" si="90"/>
        <v>0</v>
      </c>
      <c r="N275" s="216">
        <f t="shared" si="90"/>
        <v>3</v>
      </c>
      <c r="O275" s="216">
        <f t="shared" si="90"/>
        <v>0</v>
      </c>
      <c r="P275" s="216">
        <f t="shared" si="90"/>
        <v>0</v>
      </c>
      <c r="Q275" s="216">
        <f t="shared" si="90"/>
        <v>1</v>
      </c>
      <c r="R275" s="216">
        <f t="shared" si="90"/>
        <v>0</v>
      </c>
      <c r="S275" s="216">
        <f t="shared" si="90"/>
        <v>0</v>
      </c>
      <c r="T275" s="216">
        <f t="shared" si="90"/>
        <v>0</v>
      </c>
      <c r="U275" s="216">
        <f t="shared" si="90"/>
        <v>0</v>
      </c>
      <c r="V275" s="216">
        <f t="shared" si="90"/>
        <v>0</v>
      </c>
      <c r="W275" s="216">
        <f t="shared" si="90"/>
        <v>0</v>
      </c>
      <c r="X275" s="216">
        <f t="shared" si="90"/>
        <v>0</v>
      </c>
      <c r="Y275" s="216">
        <f t="shared" si="90"/>
        <v>0</v>
      </c>
      <c r="Z275" s="216">
        <f t="shared" si="90"/>
        <v>0</v>
      </c>
      <c r="AA275" s="216">
        <f t="shared" si="90"/>
        <v>1</v>
      </c>
      <c r="AB275" s="216">
        <f t="shared" si="90"/>
        <v>0</v>
      </c>
      <c r="AC275" s="216">
        <f t="shared" si="90"/>
        <v>0</v>
      </c>
      <c r="AD275" s="216">
        <f t="shared" si="90"/>
        <v>0</v>
      </c>
      <c r="AE275" s="216">
        <f t="shared" si="90"/>
        <v>0</v>
      </c>
      <c r="AF275" s="216">
        <f t="shared" si="90"/>
        <v>0</v>
      </c>
      <c r="AG275" s="95">
        <f t="shared" si="89"/>
        <v>12</v>
      </c>
    </row>
    <row r="276">
      <c r="A276" s="215" t="s">
        <v>222</v>
      </c>
      <c r="B276" s="216">
        <f t="shared" ref="B276:AF276" si="91">SUM(B264,B265,B271,B272)</f>
        <v>1</v>
      </c>
      <c r="C276" s="216">
        <f t="shared" si="91"/>
        <v>1</v>
      </c>
      <c r="D276" s="216">
        <f t="shared" si="91"/>
        <v>0</v>
      </c>
      <c r="E276" s="216">
        <f t="shared" si="91"/>
        <v>0</v>
      </c>
      <c r="F276" s="216">
        <f t="shared" si="91"/>
        <v>0</v>
      </c>
      <c r="G276" s="216">
        <f t="shared" si="91"/>
        <v>0</v>
      </c>
      <c r="H276" s="216">
        <f t="shared" si="91"/>
        <v>0</v>
      </c>
      <c r="I276" s="216">
        <f t="shared" si="91"/>
        <v>2</v>
      </c>
      <c r="J276" s="216">
        <f t="shared" si="91"/>
        <v>0</v>
      </c>
      <c r="K276" s="216">
        <f t="shared" si="91"/>
        <v>0</v>
      </c>
      <c r="L276" s="216">
        <f t="shared" si="91"/>
        <v>1</v>
      </c>
      <c r="M276" s="216">
        <f t="shared" si="91"/>
        <v>1</v>
      </c>
      <c r="N276" s="216">
        <f t="shared" si="91"/>
        <v>0</v>
      </c>
      <c r="O276" s="216">
        <f t="shared" si="91"/>
        <v>1</v>
      </c>
      <c r="P276" s="216">
        <f t="shared" si="91"/>
        <v>0</v>
      </c>
      <c r="Q276" s="216">
        <f t="shared" si="91"/>
        <v>1</v>
      </c>
      <c r="R276" s="216">
        <f t="shared" si="91"/>
        <v>0</v>
      </c>
      <c r="S276" s="216">
        <f t="shared" si="91"/>
        <v>0</v>
      </c>
      <c r="T276" s="216">
        <f t="shared" si="91"/>
        <v>0</v>
      </c>
      <c r="U276" s="216">
        <f t="shared" si="91"/>
        <v>1</v>
      </c>
      <c r="V276" s="216">
        <f t="shared" si="91"/>
        <v>0</v>
      </c>
      <c r="W276" s="216">
        <f t="shared" si="91"/>
        <v>0</v>
      </c>
      <c r="X276" s="216">
        <f t="shared" si="91"/>
        <v>1</v>
      </c>
      <c r="Y276" s="216">
        <f t="shared" si="91"/>
        <v>0</v>
      </c>
      <c r="Z276" s="216">
        <f t="shared" si="91"/>
        <v>0</v>
      </c>
      <c r="AA276" s="216">
        <f t="shared" si="91"/>
        <v>1</v>
      </c>
      <c r="AB276" s="216">
        <f t="shared" si="91"/>
        <v>0</v>
      </c>
      <c r="AC276" s="216">
        <f t="shared" si="91"/>
        <v>0</v>
      </c>
      <c r="AD276" s="216">
        <f t="shared" si="91"/>
        <v>0</v>
      </c>
      <c r="AE276" s="216">
        <f t="shared" si="91"/>
        <v>0</v>
      </c>
      <c r="AF276" s="216">
        <f t="shared" si="91"/>
        <v>0</v>
      </c>
      <c r="AG276" s="95">
        <f t="shared" si="89"/>
        <v>11</v>
      </c>
    </row>
    <row r="277">
      <c r="A277" s="100"/>
      <c r="B277" s="130"/>
      <c r="C277" s="130"/>
      <c r="D277" s="130"/>
      <c r="E277" s="130"/>
      <c r="F277" s="130"/>
      <c r="G277" s="130"/>
      <c r="H277" s="130"/>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156"/>
    </row>
    <row r="278">
      <c r="A278" s="213" t="s">
        <v>223</v>
      </c>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c r="AG278" s="156"/>
    </row>
    <row r="279" outlineLevel="1">
      <c r="A279" s="213" t="s">
        <v>224</v>
      </c>
      <c r="B279" s="165">
        <v>3.0</v>
      </c>
      <c r="C279" s="165">
        <v>1.0</v>
      </c>
      <c r="D279" s="165">
        <v>0.0</v>
      </c>
      <c r="E279" s="165">
        <v>0.0</v>
      </c>
      <c r="F279" s="165">
        <v>0.0</v>
      </c>
      <c r="G279" s="165">
        <v>1.0</v>
      </c>
      <c r="H279" s="165">
        <v>0.0</v>
      </c>
      <c r="I279" s="165">
        <v>1.0</v>
      </c>
      <c r="J279" s="165">
        <v>0.0</v>
      </c>
      <c r="K279" s="165">
        <v>0.0</v>
      </c>
      <c r="L279" s="165">
        <v>0.0</v>
      </c>
      <c r="M279" s="165">
        <v>1.0</v>
      </c>
      <c r="N279" s="165">
        <v>0.0</v>
      </c>
      <c r="O279" s="165">
        <v>0.0</v>
      </c>
      <c r="P279" s="165">
        <v>0.0</v>
      </c>
      <c r="Q279" s="165">
        <v>0.0</v>
      </c>
      <c r="R279" s="165">
        <v>0.0</v>
      </c>
      <c r="S279" s="165">
        <v>0.0</v>
      </c>
      <c r="T279" s="165">
        <v>0.0</v>
      </c>
      <c r="U279" s="165">
        <v>0.0</v>
      </c>
      <c r="V279" s="165">
        <v>0.0</v>
      </c>
      <c r="W279" s="165">
        <v>0.0</v>
      </c>
      <c r="X279" s="165">
        <v>0.0</v>
      </c>
      <c r="Y279" s="165">
        <v>0.0</v>
      </c>
      <c r="Z279" s="165">
        <v>0.0</v>
      </c>
      <c r="AA279" s="165">
        <v>0.0</v>
      </c>
      <c r="AB279" s="165">
        <v>1.0</v>
      </c>
      <c r="AC279" s="165">
        <v>0.0</v>
      </c>
      <c r="AD279" s="165">
        <v>0.0</v>
      </c>
      <c r="AE279" s="165">
        <v>0.0</v>
      </c>
      <c r="AF279" s="165"/>
      <c r="AG279" s="95">
        <f t="shared" ref="AG279:AG289" si="92">SUM(B279:AF279)</f>
        <v>8</v>
      </c>
    </row>
    <row r="280" outlineLevel="1">
      <c r="A280" s="213" t="s">
        <v>225</v>
      </c>
      <c r="B280" s="165">
        <v>0.0</v>
      </c>
      <c r="C280" s="165">
        <v>0.0</v>
      </c>
      <c r="D280" s="165">
        <v>0.0</v>
      </c>
      <c r="E280" s="165">
        <v>0.0</v>
      </c>
      <c r="F280" s="165">
        <v>1.0</v>
      </c>
      <c r="G280" s="165">
        <v>0.0</v>
      </c>
      <c r="H280" s="165">
        <v>0.0</v>
      </c>
      <c r="I280" s="165">
        <v>0.0</v>
      </c>
      <c r="J280" s="165">
        <v>0.0</v>
      </c>
      <c r="K280" s="165">
        <v>0.0</v>
      </c>
      <c r="L280" s="165">
        <v>0.0</v>
      </c>
      <c r="M280" s="165">
        <v>0.0</v>
      </c>
      <c r="N280" s="165">
        <v>0.0</v>
      </c>
      <c r="O280" s="165">
        <v>0.0</v>
      </c>
      <c r="P280" s="165">
        <v>0.0</v>
      </c>
      <c r="Q280" s="165">
        <v>0.0</v>
      </c>
      <c r="R280" s="165">
        <v>0.0</v>
      </c>
      <c r="S280" s="165">
        <v>0.0</v>
      </c>
      <c r="T280" s="165">
        <v>0.0</v>
      </c>
      <c r="U280" s="165">
        <v>1.0</v>
      </c>
      <c r="V280" s="165">
        <v>0.0</v>
      </c>
      <c r="W280" s="165">
        <v>0.0</v>
      </c>
      <c r="X280" s="165">
        <v>1.0</v>
      </c>
      <c r="Y280" s="165">
        <v>0.0</v>
      </c>
      <c r="Z280" s="165">
        <v>0.0</v>
      </c>
      <c r="AA280" s="165">
        <v>0.0</v>
      </c>
      <c r="AB280" s="165">
        <v>0.0</v>
      </c>
      <c r="AC280" s="165">
        <v>0.0</v>
      </c>
      <c r="AD280" s="165">
        <v>0.0</v>
      </c>
      <c r="AE280" s="165">
        <v>0.0</v>
      </c>
      <c r="AF280" s="165"/>
      <c r="AG280" s="95">
        <f t="shared" si="92"/>
        <v>3</v>
      </c>
    </row>
    <row r="281" outlineLevel="1">
      <c r="A281" s="213" t="s">
        <v>287</v>
      </c>
      <c r="B281" s="165">
        <v>0.0</v>
      </c>
      <c r="C281" s="165">
        <v>1.0</v>
      </c>
      <c r="D281" s="165">
        <v>0.0</v>
      </c>
      <c r="E281" s="165">
        <v>0.0</v>
      </c>
      <c r="F281" s="165">
        <v>1.0</v>
      </c>
      <c r="G281" s="165">
        <v>0.0</v>
      </c>
      <c r="H281" s="165">
        <v>0.0</v>
      </c>
      <c r="I281" s="165">
        <v>0.0</v>
      </c>
      <c r="J281" s="165">
        <v>0.0</v>
      </c>
      <c r="K281" s="165">
        <v>0.0</v>
      </c>
      <c r="L281" s="165">
        <v>0.0</v>
      </c>
      <c r="M281" s="165">
        <v>0.0</v>
      </c>
      <c r="N281" s="165">
        <v>1.0</v>
      </c>
      <c r="O281" s="165">
        <v>0.0</v>
      </c>
      <c r="P281" s="165">
        <v>0.0</v>
      </c>
      <c r="Q281" s="165">
        <v>0.0</v>
      </c>
      <c r="R281" s="165">
        <v>0.0</v>
      </c>
      <c r="S281" s="165">
        <v>0.0</v>
      </c>
      <c r="T281" s="165">
        <v>0.0</v>
      </c>
      <c r="U281" s="165">
        <v>1.0</v>
      </c>
      <c r="V281" s="165">
        <v>0.0</v>
      </c>
      <c r="W281" s="165">
        <v>0.0</v>
      </c>
      <c r="X281" s="165">
        <v>0.0</v>
      </c>
      <c r="Y281" s="165">
        <v>0.0</v>
      </c>
      <c r="Z281" s="165">
        <v>0.0</v>
      </c>
      <c r="AA281" s="165">
        <v>0.0</v>
      </c>
      <c r="AB281" s="165">
        <v>0.0</v>
      </c>
      <c r="AC281" s="165">
        <v>0.0</v>
      </c>
      <c r="AD281" s="165">
        <v>0.0</v>
      </c>
      <c r="AE281" s="165">
        <v>0.0</v>
      </c>
      <c r="AF281" s="165"/>
      <c r="AG281" s="95">
        <f t="shared" si="92"/>
        <v>4</v>
      </c>
    </row>
    <row r="282" outlineLevel="1">
      <c r="A282" s="213" t="s">
        <v>288</v>
      </c>
      <c r="B282" s="165">
        <v>0.0</v>
      </c>
      <c r="C282" s="165">
        <v>0.0</v>
      </c>
      <c r="D282" s="165">
        <v>0.0</v>
      </c>
      <c r="E282" s="165">
        <v>0.0</v>
      </c>
      <c r="F282" s="165">
        <v>0.0</v>
      </c>
      <c r="G282" s="165">
        <v>0.0</v>
      </c>
      <c r="H282" s="165">
        <v>1.0</v>
      </c>
      <c r="I282" s="165">
        <v>0.0</v>
      </c>
      <c r="J282" s="165">
        <v>0.0</v>
      </c>
      <c r="K282" s="165">
        <v>0.0</v>
      </c>
      <c r="L282" s="165">
        <v>0.0</v>
      </c>
      <c r="M282" s="165">
        <v>0.0</v>
      </c>
      <c r="N282" s="165">
        <v>0.0</v>
      </c>
      <c r="O282" s="165">
        <v>0.0</v>
      </c>
      <c r="P282" s="165">
        <v>0.0</v>
      </c>
      <c r="Q282" s="165">
        <v>0.0</v>
      </c>
      <c r="R282" s="165">
        <v>0.0</v>
      </c>
      <c r="S282" s="165">
        <v>0.0</v>
      </c>
      <c r="T282" s="165">
        <v>0.0</v>
      </c>
      <c r="U282" s="165">
        <v>0.0</v>
      </c>
      <c r="V282" s="165">
        <v>0.0</v>
      </c>
      <c r="W282" s="165">
        <v>0.0</v>
      </c>
      <c r="X282" s="165">
        <v>0.0</v>
      </c>
      <c r="Y282" s="165">
        <v>0.0</v>
      </c>
      <c r="Z282" s="165">
        <v>0.0</v>
      </c>
      <c r="AA282" s="165">
        <v>0.0</v>
      </c>
      <c r="AB282" s="165">
        <v>0.0</v>
      </c>
      <c r="AC282" s="165">
        <v>0.0</v>
      </c>
      <c r="AD282" s="165">
        <v>0.0</v>
      </c>
      <c r="AE282" s="165">
        <v>0.0</v>
      </c>
      <c r="AF282" s="165"/>
      <c r="AG282" s="95">
        <f t="shared" si="92"/>
        <v>1</v>
      </c>
    </row>
    <row r="283" outlineLevel="1">
      <c r="A283" s="213" t="s">
        <v>289</v>
      </c>
      <c r="B283" s="165">
        <v>0.0</v>
      </c>
      <c r="C283" s="165">
        <v>0.0</v>
      </c>
      <c r="D283" s="165">
        <v>1.0</v>
      </c>
      <c r="E283" s="165">
        <v>1.0</v>
      </c>
      <c r="F283" s="165">
        <v>0.0</v>
      </c>
      <c r="G283" s="165">
        <v>0.0</v>
      </c>
      <c r="H283" s="165">
        <v>0.0</v>
      </c>
      <c r="I283" s="165">
        <v>0.0</v>
      </c>
      <c r="J283" s="165">
        <v>0.0</v>
      </c>
      <c r="K283" s="165">
        <v>0.0</v>
      </c>
      <c r="L283" s="165">
        <v>1.0</v>
      </c>
      <c r="M283" s="165">
        <v>0.0</v>
      </c>
      <c r="N283" s="165">
        <v>0.0</v>
      </c>
      <c r="O283" s="165">
        <v>0.0</v>
      </c>
      <c r="P283" s="165">
        <v>0.0</v>
      </c>
      <c r="Q283" s="165">
        <v>0.0</v>
      </c>
      <c r="R283" s="165">
        <v>0.0</v>
      </c>
      <c r="S283" s="165">
        <v>0.0</v>
      </c>
      <c r="T283" s="165">
        <v>0.0</v>
      </c>
      <c r="U283" s="165">
        <v>0.0</v>
      </c>
      <c r="V283" s="165">
        <v>0.0</v>
      </c>
      <c r="W283" s="165">
        <v>0.0</v>
      </c>
      <c r="X283" s="165">
        <v>0.0</v>
      </c>
      <c r="Y283" s="165">
        <v>0.0</v>
      </c>
      <c r="Z283" s="165">
        <v>0.0</v>
      </c>
      <c r="AA283" s="165">
        <v>0.0</v>
      </c>
      <c r="AB283" s="165">
        <v>0.0</v>
      </c>
      <c r="AC283" s="165">
        <v>0.0</v>
      </c>
      <c r="AD283" s="165">
        <v>0.0</v>
      </c>
      <c r="AE283" s="165">
        <v>0.0</v>
      </c>
      <c r="AF283" s="165"/>
      <c r="AG283" s="95">
        <f t="shared" si="92"/>
        <v>3</v>
      </c>
    </row>
    <row r="284" outlineLevel="1">
      <c r="A284" s="213" t="s">
        <v>290</v>
      </c>
      <c r="B284" s="165">
        <v>0.0</v>
      </c>
      <c r="C284" s="165">
        <v>0.0</v>
      </c>
      <c r="D284" s="165">
        <v>0.0</v>
      </c>
      <c r="E284" s="165">
        <v>0.0</v>
      </c>
      <c r="F284" s="165">
        <v>0.0</v>
      </c>
      <c r="G284" s="165">
        <v>0.0</v>
      </c>
      <c r="H284" s="165">
        <v>1.0</v>
      </c>
      <c r="I284" s="165">
        <v>0.0</v>
      </c>
      <c r="J284" s="165">
        <v>0.0</v>
      </c>
      <c r="K284" s="165">
        <v>0.0</v>
      </c>
      <c r="L284" s="165">
        <v>0.0</v>
      </c>
      <c r="M284" s="165">
        <v>0.0</v>
      </c>
      <c r="N284" s="165">
        <v>0.0</v>
      </c>
      <c r="O284" s="165">
        <v>0.0</v>
      </c>
      <c r="P284" s="165">
        <v>0.0</v>
      </c>
      <c r="Q284" s="165">
        <v>0.0</v>
      </c>
      <c r="R284" s="165">
        <v>0.0</v>
      </c>
      <c r="S284" s="165">
        <v>0.0</v>
      </c>
      <c r="T284" s="165">
        <v>0.0</v>
      </c>
      <c r="U284" s="165">
        <v>0.0</v>
      </c>
      <c r="V284" s="165">
        <v>0.0</v>
      </c>
      <c r="W284" s="165">
        <v>0.0</v>
      </c>
      <c r="X284" s="165">
        <v>0.0</v>
      </c>
      <c r="Y284" s="165">
        <v>0.0</v>
      </c>
      <c r="Z284" s="165">
        <v>0.0</v>
      </c>
      <c r="AA284" s="165">
        <v>0.0</v>
      </c>
      <c r="AB284" s="165">
        <v>0.0</v>
      </c>
      <c r="AC284" s="165">
        <v>0.0</v>
      </c>
      <c r="AD284" s="165">
        <v>0.0</v>
      </c>
      <c r="AE284" s="165">
        <v>0.0</v>
      </c>
      <c r="AF284" s="165"/>
      <c r="AG284" s="95">
        <f t="shared" si="92"/>
        <v>1</v>
      </c>
    </row>
    <row r="285" outlineLevel="1">
      <c r="A285" s="213" t="s">
        <v>291</v>
      </c>
      <c r="B285" s="165">
        <v>0.0</v>
      </c>
      <c r="C285" s="165">
        <v>1.0</v>
      </c>
      <c r="D285" s="165">
        <v>0.0</v>
      </c>
      <c r="E285" s="165">
        <v>0.0</v>
      </c>
      <c r="F285" s="165">
        <v>2.0</v>
      </c>
      <c r="G285" s="165">
        <v>0.0</v>
      </c>
      <c r="H285" s="165">
        <v>0.0</v>
      </c>
      <c r="I285" s="165">
        <v>0.0</v>
      </c>
      <c r="J285" s="165">
        <v>0.0</v>
      </c>
      <c r="K285" s="165">
        <v>0.0</v>
      </c>
      <c r="L285" s="165">
        <v>2.0</v>
      </c>
      <c r="M285" s="165">
        <v>0.0</v>
      </c>
      <c r="N285" s="165">
        <v>0.0</v>
      </c>
      <c r="O285" s="165">
        <v>0.0</v>
      </c>
      <c r="P285" s="165">
        <v>0.0</v>
      </c>
      <c r="Q285" s="165">
        <v>0.0</v>
      </c>
      <c r="R285" s="165">
        <v>0.0</v>
      </c>
      <c r="S285" s="165">
        <v>0.0</v>
      </c>
      <c r="T285" s="165">
        <v>0.0</v>
      </c>
      <c r="U285" s="165">
        <v>0.0</v>
      </c>
      <c r="V285" s="165">
        <v>0.0</v>
      </c>
      <c r="W285" s="165">
        <v>0.0</v>
      </c>
      <c r="X285" s="165">
        <v>0.0</v>
      </c>
      <c r="Y285" s="165">
        <v>0.0</v>
      </c>
      <c r="Z285" s="165">
        <v>0.0</v>
      </c>
      <c r="AA285" s="165">
        <v>0.0</v>
      </c>
      <c r="AB285" s="165">
        <v>0.0</v>
      </c>
      <c r="AC285" s="165">
        <v>0.0</v>
      </c>
      <c r="AD285" s="165">
        <v>0.0</v>
      </c>
      <c r="AE285" s="165">
        <v>0.0</v>
      </c>
      <c r="AF285" s="165"/>
      <c r="AG285" s="95">
        <f t="shared" si="92"/>
        <v>5</v>
      </c>
    </row>
    <row r="286" outlineLevel="1">
      <c r="A286" s="213" t="s">
        <v>292</v>
      </c>
      <c r="B286" s="165">
        <v>0.0</v>
      </c>
      <c r="C286" s="165">
        <v>0.0</v>
      </c>
      <c r="D286" s="165">
        <v>0.0</v>
      </c>
      <c r="E286" s="165">
        <v>0.0</v>
      </c>
      <c r="F286" s="165">
        <v>0.0</v>
      </c>
      <c r="G286" s="165">
        <v>0.0</v>
      </c>
      <c r="H286" s="165">
        <v>0.0</v>
      </c>
      <c r="I286" s="165">
        <v>0.0</v>
      </c>
      <c r="J286" s="165">
        <v>0.0</v>
      </c>
      <c r="K286" s="165">
        <v>0.0</v>
      </c>
      <c r="L286" s="165">
        <v>0.0</v>
      </c>
      <c r="M286" s="165">
        <v>0.0</v>
      </c>
      <c r="N286" s="165">
        <v>1.0</v>
      </c>
      <c r="O286" s="165">
        <v>0.0</v>
      </c>
      <c r="P286" s="165">
        <v>0.0</v>
      </c>
      <c r="Q286" s="165">
        <v>0.0</v>
      </c>
      <c r="R286" s="165">
        <v>0.0</v>
      </c>
      <c r="S286" s="165">
        <v>0.0</v>
      </c>
      <c r="T286" s="165">
        <v>0.0</v>
      </c>
      <c r="U286" s="165">
        <v>0.0</v>
      </c>
      <c r="V286" s="165">
        <v>0.0</v>
      </c>
      <c r="W286" s="165">
        <v>0.0</v>
      </c>
      <c r="X286" s="165">
        <v>1.0</v>
      </c>
      <c r="Y286" s="165">
        <v>0.0</v>
      </c>
      <c r="Z286" s="165">
        <v>0.0</v>
      </c>
      <c r="AA286" s="165">
        <v>0.0</v>
      </c>
      <c r="AB286" s="165">
        <v>0.0</v>
      </c>
      <c r="AC286" s="165">
        <v>0.0</v>
      </c>
      <c r="AD286" s="165">
        <v>0.0</v>
      </c>
      <c r="AE286" s="165">
        <v>0.0</v>
      </c>
      <c r="AF286" s="165"/>
      <c r="AG286" s="95">
        <f t="shared" si="92"/>
        <v>2</v>
      </c>
    </row>
    <row r="287" outlineLevel="1">
      <c r="A287" s="213" t="s">
        <v>293</v>
      </c>
      <c r="B287" s="159">
        <v>0.0</v>
      </c>
      <c r="C287" s="159">
        <v>0.0</v>
      </c>
      <c r="D287" s="159">
        <v>0.0</v>
      </c>
      <c r="E287" s="159">
        <v>0.0</v>
      </c>
      <c r="F287" s="159">
        <v>0.0</v>
      </c>
      <c r="G287" s="159">
        <v>0.0</v>
      </c>
      <c r="H287" s="159">
        <v>0.0</v>
      </c>
      <c r="I287" s="159">
        <v>0.0</v>
      </c>
      <c r="J287" s="159">
        <v>0.0</v>
      </c>
      <c r="K287" s="159">
        <v>0.0</v>
      </c>
      <c r="L287" s="159">
        <v>0.0</v>
      </c>
      <c r="M287" s="159">
        <v>0.0</v>
      </c>
      <c r="N287" s="159">
        <v>0.0</v>
      </c>
      <c r="O287" s="159">
        <v>0.0</v>
      </c>
      <c r="P287" s="159">
        <v>0.0</v>
      </c>
      <c r="Q287" s="159">
        <v>0.0</v>
      </c>
      <c r="R287" s="159">
        <v>0.0</v>
      </c>
      <c r="S287" s="159">
        <v>0.0</v>
      </c>
      <c r="T287" s="159">
        <v>0.0</v>
      </c>
      <c r="U287" s="159">
        <v>0.0</v>
      </c>
      <c r="V287" s="159">
        <v>0.0</v>
      </c>
      <c r="W287" s="159">
        <v>0.0</v>
      </c>
      <c r="X287" s="159">
        <v>0.0</v>
      </c>
      <c r="Y287" s="159">
        <v>0.0</v>
      </c>
      <c r="Z287" s="159">
        <v>0.0</v>
      </c>
      <c r="AA287" s="159">
        <v>1.0</v>
      </c>
      <c r="AB287" s="86">
        <v>0.0</v>
      </c>
      <c r="AC287" s="86">
        <v>0.0</v>
      </c>
      <c r="AD287" s="159">
        <v>0.0</v>
      </c>
      <c r="AE287" s="159">
        <v>0.0</v>
      </c>
      <c r="AF287" s="159"/>
      <c r="AG287" s="95">
        <f t="shared" si="92"/>
        <v>1</v>
      </c>
    </row>
    <row r="288" outlineLevel="1">
      <c r="A288" s="213" t="s">
        <v>294</v>
      </c>
      <c r="B288" s="159">
        <v>0.0</v>
      </c>
      <c r="C288" s="159">
        <v>0.0</v>
      </c>
      <c r="D288" s="159">
        <v>0.0</v>
      </c>
      <c r="E288" s="159">
        <v>0.0</v>
      </c>
      <c r="F288" s="159">
        <v>0.0</v>
      </c>
      <c r="G288" s="159">
        <v>0.0</v>
      </c>
      <c r="H288" s="159">
        <v>0.0</v>
      </c>
      <c r="I288" s="159">
        <v>0.0</v>
      </c>
      <c r="J288" s="159">
        <v>0.0</v>
      </c>
      <c r="K288" s="159">
        <v>1.0</v>
      </c>
      <c r="L288" s="159">
        <v>0.0</v>
      </c>
      <c r="M288" s="159">
        <v>0.0</v>
      </c>
      <c r="N288" s="159">
        <v>0.0</v>
      </c>
      <c r="O288" s="159">
        <v>0.0</v>
      </c>
      <c r="P288" s="159">
        <v>0.0</v>
      </c>
      <c r="Q288" s="159">
        <v>0.0</v>
      </c>
      <c r="R288" s="159">
        <v>0.0</v>
      </c>
      <c r="S288" s="159">
        <v>0.0</v>
      </c>
      <c r="T288" s="159">
        <v>0.0</v>
      </c>
      <c r="U288" s="159">
        <v>0.0</v>
      </c>
      <c r="V288" s="159">
        <v>0.0</v>
      </c>
      <c r="W288" s="159">
        <v>0.0</v>
      </c>
      <c r="X288" s="159">
        <v>0.0</v>
      </c>
      <c r="Y288" s="159">
        <v>0.0</v>
      </c>
      <c r="Z288" s="159">
        <v>0.0</v>
      </c>
      <c r="AA288" s="159">
        <v>0.0</v>
      </c>
      <c r="AB288" s="86">
        <v>0.0</v>
      </c>
      <c r="AC288" s="86">
        <v>0.0</v>
      </c>
      <c r="AD288" s="159">
        <v>0.0</v>
      </c>
      <c r="AE288" s="159">
        <v>0.0</v>
      </c>
      <c r="AF288" s="159"/>
      <c r="AG288" s="95">
        <f t="shared" si="92"/>
        <v>1</v>
      </c>
    </row>
    <row r="289">
      <c r="A289" s="217" t="s">
        <v>141</v>
      </c>
      <c r="B289" s="216">
        <f t="shared" ref="B289:AF289" si="93">SUM(B279:B288)</f>
        <v>3</v>
      </c>
      <c r="C289" s="216">
        <f t="shared" si="93"/>
        <v>3</v>
      </c>
      <c r="D289" s="216">
        <f t="shared" si="93"/>
        <v>1</v>
      </c>
      <c r="E289" s="216">
        <f t="shared" si="93"/>
        <v>1</v>
      </c>
      <c r="F289" s="216">
        <f t="shared" si="93"/>
        <v>4</v>
      </c>
      <c r="G289" s="216">
        <f t="shared" si="93"/>
        <v>1</v>
      </c>
      <c r="H289" s="216">
        <f t="shared" si="93"/>
        <v>2</v>
      </c>
      <c r="I289" s="216">
        <f t="shared" si="93"/>
        <v>1</v>
      </c>
      <c r="J289" s="216">
        <f t="shared" si="93"/>
        <v>0</v>
      </c>
      <c r="K289" s="216">
        <f t="shared" si="93"/>
        <v>1</v>
      </c>
      <c r="L289" s="216">
        <f t="shared" si="93"/>
        <v>3</v>
      </c>
      <c r="M289" s="216">
        <f t="shared" si="93"/>
        <v>1</v>
      </c>
      <c r="N289" s="216">
        <f t="shared" si="93"/>
        <v>2</v>
      </c>
      <c r="O289" s="216">
        <f t="shared" si="93"/>
        <v>0</v>
      </c>
      <c r="P289" s="216">
        <f t="shared" si="93"/>
        <v>0</v>
      </c>
      <c r="Q289" s="216">
        <f t="shared" si="93"/>
        <v>0</v>
      </c>
      <c r="R289" s="216">
        <f t="shared" si="93"/>
        <v>0</v>
      </c>
      <c r="S289" s="216">
        <f t="shared" si="93"/>
        <v>0</v>
      </c>
      <c r="T289" s="216">
        <f t="shared" si="93"/>
        <v>0</v>
      </c>
      <c r="U289" s="216">
        <f t="shared" si="93"/>
        <v>2</v>
      </c>
      <c r="V289" s="216">
        <f t="shared" si="93"/>
        <v>0</v>
      </c>
      <c r="W289" s="216">
        <f t="shared" si="93"/>
        <v>0</v>
      </c>
      <c r="X289" s="216">
        <f t="shared" si="93"/>
        <v>2</v>
      </c>
      <c r="Y289" s="216">
        <f t="shared" si="93"/>
        <v>0</v>
      </c>
      <c r="Z289" s="216">
        <f t="shared" si="93"/>
        <v>0</v>
      </c>
      <c r="AA289" s="216">
        <f t="shared" si="93"/>
        <v>1</v>
      </c>
      <c r="AB289" s="216">
        <f t="shared" si="93"/>
        <v>1</v>
      </c>
      <c r="AC289" s="216">
        <f t="shared" si="93"/>
        <v>0</v>
      </c>
      <c r="AD289" s="216">
        <f t="shared" si="93"/>
        <v>0</v>
      </c>
      <c r="AE289" s="216">
        <f t="shared" si="93"/>
        <v>0</v>
      </c>
      <c r="AF289" s="216">
        <f t="shared" si="93"/>
        <v>0</v>
      </c>
      <c r="AG289" s="95">
        <f t="shared" si="92"/>
        <v>29</v>
      </c>
    </row>
    <row r="290">
      <c r="A290" s="100"/>
      <c r="B290" s="130"/>
      <c r="C290" s="130"/>
      <c r="D290" s="130"/>
      <c r="E290" s="130"/>
      <c r="F290" s="130"/>
      <c r="G290" s="130"/>
      <c r="H290" s="218"/>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156"/>
    </row>
    <row r="291">
      <c r="A291" s="213" t="s">
        <v>295</v>
      </c>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c r="AG291" s="156"/>
    </row>
    <row r="292" outlineLevel="1">
      <c r="A292" s="213" t="s">
        <v>224</v>
      </c>
      <c r="B292" s="165">
        <v>0.0</v>
      </c>
      <c r="C292" s="165">
        <v>0.0</v>
      </c>
      <c r="D292" s="165">
        <v>0.0</v>
      </c>
      <c r="E292" s="165">
        <v>0.0</v>
      </c>
      <c r="F292" s="165">
        <v>0.0</v>
      </c>
      <c r="G292" s="165">
        <v>0.0</v>
      </c>
      <c r="H292" s="165">
        <v>0.0</v>
      </c>
      <c r="I292" s="165">
        <v>0.0</v>
      </c>
      <c r="J292" s="165">
        <v>0.0</v>
      </c>
      <c r="K292" s="165">
        <v>0.0</v>
      </c>
      <c r="L292" s="165">
        <v>0.0</v>
      </c>
      <c r="M292" s="165">
        <v>0.0</v>
      </c>
      <c r="N292" s="165">
        <v>0.0</v>
      </c>
      <c r="O292" s="165">
        <v>0.0</v>
      </c>
      <c r="P292" s="165">
        <v>0.0</v>
      </c>
      <c r="Q292" s="165">
        <v>0.0</v>
      </c>
      <c r="R292" s="165">
        <v>0.0</v>
      </c>
      <c r="S292" s="165">
        <v>0.0</v>
      </c>
      <c r="T292" s="165">
        <v>0.0</v>
      </c>
      <c r="U292" s="165">
        <v>0.0</v>
      </c>
      <c r="V292" s="165">
        <v>0.0</v>
      </c>
      <c r="W292" s="165">
        <v>0.0</v>
      </c>
      <c r="X292" s="165">
        <v>0.0</v>
      </c>
      <c r="Y292" s="165">
        <v>0.0</v>
      </c>
      <c r="Z292" s="165">
        <v>0.0</v>
      </c>
      <c r="AA292" s="165">
        <v>0.0</v>
      </c>
      <c r="AB292" s="165">
        <v>0.0</v>
      </c>
      <c r="AC292" s="165">
        <v>1.0</v>
      </c>
      <c r="AD292" s="165">
        <v>0.0</v>
      </c>
      <c r="AE292" s="165">
        <v>0.0</v>
      </c>
      <c r="AF292" s="165"/>
      <c r="AG292" s="95">
        <f t="shared" ref="AG292:AG302" si="94">SUM(B292:AF292)</f>
        <v>1</v>
      </c>
    </row>
    <row r="293" outlineLevel="1">
      <c r="A293" s="213" t="s">
        <v>225</v>
      </c>
      <c r="B293" s="165">
        <v>0.0</v>
      </c>
      <c r="C293" s="165">
        <v>0.0</v>
      </c>
      <c r="D293" s="165">
        <v>0.0</v>
      </c>
      <c r="E293" s="165">
        <v>0.0</v>
      </c>
      <c r="F293" s="165">
        <v>0.0</v>
      </c>
      <c r="G293" s="165">
        <v>0.0</v>
      </c>
      <c r="H293" s="165">
        <v>0.0</v>
      </c>
      <c r="I293" s="165">
        <v>0.0</v>
      </c>
      <c r="J293" s="165">
        <v>0.0</v>
      </c>
      <c r="K293" s="165">
        <v>0.0</v>
      </c>
      <c r="L293" s="165">
        <v>0.0</v>
      </c>
      <c r="M293" s="165">
        <v>0.0</v>
      </c>
      <c r="N293" s="165">
        <v>0.0</v>
      </c>
      <c r="O293" s="165">
        <v>0.0</v>
      </c>
      <c r="P293" s="165">
        <v>0.0</v>
      </c>
      <c r="Q293" s="165">
        <v>1.0</v>
      </c>
      <c r="R293" s="165">
        <v>0.0</v>
      </c>
      <c r="S293" s="165">
        <v>0.0</v>
      </c>
      <c r="T293" s="165">
        <v>0.0</v>
      </c>
      <c r="U293" s="165">
        <v>0.0</v>
      </c>
      <c r="V293" s="165">
        <v>0.0</v>
      </c>
      <c r="W293" s="165">
        <v>0.0</v>
      </c>
      <c r="X293" s="165">
        <v>0.0</v>
      </c>
      <c r="Y293" s="165">
        <v>0.0</v>
      </c>
      <c r="Z293" s="165">
        <v>0.0</v>
      </c>
      <c r="AA293" s="165">
        <v>0.0</v>
      </c>
      <c r="AB293" s="165">
        <v>0.0</v>
      </c>
      <c r="AC293" s="165">
        <v>0.0</v>
      </c>
      <c r="AD293" s="165">
        <v>0.0</v>
      </c>
      <c r="AE293" s="165">
        <v>0.0</v>
      </c>
      <c r="AF293" s="165"/>
      <c r="AG293" s="95">
        <f t="shared" si="94"/>
        <v>1</v>
      </c>
    </row>
    <row r="294" outlineLevel="1">
      <c r="A294" s="213" t="s">
        <v>296</v>
      </c>
      <c r="B294" s="165">
        <v>0.0</v>
      </c>
      <c r="C294" s="165">
        <v>0.0</v>
      </c>
      <c r="D294" s="165">
        <v>0.0</v>
      </c>
      <c r="E294" s="165">
        <v>0.0</v>
      </c>
      <c r="F294" s="165">
        <v>0.0</v>
      </c>
      <c r="G294" s="165">
        <v>0.0</v>
      </c>
      <c r="H294" s="165">
        <v>0.0</v>
      </c>
      <c r="I294" s="165">
        <v>0.0</v>
      </c>
      <c r="J294" s="165">
        <v>0.0</v>
      </c>
      <c r="K294" s="165">
        <v>0.0</v>
      </c>
      <c r="L294" s="165">
        <v>0.0</v>
      </c>
      <c r="M294" s="165">
        <v>0.0</v>
      </c>
      <c r="N294" s="165">
        <v>0.0</v>
      </c>
      <c r="O294" s="165">
        <v>0.0</v>
      </c>
      <c r="P294" s="165">
        <v>0.0</v>
      </c>
      <c r="Q294" s="165">
        <v>0.0</v>
      </c>
      <c r="R294" s="165">
        <v>0.0</v>
      </c>
      <c r="S294" s="165">
        <v>0.0</v>
      </c>
      <c r="T294" s="165">
        <v>0.0</v>
      </c>
      <c r="U294" s="165">
        <v>0.0</v>
      </c>
      <c r="V294" s="165">
        <v>0.0</v>
      </c>
      <c r="W294" s="165">
        <v>0.0</v>
      </c>
      <c r="X294" s="165">
        <v>0.0</v>
      </c>
      <c r="Y294" s="165">
        <v>0.0</v>
      </c>
      <c r="Z294" s="165">
        <v>0.0</v>
      </c>
      <c r="AA294" s="165">
        <v>0.0</v>
      </c>
      <c r="AB294" s="165">
        <v>0.0</v>
      </c>
      <c r="AC294" s="165">
        <v>1.0</v>
      </c>
      <c r="AD294" s="165">
        <v>0.0</v>
      </c>
      <c r="AE294" s="165">
        <v>0.0</v>
      </c>
      <c r="AF294" s="165"/>
      <c r="AG294" s="95">
        <f t="shared" si="94"/>
        <v>1</v>
      </c>
    </row>
    <row r="295" outlineLevel="1">
      <c r="A295" s="213" t="s">
        <v>297</v>
      </c>
      <c r="B295" s="165">
        <v>0.0</v>
      </c>
      <c r="C295" s="165">
        <v>0.0</v>
      </c>
      <c r="D295" s="165">
        <v>0.0</v>
      </c>
      <c r="E295" s="165">
        <v>0.0</v>
      </c>
      <c r="F295" s="165">
        <v>0.0</v>
      </c>
      <c r="G295" s="165">
        <v>0.0</v>
      </c>
      <c r="H295" s="165">
        <v>0.0</v>
      </c>
      <c r="I295" s="165">
        <v>0.0</v>
      </c>
      <c r="J295" s="165">
        <v>0.0</v>
      </c>
      <c r="K295" s="165">
        <v>0.0</v>
      </c>
      <c r="L295" s="165">
        <v>0.0</v>
      </c>
      <c r="M295" s="165">
        <v>0.0</v>
      </c>
      <c r="N295" s="165">
        <v>0.0</v>
      </c>
      <c r="O295" s="165">
        <v>0.0</v>
      </c>
      <c r="P295" s="165">
        <v>0.0</v>
      </c>
      <c r="Q295" s="165">
        <v>0.0</v>
      </c>
      <c r="R295" s="165">
        <v>0.0</v>
      </c>
      <c r="S295" s="165">
        <v>0.0</v>
      </c>
      <c r="T295" s="165">
        <v>0.0</v>
      </c>
      <c r="U295" s="165">
        <v>0.0</v>
      </c>
      <c r="V295" s="165">
        <v>0.0</v>
      </c>
      <c r="W295" s="165">
        <v>0.0</v>
      </c>
      <c r="X295" s="165">
        <v>0.0</v>
      </c>
      <c r="Y295" s="165">
        <v>0.0</v>
      </c>
      <c r="Z295" s="165">
        <v>0.0</v>
      </c>
      <c r="AA295" s="165">
        <v>0.0</v>
      </c>
      <c r="AB295" s="165">
        <v>0.0</v>
      </c>
      <c r="AC295" s="165">
        <v>0.0</v>
      </c>
      <c r="AD295" s="165">
        <v>0.0</v>
      </c>
      <c r="AE295" s="165">
        <v>0.0</v>
      </c>
      <c r="AF295" s="165"/>
      <c r="AG295" s="95">
        <f t="shared" si="94"/>
        <v>0</v>
      </c>
    </row>
    <row r="296" outlineLevel="1">
      <c r="A296" s="213" t="s">
        <v>298</v>
      </c>
      <c r="B296" s="165">
        <v>0.0</v>
      </c>
      <c r="C296" s="165">
        <v>0.0</v>
      </c>
      <c r="D296" s="165">
        <v>0.0</v>
      </c>
      <c r="E296" s="165">
        <v>0.0</v>
      </c>
      <c r="F296" s="165">
        <v>0.0</v>
      </c>
      <c r="G296" s="165">
        <v>0.0</v>
      </c>
      <c r="H296" s="165">
        <v>0.0</v>
      </c>
      <c r="I296" s="165">
        <v>0.0</v>
      </c>
      <c r="J296" s="165">
        <v>0.0</v>
      </c>
      <c r="K296" s="165">
        <v>0.0</v>
      </c>
      <c r="L296" s="165">
        <v>0.0</v>
      </c>
      <c r="M296" s="165">
        <v>0.0</v>
      </c>
      <c r="N296" s="165">
        <v>0.0</v>
      </c>
      <c r="O296" s="165">
        <v>0.0</v>
      </c>
      <c r="P296" s="165">
        <v>0.0</v>
      </c>
      <c r="Q296" s="165">
        <v>0.0</v>
      </c>
      <c r="R296" s="165">
        <v>0.0</v>
      </c>
      <c r="S296" s="165">
        <v>0.0</v>
      </c>
      <c r="T296" s="165">
        <v>0.0</v>
      </c>
      <c r="U296" s="165">
        <v>0.0</v>
      </c>
      <c r="V296" s="165">
        <v>0.0</v>
      </c>
      <c r="W296" s="165">
        <v>0.0</v>
      </c>
      <c r="X296" s="165">
        <v>0.0</v>
      </c>
      <c r="Y296" s="165">
        <v>0.0</v>
      </c>
      <c r="Z296" s="165">
        <v>0.0</v>
      </c>
      <c r="AA296" s="165">
        <v>0.0</v>
      </c>
      <c r="AB296" s="165">
        <v>0.0</v>
      </c>
      <c r="AC296" s="165">
        <v>0.0</v>
      </c>
      <c r="AD296" s="165">
        <v>0.0</v>
      </c>
      <c r="AE296" s="165">
        <v>0.0</v>
      </c>
      <c r="AF296" s="165"/>
      <c r="AG296" s="95">
        <f t="shared" si="94"/>
        <v>0</v>
      </c>
    </row>
    <row r="297" outlineLevel="1">
      <c r="A297" s="213" t="s">
        <v>299</v>
      </c>
      <c r="B297" s="165">
        <v>0.0</v>
      </c>
      <c r="C297" s="165">
        <v>0.0</v>
      </c>
      <c r="D297" s="165">
        <v>0.0</v>
      </c>
      <c r="E297" s="165">
        <v>0.0</v>
      </c>
      <c r="F297" s="165">
        <v>0.0</v>
      </c>
      <c r="G297" s="165">
        <v>0.0</v>
      </c>
      <c r="H297" s="165">
        <v>0.0</v>
      </c>
      <c r="I297" s="165">
        <v>0.0</v>
      </c>
      <c r="J297" s="165">
        <v>0.0</v>
      </c>
      <c r="K297" s="165">
        <v>0.0</v>
      </c>
      <c r="L297" s="165">
        <v>0.0</v>
      </c>
      <c r="M297" s="165">
        <v>0.0</v>
      </c>
      <c r="N297" s="165">
        <v>0.0</v>
      </c>
      <c r="O297" s="165">
        <v>0.0</v>
      </c>
      <c r="P297" s="165">
        <v>0.0</v>
      </c>
      <c r="Q297" s="165">
        <v>0.0</v>
      </c>
      <c r="R297" s="165">
        <v>0.0</v>
      </c>
      <c r="S297" s="165">
        <v>0.0</v>
      </c>
      <c r="T297" s="165">
        <v>0.0</v>
      </c>
      <c r="U297" s="165">
        <v>0.0</v>
      </c>
      <c r="V297" s="165">
        <v>0.0</v>
      </c>
      <c r="W297" s="165">
        <v>0.0</v>
      </c>
      <c r="X297" s="165">
        <v>0.0</v>
      </c>
      <c r="Y297" s="165">
        <v>0.0</v>
      </c>
      <c r="Z297" s="165">
        <v>0.0</v>
      </c>
      <c r="AA297" s="165">
        <v>0.0</v>
      </c>
      <c r="AB297" s="165">
        <v>0.0</v>
      </c>
      <c r="AC297" s="165">
        <v>0.0</v>
      </c>
      <c r="AD297" s="165">
        <v>0.0</v>
      </c>
      <c r="AE297" s="165">
        <v>0.0</v>
      </c>
      <c r="AF297" s="165"/>
      <c r="AG297" s="95">
        <f t="shared" si="94"/>
        <v>0</v>
      </c>
    </row>
    <row r="298" outlineLevel="1">
      <c r="A298" s="213" t="s">
        <v>300</v>
      </c>
      <c r="B298" s="165">
        <v>0.0</v>
      </c>
      <c r="C298" s="165">
        <v>0.0</v>
      </c>
      <c r="D298" s="165">
        <v>0.0</v>
      </c>
      <c r="E298" s="165">
        <v>0.0</v>
      </c>
      <c r="F298" s="165">
        <v>0.0</v>
      </c>
      <c r="G298" s="165">
        <v>0.0</v>
      </c>
      <c r="H298" s="165">
        <v>0.0</v>
      </c>
      <c r="I298" s="165">
        <v>0.0</v>
      </c>
      <c r="J298" s="165">
        <v>0.0</v>
      </c>
      <c r="K298" s="165">
        <v>0.0</v>
      </c>
      <c r="L298" s="165">
        <v>0.0</v>
      </c>
      <c r="M298" s="165">
        <v>0.0</v>
      </c>
      <c r="N298" s="165">
        <v>0.0</v>
      </c>
      <c r="O298" s="165">
        <v>0.0</v>
      </c>
      <c r="P298" s="165">
        <v>0.0</v>
      </c>
      <c r="Q298" s="165">
        <v>0.0</v>
      </c>
      <c r="R298" s="165">
        <v>0.0</v>
      </c>
      <c r="S298" s="165">
        <v>0.0</v>
      </c>
      <c r="T298" s="165">
        <v>0.0</v>
      </c>
      <c r="U298" s="165">
        <v>0.0</v>
      </c>
      <c r="V298" s="165">
        <v>0.0</v>
      </c>
      <c r="W298" s="165">
        <v>0.0</v>
      </c>
      <c r="X298" s="165">
        <v>0.0</v>
      </c>
      <c r="Y298" s="165">
        <v>0.0</v>
      </c>
      <c r="Z298" s="165">
        <v>0.0</v>
      </c>
      <c r="AA298" s="165">
        <v>0.0</v>
      </c>
      <c r="AB298" s="165">
        <v>0.0</v>
      </c>
      <c r="AC298" s="165">
        <v>0.0</v>
      </c>
      <c r="AD298" s="165">
        <v>0.0</v>
      </c>
      <c r="AE298" s="165">
        <v>0.0</v>
      </c>
      <c r="AF298" s="165"/>
      <c r="AG298" s="95">
        <f t="shared" si="94"/>
        <v>0</v>
      </c>
    </row>
    <row r="299" outlineLevel="1">
      <c r="A299" s="213" t="s">
        <v>301</v>
      </c>
      <c r="B299" s="165">
        <v>0.0</v>
      </c>
      <c r="C299" s="165">
        <v>0.0</v>
      </c>
      <c r="D299" s="165">
        <v>0.0</v>
      </c>
      <c r="E299" s="165">
        <v>0.0</v>
      </c>
      <c r="F299" s="165">
        <v>0.0</v>
      </c>
      <c r="G299" s="165">
        <v>0.0</v>
      </c>
      <c r="H299" s="165">
        <v>0.0</v>
      </c>
      <c r="I299" s="165">
        <v>0.0</v>
      </c>
      <c r="J299" s="165">
        <v>0.0</v>
      </c>
      <c r="K299" s="165">
        <v>0.0</v>
      </c>
      <c r="L299" s="165">
        <v>0.0</v>
      </c>
      <c r="M299" s="165">
        <v>0.0</v>
      </c>
      <c r="N299" s="165">
        <v>0.0</v>
      </c>
      <c r="O299" s="165">
        <v>0.0</v>
      </c>
      <c r="P299" s="165">
        <v>0.0</v>
      </c>
      <c r="Q299" s="165">
        <v>0.0</v>
      </c>
      <c r="R299" s="165">
        <v>0.0</v>
      </c>
      <c r="S299" s="165">
        <v>0.0</v>
      </c>
      <c r="T299" s="165">
        <v>0.0</v>
      </c>
      <c r="U299" s="165">
        <v>0.0</v>
      </c>
      <c r="V299" s="165">
        <v>0.0</v>
      </c>
      <c r="W299" s="165">
        <v>0.0</v>
      </c>
      <c r="X299" s="165">
        <v>0.0</v>
      </c>
      <c r="Y299" s="165">
        <v>0.0</v>
      </c>
      <c r="Z299" s="165">
        <v>0.0</v>
      </c>
      <c r="AA299" s="165">
        <v>0.0</v>
      </c>
      <c r="AB299" s="165">
        <v>0.0</v>
      </c>
      <c r="AC299" s="165">
        <v>0.0</v>
      </c>
      <c r="AD299" s="165">
        <v>0.0</v>
      </c>
      <c r="AE299" s="165">
        <v>0.0</v>
      </c>
      <c r="AF299" s="165"/>
      <c r="AG299" s="95">
        <f t="shared" si="94"/>
        <v>0</v>
      </c>
    </row>
    <row r="300" outlineLevel="1">
      <c r="A300" s="213" t="s">
        <v>302</v>
      </c>
      <c r="B300" s="159">
        <v>0.0</v>
      </c>
      <c r="C300" s="159">
        <v>0.0</v>
      </c>
      <c r="D300" s="159">
        <v>0.0</v>
      </c>
      <c r="E300" s="159">
        <v>0.0</v>
      </c>
      <c r="F300" s="159">
        <v>0.0</v>
      </c>
      <c r="G300" s="159">
        <v>0.0</v>
      </c>
      <c r="H300" s="159">
        <v>0.0</v>
      </c>
      <c r="I300" s="159">
        <v>0.0</v>
      </c>
      <c r="J300" s="159">
        <v>0.0</v>
      </c>
      <c r="K300" s="159">
        <v>0.0</v>
      </c>
      <c r="L300" s="159">
        <v>0.0</v>
      </c>
      <c r="M300" s="159">
        <v>0.0</v>
      </c>
      <c r="N300" s="159">
        <v>0.0</v>
      </c>
      <c r="O300" s="159">
        <v>0.0</v>
      </c>
      <c r="P300" s="159">
        <v>0.0</v>
      </c>
      <c r="Q300" s="159">
        <v>0.0</v>
      </c>
      <c r="R300" s="159">
        <v>0.0</v>
      </c>
      <c r="S300" s="159">
        <v>0.0</v>
      </c>
      <c r="T300" s="159">
        <v>0.0</v>
      </c>
      <c r="U300" s="159">
        <v>0.0</v>
      </c>
      <c r="V300" s="159">
        <v>0.0</v>
      </c>
      <c r="W300" s="159">
        <v>0.0</v>
      </c>
      <c r="X300" s="159">
        <v>0.0</v>
      </c>
      <c r="Y300" s="159">
        <v>0.0</v>
      </c>
      <c r="Z300" s="159">
        <v>0.0</v>
      </c>
      <c r="AA300" s="159">
        <v>0.0</v>
      </c>
      <c r="AB300" s="86">
        <v>0.0</v>
      </c>
      <c r="AC300" s="86">
        <v>0.0</v>
      </c>
      <c r="AD300" s="159">
        <v>0.0</v>
      </c>
      <c r="AE300" s="159">
        <v>0.0</v>
      </c>
      <c r="AF300" s="159"/>
      <c r="AG300" s="95">
        <f t="shared" si="94"/>
        <v>0</v>
      </c>
    </row>
    <row r="301" outlineLevel="1">
      <c r="A301" s="213" t="s">
        <v>303</v>
      </c>
      <c r="B301" s="159">
        <v>0.0</v>
      </c>
      <c r="C301" s="159">
        <v>0.0</v>
      </c>
      <c r="D301" s="159">
        <v>0.0</v>
      </c>
      <c r="E301" s="159">
        <v>0.0</v>
      </c>
      <c r="F301" s="159">
        <v>0.0</v>
      </c>
      <c r="G301" s="159">
        <v>0.0</v>
      </c>
      <c r="H301" s="159">
        <v>0.0</v>
      </c>
      <c r="I301" s="159">
        <v>0.0</v>
      </c>
      <c r="J301" s="159">
        <v>0.0</v>
      </c>
      <c r="K301" s="159">
        <v>0.0</v>
      </c>
      <c r="L301" s="159">
        <v>0.0</v>
      </c>
      <c r="M301" s="159">
        <v>0.0</v>
      </c>
      <c r="N301" s="159">
        <v>0.0</v>
      </c>
      <c r="O301" s="159">
        <v>0.0</v>
      </c>
      <c r="P301" s="159">
        <v>0.0</v>
      </c>
      <c r="Q301" s="159">
        <v>0.0</v>
      </c>
      <c r="R301" s="159">
        <v>0.0</v>
      </c>
      <c r="S301" s="159">
        <v>0.0</v>
      </c>
      <c r="T301" s="159">
        <v>0.0</v>
      </c>
      <c r="U301" s="159">
        <v>0.0</v>
      </c>
      <c r="V301" s="159">
        <v>0.0</v>
      </c>
      <c r="W301" s="159">
        <v>0.0</v>
      </c>
      <c r="X301" s="159">
        <v>0.0</v>
      </c>
      <c r="Y301" s="159">
        <v>0.0</v>
      </c>
      <c r="Z301" s="159">
        <v>0.0</v>
      </c>
      <c r="AA301" s="159">
        <v>0.0</v>
      </c>
      <c r="AB301" s="86">
        <v>0.0</v>
      </c>
      <c r="AC301" s="86">
        <v>0.0</v>
      </c>
      <c r="AD301" s="159">
        <v>0.0</v>
      </c>
      <c r="AE301" s="159">
        <v>0.0</v>
      </c>
      <c r="AF301" s="159"/>
      <c r="AG301" s="95">
        <f t="shared" si="94"/>
        <v>0</v>
      </c>
    </row>
    <row r="302">
      <c r="A302" s="217" t="s">
        <v>141</v>
      </c>
      <c r="B302" s="216">
        <f t="shared" ref="B302:AF302" si="95">SUM(B292:B301)</f>
        <v>0</v>
      </c>
      <c r="C302" s="216">
        <f t="shared" si="95"/>
        <v>0</v>
      </c>
      <c r="D302" s="216">
        <f t="shared" si="95"/>
        <v>0</v>
      </c>
      <c r="E302" s="216">
        <f t="shared" si="95"/>
        <v>0</v>
      </c>
      <c r="F302" s="216">
        <f t="shared" si="95"/>
        <v>0</v>
      </c>
      <c r="G302" s="216">
        <f t="shared" si="95"/>
        <v>0</v>
      </c>
      <c r="H302" s="216">
        <f t="shared" si="95"/>
        <v>0</v>
      </c>
      <c r="I302" s="216">
        <f t="shared" si="95"/>
        <v>0</v>
      </c>
      <c r="J302" s="216">
        <f t="shared" si="95"/>
        <v>0</v>
      </c>
      <c r="K302" s="216">
        <f t="shared" si="95"/>
        <v>0</v>
      </c>
      <c r="L302" s="216">
        <f t="shared" si="95"/>
        <v>0</v>
      </c>
      <c r="M302" s="216">
        <f t="shared" si="95"/>
        <v>0</v>
      </c>
      <c r="N302" s="216">
        <f t="shared" si="95"/>
        <v>0</v>
      </c>
      <c r="O302" s="216">
        <f t="shared" si="95"/>
        <v>0</v>
      </c>
      <c r="P302" s="216">
        <f t="shared" si="95"/>
        <v>0</v>
      </c>
      <c r="Q302" s="216">
        <f t="shared" si="95"/>
        <v>1</v>
      </c>
      <c r="R302" s="216">
        <f t="shared" si="95"/>
        <v>0</v>
      </c>
      <c r="S302" s="216">
        <f t="shared" si="95"/>
        <v>0</v>
      </c>
      <c r="T302" s="216">
        <f t="shared" si="95"/>
        <v>0</v>
      </c>
      <c r="U302" s="216">
        <f t="shared" si="95"/>
        <v>0</v>
      </c>
      <c r="V302" s="216">
        <f t="shared" si="95"/>
        <v>0</v>
      </c>
      <c r="W302" s="216">
        <f t="shared" si="95"/>
        <v>0</v>
      </c>
      <c r="X302" s="216">
        <f t="shared" si="95"/>
        <v>0</v>
      </c>
      <c r="Y302" s="216">
        <f t="shared" si="95"/>
        <v>0</v>
      </c>
      <c r="Z302" s="216">
        <f t="shared" si="95"/>
        <v>0</v>
      </c>
      <c r="AA302" s="216">
        <f t="shared" si="95"/>
        <v>0</v>
      </c>
      <c r="AB302" s="216">
        <f t="shared" si="95"/>
        <v>0</v>
      </c>
      <c r="AC302" s="216">
        <f t="shared" si="95"/>
        <v>2</v>
      </c>
      <c r="AD302" s="216">
        <f t="shared" si="95"/>
        <v>0</v>
      </c>
      <c r="AE302" s="216">
        <f t="shared" si="95"/>
        <v>0</v>
      </c>
      <c r="AF302" s="216">
        <f t="shared" si="95"/>
        <v>0</v>
      </c>
      <c r="AG302" s="95">
        <f t="shared" si="94"/>
        <v>3</v>
      </c>
    </row>
    <row r="303">
      <c r="A303" s="100"/>
      <c r="B303" s="130"/>
      <c r="C303" s="130"/>
      <c r="D303" s="130"/>
      <c r="E303" s="130"/>
      <c r="F303" s="130"/>
      <c r="G303" s="130"/>
      <c r="H303" s="130"/>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156"/>
    </row>
    <row r="304">
      <c r="A304" s="149" t="s">
        <v>304</v>
      </c>
      <c r="B304" s="130"/>
      <c r="C304" s="130"/>
      <c r="D304" s="130"/>
      <c r="E304" s="130"/>
      <c r="F304" s="130"/>
      <c r="G304" s="199"/>
      <c r="H304" s="130"/>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207"/>
    </row>
    <row r="305">
      <c r="A305" s="213" t="s">
        <v>305</v>
      </c>
      <c r="B305" s="199">
        <v>17233.09</v>
      </c>
      <c r="C305" s="199">
        <v>2743.22</v>
      </c>
      <c r="D305" s="199">
        <v>3519.93</v>
      </c>
      <c r="E305" s="199">
        <v>8424.97</v>
      </c>
      <c r="F305" s="199">
        <v>5645.45</v>
      </c>
      <c r="G305" s="199">
        <v>522.14</v>
      </c>
      <c r="H305" s="199">
        <v>1281.17</v>
      </c>
      <c r="I305" s="199">
        <v>1935.67</v>
      </c>
      <c r="J305" s="199">
        <v>609.86</v>
      </c>
      <c r="K305" s="199">
        <v>1298.92</v>
      </c>
      <c r="L305" s="199">
        <v>3886.5</v>
      </c>
      <c r="M305" s="199">
        <v>7079.69</v>
      </c>
      <c r="N305" s="199">
        <v>1579.46</v>
      </c>
      <c r="O305" s="199">
        <v>3425.74</v>
      </c>
      <c r="P305" s="199">
        <v>552.82</v>
      </c>
      <c r="Q305" s="199">
        <v>1548.15</v>
      </c>
      <c r="R305" s="199">
        <v>0.0</v>
      </c>
      <c r="S305" s="199">
        <v>947.07</v>
      </c>
      <c r="T305" s="199">
        <v>0.0</v>
      </c>
      <c r="U305" s="199">
        <v>578.42</v>
      </c>
      <c r="V305" s="199">
        <v>1042.06</v>
      </c>
      <c r="W305" s="199">
        <v>0.0</v>
      </c>
      <c r="X305" s="199">
        <v>1080.45</v>
      </c>
      <c r="Y305" s="199">
        <v>0.0</v>
      </c>
      <c r="Z305" s="199">
        <v>254.0</v>
      </c>
      <c r="AA305" s="199">
        <v>902.48</v>
      </c>
      <c r="AB305" s="199">
        <v>1648.9</v>
      </c>
      <c r="AC305" s="199">
        <v>0.0</v>
      </c>
      <c r="AD305" s="199">
        <v>829.44</v>
      </c>
      <c r="AE305" s="199">
        <v>1428.55</v>
      </c>
      <c r="AF305" s="199">
        <v>1428.55</v>
      </c>
      <c r="AG305" s="95">
        <f t="shared" ref="AG305:AG306" si="97">SUM(B305:AF305)</f>
        <v>71426.7</v>
      </c>
    </row>
    <row r="306">
      <c r="A306" s="219" t="s">
        <v>306</v>
      </c>
      <c r="B306" s="220">
        <f t="shared" ref="B306:AF306" si="96">SUM(B305)</f>
        <v>17233.09</v>
      </c>
      <c r="C306" s="220">
        <f t="shared" si="96"/>
        <v>2743.22</v>
      </c>
      <c r="D306" s="220">
        <f t="shared" si="96"/>
        <v>3519.93</v>
      </c>
      <c r="E306" s="220">
        <f t="shared" si="96"/>
        <v>8424.97</v>
      </c>
      <c r="F306" s="220">
        <f t="shared" si="96"/>
        <v>5645.45</v>
      </c>
      <c r="G306" s="220">
        <f t="shared" si="96"/>
        <v>522.14</v>
      </c>
      <c r="H306" s="220">
        <f t="shared" si="96"/>
        <v>1281.17</v>
      </c>
      <c r="I306" s="220">
        <f t="shared" si="96"/>
        <v>1935.67</v>
      </c>
      <c r="J306" s="220">
        <f t="shared" si="96"/>
        <v>609.86</v>
      </c>
      <c r="K306" s="220">
        <f t="shared" si="96"/>
        <v>1298.92</v>
      </c>
      <c r="L306" s="220">
        <f t="shared" si="96"/>
        <v>3886.5</v>
      </c>
      <c r="M306" s="220">
        <f t="shared" si="96"/>
        <v>7079.69</v>
      </c>
      <c r="N306" s="220">
        <f t="shared" si="96"/>
        <v>1579.46</v>
      </c>
      <c r="O306" s="220">
        <f t="shared" si="96"/>
        <v>3425.74</v>
      </c>
      <c r="P306" s="220">
        <f t="shared" si="96"/>
        <v>552.82</v>
      </c>
      <c r="Q306" s="220">
        <f t="shared" si="96"/>
        <v>1548.15</v>
      </c>
      <c r="R306" s="220">
        <f t="shared" si="96"/>
        <v>0</v>
      </c>
      <c r="S306" s="220">
        <f t="shared" si="96"/>
        <v>947.07</v>
      </c>
      <c r="T306" s="220">
        <f t="shared" si="96"/>
        <v>0</v>
      </c>
      <c r="U306" s="220">
        <f t="shared" si="96"/>
        <v>578.42</v>
      </c>
      <c r="V306" s="220">
        <f t="shared" si="96"/>
        <v>1042.06</v>
      </c>
      <c r="W306" s="220">
        <f t="shared" si="96"/>
        <v>0</v>
      </c>
      <c r="X306" s="220">
        <f t="shared" si="96"/>
        <v>1080.45</v>
      </c>
      <c r="Y306" s="220">
        <f t="shared" si="96"/>
        <v>0</v>
      </c>
      <c r="Z306" s="220">
        <f t="shared" si="96"/>
        <v>254</v>
      </c>
      <c r="AA306" s="220">
        <f t="shared" si="96"/>
        <v>902.48</v>
      </c>
      <c r="AB306" s="220">
        <f t="shared" si="96"/>
        <v>1648.9</v>
      </c>
      <c r="AC306" s="220">
        <f t="shared" si="96"/>
        <v>0</v>
      </c>
      <c r="AD306" s="220">
        <f t="shared" si="96"/>
        <v>829.44</v>
      </c>
      <c r="AE306" s="220">
        <f t="shared" si="96"/>
        <v>1428.55</v>
      </c>
      <c r="AF306" s="220">
        <f t="shared" si="96"/>
        <v>1428.55</v>
      </c>
      <c r="AG306" s="95">
        <f t="shared" si="97"/>
        <v>71426.7</v>
      </c>
    </row>
    <row r="307">
      <c r="A307" s="172"/>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81"/>
      <c r="AB307" s="181"/>
      <c r="AC307" s="181"/>
      <c r="AD307" s="181"/>
      <c r="AE307" s="181"/>
      <c r="AF307" s="181"/>
      <c r="AG307" s="198"/>
    </row>
    <row r="308">
      <c r="A308" s="213" t="s">
        <v>307</v>
      </c>
      <c r="B308" s="199">
        <v>0.0</v>
      </c>
      <c r="C308" s="199">
        <v>0.0</v>
      </c>
      <c r="D308" s="199">
        <v>0.0</v>
      </c>
      <c r="E308" s="199">
        <v>282.96</v>
      </c>
      <c r="F308" s="199">
        <v>0.0</v>
      </c>
      <c r="G308" s="199">
        <v>0.0</v>
      </c>
      <c r="H308" s="199">
        <v>0.0</v>
      </c>
      <c r="I308" s="199">
        <v>0.0</v>
      </c>
      <c r="J308" s="199">
        <v>0.0</v>
      </c>
      <c r="K308" s="199">
        <v>0.0</v>
      </c>
      <c r="L308" s="199">
        <v>0.0</v>
      </c>
      <c r="M308" s="199">
        <v>0.0</v>
      </c>
      <c r="N308" s="199">
        <v>0.0</v>
      </c>
      <c r="O308" s="199">
        <v>0.0</v>
      </c>
      <c r="P308" s="199">
        <v>0.0</v>
      </c>
      <c r="Q308" s="199">
        <v>244.0</v>
      </c>
      <c r="R308" s="199">
        <v>0.0</v>
      </c>
      <c r="S308" s="199">
        <v>0.0</v>
      </c>
      <c r="T308" s="199">
        <v>0.0</v>
      </c>
      <c r="U308" s="199">
        <v>0.0</v>
      </c>
      <c r="V308" s="199">
        <v>0.0</v>
      </c>
      <c r="W308" s="199">
        <v>0.0</v>
      </c>
      <c r="X308" s="199">
        <v>0.0</v>
      </c>
      <c r="Y308" s="199">
        <v>0.0</v>
      </c>
      <c r="Z308" s="199">
        <v>0.0</v>
      </c>
      <c r="AA308" s="199">
        <v>0.0</v>
      </c>
      <c r="AB308" s="199">
        <v>0.0</v>
      </c>
      <c r="AC308" s="199">
        <v>343.0</v>
      </c>
      <c r="AD308" s="199">
        <v>0.0</v>
      </c>
      <c r="AE308" s="199">
        <v>0.0</v>
      </c>
      <c r="AF308" s="199">
        <v>0.0</v>
      </c>
      <c r="AG308" s="95">
        <f t="shared" ref="AG308:AG311" si="98">SUM(B308:AF308)</f>
        <v>869.96</v>
      </c>
    </row>
    <row r="309">
      <c r="A309" s="213" t="s">
        <v>308</v>
      </c>
      <c r="B309" s="199">
        <v>0.0</v>
      </c>
      <c r="C309" s="199">
        <v>0.0</v>
      </c>
      <c r="D309" s="199">
        <v>0.0</v>
      </c>
      <c r="E309" s="199">
        <v>0.0</v>
      </c>
      <c r="F309" s="199">
        <v>0.0</v>
      </c>
      <c r="G309" s="199">
        <v>0.0</v>
      </c>
      <c r="H309" s="199">
        <v>0.0</v>
      </c>
      <c r="I309" s="199">
        <v>0.0</v>
      </c>
      <c r="J309" s="199">
        <v>0.0</v>
      </c>
      <c r="K309" s="199">
        <v>0.0</v>
      </c>
      <c r="L309" s="199">
        <v>0.0</v>
      </c>
      <c r="M309" s="199">
        <v>0.0</v>
      </c>
      <c r="N309" s="199">
        <v>0.0</v>
      </c>
      <c r="O309" s="199">
        <v>0.0</v>
      </c>
      <c r="P309" s="199">
        <v>0.0</v>
      </c>
      <c r="Q309" s="199">
        <v>35.0</v>
      </c>
      <c r="R309" s="199">
        <v>0.0</v>
      </c>
      <c r="S309" s="199">
        <v>0.0</v>
      </c>
      <c r="T309" s="199">
        <v>0.0</v>
      </c>
      <c r="U309" s="199">
        <v>0.0</v>
      </c>
      <c r="V309" s="199">
        <v>0.0</v>
      </c>
      <c r="W309" s="199">
        <v>0.0</v>
      </c>
      <c r="X309" s="199">
        <v>0.0</v>
      </c>
      <c r="Y309" s="199">
        <v>0.0</v>
      </c>
      <c r="Z309" s="199">
        <v>0.0</v>
      </c>
      <c r="AA309" s="199">
        <v>0.0</v>
      </c>
      <c r="AB309" s="199">
        <v>0.0</v>
      </c>
      <c r="AC309" s="199">
        <v>35.0</v>
      </c>
      <c r="AD309" s="199">
        <v>0.0</v>
      </c>
      <c r="AE309" s="199">
        <v>0.0</v>
      </c>
      <c r="AF309" s="199">
        <v>0.0</v>
      </c>
      <c r="AG309" s="95">
        <f t="shared" si="98"/>
        <v>70</v>
      </c>
    </row>
    <row r="310">
      <c r="A310" s="213" t="s">
        <v>309</v>
      </c>
      <c r="B310" s="199">
        <f t="shared" ref="B310:AF310" si="99">B308*0.22</f>
        <v>0</v>
      </c>
      <c r="C310" s="199">
        <f t="shared" si="99"/>
        <v>0</v>
      </c>
      <c r="D310" s="199">
        <f t="shared" si="99"/>
        <v>0</v>
      </c>
      <c r="E310" s="199">
        <f t="shared" si="99"/>
        <v>62.2512</v>
      </c>
      <c r="F310" s="199">
        <f t="shared" si="99"/>
        <v>0</v>
      </c>
      <c r="G310" s="199">
        <f t="shared" si="99"/>
        <v>0</v>
      </c>
      <c r="H310" s="199">
        <f t="shared" si="99"/>
        <v>0</v>
      </c>
      <c r="I310" s="199">
        <f t="shared" si="99"/>
        <v>0</v>
      </c>
      <c r="J310" s="199">
        <f t="shared" si="99"/>
        <v>0</v>
      </c>
      <c r="K310" s="199">
        <f t="shared" si="99"/>
        <v>0</v>
      </c>
      <c r="L310" s="199">
        <f t="shared" si="99"/>
        <v>0</v>
      </c>
      <c r="M310" s="199">
        <f t="shared" si="99"/>
        <v>0</v>
      </c>
      <c r="N310" s="199">
        <f t="shared" si="99"/>
        <v>0</v>
      </c>
      <c r="O310" s="199">
        <f t="shared" si="99"/>
        <v>0</v>
      </c>
      <c r="P310" s="199">
        <f t="shared" si="99"/>
        <v>0</v>
      </c>
      <c r="Q310" s="199">
        <f t="shared" si="99"/>
        <v>53.68</v>
      </c>
      <c r="R310" s="199">
        <f t="shared" si="99"/>
        <v>0</v>
      </c>
      <c r="S310" s="199">
        <f t="shared" si="99"/>
        <v>0</v>
      </c>
      <c r="T310" s="199">
        <f t="shared" si="99"/>
        <v>0</v>
      </c>
      <c r="U310" s="199">
        <f t="shared" si="99"/>
        <v>0</v>
      </c>
      <c r="V310" s="199">
        <f t="shared" si="99"/>
        <v>0</v>
      </c>
      <c r="W310" s="199">
        <f t="shared" si="99"/>
        <v>0</v>
      </c>
      <c r="X310" s="199">
        <f t="shared" si="99"/>
        <v>0</v>
      </c>
      <c r="Y310" s="199">
        <f t="shared" si="99"/>
        <v>0</v>
      </c>
      <c r="Z310" s="199">
        <f t="shared" si="99"/>
        <v>0</v>
      </c>
      <c r="AA310" s="199">
        <f t="shared" si="99"/>
        <v>0</v>
      </c>
      <c r="AB310" s="199">
        <f t="shared" si="99"/>
        <v>0</v>
      </c>
      <c r="AC310" s="199">
        <f t="shared" si="99"/>
        <v>75.46</v>
      </c>
      <c r="AD310" s="199">
        <f t="shared" si="99"/>
        <v>0</v>
      </c>
      <c r="AE310" s="199">
        <f t="shared" si="99"/>
        <v>0</v>
      </c>
      <c r="AF310" s="199">
        <f t="shared" si="99"/>
        <v>0</v>
      </c>
      <c r="AG310" s="95">
        <f t="shared" si="98"/>
        <v>191.3912</v>
      </c>
    </row>
    <row r="311">
      <c r="A311" s="219" t="s">
        <v>310</v>
      </c>
      <c r="B311" s="220">
        <f t="shared" ref="B311:AF311" si="100">B308+B309</f>
        <v>0</v>
      </c>
      <c r="C311" s="220">
        <f t="shared" si="100"/>
        <v>0</v>
      </c>
      <c r="D311" s="220">
        <f t="shared" si="100"/>
        <v>0</v>
      </c>
      <c r="E311" s="220">
        <f t="shared" si="100"/>
        <v>282.96</v>
      </c>
      <c r="F311" s="220">
        <f t="shared" si="100"/>
        <v>0</v>
      </c>
      <c r="G311" s="220">
        <f t="shared" si="100"/>
        <v>0</v>
      </c>
      <c r="H311" s="220">
        <f t="shared" si="100"/>
        <v>0</v>
      </c>
      <c r="I311" s="220">
        <f t="shared" si="100"/>
        <v>0</v>
      </c>
      <c r="J311" s="220">
        <f t="shared" si="100"/>
        <v>0</v>
      </c>
      <c r="K311" s="220">
        <f t="shared" si="100"/>
        <v>0</v>
      </c>
      <c r="L311" s="220">
        <f t="shared" si="100"/>
        <v>0</v>
      </c>
      <c r="M311" s="220">
        <f t="shared" si="100"/>
        <v>0</v>
      </c>
      <c r="N311" s="220">
        <f t="shared" si="100"/>
        <v>0</v>
      </c>
      <c r="O311" s="220">
        <f t="shared" si="100"/>
        <v>0</v>
      </c>
      <c r="P311" s="220">
        <f t="shared" si="100"/>
        <v>0</v>
      </c>
      <c r="Q311" s="220">
        <f t="shared" si="100"/>
        <v>279</v>
      </c>
      <c r="R311" s="220">
        <f t="shared" si="100"/>
        <v>0</v>
      </c>
      <c r="S311" s="220">
        <f t="shared" si="100"/>
        <v>0</v>
      </c>
      <c r="T311" s="220">
        <f t="shared" si="100"/>
        <v>0</v>
      </c>
      <c r="U311" s="220">
        <f t="shared" si="100"/>
        <v>0</v>
      </c>
      <c r="V311" s="220">
        <f t="shared" si="100"/>
        <v>0</v>
      </c>
      <c r="W311" s="220">
        <f t="shared" si="100"/>
        <v>0</v>
      </c>
      <c r="X311" s="220">
        <f t="shared" si="100"/>
        <v>0</v>
      </c>
      <c r="Y311" s="220">
        <f t="shared" si="100"/>
        <v>0</v>
      </c>
      <c r="Z311" s="220">
        <f t="shared" si="100"/>
        <v>0</v>
      </c>
      <c r="AA311" s="220">
        <f t="shared" si="100"/>
        <v>0</v>
      </c>
      <c r="AB311" s="220">
        <f t="shared" si="100"/>
        <v>0</v>
      </c>
      <c r="AC311" s="220">
        <f t="shared" si="100"/>
        <v>378</v>
      </c>
      <c r="AD311" s="220">
        <f t="shared" si="100"/>
        <v>0</v>
      </c>
      <c r="AE311" s="220">
        <f t="shared" si="100"/>
        <v>0</v>
      </c>
      <c r="AF311" s="220">
        <f t="shared" si="100"/>
        <v>0</v>
      </c>
      <c r="AG311" s="95">
        <f t="shared" si="98"/>
        <v>939.96</v>
      </c>
    </row>
    <row r="312">
      <c r="A312" s="221"/>
      <c r="T312" s="181"/>
      <c r="U312" s="181"/>
      <c r="V312" s="181"/>
      <c r="W312" s="181"/>
      <c r="X312" s="181"/>
      <c r="Y312" s="181"/>
      <c r="Z312" s="181"/>
      <c r="AA312" s="181"/>
      <c r="AB312" s="181"/>
      <c r="AC312" s="181"/>
      <c r="AD312" s="181"/>
      <c r="AE312" s="181"/>
      <c r="AF312" s="181"/>
      <c r="AG312" s="207"/>
    </row>
    <row r="313">
      <c r="A313" s="221"/>
      <c r="T313" s="181"/>
      <c r="U313" s="181"/>
      <c r="V313" s="181"/>
      <c r="W313" s="181"/>
      <c r="X313" s="181"/>
      <c r="Y313" s="181"/>
      <c r="Z313" s="181"/>
      <c r="AA313" s="181"/>
      <c r="AB313" s="181"/>
      <c r="AC313" s="181"/>
      <c r="AD313" s="181"/>
      <c r="AE313" s="181"/>
      <c r="AF313" s="181"/>
      <c r="AG313" s="207"/>
    </row>
    <row r="314">
      <c r="A314" s="149" t="s">
        <v>311</v>
      </c>
      <c r="B314" s="176"/>
      <c r="C314" s="176"/>
      <c r="D314" s="176"/>
      <c r="E314" s="176"/>
      <c r="F314" s="176"/>
      <c r="G314" s="176"/>
      <c r="H314" s="176"/>
      <c r="I314" s="176"/>
      <c r="J314" s="176"/>
      <c r="K314" s="176"/>
      <c r="L314" s="176"/>
      <c r="M314" s="176"/>
      <c r="N314" s="176"/>
      <c r="O314" s="176"/>
      <c r="P314" s="176"/>
      <c r="Q314" s="176"/>
      <c r="R314" s="176"/>
      <c r="S314" s="176"/>
      <c r="T314" s="222"/>
      <c r="U314" s="222"/>
      <c r="V314" s="222"/>
      <c r="W314" s="222"/>
      <c r="X314" s="222"/>
      <c r="Y314" s="222"/>
      <c r="Z314" s="222"/>
      <c r="AA314" s="222"/>
      <c r="AB314" s="222"/>
      <c r="AC314" s="222"/>
      <c r="AD314" s="222"/>
      <c r="AE314" s="222"/>
      <c r="AF314" s="222"/>
      <c r="AG314" s="207"/>
    </row>
    <row r="315">
      <c r="A315" s="213" t="s">
        <v>207</v>
      </c>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c r="AA315" s="223"/>
      <c r="AB315" s="223"/>
      <c r="AC315" s="223"/>
      <c r="AD315" s="223"/>
      <c r="AE315" s="223"/>
      <c r="AF315" s="223"/>
      <c r="AG315" s="156"/>
    </row>
    <row r="316" outlineLevel="1">
      <c r="A316" s="213" t="s">
        <v>312</v>
      </c>
      <c r="B316" s="165">
        <v>1.0</v>
      </c>
      <c r="C316" s="165">
        <v>0.0</v>
      </c>
      <c r="D316" s="165">
        <v>0.0</v>
      </c>
      <c r="E316" s="165">
        <v>4.0</v>
      </c>
      <c r="F316" s="165">
        <v>0.0</v>
      </c>
      <c r="G316" s="165">
        <v>1.0</v>
      </c>
      <c r="H316" s="165">
        <v>5.0</v>
      </c>
      <c r="I316" s="165">
        <v>1.0</v>
      </c>
      <c r="J316" s="165">
        <v>0.0</v>
      </c>
      <c r="K316" s="165">
        <v>0.0</v>
      </c>
      <c r="L316" s="165">
        <v>0.0</v>
      </c>
      <c r="M316" s="165">
        <v>2.0</v>
      </c>
      <c r="N316" s="165">
        <v>0.0</v>
      </c>
      <c r="O316" s="165">
        <v>0.0</v>
      </c>
      <c r="P316" s="165">
        <v>1.0</v>
      </c>
      <c r="Q316" s="165">
        <v>0.0</v>
      </c>
      <c r="R316" s="165">
        <v>0.0</v>
      </c>
      <c r="S316" s="165">
        <v>0.0</v>
      </c>
      <c r="T316" s="165">
        <v>0.0</v>
      </c>
      <c r="U316" s="165">
        <v>2.0</v>
      </c>
      <c r="V316" s="165">
        <v>0.0</v>
      </c>
      <c r="W316" s="165">
        <v>0.0</v>
      </c>
      <c r="X316" s="165">
        <v>0.0</v>
      </c>
      <c r="Y316" s="165">
        <v>0.0</v>
      </c>
      <c r="Z316" s="165">
        <v>0.0</v>
      </c>
      <c r="AA316" s="165">
        <v>0.0</v>
      </c>
      <c r="AB316" s="165">
        <v>2.0</v>
      </c>
      <c r="AC316" s="165">
        <v>3.0</v>
      </c>
      <c r="AD316" s="165">
        <v>0.0</v>
      </c>
      <c r="AE316" s="165">
        <v>0.0</v>
      </c>
      <c r="AF316" s="165">
        <v>0.0</v>
      </c>
      <c r="AG316" s="95">
        <f t="shared" ref="AG316:AG321" si="101">SUM(B316:AF316)</f>
        <v>22</v>
      </c>
    </row>
    <row r="317" outlineLevel="1">
      <c r="A317" s="213" t="s">
        <v>313</v>
      </c>
      <c r="B317" s="165">
        <v>0.0</v>
      </c>
      <c r="C317" s="165">
        <v>0.0</v>
      </c>
      <c r="D317" s="165">
        <v>0.0</v>
      </c>
      <c r="E317" s="165">
        <v>2.0</v>
      </c>
      <c r="F317" s="165">
        <v>0.0</v>
      </c>
      <c r="G317" s="165">
        <v>0.0</v>
      </c>
      <c r="H317" s="165">
        <v>1.0</v>
      </c>
      <c r="I317" s="165">
        <v>1.0</v>
      </c>
      <c r="J317" s="165">
        <v>0.0</v>
      </c>
      <c r="K317" s="165">
        <v>0.0</v>
      </c>
      <c r="L317" s="165">
        <v>0.0</v>
      </c>
      <c r="M317" s="165">
        <v>1.0</v>
      </c>
      <c r="N317" s="165">
        <v>0.0</v>
      </c>
      <c r="O317" s="165">
        <v>0.0</v>
      </c>
      <c r="P317" s="165">
        <v>1.0</v>
      </c>
      <c r="Q317" s="165">
        <v>0.0</v>
      </c>
      <c r="R317" s="165">
        <v>0.0</v>
      </c>
      <c r="S317" s="165">
        <v>0.0</v>
      </c>
      <c r="T317" s="165">
        <v>0.0</v>
      </c>
      <c r="U317" s="165">
        <v>0.0</v>
      </c>
      <c r="V317" s="165">
        <v>0.0</v>
      </c>
      <c r="W317" s="165">
        <v>0.0</v>
      </c>
      <c r="X317" s="165">
        <v>0.0</v>
      </c>
      <c r="Y317" s="165">
        <v>0.0</v>
      </c>
      <c r="Z317" s="165">
        <v>0.0</v>
      </c>
      <c r="AA317" s="165">
        <v>0.0</v>
      </c>
      <c r="AB317" s="165">
        <v>0.0</v>
      </c>
      <c r="AC317" s="165">
        <v>0.0</v>
      </c>
      <c r="AD317" s="165">
        <v>0.0</v>
      </c>
      <c r="AE317" s="165">
        <v>0.0</v>
      </c>
      <c r="AF317" s="165">
        <v>0.0</v>
      </c>
      <c r="AG317" s="95">
        <f t="shared" si="101"/>
        <v>6</v>
      </c>
    </row>
    <row r="318" outlineLevel="1">
      <c r="A318" s="213" t="s">
        <v>314</v>
      </c>
      <c r="B318" s="165">
        <v>1.0</v>
      </c>
      <c r="C318" s="158">
        <v>0.0</v>
      </c>
      <c r="D318" s="86">
        <v>0.0</v>
      </c>
      <c r="E318" s="165">
        <v>6.0</v>
      </c>
      <c r="F318" s="165">
        <v>1.0</v>
      </c>
      <c r="G318" s="165">
        <v>4.0</v>
      </c>
      <c r="H318" s="165">
        <v>7.0</v>
      </c>
      <c r="I318" s="165">
        <v>1.0</v>
      </c>
      <c r="J318" s="165">
        <v>0.0</v>
      </c>
      <c r="K318" s="165">
        <v>0.0</v>
      </c>
      <c r="L318" s="165">
        <v>0.0</v>
      </c>
      <c r="M318" s="165">
        <v>12.0</v>
      </c>
      <c r="N318" s="165">
        <v>1.0</v>
      </c>
      <c r="O318" s="165">
        <v>2.0</v>
      </c>
      <c r="P318" s="165">
        <v>4.0</v>
      </c>
      <c r="Q318" s="165">
        <v>1.0</v>
      </c>
      <c r="R318" s="165">
        <v>0.0</v>
      </c>
      <c r="S318" s="165">
        <v>2.0</v>
      </c>
      <c r="T318" s="165">
        <v>0.0</v>
      </c>
      <c r="U318" s="165">
        <v>1.0</v>
      </c>
      <c r="V318" s="165">
        <v>0.0</v>
      </c>
      <c r="W318" s="165">
        <v>0.0</v>
      </c>
      <c r="X318" s="165">
        <v>0.0</v>
      </c>
      <c r="Y318" s="165">
        <v>0.0</v>
      </c>
      <c r="Z318" s="165">
        <v>0.0</v>
      </c>
      <c r="AA318" s="165">
        <v>1.0</v>
      </c>
      <c r="AB318" s="165">
        <v>5.0</v>
      </c>
      <c r="AC318" s="165">
        <v>6.0</v>
      </c>
      <c r="AD318" s="165">
        <v>0.0</v>
      </c>
      <c r="AE318" s="165">
        <v>0.0</v>
      </c>
      <c r="AF318" s="165">
        <v>1.0</v>
      </c>
      <c r="AG318" s="95">
        <f t="shared" si="101"/>
        <v>56</v>
      </c>
    </row>
    <row r="319" outlineLevel="1">
      <c r="A319" s="213" t="s">
        <v>315</v>
      </c>
      <c r="B319" s="165">
        <v>0.0</v>
      </c>
      <c r="C319" s="158">
        <v>0.0</v>
      </c>
      <c r="D319" s="86">
        <v>3.0</v>
      </c>
      <c r="E319" s="165">
        <v>0.0</v>
      </c>
      <c r="F319" s="165">
        <v>0.0</v>
      </c>
      <c r="G319" s="165">
        <v>1.0</v>
      </c>
      <c r="H319" s="165">
        <v>4.0</v>
      </c>
      <c r="I319" s="165">
        <v>0.0</v>
      </c>
      <c r="J319" s="165">
        <v>0.0</v>
      </c>
      <c r="K319" s="165">
        <v>0.0</v>
      </c>
      <c r="L319" s="165">
        <v>0.0</v>
      </c>
      <c r="M319" s="165">
        <v>2.0</v>
      </c>
      <c r="N319" s="165">
        <v>0.0</v>
      </c>
      <c r="O319" s="165">
        <v>1.0</v>
      </c>
      <c r="P319" s="165">
        <v>0.0</v>
      </c>
      <c r="Q319" s="165">
        <v>0.0</v>
      </c>
      <c r="R319" s="165">
        <v>0.0</v>
      </c>
      <c r="S319" s="165">
        <v>0.0</v>
      </c>
      <c r="T319" s="165">
        <v>0.0</v>
      </c>
      <c r="U319" s="165">
        <v>0.0</v>
      </c>
      <c r="V319" s="165">
        <v>0.0</v>
      </c>
      <c r="W319" s="165">
        <v>0.0</v>
      </c>
      <c r="X319" s="165">
        <v>0.0</v>
      </c>
      <c r="Y319" s="165">
        <v>0.0</v>
      </c>
      <c r="Z319" s="165">
        <v>0.0</v>
      </c>
      <c r="AA319" s="165">
        <v>0.0</v>
      </c>
      <c r="AB319" s="165">
        <v>0.0</v>
      </c>
      <c r="AC319" s="165">
        <v>0.0</v>
      </c>
      <c r="AD319" s="165">
        <v>0.0</v>
      </c>
      <c r="AE319" s="165">
        <v>0.0</v>
      </c>
      <c r="AF319" s="165">
        <v>0.0</v>
      </c>
      <c r="AG319" s="95">
        <f t="shared" si="101"/>
        <v>11</v>
      </c>
    </row>
    <row r="320" outlineLevel="1">
      <c r="A320" s="213" t="s">
        <v>316</v>
      </c>
      <c r="B320" s="86">
        <v>0.0</v>
      </c>
      <c r="C320" s="86">
        <v>0.0</v>
      </c>
      <c r="D320" s="86">
        <v>0.0</v>
      </c>
      <c r="E320" s="86">
        <v>0.0</v>
      </c>
      <c r="F320" s="86">
        <v>0.0</v>
      </c>
      <c r="G320" s="86">
        <v>0.0</v>
      </c>
      <c r="H320" s="86">
        <v>0.0</v>
      </c>
      <c r="I320" s="86">
        <v>0.0</v>
      </c>
      <c r="J320" s="159">
        <v>0.0</v>
      </c>
      <c r="K320" s="159">
        <v>0.0</v>
      </c>
      <c r="L320" s="159">
        <v>0.0</v>
      </c>
      <c r="M320" s="86">
        <v>0.0</v>
      </c>
      <c r="N320" s="86">
        <v>0.0</v>
      </c>
      <c r="O320" s="86">
        <v>0.0</v>
      </c>
      <c r="P320" s="86">
        <v>0.0</v>
      </c>
      <c r="Q320" s="86">
        <v>0.0</v>
      </c>
      <c r="R320" s="86">
        <v>0.0</v>
      </c>
      <c r="S320" s="86">
        <v>0.0</v>
      </c>
      <c r="T320" s="86">
        <v>0.0</v>
      </c>
      <c r="U320" s="86">
        <v>0.0</v>
      </c>
      <c r="V320" s="86">
        <v>0.0</v>
      </c>
      <c r="W320" s="86">
        <v>0.0</v>
      </c>
      <c r="X320" s="86">
        <v>0.0</v>
      </c>
      <c r="Y320" s="86">
        <v>0.0</v>
      </c>
      <c r="Z320" s="86">
        <v>0.0</v>
      </c>
      <c r="AA320" s="86">
        <v>0.0</v>
      </c>
      <c r="AB320" s="86">
        <v>0.0</v>
      </c>
      <c r="AC320" s="86">
        <v>0.0</v>
      </c>
      <c r="AD320" s="86">
        <v>0.0</v>
      </c>
      <c r="AE320" s="86">
        <v>0.0</v>
      </c>
      <c r="AF320" s="86">
        <v>0.0</v>
      </c>
      <c r="AG320" s="95">
        <f t="shared" si="101"/>
        <v>0</v>
      </c>
    </row>
    <row r="321" outlineLevel="1">
      <c r="A321" s="213" t="s">
        <v>317</v>
      </c>
      <c r="B321" s="86">
        <v>0.0</v>
      </c>
      <c r="C321" s="86">
        <v>0.0</v>
      </c>
      <c r="D321" s="86">
        <v>0.0</v>
      </c>
      <c r="E321" s="86">
        <v>0.0</v>
      </c>
      <c r="F321" s="86">
        <v>0.0</v>
      </c>
      <c r="G321" s="86">
        <v>0.0</v>
      </c>
      <c r="H321" s="86">
        <v>0.0</v>
      </c>
      <c r="I321" s="86">
        <v>0.0</v>
      </c>
      <c r="J321" s="159">
        <v>0.0</v>
      </c>
      <c r="K321" s="159">
        <v>0.0</v>
      </c>
      <c r="L321" s="159">
        <v>0.0</v>
      </c>
      <c r="M321" s="86">
        <v>0.0</v>
      </c>
      <c r="N321" s="86">
        <v>0.0</v>
      </c>
      <c r="O321" s="86">
        <v>0.0</v>
      </c>
      <c r="P321" s="86">
        <v>0.0</v>
      </c>
      <c r="Q321" s="86">
        <v>0.0</v>
      </c>
      <c r="R321" s="86">
        <v>0.0</v>
      </c>
      <c r="S321" s="86">
        <v>0.0</v>
      </c>
      <c r="T321" s="86">
        <v>0.0</v>
      </c>
      <c r="U321" s="86">
        <v>0.0</v>
      </c>
      <c r="V321" s="86">
        <v>0.0</v>
      </c>
      <c r="W321" s="86">
        <v>0.0</v>
      </c>
      <c r="X321" s="86">
        <v>0.0</v>
      </c>
      <c r="Y321" s="86">
        <v>0.0</v>
      </c>
      <c r="Z321" s="86">
        <v>0.0</v>
      </c>
      <c r="AA321" s="86">
        <v>0.0</v>
      </c>
      <c r="AB321" s="86">
        <v>0.0</v>
      </c>
      <c r="AC321" s="86">
        <v>0.0</v>
      </c>
      <c r="AD321" s="86">
        <v>0.0</v>
      </c>
      <c r="AE321" s="86">
        <v>0.0</v>
      </c>
      <c r="AF321" s="86">
        <v>0.0</v>
      </c>
      <c r="AG321" s="95">
        <f t="shared" si="101"/>
        <v>0</v>
      </c>
    </row>
    <row r="322">
      <c r="A322" s="213" t="s">
        <v>214</v>
      </c>
      <c r="B322" s="223"/>
      <c r="C322" s="223"/>
      <c r="D322" s="223"/>
      <c r="E322" s="223"/>
      <c r="F322" s="223"/>
      <c r="G322" s="223"/>
      <c r="H322" s="223"/>
      <c r="I322" s="223"/>
      <c r="J322" s="223"/>
      <c r="K322" s="223"/>
      <c r="L322" s="223"/>
      <c r="M322" s="223"/>
      <c r="N322" s="223"/>
      <c r="O322" s="223"/>
      <c r="P322" s="223"/>
      <c r="Q322" s="223"/>
      <c r="R322" s="223"/>
      <c r="S322" s="223"/>
      <c r="T322" s="223"/>
      <c r="U322" s="223"/>
      <c r="V322" s="223"/>
      <c r="W322" s="223"/>
      <c r="X322" s="223"/>
      <c r="Y322" s="223"/>
      <c r="Z322" s="223"/>
      <c r="AA322" s="223"/>
      <c r="AB322" s="223"/>
      <c r="AC322" s="223"/>
      <c r="AD322" s="223"/>
      <c r="AE322" s="223"/>
      <c r="AF322" s="223"/>
      <c r="AG322" s="156"/>
    </row>
    <row r="323" outlineLevel="1">
      <c r="A323" s="213" t="s">
        <v>318</v>
      </c>
      <c r="B323" s="165">
        <v>0.0</v>
      </c>
      <c r="C323" s="165">
        <v>0.0</v>
      </c>
      <c r="D323" s="165">
        <v>0.0</v>
      </c>
      <c r="E323" s="165">
        <v>0.0</v>
      </c>
      <c r="F323" s="165">
        <v>0.0</v>
      </c>
      <c r="G323" s="165">
        <v>0.0</v>
      </c>
      <c r="H323" s="165">
        <v>0.0</v>
      </c>
      <c r="I323" s="165">
        <v>0.0</v>
      </c>
      <c r="J323" s="165">
        <v>0.0</v>
      </c>
      <c r="K323" s="165">
        <v>0.0</v>
      </c>
      <c r="L323" s="165">
        <v>0.0</v>
      </c>
      <c r="M323" s="165">
        <v>0.0</v>
      </c>
      <c r="N323" s="165">
        <v>0.0</v>
      </c>
      <c r="O323" s="165">
        <v>0.0</v>
      </c>
      <c r="P323" s="165">
        <v>0.0</v>
      </c>
      <c r="Q323" s="165">
        <v>0.0</v>
      </c>
      <c r="R323" s="165">
        <v>0.0</v>
      </c>
      <c r="S323" s="165">
        <v>0.0</v>
      </c>
      <c r="T323" s="165">
        <v>0.0</v>
      </c>
      <c r="U323" s="165">
        <v>0.0</v>
      </c>
      <c r="V323" s="165">
        <v>0.0</v>
      </c>
      <c r="W323" s="165">
        <v>0.0</v>
      </c>
      <c r="X323" s="165">
        <v>0.0</v>
      </c>
      <c r="Y323" s="165">
        <v>0.0</v>
      </c>
      <c r="Z323" s="165">
        <v>0.0</v>
      </c>
      <c r="AA323" s="165">
        <v>0.0</v>
      </c>
      <c r="AB323" s="165">
        <v>0.0</v>
      </c>
      <c r="AC323" s="165">
        <v>0.0</v>
      </c>
      <c r="AD323" s="165">
        <v>0.0</v>
      </c>
      <c r="AE323" s="165">
        <v>0.0</v>
      </c>
      <c r="AF323" s="165">
        <v>0.0</v>
      </c>
      <c r="AG323" s="95">
        <f t="shared" ref="AG323:AG330" si="102">SUM(B323:AF323)</f>
        <v>0</v>
      </c>
    </row>
    <row r="324" outlineLevel="1">
      <c r="A324" s="213" t="s">
        <v>319</v>
      </c>
      <c r="B324" s="165">
        <v>0.0</v>
      </c>
      <c r="C324" s="165">
        <v>0.0</v>
      </c>
      <c r="D324" s="165">
        <v>0.0</v>
      </c>
      <c r="E324" s="165">
        <v>0.0</v>
      </c>
      <c r="F324" s="165">
        <v>0.0</v>
      </c>
      <c r="G324" s="165">
        <v>0.0</v>
      </c>
      <c r="H324" s="165">
        <v>0.0</v>
      </c>
      <c r="I324" s="165">
        <v>0.0</v>
      </c>
      <c r="J324" s="165">
        <v>0.0</v>
      </c>
      <c r="K324" s="165">
        <v>0.0</v>
      </c>
      <c r="L324" s="165">
        <v>0.0</v>
      </c>
      <c r="M324" s="165">
        <v>0.0</v>
      </c>
      <c r="N324" s="165">
        <v>0.0</v>
      </c>
      <c r="O324" s="165">
        <v>0.0</v>
      </c>
      <c r="P324" s="165">
        <v>0.0</v>
      </c>
      <c r="Q324" s="165">
        <v>0.0</v>
      </c>
      <c r="R324" s="165">
        <v>0.0</v>
      </c>
      <c r="S324" s="165">
        <v>0.0</v>
      </c>
      <c r="T324" s="165">
        <v>0.0</v>
      </c>
      <c r="U324" s="165">
        <v>0.0</v>
      </c>
      <c r="V324" s="165">
        <v>0.0</v>
      </c>
      <c r="W324" s="165">
        <v>0.0</v>
      </c>
      <c r="X324" s="165">
        <v>0.0</v>
      </c>
      <c r="Y324" s="165">
        <v>0.0</v>
      </c>
      <c r="Z324" s="165">
        <v>0.0</v>
      </c>
      <c r="AA324" s="165">
        <v>0.0</v>
      </c>
      <c r="AB324" s="165">
        <v>0.0</v>
      </c>
      <c r="AC324" s="165">
        <v>0.0</v>
      </c>
      <c r="AD324" s="165">
        <v>0.0</v>
      </c>
      <c r="AE324" s="165">
        <v>0.0</v>
      </c>
      <c r="AF324" s="165">
        <v>0.0</v>
      </c>
      <c r="AG324" s="95">
        <f t="shared" si="102"/>
        <v>0</v>
      </c>
    </row>
    <row r="325" outlineLevel="1">
      <c r="A325" s="213" t="s">
        <v>320</v>
      </c>
      <c r="B325" s="165">
        <v>0.0</v>
      </c>
      <c r="C325" s="165">
        <v>0.0</v>
      </c>
      <c r="D325" s="165">
        <v>0.0</v>
      </c>
      <c r="E325" s="165">
        <v>0.0</v>
      </c>
      <c r="F325" s="165">
        <v>0.0</v>
      </c>
      <c r="G325" s="165">
        <v>0.0</v>
      </c>
      <c r="H325" s="165">
        <v>1.0</v>
      </c>
      <c r="I325" s="165">
        <v>0.0</v>
      </c>
      <c r="J325" s="165">
        <v>0.0</v>
      </c>
      <c r="K325" s="165">
        <v>0.0</v>
      </c>
      <c r="L325" s="165">
        <v>0.0</v>
      </c>
      <c r="M325" s="165">
        <v>0.0</v>
      </c>
      <c r="N325" s="165">
        <v>0.0</v>
      </c>
      <c r="O325" s="165">
        <v>0.0</v>
      </c>
      <c r="P325" s="165">
        <v>0.0</v>
      </c>
      <c r="Q325" s="165">
        <v>0.0</v>
      </c>
      <c r="R325" s="165">
        <v>0.0</v>
      </c>
      <c r="S325" s="165">
        <v>0.0</v>
      </c>
      <c r="T325" s="165">
        <v>0.0</v>
      </c>
      <c r="U325" s="165">
        <v>0.0</v>
      </c>
      <c r="V325" s="165">
        <v>0.0</v>
      </c>
      <c r="W325" s="165">
        <v>0.0</v>
      </c>
      <c r="X325" s="165">
        <v>0.0</v>
      </c>
      <c r="Y325" s="165">
        <v>0.0</v>
      </c>
      <c r="Z325" s="165">
        <v>0.0</v>
      </c>
      <c r="AA325" s="165">
        <v>0.0</v>
      </c>
      <c r="AB325" s="165">
        <v>0.0</v>
      </c>
      <c r="AC325" s="165">
        <v>0.0</v>
      </c>
      <c r="AD325" s="165">
        <v>0.0</v>
      </c>
      <c r="AE325" s="165">
        <v>0.0</v>
      </c>
      <c r="AF325" s="165">
        <v>0.0</v>
      </c>
      <c r="AG325" s="95">
        <f t="shared" si="102"/>
        <v>1</v>
      </c>
    </row>
    <row r="326" outlineLevel="1">
      <c r="A326" s="213" t="s">
        <v>321</v>
      </c>
      <c r="B326" s="165">
        <v>0.0</v>
      </c>
      <c r="C326" s="165">
        <v>0.0</v>
      </c>
      <c r="D326" s="165">
        <v>0.0</v>
      </c>
      <c r="E326" s="165">
        <v>0.0</v>
      </c>
      <c r="F326" s="165">
        <v>0.0</v>
      </c>
      <c r="G326" s="165">
        <v>0.0</v>
      </c>
      <c r="H326" s="165">
        <v>0.0</v>
      </c>
      <c r="I326" s="165">
        <v>0.0</v>
      </c>
      <c r="J326" s="165">
        <v>0.0</v>
      </c>
      <c r="K326" s="165">
        <v>0.0</v>
      </c>
      <c r="L326" s="165">
        <v>0.0</v>
      </c>
      <c r="M326" s="165">
        <v>0.0</v>
      </c>
      <c r="N326" s="165">
        <v>0.0</v>
      </c>
      <c r="O326" s="165">
        <v>0.0</v>
      </c>
      <c r="P326" s="165">
        <v>0.0</v>
      </c>
      <c r="Q326" s="165">
        <v>0.0</v>
      </c>
      <c r="R326" s="165">
        <v>0.0</v>
      </c>
      <c r="S326" s="165">
        <v>0.0</v>
      </c>
      <c r="T326" s="165">
        <v>0.0</v>
      </c>
      <c r="U326" s="165">
        <v>0.0</v>
      </c>
      <c r="V326" s="165">
        <v>0.0</v>
      </c>
      <c r="W326" s="165">
        <v>0.0</v>
      </c>
      <c r="X326" s="165">
        <v>0.0</v>
      </c>
      <c r="Y326" s="165">
        <v>0.0</v>
      </c>
      <c r="Z326" s="165">
        <v>0.0</v>
      </c>
      <c r="AA326" s="165">
        <v>0.0</v>
      </c>
      <c r="AB326" s="165">
        <v>0.0</v>
      </c>
      <c r="AC326" s="165">
        <v>0.0</v>
      </c>
      <c r="AD326" s="165">
        <v>0.0</v>
      </c>
      <c r="AE326" s="165">
        <v>0.0</v>
      </c>
      <c r="AF326" s="165">
        <v>0.0</v>
      </c>
      <c r="AG326" s="95">
        <f t="shared" si="102"/>
        <v>0</v>
      </c>
    </row>
    <row r="327" outlineLevel="1">
      <c r="A327" s="213" t="s">
        <v>322</v>
      </c>
      <c r="B327" s="159">
        <v>0.0</v>
      </c>
      <c r="C327" s="159">
        <v>0.0</v>
      </c>
      <c r="D327" s="159">
        <v>0.0</v>
      </c>
      <c r="E327" s="159">
        <v>0.0</v>
      </c>
      <c r="F327" s="159">
        <v>0.0</v>
      </c>
      <c r="G327" s="159">
        <v>0.0</v>
      </c>
      <c r="H327" s="159">
        <v>0.0</v>
      </c>
      <c r="I327" s="159">
        <v>0.0</v>
      </c>
      <c r="J327" s="159">
        <v>0.0</v>
      </c>
      <c r="K327" s="159">
        <v>0.0</v>
      </c>
      <c r="L327" s="159">
        <v>0.0</v>
      </c>
      <c r="M327" s="159">
        <v>0.0</v>
      </c>
      <c r="N327" s="159">
        <v>0.0</v>
      </c>
      <c r="O327" s="159">
        <v>0.0</v>
      </c>
      <c r="P327" s="159">
        <v>0.0</v>
      </c>
      <c r="Q327" s="159">
        <v>0.0</v>
      </c>
      <c r="R327" s="159">
        <v>0.0</v>
      </c>
      <c r="S327" s="159">
        <v>0.0</v>
      </c>
      <c r="T327" s="159">
        <v>0.0</v>
      </c>
      <c r="U327" s="159">
        <v>0.0</v>
      </c>
      <c r="V327" s="159">
        <v>0.0</v>
      </c>
      <c r="W327" s="159">
        <v>0.0</v>
      </c>
      <c r="X327" s="159">
        <v>0.0</v>
      </c>
      <c r="Y327" s="159">
        <v>0.0</v>
      </c>
      <c r="Z327" s="86">
        <v>0.0</v>
      </c>
      <c r="AA327" s="86">
        <v>0.0</v>
      </c>
      <c r="AB327" s="86">
        <v>0.0</v>
      </c>
      <c r="AC327" s="86">
        <v>0.0</v>
      </c>
      <c r="AD327" s="86">
        <v>0.0</v>
      </c>
      <c r="AE327" s="86">
        <v>0.0</v>
      </c>
      <c r="AF327" s="86">
        <v>0.0</v>
      </c>
      <c r="AG327" s="95">
        <f t="shared" si="102"/>
        <v>0</v>
      </c>
    </row>
    <row r="328" outlineLevel="1">
      <c r="A328" s="213" t="s">
        <v>323</v>
      </c>
      <c r="B328" s="159">
        <v>0.0</v>
      </c>
      <c r="C328" s="159">
        <v>0.0</v>
      </c>
      <c r="D328" s="159">
        <v>0.0</v>
      </c>
      <c r="E328" s="159">
        <v>0.0</v>
      </c>
      <c r="F328" s="159">
        <v>0.0</v>
      </c>
      <c r="G328" s="159">
        <v>0.0</v>
      </c>
      <c r="H328" s="159">
        <v>0.0</v>
      </c>
      <c r="I328" s="159">
        <v>0.0</v>
      </c>
      <c r="J328" s="159">
        <v>0.0</v>
      </c>
      <c r="K328" s="159">
        <v>0.0</v>
      </c>
      <c r="L328" s="159">
        <v>0.0</v>
      </c>
      <c r="M328" s="159">
        <v>0.0</v>
      </c>
      <c r="N328" s="159">
        <v>0.0</v>
      </c>
      <c r="O328" s="159">
        <v>0.0</v>
      </c>
      <c r="P328" s="159">
        <v>0.0</v>
      </c>
      <c r="Q328" s="159">
        <v>0.0</v>
      </c>
      <c r="R328" s="159">
        <v>0.0</v>
      </c>
      <c r="S328" s="159">
        <v>0.0</v>
      </c>
      <c r="T328" s="159">
        <v>0.0</v>
      </c>
      <c r="U328" s="159">
        <v>0.0</v>
      </c>
      <c r="V328" s="159">
        <v>0.0</v>
      </c>
      <c r="W328" s="159">
        <v>0.0</v>
      </c>
      <c r="X328" s="159">
        <v>0.0</v>
      </c>
      <c r="Y328" s="159">
        <v>0.0</v>
      </c>
      <c r="Z328" s="86">
        <v>0.0</v>
      </c>
      <c r="AA328" s="86">
        <v>0.0</v>
      </c>
      <c r="AB328" s="86">
        <v>0.0</v>
      </c>
      <c r="AC328" s="86">
        <v>0.0</v>
      </c>
      <c r="AD328" s="86">
        <v>0.0</v>
      </c>
      <c r="AE328" s="86">
        <v>0.0</v>
      </c>
      <c r="AF328" s="86">
        <v>0.0</v>
      </c>
      <c r="AG328" s="95">
        <f t="shared" si="102"/>
        <v>0</v>
      </c>
    </row>
    <row r="329">
      <c r="A329" s="215" t="s">
        <v>221</v>
      </c>
      <c r="B329" s="216">
        <f t="shared" ref="B329:AF329" si="103">SUM(B316,B317,B323,B324,)</f>
        <v>1</v>
      </c>
      <c r="C329" s="216">
        <f t="shared" si="103"/>
        <v>0</v>
      </c>
      <c r="D329" s="216">
        <f t="shared" si="103"/>
        <v>0</v>
      </c>
      <c r="E329" s="216">
        <f t="shared" si="103"/>
        <v>6</v>
      </c>
      <c r="F329" s="216">
        <f t="shared" si="103"/>
        <v>0</v>
      </c>
      <c r="G329" s="216">
        <f t="shared" si="103"/>
        <v>1</v>
      </c>
      <c r="H329" s="216">
        <f t="shared" si="103"/>
        <v>6</v>
      </c>
      <c r="I329" s="216">
        <f t="shared" si="103"/>
        <v>2</v>
      </c>
      <c r="J329" s="216">
        <f t="shared" si="103"/>
        <v>0</v>
      </c>
      <c r="K329" s="216">
        <f t="shared" si="103"/>
        <v>0</v>
      </c>
      <c r="L329" s="216">
        <f t="shared" si="103"/>
        <v>0</v>
      </c>
      <c r="M329" s="216">
        <f t="shared" si="103"/>
        <v>3</v>
      </c>
      <c r="N329" s="216">
        <f t="shared" si="103"/>
        <v>0</v>
      </c>
      <c r="O329" s="216">
        <f t="shared" si="103"/>
        <v>0</v>
      </c>
      <c r="P329" s="216">
        <f t="shared" si="103"/>
        <v>2</v>
      </c>
      <c r="Q329" s="216">
        <f t="shared" si="103"/>
        <v>0</v>
      </c>
      <c r="R329" s="216">
        <f t="shared" si="103"/>
        <v>0</v>
      </c>
      <c r="S329" s="216">
        <f t="shared" si="103"/>
        <v>0</v>
      </c>
      <c r="T329" s="216">
        <f t="shared" si="103"/>
        <v>0</v>
      </c>
      <c r="U329" s="216">
        <f t="shared" si="103"/>
        <v>2</v>
      </c>
      <c r="V329" s="216">
        <f t="shared" si="103"/>
        <v>0</v>
      </c>
      <c r="W329" s="216">
        <f t="shared" si="103"/>
        <v>0</v>
      </c>
      <c r="X329" s="216">
        <f t="shared" si="103"/>
        <v>0</v>
      </c>
      <c r="Y329" s="216">
        <f t="shared" si="103"/>
        <v>0</v>
      </c>
      <c r="Z329" s="216">
        <f t="shared" si="103"/>
        <v>0</v>
      </c>
      <c r="AA329" s="216">
        <f t="shared" si="103"/>
        <v>0</v>
      </c>
      <c r="AB329" s="216">
        <f t="shared" si="103"/>
        <v>2</v>
      </c>
      <c r="AC329" s="216">
        <f t="shared" si="103"/>
        <v>3</v>
      </c>
      <c r="AD329" s="216">
        <f t="shared" si="103"/>
        <v>0</v>
      </c>
      <c r="AE329" s="216">
        <f t="shared" si="103"/>
        <v>0</v>
      </c>
      <c r="AF329" s="216">
        <f t="shared" si="103"/>
        <v>0</v>
      </c>
      <c r="AG329" s="95">
        <f t="shared" si="102"/>
        <v>28</v>
      </c>
    </row>
    <row r="330">
      <c r="A330" s="215" t="s">
        <v>222</v>
      </c>
      <c r="B330" s="216">
        <f t="shared" ref="B330:AF330" si="104">SUM(B318,B319,B325,B326,)</f>
        <v>1</v>
      </c>
      <c r="C330" s="216">
        <f t="shared" si="104"/>
        <v>0</v>
      </c>
      <c r="D330" s="216">
        <f t="shared" si="104"/>
        <v>3</v>
      </c>
      <c r="E330" s="216">
        <f t="shared" si="104"/>
        <v>6</v>
      </c>
      <c r="F330" s="216">
        <f t="shared" si="104"/>
        <v>1</v>
      </c>
      <c r="G330" s="216">
        <f t="shared" si="104"/>
        <v>5</v>
      </c>
      <c r="H330" s="216">
        <f t="shared" si="104"/>
        <v>12</v>
      </c>
      <c r="I330" s="216">
        <f t="shared" si="104"/>
        <v>1</v>
      </c>
      <c r="J330" s="216">
        <f t="shared" si="104"/>
        <v>0</v>
      </c>
      <c r="K330" s="216">
        <f t="shared" si="104"/>
        <v>0</v>
      </c>
      <c r="L330" s="216">
        <f t="shared" si="104"/>
        <v>0</v>
      </c>
      <c r="M330" s="216">
        <f t="shared" si="104"/>
        <v>14</v>
      </c>
      <c r="N330" s="216">
        <f t="shared" si="104"/>
        <v>1</v>
      </c>
      <c r="O330" s="216">
        <f t="shared" si="104"/>
        <v>3</v>
      </c>
      <c r="P330" s="216">
        <f t="shared" si="104"/>
        <v>4</v>
      </c>
      <c r="Q330" s="216">
        <f t="shared" si="104"/>
        <v>1</v>
      </c>
      <c r="R330" s="216">
        <f t="shared" si="104"/>
        <v>0</v>
      </c>
      <c r="S330" s="216">
        <f t="shared" si="104"/>
        <v>2</v>
      </c>
      <c r="T330" s="216">
        <f t="shared" si="104"/>
        <v>0</v>
      </c>
      <c r="U330" s="216">
        <f t="shared" si="104"/>
        <v>1</v>
      </c>
      <c r="V330" s="216">
        <f t="shared" si="104"/>
        <v>0</v>
      </c>
      <c r="W330" s="216">
        <f t="shared" si="104"/>
        <v>0</v>
      </c>
      <c r="X330" s="216">
        <f t="shared" si="104"/>
        <v>0</v>
      </c>
      <c r="Y330" s="216">
        <f t="shared" si="104"/>
        <v>0</v>
      </c>
      <c r="Z330" s="216">
        <f t="shared" si="104"/>
        <v>0</v>
      </c>
      <c r="AA330" s="216">
        <f t="shared" si="104"/>
        <v>1</v>
      </c>
      <c r="AB330" s="216">
        <f t="shared" si="104"/>
        <v>5</v>
      </c>
      <c r="AC330" s="216">
        <f t="shared" si="104"/>
        <v>6</v>
      </c>
      <c r="AD330" s="216">
        <f t="shared" si="104"/>
        <v>0</v>
      </c>
      <c r="AE330" s="216">
        <f t="shared" si="104"/>
        <v>0</v>
      </c>
      <c r="AF330" s="216">
        <f t="shared" si="104"/>
        <v>1</v>
      </c>
      <c r="AG330" s="95">
        <f t="shared" si="102"/>
        <v>68</v>
      </c>
    </row>
    <row r="331">
      <c r="A331" s="100"/>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c r="AF331" s="181"/>
      <c r="AG331" s="207"/>
    </row>
    <row r="332">
      <c r="A332" s="213" t="s">
        <v>223</v>
      </c>
      <c r="B332" s="223"/>
      <c r="C332" s="223"/>
      <c r="D332" s="223"/>
      <c r="E332" s="223"/>
      <c r="F332" s="223"/>
      <c r="G332" s="223"/>
      <c r="H332" s="223"/>
      <c r="I332" s="223"/>
      <c r="J332" s="223"/>
      <c r="K332" s="223"/>
      <c r="L332" s="223"/>
      <c r="M332" s="223"/>
      <c r="N332" s="223"/>
      <c r="O332" s="223"/>
      <c r="P332" s="223"/>
      <c r="Q332" s="223"/>
      <c r="R332" s="223"/>
      <c r="S332" s="223"/>
      <c r="T332" s="223"/>
      <c r="U332" s="223"/>
      <c r="V332" s="223"/>
      <c r="W332" s="223"/>
      <c r="X332" s="223"/>
      <c r="Y332" s="223"/>
      <c r="Z332" s="223"/>
      <c r="AA332" s="223"/>
      <c r="AB332" s="223"/>
      <c r="AC332" s="223"/>
      <c r="AD332" s="223"/>
      <c r="AE332" s="223"/>
      <c r="AF332" s="223"/>
      <c r="AG332" s="156"/>
    </row>
    <row r="333" outlineLevel="1">
      <c r="A333" s="213" t="s">
        <v>224</v>
      </c>
      <c r="B333" s="165">
        <v>0.0</v>
      </c>
      <c r="C333" s="165">
        <v>0.0</v>
      </c>
      <c r="D333" s="165">
        <v>1.0</v>
      </c>
      <c r="E333" s="165">
        <v>2.0</v>
      </c>
      <c r="F333" s="165">
        <v>0.0</v>
      </c>
      <c r="G333" s="165">
        <v>1.0</v>
      </c>
      <c r="H333" s="165">
        <v>4.0</v>
      </c>
      <c r="I333" s="165">
        <v>2.0</v>
      </c>
      <c r="J333" s="165">
        <v>0.0</v>
      </c>
      <c r="K333" s="165">
        <v>0.0</v>
      </c>
      <c r="L333" s="165">
        <v>0.0</v>
      </c>
      <c r="M333" s="165">
        <v>5.0</v>
      </c>
      <c r="N333" s="165">
        <v>0.0</v>
      </c>
      <c r="O333" s="165">
        <v>5.0</v>
      </c>
      <c r="P333" s="165">
        <v>1.0</v>
      </c>
      <c r="Q333" s="165">
        <v>1.0</v>
      </c>
      <c r="R333" s="165">
        <v>0.0</v>
      </c>
      <c r="S333" s="165">
        <v>3.0</v>
      </c>
      <c r="T333" s="165">
        <v>1.0</v>
      </c>
      <c r="U333" s="165">
        <v>2.0</v>
      </c>
      <c r="V333" s="165">
        <v>0.0</v>
      </c>
      <c r="W333" s="165">
        <v>0.0</v>
      </c>
      <c r="X333" s="165">
        <v>0.0</v>
      </c>
      <c r="Y333" s="165">
        <v>0.0</v>
      </c>
      <c r="Z333" s="165">
        <v>0.0</v>
      </c>
      <c r="AA333" s="165">
        <v>1.0</v>
      </c>
      <c r="AB333" s="165">
        <v>3.0</v>
      </c>
      <c r="AC333" s="165">
        <v>8.0</v>
      </c>
      <c r="AD333" s="165">
        <v>0.0</v>
      </c>
      <c r="AE333" s="165">
        <v>0.0</v>
      </c>
      <c r="AF333" s="165">
        <v>0.0</v>
      </c>
      <c r="AG333" s="95">
        <f t="shared" ref="AG333:AG343" si="105">SUM(B333:AF333)</f>
        <v>40</v>
      </c>
    </row>
    <row r="334" outlineLevel="1">
      <c r="A334" s="213" t="s">
        <v>225</v>
      </c>
      <c r="B334" s="165">
        <v>0.0</v>
      </c>
      <c r="C334" s="165">
        <v>0.0</v>
      </c>
      <c r="D334" s="165">
        <v>0.0</v>
      </c>
      <c r="E334" s="165">
        <v>3.0</v>
      </c>
      <c r="F334" s="165">
        <v>1.0</v>
      </c>
      <c r="G334" s="165">
        <v>0.0</v>
      </c>
      <c r="H334" s="165">
        <v>3.0</v>
      </c>
      <c r="I334" s="165">
        <v>0.0</v>
      </c>
      <c r="J334" s="177">
        <v>0.0</v>
      </c>
      <c r="K334" s="177">
        <v>0.0</v>
      </c>
      <c r="L334" s="177">
        <v>0.0</v>
      </c>
      <c r="M334" s="165">
        <v>3.0</v>
      </c>
      <c r="N334" s="165">
        <v>1.0</v>
      </c>
      <c r="O334" s="165">
        <v>1.0</v>
      </c>
      <c r="P334" s="165">
        <v>0.0</v>
      </c>
      <c r="Q334" s="165">
        <v>0.0</v>
      </c>
      <c r="R334" s="165">
        <v>0.0</v>
      </c>
      <c r="S334" s="165">
        <v>1.0</v>
      </c>
      <c r="T334" s="165">
        <v>0.0</v>
      </c>
      <c r="U334" s="165">
        <v>1.0</v>
      </c>
      <c r="V334" s="165">
        <v>0.0</v>
      </c>
      <c r="W334" s="165">
        <v>0.0</v>
      </c>
      <c r="X334" s="165">
        <v>0.0</v>
      </c>
      <c r="Y334" s="165">
        <v>0.0</v>
      </c>
      <c r="Z334" s="165">
        <v>0.0</v>
      </c>
      <c r="AA334" s="165">
        <v>1.0</v>
      </c>
      <c r="AB334" s="165">
        <v>2.0</v>
      </c>
      <c r="AC334" s="165">
        <v>0.0</v>
      </c>
      <c r="AD334" s="165">
        <v>0.0</v>
      </c>
      <c r="AE334" s="165">
        <v>0.0</v>
      </c>
      <c r="AF334" s="165">
        <v>0.0</v>
      </c>
      <c r="AG334" s="95">
        <f t="shared" si="105"/>
        <v>17</v>
      </c>
    </row>
    <row r="335" outlineLevel="1">
      <c r="A335" s="213" t="s">
        <v>324</v>
      </c>
      <c r="B335" s="165">
        <v>0.0</v>
      </c>
      <c r="C335" s="165">
        <v>0.0</v>
      </c>
      <c r="D335" s="165">
        <v>0.0</v>
      </c>
      <c r="E335" s="165">
        <v>2.0</v>
      </c>
      <c r="F335" s="165">
        <v>0.0</v>
      </c>
      <c r="G335" s="165">
        <v>0.0</v>
      </c>
      <c r="H335" s="165">
        <v>2.0</v>
      </c>
      <c r="I335" s="165">
        <v>0.0</v>
      </c>
      <c r="J335" s="165">
        <v>0.0</v>
      </c>
      <c r="K335" s="165">
        <v>0.0</v>
      </c>
      <c r="L335" s="165">
        <v>0.0</v>
      </c>
      <c r="M335" s="165">
        <v>2.0</v>
      </c>
      <c r="N335" s="165">
        <v>0.0</v>
      </c>
      <c r="O335" s="165">
        <v>1.0</v>
      </c>
      <c r="P335" s="165">
        <v>0.0</v>
      </c>
      <c r="Q335" s="165">
        <v>1.0</v>
      </c>
      <c r="R335" s="165">
        <v>0.0</v>
      </c>
      <c r="S335" s="165">
        <v>1.0</v>
      </c>
      <c r="T335" s="165">
        <v>0.0</v>
      </c>
      <c r="U335" s="165">
        <v>0.0</v>
      </c>
      <c r="V335" s="165">
        <v>0.0</v>
      </c>
      <c r="W335" s="165">
        <v>0.0</v>
      </c>
      <c r="X335" s="165">
        <v>0.0</v>
      </c>
      <c r="Y335" s="165">
        <v>0.0</v>
      </c>
      <c r="Z335" s="165">
        <v>0.0</v>
      </c>
      <c r="AA335" s="165">
        <v>1.0</v>
      </c>
      <c r="AB335" s="165">
        <v>0.0</v>
      </c>
      <c r="AC335" s="165">
        <v>0.0</v>
      </c>
      <c r="AD335" s="165">
        <v>0.0</v>
      </c>
      <c r="AE335" s="165">
        <v>0.0</v>
      </c>
      <c r="AF335" s="165">
        <v>0.0</v>
      </c>
      <c r="AG335" s="95">
        <f t="shared" si="105"/>
        <v>10</v>
      </c>
    </row>
    <row r="336" outlineLevel="1">
      <c r="A336" s="213" t="s">
        <v>325</v>
      </c>
      <c r="B336" s="165">
        <v>0.0</v>
      </c>
      <c r="C336" s="165">
        <v>0.0</v>
      </c>
      <c r="D336" s="165">
        <v>1.0</v>
      </c>
      <c r="E336" s="165">
        <v>0.0</v>
      </c>
      <c r="F336" s="165">
        <v>0.0</v>
      </c>
      <c r="G336" s="165">
        <v>0.0</v>
      </c>
      <c r="H336" s="165">
        <v>1.0</v>
      </c>
      <c r="I336" s="165">
        <v>0.0</v>
      </c>
      <c r="J336" s="165">
        <v>0.0</v>
      </c>
      <c r="K336" s="165">
        <v>0.0</v>
      </c>
      <c r="L336" s="165">
        <v>0.0</v>
      </c>
      <c r="M336" s="165">
        <v>0.0</v>
      </c>
      <c r="N336" s="165">
        <v>0.0</v>
      </c>
      <c r="O336" s="165">
        <v>0.0</v>
      </c>
      <c r="P336" s="165">
        <v>0.0</v>
      </c>
      <c r="Q336" s="165">
        <v>0.0</v>
      </c>
      <c r="R336" s="165">
        <v>0.0</v>
      </c>
      <c r="S336" s="165">
        <v>1.0</v>
      </c>
      <c r="T336" s="165">
        <v>0.0</v>
      </c>
      <c r="U336" s="165">
        <v>0.0</v>
      </c>
      <c r="V336" s="165">
        <v>0.0</v>
      </c>
      <c r="W336" s="165">
        <v>0.0</v>
      </c>
      <c r="X336" s="165">
        <v>0.0</v>
      </c>
      <c r="Y336" s="165">
        <v>0.0</v>
      </c>
      <c r="Z336" s="165">
        <v>0.0</v>
      </c>
      <c r="AA336" s="165">
        <v>0.0</v>
      </c>
      <c r="AB336" s="165">
        <v>0.0</v>
      </c>
      <c r="AC336" s="165">
        <v>0.0</v>
      </c>
      <c r="AD336" s="165">
        <v>0.0</v>
      </c>
      <c r="AE336" s="165">
        <v>0.0</v>
      </c>
      <c r="AF336" s="165">
        <v>0.0</v>
      </c>
      <c r="AG336" s="95">
        <f t="shared" si="105"/>
        <v>3</v>
      </c>
    </row>
    <row r="337" outlineLevel="1">
      <c r="A337" s="213" t="s">
        <v>326</v>
      </c>
      <c r="B337" s="165">
        <v>0.0</v>
      </c>
      <c r="C337" s="165">
        <v>0.0</v>
      </c>
      <c r="D337" s="165">
        <v>0.0</v>
      </c>
      <c r="E337" s="165">
        <v>1.0</v>
      </c>
      <c r="F337" s="165">
        <v>0.0</v>
      </c>
      <c r="G337" s="165">
        <v>2.0</v>
      </c>
      <c r="H337" s="165">
        <v>0.0</v>
      </c>
      <c r="I337" s="165">
        <v>0.0</v>
      </c>
      <c r="J337" s="165">
        <v>0.0</v>
      </c>
      <c r="K337" s="165">
        <v>0.0</v>
      </c>
      <c r="L337" s="165">
        <v>0.0</v>
      </c>
      <c r="M337" s="165">
        <v>0.0</v>
      </c>
      <c r="N337" s="165">
        <v>0.0</v>
      </c>
      <c r="O337" s="165">
        <v>1.0</v>
      </c>
      <c r="P337" s="165">
        <v>0.0</v>
      </c>
      <c r="Q337" s="165">
        <v>0.0</v>
      </c>
      <c r="R337" s="159">
        <v>0.0</v>
      </c>
      <c r="S337" s="165">
        <v>0.0</v>
      </c>
      <c r="T337" s="165">
        <v>0.0</v>
      </c>
      <c r="U337" s="165">
        <v>0.0</v>
      </c>
      <c r="V337" s="165">
        <v>0.0</v>
      </c>
      <c r="W337" s="165">
        <v>0.0</v>
      </c>
      <c r="X337" s="165">
        <v>0.0</v>
      </c>
      <c r="Y337" s="165">
        <v>0.0</v>
      </c>
      <c r="Z337" s="165">
        <v>0.0</v>
      </c>
      <c r="AA337" s="165">
        <v>0.0</v>
      </c>
      <c r="AB337" s="165">
        <v>1.0</v>
      </c>
      <c r="AC337" s="165">
        <v>3.0</v>
      </c>
      <c r="AD337" s="165">
        <v>0.0</v>
      </c>
      <c r="AE337" s="165">
        <v>0.0</v>
      </c>
      <c r="AF337" s="165">
        <v>0.0</v>
      </c>
      <c r="AG337" s="95">
        <f t="shared" si="105"/>
        <v>8</v>
      </c>
    </row>
    <row r="338" outlineLevel="1">
      <c r="A338" s="213" t="s">
        <v>327</v>
      </c>
      <c r="B338" s="165">
        <v>0.0</v>
      </c>
      <c r="C338" s="165">
        <v>0.0</v>
      </c>
      <c r="D338" s="165">
        <v>0.0</v>
      </c>
      <c r="E338" s="165">
        <v>0.0</v>
      </c>
      <c r="F338" s="165">
        <v>0.0</v>
      </c>
      <c r="G338" s="165">
        <v>0.0</v>
      </c>
      <c r="H338" s="165">
        <v>0.0</v>
      </c>
      <c r="I338" s="165">
        <v>0.0</v>
      </c>
      <c r="J338" s="165">
        <v>0.0</v>
      </c>
      <c r="K338" s="165">
        <v>0.0</v>
      </c>
      <c r="L338" s="165">
        <v>0.0</v>
      </c>
      <c r="M338" s="165">
        <v>0.0</v>
      </c>
      <c r="N338" s="165">
        <v>0.0</v>
      </c>
      <c r="O338" s="165">
        <v>0.0</v>
      </c>
      <c r="P338" s="165">
        <v>0.0</v>
      </c>
      <c r="Q338" s="165">
        <v>0.0</v>
      </c>
      <c r="R338" s="159">
        <v>0.0</v>
      </c>
      <c r="S338" s="165">
        <v>0.0</v>
      </c>
      <c r="T338" s="165">
        <v>0.0</v>
      </c>
      <c r="U338" s="165">
        <v>0.0</v>
      </c>
      <c r="V338" s="165">
        <v>0.0</v>
      </c>
      <c r="W338" s="165">
        <v>0.0</v>
      </c>
      <c r="X338" s="165">
        <v>0.0</v>
      </c>
      <c r="Y338" s="165">
        <v>0.0</v>
      </c>
      <c r="Z338" s="165">
        <v>0.0</v>
      </c>
      <c r="AA338" s="165">
        <v>0.0</v>
      </c>
      <c r="AB338" s="165">
        <v>0.0</v>
      </c>
      <c r="AC338" s="165">
        <v>0.0</v>
      </c>
      <c r="AD338" s="165">
        <v>0.0</v>
      </c>
      <c r="AE338" s="165">
        <v>0.0</v>
      </c>
      <c r="AF338" s="165">
        <v>0.0</v>
      </c>
      <c r="AG338" s="95">
        <f t="shared" si="105"/>
        <v>0</v>
      </c>
    </row>
    <row r="339" outlineLevel="1">
      <c r="A339" s="213" t="s">
        <v>328</v>
      </c>
      <c r="B339" s="165">
        <v>0.0</v>
      </c>
      <c r="C339" s="165">
        <v>0.0</v>
      </c>
      <c r="D339" s="165">
        <v>0.0</v>
      </c>
      <c r="E339" s="165">
        <v>2.0</v>
      </c>
      <c r="F339" s="165">
        <v>1.0</v>
      </c>
      <c r="G339" s="165">
        <v>0.0</v>
      </c>
      <c r="H339" s="165">
        <v>3.0</v>
      </c>
      <c r="I339" s="165">
        <v>0.0</v>
      </c>
      <c r="J339" s="165">
        <v>0.0</v>
      </c>
      <c r="K339" s="165">
        <v>0.0</v>
      </c>
      <c r="L339" s="165">
        <v>0.0</v>
      </c>
      <c r="M339" s="165">
        <v>5.0</v>
      </c>
      <c r="N339" s="165">
        <v>0.0</v>
      </c>
      <c r="O339" s="165">
        <v>2.0</v>
      </c>
      <c r="P339" s="165">
        <v>2.0</v>
      </c>
      <c r="Q339" s="165">
        <v>0.0</v>
      </c>
      <c r="R339" s="165">
        <v>0.0</v>
      </c>
      <c r="S339" s="165">
        <v>1.0</v>
      </c>
      <c r="T339" s="165">
        <v>0.0</v>
      </c>
      <c r="U339" s="165">
        <v>1.0</v>
      </c>
      <c r="V339" s="165">
        <v>0.0</v>
      </c>
      <c r="W339" s="165">
        <v>0.0</v>
      </c>
      <c r="X339" s="165">
        <v>0.0</v>
      </c>
      <c r="Y339" s="165">
        <v>0.0</v>
      </c>
      <c r="Z339" s="165">
        <v>0.0</v>
      </c>
      <c r="AA339" s="165">
        <v>1.0</v>
      </c>
      <c r="AB339" s="165">
        <v>2.0</v>
      </c>
      <c r="AC339" s="165">
        <v>2.0</v>
      </c>
      <c r="AD339" s="165">
        <v>0.0</v>
      </c>
      <c r="AE339" s="165">
        <v>0.0</v>
      </c>
      <c r="AF339" s="165">
        <v>0.0</v>
      </c>
      <c r="AG339" s="95">
        <f t="shared" si="105"/>
        <v>22</v>
      </c>
    </row>
    <row r="340" outlineLevel="1">
      <c r="A340" s="213" t="s">
        <v>329</v>
      </c>
      <c r="B340" s="165">
        <v>0.0</v>
      </c>
      <c r="C340" s="165">
        <v>0.0</v>
      </c>
      <c r="D340" s="165">
        <v>0.0</v>
      </c>
      <c r="E340" s="165">
        <v>1.0</v>
      </c>
      <c r="F340" s="165">
        <v>0.0</v>
      </c>
      <c r="G340" s="165">
        <v>0.0</v>
      </c>
      <c r="H340" s="165">
        <v>0.0</v>
      </c>
      <c r="I340" s="165">
        <v>0.0</v>
      </c>
      <c r="J340" s="165">
        <v>0.0</v>
      </c>
      <c r="K340" s="165">
        <v>0.0</v>
      </c>
      <c r="L340" s="165">
        <v>0.0</v>
      </c>
      <c r="M340" s="165">
        <v>0.0</v>
      </c>
      <c r="N340" s="165">
        <v>0.0</v>
      </c>
      <c r="O340" s="165">
        <v>1.0</v>
      </c>
      <c r="P340" s="165">
        <v>0.0</v>
      </c>
      <c r="Q340" s="165">
        <v>0.0</v>
      </c>
      <c r="R340" s="165">
        <v>0.0</v>
      </c>
      <c r="S340" s="165">
        <v>0.0</v>
      </c>
      <c r="T340" s="165">
        <v>0.0</v>
      </c>
      <c r="U340" s="165">
        <v>0.0</v>
      </c>
      <c r="V340" s="165">
        <v>0.0</v>
      </c>
      <c r="W340" s="165">
        <v>0.0</v>
      </c>
      <c r="X340" s="165">
        <v>0.0</v>
      </c>
      <c r="Y340" s="165">
        <v>0.0</v>
      </c>
      <c r="Z340" s="165">
        <v>0.0</v>
      </c>
      <c r="AA340" s="165">
        <v>0.0</v>
      </c>
      <c r="AB340" s="165">
        <v>0.0</v>
      </c>
      <c r="AC340" s="165">
        <v>0.0</v>
      </c>
      <c r="AD340" s="165">
        <v>0.0</v>
      </c>
      <c r="AE340" s="165">
        <v>0.0</v>
      </c>
      <c r="AF340" s="165">
        <v>0.0</v>
      </c>
      <c r="AG340" s="95">
        <f t="shared" si="105"/>
        <v>2</v>
      </c>
    </row>
    <row r="341" outlineLevel="1">
      <c r="A341" s="224" t="s">
        <v>330</v>
      </c>
      <c r="B341" s="159">
        <v>0.0</v>
      </c>
      <c r="C341" s="159">
        <v>0.0</v>
      </c>
      <c r="D341" s="159">
        <v>0.0</v>
      </c>
      <c r="E341" s="159">
        <v>0.0</v>
      </c>
      <c r="F341" s="159">
        <v>0.0</v>
      </c>
      <c r="G341" s="159">
        <v>0.0</v>
      </c>
      <c r="H341" s="159">
        <v>0.0</v>
      </c>
      <c r="I341" s="159">
        <v>0.0</v>
      </c>
      <c r="J341" s="159">
        <v>0.0</v>
      </c>
      <c r="K341" s="159">
        <v>0.0</v>
      </c>
      <c r="L341" s="159">
        <v>0.0</v>
      </c>
      <c r="M341" s="159">
        <v>0.0</v>
      </c>
      <c r="N341" s="159">
        <v>0.0</v>
      </c>
      <c r="O341" s="159">
        <v>0.0</v>
      </c>
      <c r="P341" s="159">
        <v>0.0</v>
      </c>
      <c r="Q341" s="159">
        <v>0.0</v>
      </c>
      <c r="R341" s="159">
        <v>0.0</v>
      </c>
      <c r="S341" s="159">
        <v>0.0</v>
      </c>
      <c r="T341" s="159">
        <v>0.0</v>
      </c>
      <c r="U341" s="159">
        <v>0.0</v>
      </c>
      <c r="V341" s="159">
        <v>0.0</v>
      </c>
      <c r="W341" s="159">
        <v>0.0</v>
      </c>
      <c r="X341" s="159">
        <v>0.0</v>
      </c>
      <c r="Y341" s="159">
        <v>0.0</v>
      </c>
      <c r="Z341" s="159">
        <v>0.0</v>
      </c>
      <c r="AA341" s="159">
        <v>1.0</v>
      </c>
      <c r="AB341" s="86">
        <v>0.0</v>
      </c>
      <c r="AC341" s="86">
        <v>0.0</v>
      </c>
      <c r="AD341" s="159">
        <v>0.0</v>
      </c>
      <c r="AE341" s="159">
        <v>0.0</v>
      </c>
      <c r="AF341" s="159">
        <v>0.0</v>
      </c>
      <c r="AG341" s="95">
        <f t="shared" si="105"/>
        <v>1</v>
      </c>
    </row>
    <row r="342" outlineLevel="1">
      <c r="A342" s="224" t="s">
        <v>331</v>
      </c>
      <c r="B342" s="159">
        <v>0.0</v>
      </c>
      <c r="C342" s="159">
        <v>0.0</v>
      </c>
      <c r="D342" s="159">
        <v>0.0</v>
      </c>
      <c r="E342" s="159">
        <v>0.0</v>
      </c>
      <c r="F342" s="159">
        <v>0.0</v>
      </c>
      <c r="G342" s="159">
        <v>0.0</v>
      </c>
      <c r="H342" s="159">
        <v>0.0</v>
      </c>
      <c r="I342" s="159">
        <v>1.0</v>
      </c>
      <c r="J342" s="159">
        <v>0.0</v>
      </c>
      <c r="K342" s="159">
        <v>0.0</v>
      </c>
      <c r="L342" s="159">
        <v>0.0</v>
      </c>
      <c r="M342" s="159">
        <v>0.0</v>
      </c>
      <c r="N342" s="159">
        <v>0.0</v>
      </c>
      <c r="O342" s="159">
        <v>0.0</v>
      </c>
      <c r="P342" s="159">
        <v>0.0</v>
      </c>
      <c r="Q342" s="159">
        <v>0.0</v>
      </c>
      <c r="R342" s="159">
        <v>0.0</v>
      </c>
      <c r="S342" s="159">
        <v>0.0</v>
      </c>
      <c r="T342" s="159">
        <v>0.0</v>
      </c>
      <c r="U342" s="159">
        <v>0.0</v>
      </c>
      <c r="V342" s="159">
        <v>0.0</v>
      </c>
      <c r="W342" s="159">
        <v>0.0</v>
      </c>
      <c r="X342" s="159">
        <v>0.0</v>
      </c>
      <c r="Y342" s="159">
        <v>0.0</v>
      </c>
      <c r="Z342" s="159">
        <v>0.0</v>
      </c>
      <c r="AA342" s="159">
        <v>0.0</v>
      </c>
      <c r="AB342" s="86">
        <v>0.0</v>
      </c>
      <c r="AC342" s="86">
        <v>0.0</v>
      </c>
      <c r="AD342" s="159">
        <v>0.0</v>
      </c>
      <c r="AE342" s="159">
        <v>0.0</v>
      </c>
      <c r="AF342" s="159">
        <v>0.0</v>
      </c>
      <c r="AG342" s="95">
        <f t="shared" si="105"/>
        <v>1</v>
      </c>
    </row>
    <row r="343">
      <c r="A343" s="217" t="s">
        <v>141</v>
      </c>
      <c r="B343" s="216">
        <f t="shared" ref="B343:AF343" si="106">SUM(B333:B342)</f>
        <v>0</v>
      </c>
      <c r="C343" s="216">
        <f t="shared" si="106"/>
        <v>0</v>
      </c>
      <c r="D343" s="216">
        <f t="shared" si="106"/>
        <v>2</v>
      </c>
      <c r="E343" s="216">
        <f t="shared" si="106"/>
        <v>11</v>
      </c>
      <c r="F343" s="216">
        <f t="shared" si="106"/>
        <v>2</v>
      </c>
      <c r="G343" s="216">
        <f t="shared" si="106"/>
        <v>3</v>
      </c>
      <c r="H343" s="216">
        <f t="shared" si="106"/>
        <v>13</v>
      </c>
      <c r="I343" s="216">
        <f t="shared" si="106"/>
        <v>3</v>
      </c>
      <c r="J343" s="216">
        <f t="shared" si="106"/>
        <v>0</v>
      </c>
      <c r="K343" s="216">
        <f t="shared" si="106"/>
        <v>0</v>
      </c>
      <c r="L343" s="216">
        <f t="shared" si="106"/>
        <v>0</v>
      </c>
      <c r="M343" s="216">
        <f t="shared" si="106"/>
        <v>15</v>
      </c>
      <c r="N343" s="216">
        <f t="shared" si="106"/>
        <v>1</v>
      </c>
      <c r="O343" s="216">
        <f t="shared" si="106"/>
        <v>11</v>
      </c>
      <c r="P343" s="216">
        <f t="shared" si="106"/>
        <v>3</v>
      </c>
      <c r="Q343" s="216">
        <f t="shared" si="106"/>
        <v>2</v>
      </c>
      <c r="R343" s="216">
        <f t="shared" si="106"/>
        <v>0</v>
      </c>
      <c r="S343" s="216">
        <f t="shared" si="106"/>
        <v>7</v>
      </c>
      <c r="T343" s="216">
        <f t="shared" si="106"/>
        <v>1</v>
      </c>
      <c r="U343" s="216">
        <f t="shared" si="106"/>
        <v>4</v>
      </c>
      <c r="V343" s="216">
        <f t="shared" si="106"/>
        <v>0</v>
      </c>
      <c r="W343" s="216">
        <f t="shared" si="106"/>
        <v>0</v>
      </c>
      <c r="X343" s="216">
        <f t="shared" si="106"/>
        <v>0</v>
      </c>
      <c r="Y343" s="216">
        <f t="shared" si="106"/>
        <v>0</v>
      </c>
      <c r="Z343" s="216">
        <f t="shared" si="106"/>
        <v>0</v>
      </c>
      <c r="AA343" s="216">
        <f t="shared" si="106"/>
        <v>5</v>
      </c>
      <c r="AB343" s="216">
        <f t="shared" si="106"/>
        <v>8</v>
      </c>
      <c r="AC343" s="216">
        <f t="shared" si="106"/>
        <v>13</v>
      </c>
      <c r="AD343" s="216">
        <f t="shared" si="106"/>
        <v>0</v>
      </c>
      <c r="AE343" s="216">
        <f t="shared" si="106"/>
        <v>0</v>
      </c>
      <c r="AF343" s="216">
        <f t="shared" si="106"/>
        <v>0</v>
      </c>
      <c r="AG343" s="95">
        <f t="shared" si="105"/>
        <v>104</v>
      </c>
    </row>
    <row r="344">
      <c r="A344" s="100"/>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58" t="s">
        <v>94</v>
      </c>
      <c r="AA344" s="181"/>
      <c r="AB344" s="181"/>
      <c r="AC344" s="181"/>
      <c r="AD344" s="181"/>
      <c r="AE344" s="181"/>
      <c r="AF344" s="181"/>
      <c r="AG344" s="207"/>
    </row>
    <row r="345">
      <c r="A345" s="213" t="s">
        <v>295</v>
      </c>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c r="AA345" s="223"/>
      <c r="AB345" s="223"/>
      <c r="AC345" s="223"/>
      <c r="AD345" s="223"/>
      <c r="AE345" s="223"/>
      <c r="AF345" s="223"/>
      <c r="AG345" s="156"/>
    </row>
    <row r="346" outlineLevel="1">
      <c r="A346" s="213" t="s">
        <v>224</v>
      </c>
      <c r="B346" s="165">
        <v>0.0</v>
      </c>
      <c r="C346" s="165">
        <v>0.0</v>
      </c>
      <c r="D346" s="165">
        <v>0.0</v>
      </c>
      <c r="E346" s="165">
        <v>0.0</v>
      </c>
      <c r="F346" s="165">
        <v>0.0</v>
      </c>
      <c r="G346" s="165">
        <v>0.0</v>
      </c>
      <c r="H346" s="165">
        <v>1.0</v>
      </c>
      <c r="I346" s="165">
        <v>0.0</v>
      </c>
      <c r="J346" s="165">
        <v>0.0</v>
      </c>
      <c r="K346" s="165">
        <v>0.0</v>
      </c>
      <c r="L346" s="165">
        <v>0.0</v>
      </c>
      <c r="M346" s="165">
        <v>0.0</v>
      </c>
      <c r="N346" s="165">
        <v>0.0</v>
      </c>
      <c r="O346" s="165">
        <v>0.0</v>
      </c>
      <c r="P346" s="165">
        <v>0.0</v>
      </c>
      <c r="Q346" s="165">
        <v>0.0</v>
      </c>
      <c r="R346" s="165">
        <v>0.0</v>
      </c>
      <c r="S346" s="165">
        <v>0.0</v>
      </c>
      <c r="T346" s="165">
        <v>0.0</v>
      </c>
      <c r="U346" s="165">
        <v>0.0</v>
      </c>
      <c r="V346" s="165">
        <v>0.0</v>
      </c>
      <c r="W346" s="165">
        <v>0.0</v>
      </c>
      <c r="X346" s="165">
        <v>0.0</v>
      </c>
      <c r="Y346" s="165">
        <v>0.0</v>
      </c>
      <c r="Z346" s="165">
        <v>0.0</v>
      </c>
      <c r="AA346" s="165">
        <v>0.0</v>
      </c>
      <c r="AB346" s="165">
        <v>0.0</v>
      </c>
      <c r="AC346" s="165">
        <v>0.0</v>
      </c>
      <c r="AD346" s="165">
        <v>0.0</v>
      </c>
      <c r="AE346" s="165">
        <v>0.0</v>
      </c>
      <c r="AF346" s="165">
        <v>0.0</v>
      </c>
      <c r="AG346" s="95">
        <f t="shared" ref="AG346:AG356" si="107">SUM(B346:AF346)</f>
        <v>1</v>
      </c>
    </row>
    <row r="347" outlineLevel="1">
      <c r="A347" s="213" t="s">
        <v>225</v>
      </c>
      <c r="B347" s="165">
        <v>0.0</v>
      </c>
      <c r="C347" s="165">
        <v>0.0</v>
      </c>
      <c r="D347" s="165">
        <v>0.0</v>
      </c>
      <c r="E347" s="165">
        <v>0.0</v>
      </c>
      <c r="F347" s="165">
        <v>0.0</v>
      </c>
      <c r="G347" s="165">
        <v>0.0</v>
      </c>
      <c r="H347" s="165">
        <v>0.0</v>
      </c>
      <c r="I347" s="177">
        <v>0.0</v>
      </c>
      <c r="J347" s="177">
        <v>0.0</v>
      </c>
      <c r="K347" s="177">
        <v>0.0</v>
      </c>
      <c r="L347" s="177">
        <v>0.0</v>
      </c>
      <c r="M347" s="177">
        <v>0.0</v>
      </c>
      <c r="N347" s="165">
        <v>0.0</v>
      </c>
      <c r="O347" s="165">
        <v>0.0</v>
      </c>
      <c r="P347" s="165">
        <v>0.0</v>
      </c>
      <c r="Q347" s="165">
        <v>0.0</v>
      </c>
      <c r="R347" s="165">
        <v>0.0</v>
      </c>
      <c r="S347" s="165">
        <v>0.0</v>
      </c>
      <c r="T347" s="165">
        <v>0.0</v>
      </c>
      <c r="U347" s="165">
        <v>0.0</v>
      </c>
      <c r="V347" s="165">
        <v>0.0</v>
      </c>
      <c r="W347" s="165">
        <v>0.0</v>
      </c>
      <c r="X347" s="165">
        <v>0.0</v>
      </c>
      <c r="Y347" s="165">
        <v>0.0</v>
      </c>
      <c r="Z347" s="165">
        <v>0.0</v>
      </c>
      <c r="AA347" s="165">
        <v>0.0</v>
      </c>
      <c r="AB347" s="165">
        <v>0.0</v>
      </c>
      <c r="AC347" s="165">
        <v>0.0</v>
      </c>
      <c r="AD347" s="165">
        <v>0.0</v>
      </c>
      <c r="AE347" s="165">
        <v>0.0</v>
      </c>
      <c r="AF347" s="165">
        <v>0.0</v>
      </c>
      <c r="AG347" s="95">
        <f t="shared" si="107"/>
        <v>0</v>
      </c>
    </row>
    <row r="348" outlineLevel="1">
      <c r="A348" s="213" t="s">
        <v>332</v>
      </c>
      <c r="B348" s="165">
        <v>0.0</v>
      </c>
      <c r="C348" s="165">
        <v>0.0</v>
      </c>
      <c r="D348" s="165">
        <v>0.0</v>
      </c>
      <c r="E348" s="165">
        <v>0.0</v>
      </c>
      <c r="F348" s="165">
        <v>0.0</v>
      </c>
      <c r="G348" s="165">
        <v>0.0</v>
      </c>
      <c r="H348" s="165">
        <v>0.0</v>
      </c>
      <c r="I348" s="165">
        <v>0.0</v>
      </c>
      <c r="J348" s="165">
        <v>0.0</v>
      </c>
      <c r="K348" s="165">
        <v>0.0</v>
      </c>
      <c r="L348" s="165">
        <v>0.0</v>
      </c>
      <c r="M348" s="165">
        <v>0.0</v>
      </c>
      <c r="N348" s="165">
        <v>0.0</v>
      </c>
      <c r="O348" s="165">
        <v>0.0</v>
      </c>
      <c r="P348" s="165">
        <v>0.0</v>
      </c>
      <c r="Q348" s="165">
        <v>0.0</v>
      </c>
      <c r="R348" s="165">
        <v>0.0</v>
      </c>
      <c r="S348" s="165">
        <v>0.0</v>
      </c>
      <c r="T348" s="165">
        <v>0.0</v>
      </c>
      <c r="U348" s="165">
        <v>0.0</v>
      </c>
      <c r="V348" s="165">
        <v>0.0</v>
      </c>
      <c r="W348" s="165">
        <v>0.0</v>
      </c>
      <c r="X348" s="165">
        <v>0.0</v>
      </c>
      <c r="Y348" s="165">
        <v>0.0</v>
      </c>
      <c r="Z348" s="165">
        <v>0.0</v>
      </c>
      <c r="AA348" s="165">
        <v>0.0</v>
      </c>
      <c r="AB348" s="165">
        <v>0.0</v>
      </c>
      <c r="AC348" s="165">
        <v>0.0</v>
      </c>
      <c r="AD348" s="165">
        <v>0.0</v>
      </c>
      <c r="AE348" s="165">
        <v>0.0</v>
      </c>
      <c r="AF348" s="165">
        <v>0.0</v>
      </c>
      <c r="AG348" s="95">
        <f t="shared" si="107"/>
        <v>0</v>
      </c>
    </row>
    <row r="349" outlineLevel="1">
      <c r="A349" s="213" t="s">
        <v>333</v>
      </c>
      <c r="B349" s="165">
        <v>0.0</v>
      </c>
      <c r="C349" s="165">
        <v>0.0</v>
      </c>
      <c r="D349" s="165">
        <v>0.0</v>
      </c>
      <c r="E349" s="165">
        <v>0.0</v>
      </c>
      <c r="F349" s="165">
        <v>0.0</v>
      </c>
      <c r="G349" s="165">
        <v>0.0</v>
      </c>
      <c r="H349" s="165">
        <v>0.0</v>
      </c>
      <c r="I349" s="165">
        <v>0.0</v>
      </c>
      <c r="J349" s="165">
        <v>0.0</v>
      </c>
      <c r="K349" s="165">
        <v>0.0</v>
      </c>
      <c r="L349" s="165">
        <v>0.0</v>
      </c>
      <c r="M349" s="165">
        <v>0.0</v>
      </c>
      <c r="N349" s="165">
        <v>0.0</v>
      </c>
      <c r="O349" s="165">
        <v>0.0</v>
      </c>
      <c r="P349" s="165">
        <v>0.0</v>
      </c>
      <c r="Q349" s="165">
        <v>0.0</v>
      </c>
      <c r="R349" s="165">
        <v>0.0</v>
      </c>
      <c r="S349" s="165">
        <v>0.0</v>
      </c>
      <c r="T349" s="165">
        <v>0.0</v>
      </c>
      <c r="U349" s="165">
        <v>0.0</v>
      </c>
      <c r="V349" s="165">
        <v>0.0</v>
      </c>
      <c r="W349" s="165">
        <v>0.0</v>
      </c>
      <c r="X349" s="165">
        <v>0.0</v>
      </c>
      <c r="Y349" s="165">
        <v>0.0</v>
      </c>
      <c r="Z349" s="165">
        <v>0.0</v>
      </c>
      <c r="AA349" s="165">
        <v>0.0</v>
      </c>
      <c r="AB349" s="165">
        <v>0.0</v>
      </c>
      <c r="AC349" s="165">
        <v>0.0</v>
      </c>
      <c r="AD349" s="165">
        <v>0.0</v>
      </c>
      <c r="AE349" s="165">
        <v>0.0</v>
      </c>
      <c r="AF349" s="165">
        <v>0.0</v>
      </c>
      <c r="AG349" s="95">
        <f t="shared" si="107"/>
        <v>0</v>
      </c>
    </row>
    <row r="350" outlineLevel="1">
      <c r="A350" s="213" t="s">
        <v>334</v>
      </c>
      <c r="B350" s="165">
        <v>0.0</v>
      </c>
      <c r="C350" s="165">
        <v>0.0</v>
      </c>
      <c r="D350" s="165">
        <v>0.0</v>
      </c>
      <c r="E350" s="165">
        <v>0.0</v>
      </c>
      <c r="F350" s="165">
        <v>0.0</v>
      </c>
      <c r="G350" s="165">
        <v>0.0</v>
      </c>
      <c r="H350" s="165">
        <v>0.0</v>
      </c>
      <c r="I350" s="165">
        <v>0.0</v>
      </c>
      <c r="J350" s="165">
        <v>0.0</v>
      </c>
      <c r="K350" s="165">
        <v>0.0</v>
      </c>
      <c r="L350" s="165">
        <v>0.0</v>
      </c>
      <c r="M350" s="165">
        <v>0.0</v>
      </c>
      <c r="N350" s="165">
        <v>0.0</v>
      </c>
      <c r="O350" s="165">
        <v>0.0</v>
      </c>
      <c r="P350" s="165">
        <v>0.0</v>
      </c>
      <c r="Q350" s="165">
        <v>0.0</v>
      </c>
      <c r="R350" s="165">
        <v>0.0</v>
      </c>
      <c r="S350" s="165">
        <v>0.0</v>
      </c>
      <c r="T350" s="165">
        <v>0.0</v>
      </c>
      <c r="U350" s="165">
        <v>0.0</v>
      </c>
      <c r="V350" s="165">
        <v>0.0</v>
      </c>
      <c r="W350" s="165">
        <v>0.0</v>
      </c>
      <c r="X350" s="165">
        <v>0.0</v>
      </c>
      <c r="Y350" s="165">
        <v>0.0</v>
      </c>
      <c r="Z350" s="165">
        <v>0.0</v>
      </c>
      <c r="AA350" s="165">
        <v>0.0</v>
      </c>
      <c r="AB350" s="165">
        <v>0.0</v>
      </c>
      <c r="AC350" s="165">
        <v>0.0</v>
      </c>
      <c r="AD350" s="165">
        <v>0.0</v>
      </c>
      <c r="AE350" s="165">
        <v>0.0</v>
      </c>
      <c r="AF350" s="165">
        <v>0.0</v>
      </c>
      <c r="AG350" s="95">
        <f t="shared" si="107"/>
        <v>0</v>
      </c>
    </row>
    <row r="351" outlineLevel="1">
      <c r="A351" s="213" t="s">
        <v>335</v>
      </c>
      <c r="B351" s="165">
        <v>0.0</v>
      </c>
      <c r="C351" s="165">
        <v>0.0</v>
      </c>
      <c r="D351" s="165">
        <v>0.0</v>
      </c>
      <c r="E351" s="165">
        <v>0.0</v>
      </c>
      <c r="F351" s="165">
        <v>0.0</v>
      </c>
      <c r="G351" s="165">
        <v>0.0</v>
      </c>
      <c r="H351" s="165">
        <v>0.0</v>
      </c>
      <c r="I351" s="165">
        <v>0.0</v>
      </c>
      <c r="J351" s="165">
        <v>0.0</v>
      </c>
      <c r="K351" s="165">
        <v>0.0</v>
      </c>
      <c r="L351" s="165">
        <v>0.0</v>
      </c>
      <c r="M351" s="165">
        <v>0.0</v>
      </c>
      <c r="N351" s="165">
        <v>0.0</v>
      </c>
      <c r="O351" s="165">
        <v>0.0</v>
      </c>
      <c r="P351" s="165">
        <v>0.0</v>
      </c>
      <c r="Q351" s="165">
        <v>0.0</v>
      </c>
      <c r="R351" s="165">
        <v>0.0</v>
      </c>
      <c r="S351" s="165">
        <v>0.0</v>
      </c>
      <c r="T351" s="165">
        <v>0.0</v>
      </c>
      <c r="U351" s="165">
        <v>0.0</v>
      </c>
      <c r="V351" s="165">
        <v>0.0</v>
      </c>
      <c r="W351" s="165">
        <v>0.0</v>
      </c>
      <c r="X351" s="165">
        <v>0.0</v>
      </c>
      <c r="Y351" s="165">
        <v>0.0</v>
      </c>
      <c r="Z351" s="165">
        <v>0.0</v>
      </c>
      <c r="AA351" s="165">
        <v>0.0</v>
      </c>
      <c r="AB351" s="165">
        <v>0.0</v>
      </c>
      <c r="AC351" s="165">
        <v>0.0</v>
      </c>
      <c r="AD351" s="165">
        <v>0.0</v>
      </c>
      <c r="AE351" s="165">
        <v>0.0</v>
      </c>
      <c r="AF351" s="165">
        <v>0.0</v>
      </c>
      <c r="AG351" s="95">
        <f t="shared" si="107"/>
        <v>0</v>
      </c>
    </row>
    <row r="352" outlineLevel="1">
      <c r="A352" s="213" t="s">
        <v>336</v>
      </c>
      <c r="B352" s="165">
        <v>0.0</v>
      </c>
      <c r="C352" s="165">
        <v>0.0</v>
      </c>
      <c r="D352" s="165">
        <v>0.0</v>
      </c>
      <c r="E352" s="165">
        <v>0.0</v>
      </c>
      <c r="F352" s="165">
        <v>0.0</v>
      </c>
      <c r="G352" s="165">
        <v>0.0</v>
      </c>
      <c r="H352" s="165">
        <v>0.0</v>
      </c>
      <c r="I352" s="165">
        <v>0.0</v>
      </c>
      <c r="J352" s="165">
        <v>0.0</v>
      </c>
      <c r="K352" s="165">
        <v>0.0</v>
      </c>
      <c r="L352" s="165">
        <v>0.0</v>
      </c>
      <c r="M352" s="165">
        <v>0.0</v>
      </c>
      <c r="N352" s="165">
        <v>0.0</v>
      </c>
      <c r="O352" s="165">
        <v>0.0</v>
      </c>
      <c r="P352" s="165">
        <v>0.0</v>
      </c>
      <c r="Q352" s="165">
        <v>0.0</v>
      </c>
      <c r="R352" s="165">
        <v>0.0</v>
      </c>
      <c r="S352" s="165">
        <v>0.0</v>
      </c>
      <c r="T352" s="165">
        <v>0.0</v>
      </c>
      <c r="U352" s="165">
        <v>0.0</v>
      </c>
      <c r="V352" s="165">
        <v>0.0</v>
      </c>
      <c r="W352" s="165">
        <v>0.0</v>
      </c>
      <c r="X352" s="165">
        <v>0.0</v>
      </c>
      <c r="Y352" s="165">
        <v>0.0</v>
      </c>
      <c r="Z352" s="165">
        <v>0.0</v>
      </c>
      <c r="AA352" s="165">
        <v>0.0</v>
      </c>
      <c r="AB352" s="165">
        <v>0.0</v>
      </c>
      <c r="AC352" s="165">
        <v>0.0</v>
      </c>
      <c r="AD352" s="165">
        <v>0.0</v>
      </c>
      <c r="AE352" s="165">
        <v>0.0</v>
      </c>
      <c r="AF352" s="165">
        <v>0.0</v>
      </c>
      <c r="AG352" s="95">
        <f t="shared" si="107"/>
        <v>0</v>
      </c>
    </row>
    <row r="353" outlineLevel="1">
      <c r="A353" s="213" t="s">
        <v>337</v>
      </c>
      <c r="B353" s="165">
        <v>0.0</v>
      </c>
      <c r="C353" s="165">
        <v>0.0</v>
      </c>
      <c r="D353" s="165">
        <v>0.0</v>
      </c>
      <c r="E353" s="165">
        <v>0.0</v>
      </c>
      <c r="F353" s="165">
        <v>0.0</v>
      </c>
      <c r="G353" s="165">
        <v>0.0</v>
      </c>
      <c r="H353" s="165">
        <v>0.0</v>
      </c>
      <c r="I353" s="165">
        <v>0.0</v>
      </c>
      <c r="J353" s="165">
        <v>0.0</v>
      </c>
      <c r="K353" s="165">
        <v>0.0</v>
      </c>
      <c r="L353" s="165">
        <v>0.0</v>
      </c>
      <c r="M353" s="165">
        <v>0.0</v>
      </c>
      <c r="N353" s="165">
        <v>0.0</v>
      </c>
      <c r="O353" s="165">
        <v>0.0</v>
      </c>
      <c r="P353" s="165">
        <v>0.0</v>
      </c>
      <c r="Q353" s="165">
        <v>0.0</v>
      </c>
      <c r="R353" s="165">
        <v>0.0</v>
      </c>
      <c r="S353" s="165">
        <v>0.0</v>
      </c>
      <c r="T353" s="165">
        <v>0.0</v>
      </c>
      <c r="U353" s="165">
        <v>0.0</v>
      </c>
      <c r="V353" s="165">
        <v>0.0</v>
      </c>
      <c r="W353" s="165">
        <v>0.0</v>
      </c>
      <c r="X353" s="165">
        <v>0.0</v>
      </c>
      <c r="Y353" s="165">
        <v>0.0</v>
      </c>
      <c r="Z353" s="165">
        <v>0.0</v>
      </c>
      <c r="AA353" s="165">
        <v>0.0</v>
      </c>
      <c r="AB353" s="165">
        <v>0.0</v>
      </c>
      <c r="AC353" s="165">
        <v>0.0</v>
      </c>
      <c r="AD353" s="165">
        <v>0.0</v>
      </c>
      <c r="AE353" s="165">
        <v>0.0</v>
      </c>
      <c r="AF353" s="165">
        <v>0.0</v>
      </c>
      <c r="AG353" s="95">
        <f t="shared" si="107"/>
        <v>0</v>
      </c>
    </row>
    <row r="354" outlineLevel="1">
      <c r="A354" s="224" t="s">
        <v>338</v>
      </c>
      <c r="B354" s="159">
        <v>0.0</v>
      </c>
      <c r="C354" s="159">
        <v>0.0</v>
      </c>
      <c r="D354" s="159">
        <v>0.0</v>
      </c>
      <c r="E354" s="159">
        <v>0.0</v>
      </c>
      <c r="F354" s="159">
        <v>0.0</v>
      </c>
      <c r="G354" s="159">
        <v>0.0</v>
      </c>
      <c r="H354" s="159">
        <v>0.0</v>
      </c>
      <c r="I354" s="159">
        <v>0.0</v>
      </c>
      <c r="J354" s="159">
        <v>0.0</v>
      </c>
      <c r="K354" s="159">
        <v>0.0</v>
      </c>
      <c r="L354" s="159">
        <v>0.0</v>
      </c>
      <c r="M354" s="159">
        <v>0.0</v>
      </c>
      <c r="N354" s="159">
        <v>0.0</v>
      </c>
      <c r="O354" s="159">
        <v>0.0</v>
      </c>
      <c r="P354" s="159">
        <v>0.0</v>
      </c>
      <c r="Q354" s="159">
        <v>0.0</v>
      </c>
      <c r="R354" s="159">
        <v>0.0</v>
      </c>
      <c r="S354" s="159">
        <v>0.0</v>
      </c>
      <c r="T354" s="159">
        <v>0.0</v>
      </c>
      <c r="U354" s="159">
        <v>0.0</v>
      </c>
      <c r="V354" s="159">
        <v>0.0</v>
      </c>
      <c r="W354" s="159">
        <v>0.0</v>
      </c>
      <c r="X354" s="159">
        <v>0.0</v>
      </c>
      <c r="Y354" s="159">
        <v>0.0</v>
      </c>
      <c r="Z354" s="159">
        <v>0.0</v>
      </c>
      <c r="AA354" s="159">
        <v>0.0</v>
      </c>
      <c r="AB354" s="159">
        <v>0.0</v>
      </c>
      <c r="AC354" s="159">
        <v>0.0</v>
      </c>
      <c r="AD354" s="159">
        <v>0.0</v>
      </c>
      <c r="AE354" s="159">
        <v>0.0</v>
      </c>
      <c r="AF354" s="159">
        <v>0.0</v>
      </c>
      <c r="AG354" s="95">
        <f t="shared" si="107"/>
        <v>0</v>
      </c>
    </row>
    <row r="355" outlineLevel="1">
      <c r="A355" s="224" t="s">
        <v>339</v>
      </c>
      <c r="B355" s="159">
        <v>0.0</v>
      </c>
      <c r="C355" s="159">
        <v>0.0</v>
      </c>
      <c r="D355" s="159">
        <v>0.0</v>
      </c>
      <c r="E355" s="159">
        <v>0.0</v>
      </c>
      <c r="F355" s="159">
        <v>0.0</v>
      </c>
      <c r="G355" s="159">
        <v>0.0</v>
      </c>
      <c r="H355" s="159">
        <v>0.0</v>
      </c>
      <c r="I355" s="159">
        <v>0.0</v>
      </c>
      <c r="J355" s="159">
        <v>0.0</v>
      </c>
      <c r="K355" s="159">
        <v>0.0</v>
      </c>
      <c r="L355" s="159">
        <v>0.0</v>
      </c>
      <c r="M355" s="159">
        <v>0.0</v>
      </c>
      <c r="N355" s="159">
        <v>0.0</v>
      </c>
      <c r="O355" s="159">
        <v>0.0</v>
      </c>
      <c r="P355" s="159">
        <v>0.0</v>
      </c>
      <c r="Q355" s="159">
        <v>0.0</v>
      </c>
      <c r="R355" s="159">
        <v>0.0</v>
      </c>
      <c r="S355" s="159">
        <v>0.0</v>
      </c>
      <c r="T355" s="159">
        <v>0.0</v>
      </c>
      <c r="U355" s="159">
        <v>0.0</v>
      </c>
      <c r="V355" s="159">
        <v>0.0</v>
      </c>
      <c r="W355" s="159">
        <v>0.0</v>
      </c>
      <c r="X355" s="159">
        <v>0.0</v>
      </c>
      <c r="Y355" s="159">
        <v>0.0</v>
      </c>
      <c r="Z355" s="159">
        <v>0.0</v>
      </c>
      <c r="AA355" s="159">
        <v>0.0</v>
      </c>
      <c r="AB355" s="159">
        <v>0.0</v>
      </c>
      <c r="AC355" s="159">
        <v>0.0</v>
      </c>
      <c r="AD355" s="159">
        <v>0.0</v>
      </c>
      <c r="AE355" s="159">
        <v>0.0</v>
      </c>
      <c r="AF355" s="159">
        <v>0.0</v>
      </c>
      <c r="AG355" s="95">
        <f t="shared" si="107"/>
        <v>0</v>
      </c>
    </row>
    <row r="356">
      <c r="A356" s="217" t="s">
        <v>141</v>
      </c>
      <c r="B356" s="216">
        <f t="shared" ref="B356:AF356" si="108">SUM(B346:B355)</f>
        <v>0</v>
      </c>
      <c r="C356" s="216">
        <f t="shared" si="108"/>
        <v>0</v>
      </c>
      <c r="D356" s="216">
        <f t="shared" si="108"/>
        <v>0</v>
      </c>
      <c r="E356" s="216">
        <f t="shared" si="108"/>
        <v>0</v>
      </c>
      <c r="F356" s="216">
        <f t="shared" si="108"/>
        <v>0</v>
      </c>
      <c r="G356" s="216">
        <f t="shared" si="108"/>
        <v>0</v>
      </c>
      <c r="H356" s="216">
        <f t="shared" si="108"/>
        <v>1</v>
      </c>
      <c r="I356" s="216">
        <f t="shared" si="108"/>
        <v>0</v>
      </c>
      <c r="J356" s="216">
        <f t="shared" si="108"/>
        <v>0</v>
      </c>
      <c r="K356" s="216">
        <f t="shared" si="108"/>
        <v>0</v>
      </c>
      <c r="L356" s="216">
        <f t="shared" si="108"/>
        <v>0</v>
      </c>
      <c r="M356" s="216">
        <f t="shared" si="108"/>
        <v>0</v>
      </c>
      <c r="N356" s="216">
        <f t="shared" si="108"/>
        <v>0</v>
      </c>
      <c r="O356" s="216">
        <f t="shared" si="108"/>
        <v>0</v>
      </c>
      <c r="P356" s="216">
        <f t="shared" si="108"/>
        <v>0</v>
      </c>
      <c r="Q356" s="216">
        <f t="shared" si="108"/>
        <v>0</v>
      </c>
      <c r="R356" s="216">
        <f t="shared" si="108"/>
        <v>0</v>
      </c>
      <c r="S356" s="216">
        <f t="shared" si="108"/>
        <v>0</v>
      </c>
      <c r="T356" s="216">
        <f t="shared" si="108"/>
        <v>0</v>
      </c>
      <c r="U356" s="216">
        <f t="shared" si="108"/>
        <v>0</v>
      </c>
      <c r="V356" s="216">
        <f t="shared" si="108"/>
        <v>0</v>
      </c>
      <c r="W356" s="216">
        <f t="shared" si="108"/>
        <v>0</v>
      </c>
      <c r="X356" s="216">
        <f t="shared" si="108"/>
        <v>0</v>
      </c>
      <c r="Y356" s="216">
        <f t="shared" si="108"/>
        <v>0</v>
      </c>
      <c r="Z356" s="216">
        <f t="shared" si="108"/>
        <v>0</v>
      </c>
      <c r="AA356" s="216">
        <f t="shared" si="108"/>
        <v>0</v>
      </c>
      <c r="AB356" s="216">
        <f t="shared" si="108"/>
        <v>0</v>
      </c>
      <c r="AC356" s="216">
        <f t="shared" si="108"/>
        <v>0</v>
      </c>
      <c r="AD356" s="216">
        <f t="shared" si="108"/>
        <v>0</v>
      </c>
      <c r="AE356" s="216">
        <f t="shared" si="108"/>
        <v>0</v>
      </c>
      <c r="AF356" s="216">
        <f t="shared" si="108"/>
        <v>0</v>
      </c>
      <c r="AG356" s="95">
        <f t="shared" si="107"/>
        <v>1</v>
      </c>
    </row>
    <row r="357">
      <c r="A357" s="172"/>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81"/>
      <c r="AB357" s="181"/>
      <c r="AC357" s="181"/>
      <c r="AD357" s="181"/>
      <c r="AE357" s="181"/>
      <c r="AF357" s="181"/>
      <c r="AG357" s="207"/>
    </row>
    <row r="358">
      <c r="A358" s="213" t="s">
        <v>340</v>
      </c>
      <c r="B358" s="165">
        <v>2.0</v>
      </c>
      <c r="C358" s="165">
        <v>0.0</v>
      </c>
      <c r="D358" s="165">
        <v>3.0</v>
      </c>
      <c r="E358" s="165">
        <v>12.0</v>
      </c>
      <c r="F358" s="165">
        <v>1.0</v>
      </c>
      <c r="G358" s="165">
        <v>7.0</v>
      </c>
      <c r="H358" s="165">
        <v>17.0</v>
      </c>
      <c r="I358" s="165">
        <v>4.0</v>
      </c>
      <c r="J358" s="165">
        <v>0.0</v>
      </c>
      <c r="K358" s="165">
        <v>0.0</v>
      </c>
      <c r="L358" s="165">
        <v>0.0</v>
      </c>
      <c r="M358" s="165">
        <v>15.0</v>
      </c>
      <c r="N358" s="165">
        <v>1.0</v>
      </c>
      <c r="O358" s="165">
        <v>6.0</v>
      </c>
      <c r="P358" s="165">
        <v>6.0</v>
      </c>
      <c r="Q358" s="165">
        <v>2.0</v>
      </c>
      <c r="R358" s="165">
        <v>0.0</v>
      </c>
      <c r="S358" s="165">
        <v>4.0</v>
      </c>
      <c r="T358" s="165">
        <v>1.0</v>
      </c>
      <c r="U358" s="165">
        <v>3.0</v>
      </c>
      <c r="V358" s="165">
        <v>0.0</v>
      </c>
      <c r="W358" s="165">
        <v>0.0</v>
      </c>
      <c r="X358" s="165">
        <v>0.0</v>
      </c>
      <c r="Y358" s="165">
        <v>0.0</v>
      </c>
      <c r="Z358" s="165">
        <v>0.0</v>
      </c>
      <c r="AA358" s="165">
        <v>1.0</v>
      </c>
      <c r="AB358" s="165">
        <v>7.0</v>
      </c>
      <c r="AC358" s="165">
        <v>10.0</v>
      </c>
      <c r="AD358" s="165">
        <v>0.0</v>
      </c>
      <c r="AE358" s="165">
        <v>0.0</v>
      </c>
      <c r="AF358" s="165">
        <v>1.0</v>
      </c>
      <c r="AG358" s="95">
        <f t="shared" ref="AG358:AG360" si="109">SUM(B358:AF358)</f>
        <v>103</v>
      </c>
    </row>
    <row r="359">
      <c r="A359" s="213" t="s">
        <v>341</v>
      </c>
      <c r="B359" s="165">
        <v>0.0</v>
      </c>
      <c r="C359" s="165">
        <v>0.0</v>
      </c>
      <c r="D359" s="165">
        <v>0.0</v>
      </c>
      <c r="E359" s="165">
        <v>0.0</v>
      </c>
      <c r="F359" s="165">
        <v>0.0</v>
      </c>
      <c r="G359" s="165">
        <v>0.0</v>
      </c>
      <c r="H359" s="165">
        <v>1.0</v>
      </c>
      <c r="I359" s="165">
        <v>0.0</v>
      </c>
      <c r="J359" s="165">
        <v>0.0</v>
      </c>
      <c r="K359" s="165">
        <v>0.0</v>
      </c>
      <c r="L359" s="165">
        <v>0.0</v>
      </c>
      <c r="M359" s="165">
        <v>0.0</v>
      </c>
      <c r="N359" s="165">
        <v>0.0</v>
      </c>
      <c r="O359" s="165">
        <v>0.0</v>
      </c>
      <c r="P359" s="165">
        <v>0.0</v>
      </c>
      <c r="Q359" s="165">
        <v>0.0</v>
      </c>
      <c r="R359" s="165">
        <v>0.0</v>
      </c>
      <c r="S359" s="165">
        <v>0.0</v>
      </c>
      <c r="T359" s="165">
        <v>0.0</v>
      </c>
      <c r="U359" s="165">
        <v>0.0</v>
      </c>
      <c r="V359" s="165">
        <v>0.0</v>
      </c>
      <c r="W359" s="165">
        <v>0.0</v>
      </c>
      <c r="X359" s="165">
        <v>0.0</v>
      </c>
      <c r="Y359" s="165">
        <v>0.0</v>
      </c>
      <c r="Z359" s="165">
        <v>0.0</v>
      </c>
      <c r="AA359" s="165">
        <v>0.0</v>
      </c>
      <c r="AB359" s="165">
        <v>0.0</v>
      </c>
      <c r="AC359" s="165">
        <v>0.0</v>
      </c>
      <c r="AD359" s="165">
        <v>0.0</v>
      </c>
      <c r="AE359" s="165">
        <v>0.0</v>
      </c>
      <c r="AF359" s="165">
        <v>0.0</v>
      </c>
      <c r="AG359" s="95">
        <f t="shared" si="109"/>
        <v>1</v>
      </c>
    </row>
    <row r="360">
      <c r="A360" s="219" t="s">
        <v>119</v>
      </c>
      <c r="B360" s="216">
        <f t="shared" ref="B360:AF360" si="110">SUM(B358:B359)</f>
        <v>2</v>
      </c>
      <c r="C360" s="216">
        <f t="shared" si="110"/>
        <v>0</v>
      </c>
      <c r="D360" s="216">
        <f t="shared" si="110"/>
        <v>3</v>
      </c>
      <c r="E360" s="216">
        <f t="shared" si="110"/>
        <v>12</v>
      </c>
      <c r="F360" s="216">
        <f t="shared" si="110"/>
        <v>1</v>
      </c>
      <c r="G360" s="216">
        <f t="shared" si="110"/>
        <v>7</v>
      </c>
      <c r="H360" s="216">
        <f t="shared" si="110"/>
        <v>18</v>
      </c>
      <c r="I360" s="216">
        <f t="shared" si="110"/>
        <v>4</v>
      </c>
      <c r="J360" s="216">
        <f t="shared" si="110"/>
        <v>0</v>
      </c>
      <c r="K360" s="216">
        <f t="shared" si="110"/>
        <v>0</v>
      </c>
      <c r="L360" s="216">
        <f t="shared" si="110"/>
        <v>0</v>
      </c>
      <c r="M360" s="216">
        <f t="shared" si="110"/>
        <v>15</v>
      </c>
      <c r="N360" s="216">
        <f t="shared" si="110"/>
        <v>1</v>
      </c>
      <c r="O360" s="216">
        <f t="shared" si="110"/>
        <v>6</v>
      </c>
      <c r="P360" s="216">
        <f t="shared" si="110"/>
        <v>6</v>
      </c>
      <c r="Q360" s="216">
        <f t="shared" si="110"/>
        <v>2</v>
      </c>
      <c r="R360" s="216">
        <f t="shared" si="110"/>
        <v>0</v>
      </c>
      <c r="S360" s="216">
        <f t="shared" si="110"/>
        <v>4</v>
      </c>
      <c r="T360" s="216">
        <f t="shared" si="110"/>
        <v>1</v>
      </c>
      <c r="U360" s="216">
        <f t="shared" si="110"/>
        <v>3</v>
      </c>
      <c r="V360" s="216">
        <f t="shared" si="110"/>
        <v>0</v>
      </c>
      <c r="W360" s="216">
        <f t="shared" si="110"/>
        <v>0</v>
      </c>
      <c r="X360" s="216">
        <f t="shared" si="110"/>
        <v>0</v>
      </c>
      <c r="Y360" s="216">
        <f t="shared" si="110"/>
        <v>0</v>
      </c>
      <c r="Z360" s="216">
        <f t="shared" si="110"/>
        <v>0</v>
      </c>
      <c r="AA360" s="216">
        <f t="shared" si="110"/>
        <v>1</v>
      </c>
      <c r="AB360" s="216">
        <f t="shared" si="110"/>
        <v>7</v>
      </c>
      <c r="AC360" s="216">
        <f t="shared" si="110"/>
        <v>10</v>
      </c>
      <c r="AD360" s="216">
        <f t="shared" si="110"/>
        <v>0</v>
      </c>
      <c r="AE360" s="216">
        <f t="shared" si="110"/>
        <v>0</v>
      </c>
      <c r="AF360" s="216">
        <f t="shared" si="110"/>
        <v>1</v>
      </c>
      <c r="AG360" s="95">
        <f t="shared" si="109"/>
        <v>104</v>
      </c>
    </row>
    <row r="361">
      <c r="A361" s="172"/>
      <c r="B361" s="225"/>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81"/>
      <c r="AB361" s="181"/>
      <c r="AC361" s="181"/>
      <c r="AD361" s="181"/>
      <c r="AE361" s="181"/>
      <c r="AF361" s="181"/>
      <c r="AG361" s="207"/>
    </row>
    <row r="362">
      <c r="A362" s="149" t="s">
        <v>342</v>
      </c>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81"/>
      <c r="AB362" s="181"/>
      <c r="AC362" s="181"/>
      <c r="AD362" s="181"/>
      <c r="AE362" s="181"/>
      <c r="AF362" s="181"/>
      <c r="AG362" s="207"/>
    </row>
    <row r="363">
      <c r="A363" s="213" t="s">
        <v>305</v>
      </c>
      <c r="B363" s="199">
        <f>330.45+199</f>
        <v>529.45</v>
      </c>
      <c r="C363" s="199">
        <v>0.0</v>
      </c>
      <c r="D363" s="199">
        <v>942.63</v>
      </c>
      <c r="E363" s="226">
        <v>3346.86</v>
      </c>
      <c r="F363" s="226">
        <v>268.03</v>
      </c>
      <c r="G363" s="226">
        <v>1860.45</v>
      </c>
      <c r="H363" s="226">
        <v>4824.5</v>
      </c>
      <c r="I363" s="226">
        <v>863.05</v>
      </c>
      <c r="J363" s="226">
        <v>0.0</v>
      </c>
      <c r="K363" s="226">
        <v>0.0</v>
      </c>
      <c r="L363" s="199">
        <v>0.0</v>
      </c>
      <c r="M363" s="226">
        <f>4256.86+295.14</f>
        <v>4552</v>
      </c>
      <c r="N363" s="226">
        <v>232.69</v>
      </c>
      <c r="O363" s="226">
        <v>1012.79</v>
      </c>
      <c r="P363" s="226">
        <v>1627.84</v>
      </c>
      <c r="Q363" s="226">
        <v>305.17</v>
      </c>
      <c r="R363" s="226">
        <v>0.0</v>
      </c>
      <c r="S363" s="226">
        <v>635.98</v>
      </c>
      <c r="T363" s="226">
        <v>40.74</v>
      </c>
      <c r="U363" s="226">
        <v>687.6</v>
      </c>
      <c r="V363" s="226">
        <v>0.0</v>
      </c>
      <c r="W363" s="226">
        <v>0.0</v>
      </c>
      <c r="X363" s="226">
        <v>0.0</v>
      </c>
      <c r="Y363" s="226">
        <v>0.0</v>
      </c>
      <c r="Z363" s="226">
        <v>0.0</v>
      </c>
      <c r="AA363" s="226">
        <v>313.93</v>
      </c>
      <c r="AB363" s="226">
        <v>1661.75</v>
      </c>
      <c r="AC363" s="226">
        <v>2349.93</v>
      </c>
      <c r="AD363" s="199">
        <v>0.0</v>
      </c>
      <c r="AE363" s="199">
        <v>0.0</v>
      </c>
      <c r="AF363" s="199">
        <v>226.97</v>
      </c>
      <c r="AG363" s="95">
        <f t="shared" ref="AG363:AG364" si="112">SUM(B363:AF363)</f>
        <v>26282.36</v>
      </c>
    </row>
    <row r="364">
      <c r="A364" s="219" t="s">
        <v>306</v>
      </c>
      <c r="B364" s="227">
        <f t="shared" ref="B364:AF364" si="111">sum(B363)</f>
        <v>529.45</v>
      </c>
      <c r="C364" s="227">
        <f t="shared" si="111"/>
        <v>0</v>
      </c>
      <c r="D364" s="227">
        <f t="shared" si="111"/>
        <v>942.63</v>
      </c>
      <c r="E364" s="227">
        <f t="shared" si="111"/>
        <v>3346.86</v>
      </c>
      <c r="F364" s="227">
        <f t="shared" si="111"/>
        <v>268.03</v>
      </c>
      <c r="G364" s="227">
        <f t="shared" si="111"/>
        <v>1860.45</v>
      </c>
      <c r="H364" s="227">
        <f t="shared" si="111"/>
        <v>4824.5</v>
      </c>
      <c r="I364" s="227">
        <f t="shared" si="111"/>
        <v>863.05</v>
      </c>
      <c r="J364" s="227">
        <f t="shared" si="111"/>
        <v>0</v>
      </c>
      <c r="K364" s="227">
        <f t="shared" si="111"/>
        <v>0</v>
      </c>
      <c r="L364" s="227">
        <f t="shared" si="111"/>
        <v>0</v>
      </c>
      <c r="M364" s="227">
        <f t="shared" si="111"/>
        <v>4552</v>
      </c>
      <c r="N364" s="227">
        <f t="shared" si="111"/>
        <v>232.69</v>
      </c>
      <c r="O364" s="227">
        <f t="shared" si="111"/>
        <v>1012.79</v>
      </c>
      <c r="P364" s="227">
        <f t="shared" si="111"/>
        <v>1627.84</v>
      </c>
      <c r="Q364" s="227">
        <f t="shared" si="111"/>
        <v>305.17</v>
      </c>
      <c r="R364" s="227">
        <f t="shared" si="111"/>
        <v>0</v>
      </c>
      <c r="S364" s="227">
        <f t="shared" si="111"/>
        <v>635.98</v>
      </c>
      <c r="T364" s="227">
        <f t="shared" si="111"/>
        <v>40.74</v>
      </c>
      <c r="U364" s="227">
        <f t="shared" si="111"/>
        <v>687.6</v>
      </c>
      <c r="V364" s="227">
        <f t="shared" si="111"/>
        <v>0</v>
      </c>
      <c r="W364" s="227">
        <f t="shared" si="111"/>
        <v>0</v>
      </c>
      <c r="X364" s="227">
        <f t="shared" si="111"/>
        <v>0</v>
      </c>
      <c r="Y364" s="227">
        <f t="shared" si="111"/>
        <v>0</v>
      </c>
      <c r="Z364" s="227">
        <f t="shared" si="111"/>
        <v>0</v>
      </c>
      <c r="AA364" s="227">
        <f t="shared" si="111"/>
        <v>313.93</v>
      </c>
      <c r="AB364" s="227">
        <f t="shared" si="111"/>
        <v>1661.75</v>
      </c>
      <c r="AC364" s="227">
        <f t="shared" si="111"/>
        <v>2349.93</v>
      </c>
      <c r="AD364" s="227">
        <f t="shared" si="111"/>
        <v>0</v>
      </c>
      <c r="AE364" s="227">
        <f t="shared" si="111"/>
        <v>0</v>
      </c>
      <c r="AF364" s="227">
        <f t="shared" si="111"/>
        <v>226.97</v>
      </c>
      <c r="AG364" s="95">
        <f t="shared" si="112"/>
        <v>26282.36</v>
      </c>
    </row>
    <row r="365">
      <c r="A365" s="172"/>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c r="AA365" s="228"/>
      <c r="AB365" s="228"/>
      <c r="AC365" s="228"/>
      <c r="AD365" s="228"/>
      <c r="AE365" s="228"/>
      <c r="AF365" s="228"/>
      <c r="AG365" s="207"/>
    </row>
    <row r="366">
      <c r="A366" s="213" t="s">
        <v>307</v>
      </c>
      <c r="B366" s="199">
        <v>0.0</v>
      </c>
      <c r="C366" s="199">
        <v>0.0</v>
      </c>
      <c r="D366" s="199">
        <v>0.0</v>
      </c>
      <c r="E366" s="226">
        <v>0.0</v>
      </c>
      <c r="F366" s="199">
        <v>0.0</v>
      </c>
      <c r="G366" s="199">
        <v>0.0</v>
      </c>
      <c r="H366" s="226">
        <v>244.0</v>
      </c>
      <c r="I366" s="226">
        <v>0.0</v>
      </c>
      <c r="J366" s="226">
        <v>0.0</v>
      </c>
      <c r="K366" s="226">
        <v>0.0</v>
      </c>
      <c r="L366" s="226">
        <v>0.0</v>
      </c>
      <c r="M366" s="226">
        <v>0.0</v>
      </c>
      <c r="N366" s="226">
        <v>0.0</v>
      </c>
      <c r="O366" s="226">
        <v>0.0</v>
      </c>
      <c r="P366" s="226">
        <v>0.0</v>
      </c>
      <c r="Q366" s="226">
        <v>0.0</v>
      </c>
      <c r="R366" s="199">
        <v>0.0</v>
      </c>
      <c r="S366" s="199">
        <v>0.0</v>
      </c>
      <c r="T366" s="226">
        <v>0.0</v>
      </c>
      <c r="U366" s="226">
        <v>0.0</v>
      </c>
      <c r="V366" s="226">
        <v>0.0</v>
      </c>
      <c r="W366" s="226">
        <v>0.0</v>
      </c>
      <c r="X366" s="226">
        <v>0.0</v>
      </c>
      <c r="Y366" s="226">
        <v>0.0</v>
      </c>
      <c r="Z366" s="226">
        <v>0.0</v>
      </c>
      <c r="AA366" s="226">
        <v>0.0</v>
      </c>
      <c r="AB366" s="226">
        <v>0.0</v>
      </c>
      <c r="AC366" s="226">
        <v>0.0</v>
      </c>
      <c r="AD366" s="226">
        <v>0.0</v>
      </c>
      <c r="AE366" s="226">
        <v>0.0</v>
      </c>
      <c r="AF366" s="226">
        <v>0.0</v>
      </c>
      <c r="AG366" s="95">
        <f t="shared" ref="AG366:AG369" si="113">SUM(B366:AF366)</f>
        <v>244</v>
      </c>
    </row>
    <row r="367">
      <c r="A367" s="213" t="s">
        <v>308</v>
      </c>
      <c r="B367" s="199">
        <v>0.0</v>
      </c>
      <c r="C367" s="199">
        <v>0.0</v>
      </c>
      <c r="D367" s="199">
        <v>0.0</v>
      </c>
      <c r="E367" s="226">
        <v>0.0</v>
      </c>
      <c r="F367" s="199">
        <v>0.0</v>
      </c>
      <c r="G367" s="199">
        <v>0.0</v>
      </c>
      <c r="H367" s="226">
        <v>35.0</v>
      </c>
      <c r="I367" s="226">
        <v>0.0</v>
      </c>
      <c r="J367" s="226">
        <v>0.0</v>
      </c>
      <c r="K367" s="226">
        <v>0.0</v>
      </c>
      <c r="L367" s="226">
        <v>0.0</v>
      </c>
      <c r="M367" s="226">
        <v>0.0</v>
      </c>
      <c r="N367" s="226">
        <v>0.0</v>
      </c>
      <c r="O367" s="226">
        <v>0.0</v>
      </c>
      <c r="P367" s="226">
        <v>0.0</v>
      </c>
      <c r="Q367" s="226">
        <v>0.0</v>
      </c>
      <c r="R367" s="199">
        <v>0.0</v>
      </c>
      <c r="S367" s="199">
        <v>0.0</v>
      </c>
      <c r="T367" s="226">
        <v>0.0</v>
      </c>
      <c r="U367" s="226">
        <v>0.0</v>
      </c>
      <c r="V367" s="226">
        <v>0.0</v>
      </c>
      <c r="W367" s="226">
        <v>0.0</v>
      </c>
      <c r="X367" s="226">
        <v>0.0</v>
      </c>
      <c r="Y367" s="226">
        <v>0.0</v>
      </c>
      <c r="Z367" s="226">
        <v>0.0</v>
      </c>
      <c r="AA367" s="226">
        <v>0.0</v>
      </c>
      <c r="AB367" s="226">
        <v>0.0</v>
      </c>
      <c r="AC367" s="226">
        <v>0.0</v>
      </c>
      <c r="AD367" s="226">
        <v>0.0</v>
      </c>
      <c r="AE367" s="226">
        <v>0.0</v>
      </c>
      <c r="AF367" s="226">
        <v>0.0</v>
      </c>
      <c r="AG367" s="95">
        <f t="shared" si="113"/>
        <v>35</v>
      </c>
    </row>
    <row r="368">
      <c r="A368" s="213" t="s">
        <v>309</v>
      </c>
      <c r="B368" s="199">
        <f t="shared" ref="B368:AF368" si="114">B366*0.22</f>
        <v>0</v>
      </c>
      <c r="C368" s="199">
        <f t="shared" si="114"/>
        <v>0</v>
      </c>
      <c r="D368" s="199">
        <f t="shared" si="114"/>
        <v>0</v>
      </c>
      <c r="E368" s="199">
        <f t="shared" si="114"/>
        <v>0</v>
      </c>
      <c r="F368" s="199">
        <f t="shared" si="114"/>
        <v>0</v>
      </c>
      <c r="G368" s="199">
        <f t="shared" si="114"/>
        <v>0</v>
      </c>
      <c r="H368" s="199">
        <f t="shared" si="114"/>
        <v>53.68</v>
      </c>
      <c r="I368" s="199">
        <f t="shared" si="114"/>
        <v>0</v>
      </c>
      <c r="J368" s="199">
        <f t="shared" si="114"/>
        <v>0</v>
      </c>
      <c r="K368" s="199">
        <f t="shared" si="114"/>
        <v>0</v>
      </c>
      <c r="L368" s="199">
        <f t="shared" si="114"/>
        <v>0</v>
      </c>
      <c r="M368" s="199">
        <f t="shared" si="114"/>
        <v>0</v>
      </c>
      <c r="N368" s="199">
        <f t="shared" si="114"/>
        <v>0</v>
      </c>
      <c r="O368" s="199">
        <f t="shared" si="114"/>
        <v>0</v>
      </c>
      <c r="P368" s="199">
        <f t="shared" si="114"/>
        <v>0</v>
      </c>
      <c r="Q368" s="199">
        <f t="shared" si="114"/>
        <v>0</v>
      </c>
      <c r="R368" s="199">
        <f t="shared" si="114"/>
        <v>0</v>
      </c>
      <c r="S368" s="199">
        <f t="shared" si="114"/>
        <v>0</v>
      </c>
      <c r="T368" s="199">
        <f t="shared" si="114"/>
        <v>0</v>
      </c>
      <c r="U368" s="199">
        <f t="shared" si="114"/>
        <v>0</v>
      </c>
      <c r="V368" s="199">
        <f t="shared" si="114"/>
        <v>0</v>
      </c>
      <c r="W368" s="199">
        <f t="shared" si="114"/>
        <v>0</v>
      </c>
      <c r="X368" s="199">
        <f t="shared" si="114"/>
        <v>0</v>
      </c>
      <c r="Y368" s="199">
        <f t="shared" si="114"/>
        <v>0</v>
      </c>
      <c r="Z368" s="199">
        <f t="shared" si="114"/>
        <v>0</v>
      </c>
      <c r="AA368" s="199">
        <f t="shared" si="114"/>
        <v>0</v>
      </c>
      <c r="AB368" s="199">
        <f t="shared" si="114"/>
        <v>0</v>
      </c>
      <c r="AC368" s="199">
        <f t="shared" si="114"/>
        <v>0</v>
      </c>
      <c r="AD368" s="199">
        <f t="shared" si="114"/>
        <v>0</v>
      </c>
      <c r="AE368" s="199">
        <f t="shared" si="114"/>
        <v>0</v>
      </c>
      <c r="AF368" s="199">
        <f t="shared" si="114"/>
        <v>0</v>
      </c>
      <c r="AG368" s="95">
        <f t="shared" si="113"/>
        <v>53.68</v>
      </c>
    </row>
    <row r="369">
      <c r="A369" s="219" t="s">
        <v>310</v>
      </c>
      <c r="B369" s="220">
        <f t="shared" ref="B369:AF369" si="115">SUM(B366+B367)</f>
        <v>0</v>
      </c>
      <c r="C369" s="220">
        <f t="shared" si="115"/>
        <v>0</v>
      </c>
      <c r="D369" s="220">
        <f t="shared" si="115"/>
        <v>0</v>
      </c>
      <c r="E369" s="220">
        <f t="shared" si="115"/>
        <v>0</v>
      </c>
      <c r="F369" s="220">
        <f t="shared" si="115"/>
        <v>0</v>
      </c>
      <c r="G369" s="220">
        <f t="shared" si="115"/>
        <v>0</v>
      </c>
      <c r="H369" s="220">
        <f t="shared" si="115"/>
        <v>279</v>
      </c>
      <c r="I369" s="220">
        <f t="shared" si="115"/>
        <v>0</v>
      </c>
      <c r="J369" s="220">
        <f t="shared" si="115"/>
        <v>0</v>
      </c>
      <c r="K369" s="220">
        <f t="shared" si="115"/>
        <v>0</v>
      </c>
      <c r="L369" s="220">
        <f t="shared" si="115"/>
        <v>0</v>
      </c>
      <c r="M369" s="220">
        <f t="shared" si="115"/>
        <v>0</v>
      </c>
      <c r="N369" s="220">
        <f t="shared" si="115"/>
        <v>0</v>
      </c>
      <c r="O369" s="220">
        <f t="shared" si="115"/>
        <v>0</v>
      </c>
      <c r="P369" s="220">
        <f t="shared" si="115"/>
        <v>0</v>
      </c>
      <c r="Q369" s="220">
        <f t="shared" si="115"/>
        <v>0</v>
      </c>
      <c r="R369" s="220">
        <f t="shared" si="115"/>
        <v>0</v>
      </c>
      <c r="S369" s="220">
        <f t="shared" si="115"/>
        <v>0</v>
      </c>
      <c r="T369" s="220">
        <f t="shared" si="115"/>
        <v>0</v>
      </c>
      <c r="U369" s="220">
        <f t="shared" si="115"/>
        <v>0</v>
      </c>
      <c r="V369" s="220">
        <f t="shared" si="115"/>
        <v>0</v>
      </c>
      <c r="W369" s="220">
        <f t="shared" si="115"/>
        <v>0</v>
      </c>
      <c r="X369" s="220">
        <f t="shared" si="115"/>
        <v>0</v>
      </c>
      <c r="Y369" s="220">
        <f t="shared" si="115"/>
        <v>0</v>
      </c>
      <c r="Z369" s="220">
        <f t="shared" si="115"/>
        <v>0</v>
      </c>
      <c r="AA369" s="220">
        <f t="shared" si="115"/>
        <v>0</v>
      </c>
      <c r="AB369" s="220">
        <f t="shared" si="115"/>
        <v>0</v>
      </c>
      <c r="AC369" s="220">
        <f t="shared" si="115"/>
        <v>0</v>
      </c>
      <c r="AD369" s="220">
        <f t="shared" si="115"/>
        <v>0</v>
      </c>
      <c r="AE369" s="220">
        <f t="shared" si="115"/>
        <v>0</v>
      </c>
      <c r="AF369" s="220">
        <f t="shared" si="115"/>
        <v>0</v>
      </c>
      <c r="AG369" s="95">
        <f t="shared" si="113"/>
        <v>279</v>
      </c>
    </row>
    <row r="370">
      <c r="A370" s="22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81"/>
      <c r="AB370" s="181"/>
      <c r="AC370" s="181"/>
      <c r="AD370" s="181"/>
      <c r="AE370" s="181"/>
      <c r="AF370" s="181"/>
      <c r="AG370" s="207"/>
    </row>
    <row r="371">
      <c r="A371" s="22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81"/>
      <c r="AB371" s="181"/>
      <c r="AC371" s="181"/>
      <c r="AD371" s="181"/>
      <c r="AE371" s="181"/>
      <c r="AF371" s="181"/>
      <c r="AG371" s="207"/>
    </row>
    <row r="372">
      <c r="A372" s="141" t="s">
        <v>343</v>
      </c>
      <c r="B372" s="229" t="s">
        <v>344</v>
      </c>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c r="AD372" s="222"/>
      <c r="AE372" s="222"/>
      <c r="AF372" s="222"/>
      <c r="AG372" s="207"/>
    </row>
    <row r="373">
      <c r="A373" s="213" t="s">
        <v>207</v>
      </c>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c r="AE373" s="230"/>
      <c r="AF373" s="230"/>
      <c r="AG373" s="156"/>
    </row>
    <row r="374" outlineLevel="1">
      <c r="A374" s="213" t="s">
        <v>345</v>
      </c>
      <c r="B374" s="165">
        <v>0.0</v>
      </c>
      <c r="C374" s="165">
        <v>0.0</v>
      </c>
      <c r="D374" s="165">
        <v>0.0</v>
      </c>
      <c r="E374" s="165">
        <v>0.0</v>
      </c>
      <c r="F374" s="165">
        <v>0.0</v>
      </c>
      <c r="G374" s="165">
        <v>0.0</v>
      </c>
      <c r="H374" s="165">
        <v>1.0</v>
      </c>
      <c r="I374" s="165">
        <v>0.0</v>
      </c>
      <c r="J374" s="165">
        <v>0.0</v>
      </c>
      <c r="K374" s="165">
        <v>0.0</v>
      </c>
      <c r="L374" s="165">
        <v>1.0</v>
      </c>
      <c r="M374" s="165">
        <v>0.0</v>
      </c>
      <c r="N374" s="165">
        <v>1.0</v>
      </c>
      <c r="O374" s="165">
        <v>0.0</v>
      </c>
      <c r="P374" s="165">
        <v>0.0</v>
      </c>
      <c r="Q374" s="165">
        <v>0.0</v>
      </c>
      <c r="R374" s="165">
        <v>0.0</v>
      </c>
      <c r="S374" s="165">
        <v>0.0</v>
      </c>
      <c r="T374" s="165">
        <v>1.0</v>
      </c>
      <c r="U374" s="165">
        <v>0.0</v>
      </c>
      <c r="V374" s="165">
        <v>0.0</v>
      </c>
      <c r="W374" s="165">
        <v>0.0</v>
      </c>
      <c r="X374" s="165">
        <v>0.0</v>
      </c>
      <c r="Y374" s="165">
        <v>0.0</v>
      </c>
      <c r="Z374" s="165">
        <v>0.0</v>
      </c>
      <c r="AA374" s="165">
        <v>1.0</v>
      </c>
      <c r="AB374" s="159">
        <v>0.0</v>
      </c>
      <c r="AC374" s="159">
        <v>0.0</v>
      </c>
      <c r="AD374" s="159">
        <v>0.0</v>
      </c>
      <c r="AE374" s="159">
        <v>0.0</v>
      </c>
      <c r="AF374" s="159">
        <v>0.0</v>
      </c>
      <c r="AG374" s="95">
        <f t="shared" ref="AG374:AG379" si="116">SUM(B374:AF374)</f>
        <v>5</v>
      </c>
    </row>
    <row r="375" outlineLevel="1">
      <c r="A375" s="213" t="s">
        <v>346</v>
      </c>
      <c r="B375" s="165">
        <v>0.0</v>
      </c>
      <c r="C375" s="165">
        <v>0.0</v>
      </c>
      <c r="D375" s="165">
        <v>0.0</v>
      </c>
      <c r="E375" s="165">
        <v>0.0</v>
      </c>
      <c r="F375" s="165">
        <v>0.0</v>
      </c>
      <c r="G375" s="165">
        <v>0.0</v>
      </c>
      <c r="H375" s="165">
        <v>0.0</v>
      </c>
      <c r="I375" s="165">
        <v>0.0</v>
      </c>
      <c r="J375" s="165">
        <v>0.0</v>
      </c>
      <c r="K375" s="165">
        <v>0.0</v>
      </c>
      <c r="L375" s="165">
        <v>0.0</v>
      </c>
      <c r="M375" s="165">
        <v>0.0</v>
      </c>
      <c r="N375" s="165">
        <v>0.0</v>
      </c>
      <c r="O375" s="165">
        <v>0.0</v>
      </c>
      <c r="P375" s="165">
        <v>0.0</v>
      </c>
      <c r="Q375" s="165">
        <v>0.0</v>
      </c>
      <c r="R375" s="165">
        <v>0.0</v>
      </c>
      <c r="S375" s="165">
        <v>0.0</v>
      </c>
      <c r="T375" s="165">
        <v>0.0</v>
      </c>
      <c r="U375" s="165">
        <v>0.0</v>
      </c>
      <c r="V375" s="165">
        <v>0.0</v>
      </c>
      <c r="W375" s="165">
        <v>0.0</v>
      </c>
      <c r="X375" s="165">
        <v>0.0</v>
      </c>
      <c r="Y375" s="165">
        <v>0.0</v>
      </c>
      <c r="Z375" s="165">
        <v>0.0</v>
      </c>
      <c r="AA375" s="165">
        <v>0.0</v>
      </c>
      <c r="AB375" s="159">
        <v>0.0</v>
      </c>
      <c r="AC375" s="159">
        <v>0.0</v>
      </c>
      <c r="AD375" s="159">
        <v>0.0</v>
      </c>
      <c r="AE375" s="159">
        <v>0.0</v>
      </c>
      <c r="AF375" s="159">
        <v>0.0</v>
      </c>
      <c r="AG375" s="95">
        <f t="shared" si="116"/>
        <v>0</v>
      </c>
    </row>
    <row r="376" outlineLevel="1">
      <c r="A376" s="213" t="s">
        <v>347</v>
      </c>
      <c r="B376" s="165">
        <v>0.0</v>
      </c>
      <c r="C376" s="165">
        <v>0.0</v>
      </c>
      <c r="D376" s="165">
        <v>0.0</v>
      </c>
      <c r="E376" s="165">
        <v>0.0</v>
      </c>
      <c r="F376" s="165">
        <v>1.0</v>
      </c>
      <c r="G376" s="165">
        <v>0.0</v>
      </c>
      <c r="H376" s="165">
        <v>1.0</v>
      </c>
      <c r="I376" s="165">
        <v>1.0</v>
      </c>
      <c r="J376" s="165">
        <v>0.0</v>
      </c>
      <c r="K376" s="165">
        <v>0.0</v>
      </c>
      <c r="L376" s="165">
        <v>2.0</v>
      </c>
      <c r="M376" s="165">
        <v>1.0</v>
      </c>
      <c r="N376" s="165">
        <v>0.0</v>
      </c>
      <c r="O376" s="165">
        <v>0.0</v>
      </c>
      <c r="P376" s="165">
        <v>0.0</v>
      </c>
      <c r="Q376" s="165">
        <v>0.0</v>
      </c>
      <c r="R376" s="165">
        <v>0.0</v>
      </c>
      <c r="S376" s="165">
        <v>0.0</v>
      </c>
      <c r="T376" s="165">
        <v>8.0</v>
      </c>
      <c r="U376" s="165">
        <v>1.0</v>
      </c>
      <c r="V376" s="165">
        <v>0.0</v>
      </c>
      <c r="W376" s="165">
        <v>0.0</v>
      </c>
      <c r="X376" s="165">
        <v>0.0</v>
      </c>
      <c r="Y376" s="165">
        <v>0.0</v>
      </c>
      <c r="Z376" s="165">
        <v>0.0</v>
      </c>
      <c r="AA376" s="165">
        <v>0.0</v>
      </c>
      <c r="AB376" s="159">
        <v>0.0</v>
      </c>
      <c r="AC376" s="159">
        <v>0.0</v>
      </c>
      <c r="AD376" s="159">
        <v>0.0</v>
      </c>
      <c r="AE376" s="159">
        <v>0.0</v>
      </c>
      <c r="AF376" s="159">
        <v>0.0</v>
      </c>
      <c r="AG376" s="95">
        <f t="shared" si="116"/>
        <v>15</v>
      </c>
    </row>
    <row r="377" outlineLevel="1">
      <c r="A377" s="213" t="s">
        <v>348</v>
      </c>
      <c r="B377" s="165">
        <v>0.0</v>
      </c>
      <c r="C377" s="165">
        <v>0.0</v>
      </c>
      <c r="D377" s="165">
        <v>0.0</v>
      </c>
      <c r="E377" s="165">
        <v>0.0</v>
      </c>
      <c r="F377" s="165">
        <v>0.0</v>
      </c>
      <c r="G377" s="165">
        <v>0.0</v>
      </c>
      <c r="H377" s="165">
        <v>0.0</v>
      </c>
      <c r="I377" s="165">
        <v>1.0</v>
      </c>
      <c r="J377" s="165">
        <v>0.0</v>
      </c>
      <c r="K377" s="165">
        <v>0.0</v>
      </c>
      <c r="L377" s="165">
        <v>0.0</v>
      </c>
      <c r="M377" s="165">
        <v>1.0</v>
      </c>
      <c r="N377" s="165">
        <v>0.0</v>
      </c>
      <c r="O377" s="165">
        <v>0.0</v>
      </c>
      <c r="P377" s="165">
        <v>0.0</v>
      </c>
      <c r="Q377" s="165">
        <v>0.0</v>
      </c>
      <c r="R377" s="165">
        <v>0.0</v>
      </c>
      <c r="S377" s="165">
        <v>0.0</v>
      </c>
      <c r="T377" s="165">
        <v>0.0</v>
      </c>
      <c r="U377" s="165">
        <v>0.0</v>
      </c>
      <c r="V377" s="165">
        <v>0.0</v>
      </c>
      <c r="W377" s="165">
        <v>0.0</v>
      </c>
      <c r="X377" s="165">
        <v>0.0</v>
      </c>
      <c r="Y377" s="165">
        <v>0.0</v>
      </c>
      <c r="Z377" s="165">
        <v>0.0</v>
      </c>
      <c r="AA377" s="165">
        <v>0.0</v>
      </c>
      <c r="AB377" s="159">
        <v>0.0</v>
      </c>
      <c r="AC377" s="159">
        <v>0.0</v>
      </c>
      <c r="AD377" s="159">
        <v>0.0</v>
      </c>
      <c r="AE377" s="159">
        <v>0.0</v>
      </c>
      <c r="AF377" s="159">
        <v>0.0</v>
      </c>
      <c r="AG377" s="95">
        <f t="shared" si="116"/>
        <v>2</v>
      </c>
    </row>
    <row r="378" outlineLevel="1">
      <c r="A378" s="213" t="s">
        <v>349</v>
      </c>
      <c r="B378" s="159">
        <v>0.0</v>
      </c>
      <c r="C378" s="165">
        <v>0.0</v>
      </c>
      <c r="D378" s="165">
        <v>0.0</v>
      </c>
      <c r="E378" s="159">
        <v>0.0</v>
      </c>
      <c r="F378" s="159">
        <v>0.0</v>
      </c>
      <c r="G378" s="159">
        <v>0.0</v>
      </c>
      <c r="H378" s="159">
        <v>0.0</v>
      </c>
      <c r="I378" s="159">
        <v>0.0</v>
      </c>
      <c r="J378" s="159">
        <v>0.0</v>
      </c>
      <c r="K378" s="159">
        <v>0.0</v>
      </c>
      <c r="L378" s="159">
        <v>0.0</v>
      </c>
      <c r="M378" s="159">
        <v>0.0</v>
      </c>
      <c r="N378" s="159">
        <v>0.0</v>
      </c>
      <c r="O378" s="165">
        <v>0.0</v>
      </c>
      <c r="P378" s="159">
        <v>0.0</v>
      </c>
      <c r="Q378" s="165">
        <v>0.0</v>
      </c>
      <c r="R378" s="165">
        <v>0.0</v>
      </c>
      <c r="S378" s="165">
        <v>0.0</v>
      </c>
      <c r="T378" s="159">
        <v>0.0</v>
      </c>
      <c r="U378" s="159">
        <v>0.0</v>
      </c>
      <c r="V378" s="165">
        <v>0.0</v>
      </c>
      <c r="W378" s="165">
        <v>0.0</v>
      </c>
      <c r="X378" s="165">
        <v>0.0</v>
      </c>
      <c r="Y378" s="165">
        <v>0.0</v>
      </c>
      <c r="Z378" s="165">
        <v>0.0</v>
      </c>
      <c r="AA378" s="159">
        <v>0.0</v>
      </c>
      <c r="AB378" s="159">
        <v>0.0</v>
      </c>
      <c r="AC378" s="159">
        <v>0.0</v>
      </c>
      <c r="AD378" s="159">
        <v>0.0</v>
      </c>
      <c r="AE378" s="159">
        <v>0.0</v>
      </c>
      <c r="AF378" s="159">
        <v>0.0</v>
      </c>
      <c r="AG378" s="231">
        <f t="shared" si="116"/>
        <v>0</v>
      </c>
    </row>
    <row r="379" outlineLevel="1">
      <c r="A379" s="213" t="s">
        <v>350</v>
      </c>
      <c r="B379" s="159">
        <v>0.0</v>
      </c>
      <c r="C379" s="165">
        <v>0.0</v>
      </c>
      <c r="D379" s="165">
        <v>0.0</v>
      </c>
      <c r="E379" s="159">
        <v>0.0</v>
      </c>
      <c r="F379" s="159">
        <v>0.0</v>
      </c>
      <c r="G379" s="159">
        <v>0.0</v>
      </c>
      <c r="H379" s="159">
        <v>0.0</v>
      </c>
      <c r="I379" s="159">
        <v>0.0</v>
      </c>
      <c r="J379" s="159">
        <v>0.0</v>
      </c>
      <c r="K379" s="159">
        <v>0.0</v>
      </c>
      <c r="L379" s="159">
        <v>0.0</v>
      </c>
      <c r="M379" s="159">
        <v>0.0</v>
      </c>
      <c r="N379" s="159">
        <v>0.0</v>
      </c>
      <c r="O379" s="165">
        <v>0.0</v>
      </c>
      <c r="P379" s="159">
        <v>0.0</v>
      </c>
      <c r="Q379" s="165">
        <v>0.0</v>
      </c>
      <c r="R379" s="165">
        <v>0.0</v>
      </c>
      <c r="S379" s="165">
        <v>0.0</v>
      </c>
      <c r="T379" s="159">
        <v>0.0</v>
      </c>
      <c r="U379" s="159">
        <v>0.0</v>
      </c>
      <c r="V379" s="165">
        <v>0.0</v>
      </c>
      <c r="W379" s="165">
        <v>0.0</v>
      </c>
      <c r="X379" s="165">
        <v>0.0</v>
      </c>
      <c r="Y379" s="165">
        <v>0.0</v>
      </c>
      <c r="Z379" s="165">
        <v>0.0</v>
      </c>
      <c r="AA379" s="159">
        <v>0.0</v>
      </c>
      <c r="AB379" s="159">
        <v>0.0</v>
      </c>
      <c r="AC379" s="159">
        <v>0.0</v>
      </c>
      <c r="AD379" s="159">
        <v>0.0</v>
      </c>
      <c r="AE379" s="159">
        <v>0.0</v>
      </c>
      <c r="AF379" s="159">
        <v>0.0</v>
      </c>
      <c r="AG379" s="231">
        <f t="shared" si="116"/>
        <v>0</v>
      </c>
    </row>
    <row r="380">
      <c r="A380" s="213" t="s">
        <v>351</v>
      </c>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c r="AB380" s="230"/>
      <c r="AC380" s="230"/>
      <c r="AD380" s="230"/>
      <c r="AE380" s="230"/>
      <c r="AF380" s="230"/>
      <c r="AG380" s="156"/>
    </row>
    <row r="381" outlineLevel="1">
      <c r="A381" s="213" t="s">
        <v>352</v>
      </c>
      <c r="B381" s="165">
        <v>0.0</v>
      </c>
      <c r="C381" s="165">
        <v>0.0</v>
      </c>
      <c r="D381" s="165">
        <v>0.0</v>
      </c>
      <c r="E381" s="165">
        <v>1.0</v>
      </c>
      <c r="F381" s="165">
        <v>1.0</v>
      </c>
      <c r="G381" s="165">
        <v>1.0</v>
      </c>
      <c r="H381" s="165">
        <v>0.0</v>
      </c>
      <c r="I381" s="232">
        <v>1.0</v>
      </c>
      <c r="J381" s="165">
        <v>0.0</v>
      </c>
      <c r="K381" s="165">
        <v>0.0</v>
      </c>
      <c r="L381" s="165">
        <v>1.0</v>
      </c>
      <c r="M381" s="232">
        <v>0.0</v>
      </c>
      <c r="N381" s="165">
        <v>3.0</v>
      </c>
      <c r="O381" s="165">
        <v>1.0</v>
      </c>
      <c r="P381" s="232">
        <v>3.0</v>
      </c>
      <c r="Q381" s="165">
        <v>0.0</v>
      </c>
      <c r="R381" s="165">
        <v>0.0</v>
      </c>
      <c r="S381" s="165">
        <v>1.0</v>
      </c>
      <c r="T381" s="165">
        <v>0.0</v>
      </c>
      <c r="U381" s="165">
        <v>0.0</v>
      </c>
      <c r="V381" s="165">
        <v>0.0</v>
      </c>
      <c r="W381" s="165">
        <v>0.0</v>
      </c>
      <c r="X381" s="165">
        <v>0.0</v>
      </c>
      <c r="Y381" s="165">
        <v>0.0</v>
      </c>
      <c r="Z381" s="165">
        <v>0.0</v>
      </c>
      <c r="AA381" s="232">
        <v>0.0</v>
      </c>
      <c r="AB381" s="165">
        <v>8.0</v>
      </c>
      <c r="AC381" s="165">
        <v>5.0</v>
      </c>
      <c r="AD381" s="165">
        <v>0.0</v>
      </c>
      <c r="AE381" s="165">
        <v>0.0</v>
      </c>
      <c r="AF381" s="165">
        <v>0.0</v>
      </c>
      <c r="AG381" s="95">
        <f t="shared" ref="AG381:AG383" si="117">SUM(B381:AF381)</f>
        <v>26</v>
      </c>
    </row>
    <row r="382" outlineLevel="1">
      <c r="A382" s="213" t="s">
        <v>353</v>
      </c>
      <c r="B382" s="165">
        <v>1.0</v>
      </c>
      <c r="C382" s="165">
        <v>0.0</v>
      </c>
      <c r="D382" s="165">
        <v>0.0</v>
      </c>
      <c r="E382" s="165">
        <v>0.0</v>
      </c>
      <c r="F382" s="165">
        <v>0.0</v>
      </c>
      <c r="G382" s="165">
        <v>0.0</v>
      </c>
      <c r="H382" s="165">
        <v>0.0</v>
      </c>
      <c r="I382" s="232">
        <v>0.0</v>
      </c>
      <c r="J382" s="165">
        <v>0.0</v>
      </c>
      <c r="K382" s="165">
        <v>0.0</v>
      </c>
      <c r="L382" s="165">
        <v>0.0</v>
      </c>
      <c r="M382" s="232">
        <v>0.0</v>
      </c>
      <c r="N382" s="165">
        <v>1.0</v>
      </c>
      <c r="O382" s="165">
        <v>1.0</v>
      </c>
      <c r="P382" s="232">
        <v>0.0</v>
      </c>
      <c r="Q382" s="165">
        <v>0.0</v>
      </c>
      <c r="R382" s="165">
        <v>0.0</v>
      </c>
      <c r="S382" s="165">
        <v>0.0</v>
      </c>
      <c r="T382" s="165">
        <v>0.0</v>
      </c>
      <c r="U382" s="165">
        <v>0.0</v>
      </c>
      <c r="V382" s="165">
        <v>0.0</v>
      </c>
      <c r="W382" s="165">
        <v>0.0</v>
      </c>
      <c r="X382" s="165">
        <v>0.0</v>
      </c>
      <c r="Y382" s="165">
        <v>0.0</v>
      </c>
      <c r="Z382" s="165">
        <v>0.0</v>
      </c>
      <c r="AA382" s="232">
        <v>0.0</v>
      </c>
      <c r="AB382" s="165">
        <v>1.0</v>
      </c>
      <c r="AC382" s="165">
        <v>0.0</v>
      </c>
      <c r="AD382" s="165">
        <v>0.0</v>
      </c>
      <c r="AE382" s="165">
        <v>0.0</v>
      </c>
      <c r="AF382" s="165">
        <v>0.0</v>
      </c>
      <c r="AG382" s="95">
        <f t="shared" si="117"/>
        <v>4</v>
      </c>
    </row>
    <row r="383" outlineLevel="1">
      <c r="A383" s="213" t="s">
        <v>354</v>
      </c>
      <c r="B383" s="165">
        <v>24.0</v>
      </c>
      <c r="C383" s="165">
        <v>0.0</v>
      </c>
      <c r="D383" s="165">
        <v>0.0</v>
      </c>
      <c r="E383" s="165">
        <v>0.0</v>
      </c>
      <c r="F383" s="165">
        <v>14.0</v>
      </c>
      <c r="G383" s="165">
        <v>0.0</v>
      </c>
      <c r="H383" s="165">
        <v>0.0</v>
      </c>
      <c r="I383" s="232">
        <v>0.0</v>
      </c>
      <c r="J383" s="165">
        <v>0.0</v>
      </c>
      <c r="K383" s="165">
        <v>0.0</v>
      </c>
      <c r="L383" s="165">
        <v>19.0</v>
      </c>
      <c r="M383" s="232">
        <v>0.0</v>
      </c>
      <c r="N383" s="165">
        <v>18.0</v>
      </c>
      <c r="O383" s="165">
        <v>0.0</v>
      </c>
      <c r="P383" s="232">
        <v>0.0</v>
      </c>
      <c r="Q383" s="165">
        <v>0.0</v>
      </c>
      <c r="R383" s="165">
        <v>0.0</v>
      </c>
      <c r="S383" s="165">
        <v>19.0</v>
      </c>
      <c r="T383" s="165">
        <v>0.0</v>
      </c>
      <c r="U383" s="165">
        <v>0.0</v>
      </c>
      <c r="V383" s="165">
        <v>0.0</v>
      </c>
      <c r="W383" s="165">
        <v>0.0</v>
      </c>
      <c r="X383" s="165">
        <v>0.0</v>
      </c>
      <c r="Y383" s="165">
        <v>0.0</v>
      </c>
      <c r="Z383" s="165">
        <v>0.0</v>
      </c>
      <c r="AA383" s="232">
        <v>0.0</v>
      </c>
      <c r="AB383" s="165">
        <v>17.0</v>
      </c>
      <c r="AC383" s="165">
        <v>0.0</v>
      </c>
      <c r="AD383" s="165">
        <v>0.0</v>
      </c>
      <c r="AE383" s="165">
        <v>0.0</v>
      </c>
      <c r="AF383" s="165">
        <v>0.0</v>
      </c>
      <c r="AG383" s="95">
        <f t="shared" si="117"/>
        <v>111</v>
      </c>
    </row>
    <row r="384">
      <c r="A384" s="213" t="s">
        <v>214</v>
      </c>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c r="AB384" s="230"/>
      <c r="AC384" s="230"/>
      <c r="AD384" s="230"/>
      <c r="AE384" s="230"/>
      <c r="AF384" s="230"/>
      <c r="AG384" s="156"/>
    </row>
    <row r="385" outlineLevel="1">
      <c r="A385" s="213" t="s">
        <v>355</v>
      </c>
      <c r="B385" s="165">
        <v>0.0</v>
      </c>
      <c r="C385" s="165">
        <v>0.0</v>
      </c>
      <c r="D385" s="165">
        <v>0.0</v>
      </c>
      <c r="E385" s="165">
        <v>0.0</v>
      </c>
      <c r="F385" s="165">
        <v>0.0</v>
      </c>
      <c r="G385" s="165">
        <v>0.0</v>
      </c>
      <c r="H385" s="165">
        <v>0.0</v>
      </c>
      <c r="I385" s="165">
        <v>0.0</v>
      </c>
      <c r="J385" s="165">
        <v>0.0</v>
      </c>
      <c r="K385" s="165">
        <v>0.0</v>
      </c>
      <c r="L385" s="165">
        <v>0.0</v>
      </c>
      <c r="M385" s="165">
        <v>0.0</v>
      </c>
      <c r="N385" s="165">
        <v>0.0</v>
      </c>
      <c r="O385" s="165">
        <v>0.0</v>
      </c>
      <c r="P385" s="165">
        <v>0.0</v>
      </c>
      <c r="Q385" s="165">
        <v>0.0</v>
      </c>
      <c r="R385" s="165">
        <v>0.0</v>
      </c>
      <c r="S385" s="165">
        <v>0.0</v>
      </c>
      <c r="T385" s="165">
        <v>0.0</v>
      </c>
      <c r="U385" s="165">
        <v>0.0</v>
      </c>
      <c r="V385" s="165">
        <v>0.0</v>
      </c>
      <c r="W385" s="165">
        <v>0.0</v>
      </c>
      <c r="X385" s="165">
        <v>0.0</v>
      </c>
      <c r="Y385" s="165">
        <v>0.0</v>
      </c>
      <c r="Z385" s="165">
        <v>0.0</v>
      </c>
      <c r="AA385" s="165">
        <v>0.0</v>
      </c>
      <c r="AB385" s="165">
        <v>0.0</v>
      </c>
      <c r="AC385" s="165">
        <v>0.0</v>
      </c>
      <c r="AD385" s="165">
        <v>0.0</v>
      </c>
      <c r="AE385" s="165">
        <v>0.0</v>
      </c>
      <c r="AF385" s="165">
        <v>0.0</v>
      </c>
      <c r="AG385" s="95">
        <f t="shared" ref="AG385:AG390" si="118">SUM(B385:AF385)</f>
        <v>0</v>
      </c>
    </row>
    <row r="386" outlineLevel="1">
      <c r="A386" s="213" t="s">
        <v>356</v>
      </c>
      <c r="B386" s="165">
        <v>0.0</v>
      </c>
      <c r="C386" s="165">
        <v>0.0</v>
      </c>
      <c r="D386" s="165">
        <v>0.0</v>
      </c>
      <c r="E386" s="165">
        <v>0.0</v>
      </c>
      <c r="F386" s="165">
        <v>4.0</v>
      </c>
      <c r="G386" s="165">
        <v>0.0</v>
      </c>
      <c r="H386" s="165">
        <v>0.0</v>
      </c>
      <c r="I386" s="165">
        <v>0.0</v>
      </c>
      <c r="J386" s="165">
        <v>0.0</v>
      </c>
      <c r="K386" s="165">
        <v>0.0</v>
      </c>
      <c r="L386" s="165">
        <v>0.0</v>
      </c>
      <c r="M386" s="165">
        <v>0.0</v>
      </c>
      <c r="N386" s="165">
        <v>1.0</v>
      </c>
      <c r="O386" s="165">
        <v>7.0</v>
      </c>
      <c r="P386" s="165">
        <v>2.0</v>
      </c>
      <c r="Q386" s="165">
        <v>0.0</v>
      </c>
      <c r="R386" s="165">
        <v>0.0</v>
      </c>
      <c r="S386" s="165">
        <v>0.0</v>
      </c>
      <c r="T386" s="165">
        <v>5.0</v>
      </c>
      <c r="U386" s="165">
        <v>1.0</v>
      </c>
      <c r="V386" s="165">
        <v>0.0</v>
      </c>
      <c r="W386" s="165">
        <v>0.0</v>
      </c>
      <c r="X386" s="165">
        <v>0.0</v>
      </c>
      <c r="Y386" s="165">
        <v>0.0</v>
      </c>
      <c r="Z386" s="165">
        <v>0.0</v>
      </c>
      <c r="AA386" s="165">
        <v>0.0</v>
      </c>
      <c r="AB386" s="165">
        <v>4.0</v>
      </c>
      <c r="AC386" s="165">
        <v>0.0</v>
      </c>
      <c r="AD386" s="165">
        <v>0.0</v>
      </c>
      <c r="AE386" s="165">
        <v>0.0</v>
      </c>
      <c r="AF386" s="165">
        <v>0.0</v>
      </c>
      <c r="AG386" s="95">
        <f t="shared" si="118"/>
        <v>24</v>
      </c>
    </row>
    <row r="387" outlineLevel="1">
      <c r="A387" s="213" t="s">
        <v>357</v>
      </c>
      <c r="B387" s="165">
        <v>0.0</v>
      </c>
      <c r="C387" s="165">
        <v>0.0</v>
      </c>
      <c r="D387" s="165">
        <v>0.0</v>
      </c>
      <c r="E387" s="165">
        <v>0.0</v>
      </c>
      <c r="F387" s="165">
        <v>0.0</v>
      </c>
      <c r="G387" s="165">
        <v>0.0</v>
      </c>
      <c r="H387" s="165">
        <v>0.0</v>
      </c>
      <c r="I387" s="165">
        <v>0.0</v>
      </c>
      <c r="J387" s="165">
        <v>0.0</v>
      </c>
      <c r="K387" s="165">
        <v>0.0</v>
      </c>
      <c r="L387" s="165">
        <v>0.0</v>
      </c>
      <c r="M387" s="165">
        <v>0.0</v>
      </c>
      <c r="N387" s="165">
        <v>0.0</v>
      </c>
      <c r="O387" s="165">
        <v>0.0</v>
      </c>
      <c r="P387" s="165">
        <v>0.0</v>
      </c>
      <c r="Q387" s="165">
        <v>0.0</v>
      </c>
      <c r="R387" s="165">
        <v>0.0</v>
      </c>
      <c r="S387" s="165">
        <v>0.0</v>
      </c>
      <c r="T387" s="165">
        <v>0.0</v>
      </c>
      <c r="U387" s="165">
        <v>0.0</v>
      </c>
      <c r="V387" s="165">
        <v>0.0</v>
      </c>
      <c r="W387" s="165">
        <v>0.0</v>
      </c>
      <c r="X387" s="165">
        <v>0.0</v>
      </c>
      <c r="Y387" s="165">
        <v>0.0</v>
      </c>
      <c r="Z387" s="165">
        <v>0.0</v>
      </c>
      <c r="AA387" s="165">
        <v>0.0</v>
      </c>
      <c r="AB387" s="165">
        <v>0.0</v>
      </c>
      <c r="AC387" s="165">
        <v>0.0</v>
      </c>
      <c r="AD387" s="165">
        <v>0.0</v>
      </c>
      <c r="AE387" s="165">
        <v>0.0</v>
      </c>
      <c r="AF387" s="165">
        <v>0.0</v>
      </c>
      <c r="AG387" s="95">
        <f t="shared" si="118"/>
        <v>0</v>
      </c>
    </row>
    <row r="388" outlineLevel="1">
      <c r="A388" s="213" t="s">
        <v>358</v>
      </c>
      <c r="B388" s="165">
        <v>0.0</v>
      </c>
      <c r="C388" s="165">
        <v>0.0</v>
      </c>
      <c r="D388" s="165">
        <v>0.0</v>
      </c>
      <c r="E388" s="165">
        <v>0.0</v>
      </c>
      <c r="F388" s="165">
        <v>0.0</v>
      </c>
      <c r="G388" s="165">
        <v>0.0</v>
      </c>
      <c r="H388" s="165">
        <v>0.0</v>
      </c>
      <c r="I388" s="165">
        <v>0.0</v>
      </c>
      <c r="J388" s="165">
        <v>0.0</v>
      </c>
      <c r="K388" s="165">
        <v>0.0</v>
      </c>
      <c r="L388" s="165">
        <v>0.0</v>
      </c>
      <c r="M388" s="165">
        <v>0.0</v>
      </c>
      <c r="N388" s="165">
        <v>0.0</v>
      </c>
      <c r="O388" s="165">
        <v>0.0</v>
      </c>
      <c r="P388" s="165">
        <v>1.0</v>
      </c>
      <c r="Q388" s="165">
        <v>0.0</v>
      </c>
      <c r="R388" s="165">
        <v>0.0</v>
      </c>
      <c r="S388" s="165">
        <v>0.0</v>
      </c>
      <c r="T388" s="165">
        <v>0.0</v>
      </c>
      <c r="U388" s="165">
        <v>0.0</v>
      </c>
      <c r="V388" s="165">
        <v>0.0</v>
      </c>
      <c r="W388" s="165">
        <v>0.0</v>
      </c>
      <c r="X388" s="165">
        <v>0.0</v>
      </c>
      <c r="Y388" s="165">
        <v>0.0</v>
      </c>
      <c r="Z388" s="165">
        <v>0.0</v>
      </c>
      <c r="AA388" s="165">
        <v>0.0</v>
      </c>
      <c r="AB388" s="165">
        <v>0.0</v>
      </c>
      <c r="AC388" s="165">
        <v>0.0</v>
      </c>
      <c r="AD388" s="165">
        <v>0.0</v>
      </c>
      <c r="AE388" s="165">
        <v>0.0</v>
      </c>
      <c r="AF388" s="165">
        <v>0.0</v>
      </c>
      <c r="AG388" s="95">
        <f t="shared" si="118"/>
        <v>1</v>
      </c>
    </row>
    <row r="389" outlineLevel="1">
      <c r="A389" s="213" t="s">
        <v>359</v>
      </c>
      <c r="B389" s="159">
        <v>0.0</v>
      </c>
      <c r="C389" s="165">
        <v>0.0</v>
      </c>
      <c r="D389" s="165">
        <v>0.0</v>
      </c>
      <c r="E389" s="159">
        <v>0.0</v>
      </c>
      <c r="F389" s="159">
        <v>0.0</v>
      </c>
      <c r="G389" s="159">
        <v>0.0</v>
      </c>
      <c r="H389" s="159">
        <v>0.0</v>
      </c>
      <c r="I389" s="159">
        <v>0.0</v>
      </c>
      <c r="J389" s="159">
        <v>0.0</v>
      </c>
      <c r="K389" s="159">
        <v>0.0</v>
      </c>
      <c r="L389" s="159">
        <v>0.0</v>
      </c>
      <c r="M389" s="159">
        <v>0.0</v>
      </c>
      <c r="N389" s="165">
        <v>0.0</v>
      </c>
      <c r="O389" s="159">
        <v>0.0</v>
      </c>
      <c r="P389" s="159">
        <v>0.0</v>
      </c>
      <c r="Q389" s="165">
        <v>0.0</v>
      </c>
      <c r="R389" s="165">
        <v>0.0</v>
      </c>
      <c r="S389" s="165">
        <v>0.0</v>
      </c>
      <c r="T389" s="165">
        <v>0.0</v>
      </c>
      <c r="U389" s="159">
        <v>0.0</v>
      </c>
      <c r="V389" s="165">
        <v>0.0</v>
      </c>
      <c r="W389" s="165">
        <v>0.0</v>
      </c>
      <c r="X389" s="165">
        <v>0.0</v>
      </c>
      <c r="Y389" s="165">
        <v>0.0</v>
      </c>
      <c r="Z389" s="165">
        <v>0.0</v>
      </c>
      <c r="AA389" s="165">
        <v>0.0</v>
      </c>
      <c r="AB389" s="86">
        <v>0.0</v>
      </c>
      <c r="AC389" s="165">
        <v>0.0</v>
      </c>
      <c r="AD389" s="165">
        <v>0.0</v>
      </c>
      <c r="AE389" s="165">
        <v>0.0</v>
      </c>
      <c r="AF389" s="165">
        <v>0.0</v>
      </c>
      <c r="AG389" s="231">
        <f t="shared" si="118"/>
        <v>0</v>
      </c>
    </row>
    <row r="390" outlineLevel="1">
      <c r="A390" s="213" t="s">
        <v>360</v>
      </c>
      <c r="B390" s="159">
        <v>0.0</v>
      </c>
      <c r="C390" s="165">
        <v>0.0</v>
      </c>
      <c r="D390" s="165">
        <v>0.0</v>
      </c>
      <c r="E390" s="159">
        <v>0.0</v>
      </c>
      <c r="F390" s="159">
        <v>0.0</v>
      </c>
      <c r="G390" s="159">
        <v>0.0</v>
      </c>
      <c r="H390" s="159">
        <v>0.0</v>
      </c>
      <c r="I390" s="159">
        <v>0.0</v>
      </c>
      <c r="J390" s="159">
        <v>0.0</v>
      </c>
      <c r="K390" s="159">
        <v>0.0</v>
      </c>
      <c r="L390" s="159">
        <v>0.0</v>
      </c>
      <c r="M390" s="159">
        <v>0.0</v>
      </c>
      <c r="N390" s="165">
        <v>0.0</v>
      </c>
      <c r="O390" s="159">
        <v>0.0</v>
      </c>
      <c r="P390" s="159">
        <v>0.0</v>
      </c>
      <c r="Q390" s="165">
        <v>0.0</v>
      </c>
      <c r="R390" s="165">
        <v>0.0</v>
      </c>
      <c r="S390" s="165">
        <v>0.0</v>
      </c>
      <c r="T390" s="165">
        <v>0.0</v>
      </c>
      <c r="U390" s="159">
        <v>0.0</v>
      </c>
      <c r="V390" s="165">
        <v>0.0</v>
      </c>
      <c r="W390" s="165">
        <v>0.0</v>
      </c>
      <c r="X390" s="165">
        <v>0.0</v>
      </c>
      <c r="Y390" s="165">
        <v>0.0</v>
      </c>
      <c r="Z390" s="165">
        <v>0.0</v>
      </c>
      <c r="AA390" s="165">
        <v>0.0</v>
      </c>
      <c r="AB390" s="86">
        <v>0.0</v>
      </c>
      <c r="AC390" s="165">
        <v>0.0</v>
      </c>
      <c r="AD390" s="165">
        <v>0.0</v>
      </c>
      <c r="AE390" s="165">
        <v>0.0</v>
      </c>
      <c r="AF390" s="165">
        <v>0.0</v>
      </c>
      <c r="AG390" s="231">
        <f t="shared" si="118"/>
        <v>0</v>
      </c>
    </row>
    <row r="391">
      <c r="A391" s="213" t="s">
        <v>361</v>
      </c>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c r="AC391" s="223"/>
      <c r="AD391" s="223"/>
      <c r="AE391" s="223"/>
      <c r="AF391" s="223"/>
      <c r="AG391" s="156"/>
    </row>
    <row r="392" outlineLevel="1">
      <c r="A392" s="213" t="s">
        <v>362</v>
      </c>
      <c r="B392" s="165">
        <v>0.0</v>
      </c>
      <c r="C392" s="165">
        <v>0.0</v>
      </c>
      <c r="D392" s="165">
        <v>0.0</v>
      </c>
      <c r="E392" s="165">
        <v>0.0</v>
      </c>
      <c r="F392" s="165">
        <v>0.0</v>
      </c>
      <c r="G392" s="165">
        <v>0.0</v>
      </c>
      <c r="H392" s="165">
        <v>0.0</v>
      </c>
      <c r="I392" s="165">
        <v>0.0</v>
      </c>
      <c r="J392" s="165">
        <v>0.0</v>
      </c>
      <c r="K392" s="165">
        <v>0.0</v>
      </c>
      <c r="L392" s="165">
        <v>0.0</v>
      </c>
      <c r="M392" s="165">
        <v>0.0</v>
      </c>
      <c r="N392" s="165">
        <v>0.0</v>
      </c>
      <c r="O392" s="165">
        <v>1.0</v>
      </c>
      <c r="P392" s="165">
        <v>0.0</v>
      </c>
      <c r="Q392" s="165">
        <v>0.0</v>
      </c>
      <c r="R392" s="165">
        <v>0.0</v>
      </c>
      <c r="S392" s="165">
        <v>0.0</v>
      </c>
      <c r="T392" s="165">
        <v>0.0</v>
      </c>
      <c r="U392" s="165">
        <v>0.0</v>
      </c>
      <c r="V392" s="165">
        <v>1.0</v>
      </c>
      <c r="W392" s="165">
        <v>0.0</v>
      </c>
      <c r="X392" s="165">
        <v>0.0</v>
      </c>
      <c r="Y392" s="165">
        <v>0.0</v>
      </c>
      <c r="Z392" s="165">
        <v>0.0</v>
      </c>
      <c r="AA392" s="165">
        <v>0.0</v>
      </c>
      <c r="AB392" s="165">
        <v>0.0</v>
      </c>
      <c r="AC392" s="165">
        <v>0.0</v>
      </c>
      <c r="AD392" s="165">
        <v>0.0</v>
      </c>
      <c r="AE392" s="165">
        <v>0.0</v>
      </c>
      <c r="AF392" s="165">
        <v>0.0</v>
      </c>
      <c r="AG392" s="95">
        <f t="shared" ref="AG392:AG396" si="119">SUM(B392:AF392)</f>
        <v>2</v>
      </c>
    </row>
    <row r="393" outlineLevel="1">
      <c r="A393" s="213" t="s">
        <v>363</v>
      </c>
      <c r="B393" s="165">
        <v>0.0</v>
      </c>
      <c r="C393" s="165">
        <v>0.0</v>
      </c>
      <c r="D393" s="165">
        <v>0.0</v>
      </c>
      <c r="E393" s="165">
        <v>0.0</v>
      </c>
      <c r="F393" s="165">
        <v>0.0</v>
      </c>
      <c r="G393" s="165">
        <v>0.0</v>
      </c>
      <c r="H393" s="165">
        <v>0.0</v>
      </c>
      <c r="I393" s="165">
        <v>0.0</v>
      </c>
      <c r="J393" s="165">
        <v>0.0</v>
      </c>
      <c r="K393" s="165">
        <v>0.0</v>
      </c>
      <c r="L393" s="165">
        <v>0.0</v>
      </c>
      <c r="M393" s="165">
        <v>0.0</v>
      </c>
      <c r="N393" s="165">
        <v>0.0</v>
      </c>
      <c r="O393" s="165">
        <v>0.0</v>
      </c>
      <c r="P393" s="165">
        <v>0.0</v>
      </c>
      <c r="Q393" s="165">
        <v>0.0</v>
      </c>
      <c r="R393" s="165">
        <v>0.0</v>
      </c>
      <c r="S393" s="165">
        <v>0.0</v>
      </c>
      <c r="T393" s="165">
        <v>0.0</v>
      </c>
      <c r="U393" s="165">
        <v>0.0</v>
      </c>
      <c r="V393" s="165">
        <v>0.0</v>
      </c>
      <c r="W393" s="165">
        <v>0.0</v>
      </c>
      <c r="X393" s="165">
        <v>0.0</v>
      </c>
      <c r="Y393" s="165">
        <v>0.0</v>
      </c>
      <c r="Z393" s="165">
        <v>0.0</v>
      </c>
      <c r="AA393" s="165">
        <v>0.0</v>
      </c>
      <c r="AB393" s="165">
        <v>0.0</v>
      </c>
      <c r="AC393" s="165">
        <v>0.0</v>
      </c>
      <c r="AD393" s="165">
        <v>0.0</v>
      </c>
      <c r="AE393" s="165">
        <v>0.0</v>
      </c>
      <c r="AF393" s="165">
        <v>0.0</v>
      </c>
      <c r="AG393" s="95">
        <f t="shared" si="119"/>
        <v>0</v>
      </c>
    </row>
    <row r="394" outlineLevel="1">
      <c r="A394" s="213" t="s">
        <v>354</v>
      </c>
      <c r="B394" s="165">
        <v>0.0</v>
      </c>
      <c r="C394" s="165">
        <v>0.0</v>
      </c>
      <c r="D394" s="165">
        <v>0.0</v>
      </c>
      <c r="E394" s="165">
        <v>0.0</v>
      </c>
      <c r="F394" s="165">
        <v>0.0</v>
      </c>
      <c r="G394" s="165">
        <v>0.0</v>
      </c>
      <c r="H394" s="165">
        <v>1.0</v>
      </c>
      <c r="I394" s="165">
        <v>0.0</v>
      </c>
      <c r="J394" s="165">
        <v>0.0</v>
      </c>
      <c r="K394" s="165">
        <v>0.0</v>
      </c>
      <c r="L394" s="165">
        <v>0.0</v>
      </c>
      <c r="M394" s="165">
        <v>0.0</v>
      </c>
      <c r="N394" s="165">
        <v>0.0</v>
      </c>
      <c r="O394" s="165">
        <v>4.0</v>
      </c>
      <c r="P394" s="165">
        <v>0.0</v>
      </c>
      <c r="Q394" s="165">
        <v>0.0</v>
      </c>
      <c r="R394" s="165">
        <v>0.0</v>
      </c>
      <c r="S394" s="165">
        <v>0.0</v>
      </c>
      <c r="T394" s="165">
        <v>0.0</v>
      </c>
      <c r="U394" s="165">
        <v>0.0</v>
      </c>
      <c r="V394" s="165">
        <v>1.0</v>
      </c>
      <c r="W394" s="165">
        <v>0.0</v>
      </c>
      <c r="X394" s="165">
        <v>0.0</v>
      </c>
      <c r="Y394" s="165">
        <v>0.0</v>
      </c>
      <c r="Z394" s="165">
        <v>0.0</v>
      </c>
      <c r="AA394" s="165">
        <v>0.0</v>
      </c>
      <c r="AB394" s="165">
        <v>0.0</v>
      </c>
      <c r="AC394" s="165">
        <v>3.0</v>
      </c>
      <c r="AD394" s="165">
        <v>12.0</v>
      </c>
      <c r="AE394" s="165">
        <v>0.0</v>
      </c>
      <c r="AF394" s="165">
        <v>0.0</v>
      </c>
      <c r="AG394" s="95">
        <f t="shared" si="119"/>
        <v>21</v>
      </c>
    </row>
    <row r="395">
      <c r="A395" s="215" t="s">
        <v>221</v>
      </c>
      <c r="B395" s="233">
        <f t="shared" ref="B395:AF395" si="120">B374+B375+B385+B386</f>
        <v>0</v>
      </c>
      <c r="C395" s="233">
        <f t="shared" si="120"/>
        <v>0</v>
      </c>
      <c r="D395" s="233">
        <f t="shared" si="120"/>
        <v>0</v>
      </c>
      <c r="E395" s="233">
        <f t="shared" si="120"/>
        <v>0</v>
      </c>
      <c r="F395" s="233">
        <f t="shared" si="120"/>
        <v>4</v>
      </c>
      <c r="G395" s="233">
        <f t="shared" si="120"/>
        <v>0</v>
      </c>
      <c r="H395" s="233">
        <f t="shared" si="120"/>
        <v>1</v>
      </c>
      <c r="I395" s="233">
        <f t="shared" si="120"/>
        <v>0</v>
      </c>
      <c r="J395" s="233">
        <f t="shared" si="120"/>
        <v>0</v>
      </c>
      <c r="K395" s="233">
        <f t="shared" si="120"/>
        <v>0</v>
      </c>
      <c r="L395" s="233">
        <f t="shared" si="120"/>
        <v>1</v>
      </c>
      <c r="M395" s="233">
        <f t="shared" si="120"/>
        <v>0</v>
      </c>
      <c r="N395" s="233">
        <f t="shared" si="120"/>
        <v>2</v>
      </c>
      <c r="O395" s="233">
        <f t="shared" si="120"/>
        <v>7</v>
      </c>
      <c r="P395" s="233">
        <f t="shared" si="120"/>
        <v>2</v>
      </c>
      <c r="Q395" s="233">
        <f t="shared" si="120"/>
        <v>0</v>
      </c>
      <c r="R395" s="233">
        <f t="shared" si="120"/>
        <v>0</v>
      </c>
      <c r="S395" s="233">
        <f t="shared" si="120"/>
        <v>0</v>
      </c>
      <c r="T395" s="233">
        <f t="shared" si="120"/>
        <v>6</v>
      </c>
      <c r="U395" s="233">
        <f t="shared" si="120"/>
        <v>1</v>
      </c>
      <c r="V395" s="233">
        <f t="shared" si="120"/>
        <v>0</v>
      </c>
      <c r="W395" s="233">
        <f t="shared" si="120"/>
        <v>0</v>
      </c>
      <c r="X395" s="233">
        <f t="shared" si="120"/>
        <v>0</v>
      </c>
      <c r="Y395" s="233">
        <f t="shared" si="120"/>
        <v>0</v>
      </c>
      <c r="Z395" s="233">
        <f t="shared" si="120"/>
        <v>0</v>
      </c>
      <c r="AA395" s="233">
        <f t="shared" si="120"/>
        <v>1</v>
      </c>
      <c r="AB395" s="233">
        <f t="shared" si="120"/>
        <v>4</v>
      </c>
      <c r="AC395" s="233">
        <f t="shared" si="120"/>
        <v>0</v>
      </c>
      <c r="AD395" s="233">
        <f t="shared" si="120"/>
        <v>0</v>
      </c>
      <c r="AE395" s="233">
        <f t="shared" si="120"/>
        <v>0</v>
      </c>
      <c r="AF395" s="233">
        <f t="shared" si="120"/>
        <v>0</v>
      </c>
      <c r="AG395" s="95">
        <f t="shared" si="119"/>
        <v>29</v>
      </c>
    </row>
    <row r="396">
      <c r="A396" s="215" t="s">
        <v>222</v>
      </c>
      <c r="B396" s="233">
        <f t="shared" ref="B396:AF396" si="121">+B376+B377+B387+B388</f>
        <v>0</v>
      </c>
      <c r="C396" s="233">
        <f t="shared" si="121"/>
        <v>0</v>
      </c>
      <c r="D396" s="233">
        <f t="shared" si="121"/>
        <v>0</v>
      </c>
      <c r="E396" s="233">
        <f t="shared" si="121"/>
        <v>0</v>
      </c>
      <c r="F396" s="233">
        <f t="shared" si="121"/>
        <v>1</v>
      </c>
      <c r="G396" s="233">
        <f t="shared" si="121"/>
        <v>0</v>
      </c>
      <c r="H396" s="233">
        <f t="shared" si="121"/>
        <v>1</v>
      </c>
      <c r="I396" s="233">
        <f t="shared" si="121"/>
        <v>2</v>
      </c>
      <c r="J396" s="233">
        <f t="shared" si="121"/>
        <v>0</v>
      </c>
      <c r="K396" s="233">
        <f t="shared" si="121"/>
        <v>0</v>
      </c>
      <c r="L396" s="233">
        <f t="shared" si="121"/>
        <v>2</v>
      </c>
      <c r="M396" s="233">
        <f t="shared" si="121"/>
        <v>2</v>
      </c>
      <c r="N396" s="233">
        <f t="shared" si="121"/>
        <v>0</v>
      </c>
      <c r="O396" s="233">
        <f t="shared" si="121"/>
        <v>0</v>
      </c>
      <c r="P396" s="233">
        <f t="shared" si="121"/>
        <v>1</v>
      </c>
      <c r="Q396" s="233">
        <f t="shared" si="121"/>
        <v>0</v>
      </c>
      <c r="R396" s="233">
        <f t="shared" si="121"/>
        <v>0</v>
      </c>
      <c r="S396" s="233">
        <f t="shared" si="121"/>
        <v>0</v>
      </c>
      <c r="T396" s="233">
        <f t="shared" si="121"/>
        <v>8</v>
      </c>
      <c r="U396" s="233">
        <f t="shared" si="121"/>
        <v>1</v>
      </c>
      <c r="V396" s="233">
        <f t="shared" si="121"/>
        <v>0</v>
      </c>
      <c r="W396" s="233">
        <f t="shared" si="121"/>
        <v>0</v>
      </c>
      <c r="X396" s="233">
        <f t="shared" si="121"/>
        <v>0</v>
      </c>
      <c r="Y396" s="233">
        <f t="shared" si="121"/>
        <v>0</v>
      </c>
      <c r="Z396" s="233">
        <f t="shared" si="121"/>
        <v>0</v>
      </c>
      <c r="AA396" s="233">
        <f t="shared" si="121"/>
        <v>0</v>
      </c>
      <c r="AB396" s="233">
        <f t="shared" si="121"/>
        <v>0</v>
      </c>
      <c r="AC396" s="233">
        <f t="shared" si="121"/>
        <v>0</v>
      </c>
      <c r="AD396" s="233">
        <f t="shared" si="121"/>
        <v>0</v>
      </c>
      <c r="AE396" s="233">
        <f t="shared" si="121"/>
        <v>0</v>
      </c>
      <c r="AF396" s="233">
        <f t="shared" si="121"/>
        <v>0</v>
      </c>
      <c r="AG396" s="95">
        <f t="shared" si="119"/>
        <v>18</v>
      </c>
    </row>
    <row r="397">
      <c r="A397" s="100"/>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81"/>
      <c r="AB397" s="181"/>
      <c r="AC397" s="158"/>
      <c r="AD397" s="181"/>
      <c r="AE397" s="181"/>
      <c r="AF397" s="181"/>
      <c r="AG397" s="207"/>
    </row>
    <row r="398">
      <c r="A398" s="213" t="s">
        <v>223</v>
      </c>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c r="AB398" s="230"/>
      <c r="AC398" s="230"/>
      <c r="AD398" s="230"/>
      <c r="AE398" s="230"/>
      <c r="AF398" s="230"/>
      <c r="AG398" s="156"/>
    </row>
    <row r="399" outlineLevel="1">
      <c r="A399" s="213" t="s">
        <v>224</v>
      </c>
      <c r="B399" s="165">
        <v>0.0</v>
      </c>
      <c r="C399" s="165">
        <v>0.0</v>
      </c>
      <c r="D399" s="165">
        <v>0.0</v>
      </c>
      <c r="E399" s="165">
        <v>0.0</v>
      </c>
      <c r="F399" s="165">
        <v>1.0</v>
      </c>
      <c r="G399" s="165">
        <v>0.0</v>
      </c>
      <c r="H399" s="165">
        <v>0.0</v>
      </c>
      <c r="I399" s="165">
        <v>1.0</v>
      </c>
      <c r="J399" s="165">
        <v>0.0</v>
      </c>
      <c r="K399" s="165">
        <v>0.0</v>
      </c>
      <c r="L399" s="165">
        <v>1.0</v>
      </c>
      <c r="M399" s="165">
        <v>0.0</v>
      </c>
      <c r="N399" s="165">
        <v>1.0</v>
      </c>
      <c r="O399" s="165">
        <v>1.0</v>
      </c>
      <c r="P399" s="165">
        <v>1.0</v>
      </c>
      <c r="Q399" s="165">
        <v>0.0</v>
      </c>
      <c r="R399" s="165">
        <v>0.0</v>
      </c>
      <c r="S399" s="165">
        <v>0.0</v>
      </c>
      <c r="T399" s="165">
        <v>5.0</v>
      </c>
      <c r="U399" s="165">
        <v>0.0</v>
      </c>
      <c r="V399" s="165">
        <v>0.0</v>
      </c>
      <c r="W399" s="165">
        <v>0.0</v>
      </c>
      <c r="X399" s="165">
        <v>0.0</v>
      </c>
      <c r="Y399" s="165">
        <v>0.0</v>
      </c>
      <c r="Z399" s="165">
        <v>0.0</v>
      </c>
      <c r="AA399" s="165">
        <v>2.0</v>
      </c>
      <c r="AB399" s="165">
        <v>1.0</v>
      </c>
      <c r="AC399" s="165">
        <v>0.0</v>
      </c>
      <c r="AD399" s="165">
        <v>0.0</v>
      </c>
      <c r="AE399" s="165">
        <v>0.0</v>
      </c>
      <c r="AF399" s="165">
        <v>0.0</v>
      </c>
      <c r="AG399" s="95">
        <f t="shared" ref="AG399:AG409" si="122">SUM(B399:AF399)</f>
        <v>14</v>
      </c>
    </row>
    <row r="400" outlineLevel="1">
      <c r="A400" s="213" t="s">
        <v>225</v>
      </c>
      <c r="B400" s="165">
        <v>2.0</v>
      </c>
      <c r="C400" s="165">
        <v>0.0</v>
      </c>
      <c r="D400" s="165">
        <v>0.0</v>
      </c>
      <c r="E400" s="165">
        <v>3.0</v>
      </c>
      <c r="F400" s="165">
        <v>2.0</v>
      </c>
      <c r="G400" s="165">
        <v>0.0</v>
      </c>
      <c r="H400" s="165">
        <v>0.0</v>
      </c>
      <c r="I400" s="165">
        <v>0.0</v>
      </c>
      <c r="J400" s="165">
        <v>0.0</v>
      </c>
      <c r="K400" s="165">
        <v>0.0</v>
      </c>
      <c r="L400" s="165">
        <v>2.0</v>
      </c>
      <c r="M400" s="165">
        <v>0.0</v>
      </c>
      <c r="N400" s="165">
        <v>0.0</v>
      </c>
      <c r="O400" s="165">
        <v>2.0</v>
      </c>
      <c r="P400" s="165">
        <v>3.0</v>
      </c>
      <c r="Q400" s="165">
        <v>0.0</v>
      </c>
      <c r="R400" s="165">
        <v>0.0</v>
      </c>
      <c r="S400" s="165">
        <v>0.0</v>
      </c>
      <c r="T400" s="165">
        <v>1.0</v>
      </c>
      <c r="U400" s="165">
        <v>0.0</v>
      </c>
      <c r="V400" s="165">
        <v>0.0</v>
      </c>
      <c r="W400" s="165">
        <v>0.0</v>
      </c>
      <c r="X400" s="165">
        <v>0.0</v>
      </c>
      <c r="Y400" s="165">
        <v>0.0</v>
      </c>
      <c r="Z400" s="165">
        <v>0.0</v>
      </c>
      <c r="AA400" s="165">
        <v>4.0</v>
      </c>
      <c r="AB400" s="165">
        <v>1.0</v>
      </c>
      <c r="AC400" s="165">
        <v>2.0</v>
      </c>
      <c r="AD400" s="165">
        <v>0.0</v>
      </c>
      <c r="AE400" s="165">
        <v>0.0</v>
      </c>
      <c r="AF400" s="165">
        <v>0.0</v>
      </c>
      <c r="AG400" s="95">
        <f t="shared" si="122"/>
        <v>22</v>
      </c>
    </row>
    <row r="401" outlineLevel="1">
      <c r="A401" s="213" t="s">
        <v>364</v>
      </c>
      <c r="B401" s="165">
        <v>0.0</v>
      </c>
      <c r="C401" s="165">
        <v>0.0</v>
      </c>
      <c r="D401" s="165">
        <v>0.0</v>
      </c>
      <c r="E401" s="165">
        <v>0.0</v>
      </c>
      <c r="F401" s="165">
        <v>1.0</v>
      </c>
      <c r="G401" s="165">
        <v>0.0</v>
      </c>
      <c r="H401" s="165">
        <v>0.0</v>
      </c>
      <c r="I401" s="165">
        <v>0.0</v>
      </c>
      <c r="J401" s="165">
        <v>0.0</v>
      </c>
      <c r="K401" s="165">
        <v>0.0</v>
      </c>
      <c r="L401" s="165">
        <v>0.0</v>
      </c>
      <c r="M401" s="165">
        <v>0.0</v>
      </c>
      <c r="N401" s="165">
        <v>0.0</v>
      </c>
      <c r="O401" s="165">
        <v>0.0</v>
      </c>
      <c r="P401" s="165">
        <v>0.0</v>
      </c>
      <c r="Q401" s="165">
        <v>0.0</v>
      </c>
      <c r="R401" s="165">
        <v>0.0</v>
      </c>
      <c r="S401" s="165">
        <v>1.0</v>
      </c>
      <c r="T401" s="165">
        <v>0.0</v>
      </c>
      <c r="U401" s="165">
        <v>0.0</v>
      </c>
      <c r="V401" s="165">
        <v>0.0</v>
      </c>
      <c r="W401" s="165">
        <v>0.0</v>
      </c>
      <c r="X401" s="165">
        <v>0.0</v>
      </c>
      <c r="Y401" s="165">
        <v>0.0</v>
      </c>
      <c r="Z401" s="165">
        <v>0.0</v>
      </c>
      <c r="AA401" s="165">
        <v>0.0</v>
      </c>
      <c r="AB401" s="165">
        <v>0.0</v>
      </c>
      <c r="AC401" s="165">
        <v>1.0</v>
      </c>
      <c r="AD401" s="165">
        <v>0.0</v>
      </c>
      <c r="AE401" s="165">
        <v>0.0</v>
      </c>
      <c r="AF401" s="165">
        <v>0.0</v>
      </c>
      <c r="AG401" s="95">
        <f t="shared" si="122"/>
        <v>3</v>
      </c>
    </row>
    <row r="402" outlineLevel="1">
      <c r="A402" s="213" t="s">
        <v>365</v>
      </c>
      <c r="B402" s="165">
        <v>0.0</v>
      </c>
      <c r="C402" s="165">
        <v>0.0</v>
      </c>
      <c r="D402" s="165">
        <v>0.0</v>
      </c>
      <c r="E402" s="165">
        <v>0.0</v>
      </c>
      <c r="F402" s="165">
        <v>0.0</v>
      </c>
      <c r="G402" s="165">
        <v>0.0</v>
      </c>
      <c r="H402" s="165">
        <v>0.0</v>
      </c>
      <c r="I402" s="165">
        <v>0.0</v>
      </c>
      <c r="J402" s="165">
        <v>0.0</v>
      </c>
      <c r="K402" s="165">
        <v>0.0</v>
      </c>
      <c r="L402" s="165">
        <v>0.0</v>
      </c>
      <c r="M402" s="165">
        <v>0.0</v>
      </c>
      <c r="N402" s="165">
        <v>0.0</v>
      </c>
      <c r="O402" s="165">
        <v>0.0</v>
      </c>
      <c r="P402" s="165">
        <v>0.0</v>
      </c>
      <c r="Q402" s="165">
        <v>0.0</v>
      </c>
      <c r="R402" s="165">
        <v>0.0</v>
      </c>
      <c r="S402" s="165">
        <v>0.0</v>
      </c>
      <c r="T402" s="165">
        <v>0.0</v>
      </c>
      <c r="U402" s="165">
        <v>0.0</v>
      </c>
      <c r="V402" s="165">
        <v>0.0</v>
      </c>
      <c r="W402" s="165">
        <v>0.0</v>
      </c>
      <c r="X402" s="165">
        <v>0.0</v>
      </c>
      <c r="Y402" s="165">
        <v>0.0</v>
      </c>
      <c r="Z402" s="165">
        <v>0.0</v>
      </c>
      <c r="AA402" s="165">
        <v>0.0</v>
      </c>
      <c r="AB402" s="165">
        <v>0.0</v>
      </c>
      <c r="AC402" s="165">
        <v>0.0</v>
      </c>
      <c r="AD402" s="165">
        <v>0.0</v>
      </c>
      <c r="AE402" s="165">
        <v>0.0</v>
      </c>
      <c r="AF402" s="165">
        <v>0.0</v>
      </c>
      <c r="AG402" s="95">
        <f t="shared" si="122"/>
        <v>0</v>
      </c>
    </row>
    <row r="403" outlineLevel="1">
      <c r="A403" s="213" t="s">
        <v>366</v>
      </c>
      <c r="B403" s="165">
        <v>0.0</v>
      </c>
      <c r="C403" s="165">
        <v>0.0</v>
      </c>
      <c r="D403" s="165">
        <v>0.0</v>
      </c>
      <c r="E403" s="165">
        <v>0.0</v>
      </c>
      <c r="F403" s="165">
        <v>1.0</v>
      </c>
      <c r="G403" s="165">
        <v>0.0</v>
      </c>
      <c r="H403" s="165">
        <v>0.0</v>
      </c>
      <c r="I403" s="165">
        <v>2.0</v>
      </c>
      <c r="J403" s="165">
        <v>0.0</v>
      </c>
      <c r="K403" s="165">
        <v>0.0</v>
      </c>
      <c r="L403" s="165">
        <v>0.0</v>
      </c>
      <c r="M403" s="165">
        <v>1.0</v>
      </c>
      <c r="N403" s="165">
        <v>1.0</v>
      </c>
      <c r="O403" s="165">
        <v>1.0</v>
      </c>
      <c r="P403" s="165">
        <v>0.0</v>
      </c>
      <c r="Q403" s="165">
        <v>0.0</v>
      </c>
      <c r="R403" s="165">
        <v>0.0</v>
      </c>
      <c r="S403" s="165">
        <v>0.0</v>
      </c>
      <c r="T403" s="165">
        <v>0.0</v>
      </c>
      <c r="U403" s="165">
        <v>5.0</v>
      </c>
      <c r="V403" s="165">
        <v>0.0</v>
      </c>
      <c r="W403" s="165">
        <v>0.0</v>
      </c>
      <c r="X403" s="165">
        <v>0.0</v>
      </c>
      <c r="Y403" s="165">
        <v>0.0</v>
      </c>
      <c r="Z403" s="165">
        <v>0.0</v>
      </c>
      <c r="AA403" s="165">
        <v>0.0</v>
      </c>
      <c r="AB403" s="165">
        <v>0.0</v>
      </c>
      <c r="AC403" s="165">
        <v>1.0</v>
      </c>
      <c r="AD403" s="165">
        <v>1.0</v>
      </c>
      <c r="AE403" s="165">
        <v>0.0</v>
      </c>
      <c r="AF403" s="165">
        <v>0.0</v>
      </c>
      <c r="AG403" s="95">
        <f t="shared" si="122"/>
        <v>13</v>
      </c>
    </row>
    <row r="404" outlineLevel="1">
      <c r="A404" s="213" t="s">
        <v>367</v>
      </c>
      <c r="B404" s="165">
        <v>0.0</v>
      </c>
      <c r="C404" s="165">
        <v>0.0</v>
      </c>
      <c r="D404" s="165">
        <v>0.0</v>
      </c>
      <c r="E404" s="165">
        <v>0.0</v>
      </c>
      <c r="F404" s="165">
        <v>1.0</v>
      </c>
      <c r="G404" s="165">
        <v>0.0</v>
      </c>
      <c r="H404" s="165">
        <v>0.0</v>
      </c>
      <c r="I404" s="165">
        <v>0.0</v>
      </c>
      <c r="J404" s="165">
        <v>0.0</v>
      </c>
      <c r="K404" s="165">
        <v>0.0</v>
      </c>
      <c r="L404" s="165">
        <v>0.0</v>
      </c>
      <c r="M404" s="165">
        <v>0.0</v>
      </c>
      <c r="N404" s="165">
        <v>0.0</v>
      </c>
      <c r="O404" s="165">
        <v>0.0</v>
      </c>
      <c r="P404" s="165">
        <v>0.0</v>
      </c>
      <c r="Q404" s="165">
        <v>0.0</v>
      </c>
      <c r="R404" s="165">
        <v>0.0</v>
      </c>
      <c r="S404" s="165">
        <v>1.0</v>
      </c>
      <c r="T404" s="165">
        <v>0.0</v>
      </c>
      <c r="U404" s="165">
        <v>0.0</v>
      </c>
      <c r="V404" s="165">
        <v>0.0</v>
      </c>
      <c r="W404" s="165">
        <v>0.0</v>
      </c>
      <c r="X404" s="165">
        <v>0.0</v>
      </c>
      <c r="Y404" s="165">
        <v>0.0</v>
      </c>
      <c r="Z404" s="165">
        <v>0.0</v>
      </c>
      <c r="AA404" s="165">
        <v>0.0</v>
      </c>
      <c r="AB404" s="165">
        <v>0.0</v>
      </c>
      <c r="AC404" s="165">
        <v>0.0</v>
      </c>
      <c r="AD404" s="165">
        <v>0.0</v>
      </c>
      <c r="AE404" s="165">
        <v>0.0</v>
      </c>
      <c r="AF404" s="165">
        <v>0.0</v>
      </c>
      <c r="AG404" s="95">
        <f t="shared" si="122"/>
        <v>2</v>
      </c>
    </row>
    <row r="405" outlineLevel="1">
      <c r="A405" s="213" t="s">
        <v>368</v>
      </c>
      <c r="B405" s="165">
        <v>0.0</v>
      </c>
      <c r="C405" s="165">
        <v>0.0</v>
      </c>
      <c r="D405" s="165">
        <v>0.0</v>
      </c>
      <c r="E405" s="165">
        <v>0.0</v>
      </c>
      <c r="F405" s="165">
        <v>0.0</v>
      </c>
      <c r="G405" s="165">
        <v>0.0</v>
      </c>
      <c r="H405" s="165">
        <v>0.0</v>
      </c>
      <c r="I405" s="165">
        <v>0.0</v>
      </c>
      <c r="J405" s="165">
        <v>0.0</v>
      </c>
      <c r="K405" s="165">
        <v>0.0</v>
      </c>
      <c r="L405" s="165">
        <v>0.0</v>
      </c>
      <c r="M405" s="165">
        <v>0.0</v>
      </c>
      <c r="N405" s="165">
        <v>0.0</v>
      </c>
      <c r="O405" s="165">
        <v>0.0</v>
      </c>
      <c r="P405" s="165">
        <v>0.0</v>
      </c>
      <c r="Q405" s="165">
        <v>0.0</v>
      </c>
      <c r="R405" s="165">
        <v>0.0</v>
      </c>
      <c r="S405" s="165">
        <v>1.0</v>
      </c>
      <c r="T405" s="165">
        <v>3.0</v>
      </c>
      <c r="U405" s="165">
        <v>0.0</v>
      </c>
      <c r="V405" s="165">
        <v>0.0</v>
      </c>
      <c r="W405" s="165">
        <v>0.0</v>
      </c>
      <c r="X405" s="165">
        <v>0.0</v>
      </c>
      <c r="Y405" s="165">
        <v>0.0</v>
      </c>
      <c r="Z405" s="165">
        <v>0.0</v>
      </c>
      <c r="AA405" s="165">
        <v>1.0</v>
      </c>
      <c r="AB405" s="165">
        <v>0.0</v>
      </c>
      <c r="AC405" s="165">
        <v>0.0</v>
      </c>
      <c r="AD405" s="165">
        <v>0.0</v>
      </c>
      <c r="AE405" s="165">
        <v>0.0</v>
      </c>
      <c r="AF405" s="165">
        <v>0.0</v>
      </c>
      <c r="AG405" s="95">
        <f t="shared" si="122"/>
        <v>5</v>
      </c>
    </row>
    <row r="406" outlineLevel="1">
      <c r="A406" s="213" t="s">
        <v>369</v>
      </c>
      <c r="B406" s="165">
        <v>0.0</v>
      </c>
      <c r="C406" s="165">
        <v>0.0</v>
      </c>
      <c r="D406" s="165">
        <v>0.0</v>
      </c>
      <c r="E406" s="165">
        <v>0.0</v>
      </c>
      <c r="F406" s="165">
        <v>0.0</v>
      </c>
      <c r="G406" s="165">
        <v>0.0</v>
      </c>
      <c r="H406" s="165">
        <v>0.0</v>
      </c>
      <c r="I406" s="165">
        <v>0.0</v>
      </c>
      <c r="J406" s="165">
        <v>0.0</v>
      </c>
      <c r="K406" s="165">
        <v>0.0</v>
      </c>
      <c r="L406" s="165">
        <v>0.0</v>
      </c>
      <c r="M406" s="165">
        <v>0.0</v>
      </c>
      <c r="N406" s="165">
        <v>0.0</v>
      </c>
      <c r="O406" s="165">
        <v>0.0</v>
      </c>
      <c r="P406" s="165">
        <v>0.0</v>
      </c>
      <c r="Q406" s="165">
        <v>0.0</v>
      </c>
      <c r="R406" s="165">
        <v>0.0</v>
      </c>
      <c r="S406" s="165">
        <v>0.0</v>
      </c>
      <c r="T406" s="165">
        <v>0.0</v>
      </c>
      <c r="U406" s="165">
        <v>0.0</v>
      </c>
      <c r="V406" s="165">
        <v>0.0</v>
      </c>
      <c r="W406" s="165">
        <v>0.0</v>
      </c>
      <c r="X406" s="165">
        <v>0.0</v>
      </c>
      <c r="Y406" s="165">
        <v>0.0</v>
      </c>
      <c r="Z406" s="165">
        <v>0.0</v>
      </c>
      <c r="AA406" s="165">
        <v>1.0</v>
      </c>
      <c r="AB406" s="165">
        <v>0.0</v>
      </c>
      <c r="AC406" s="165">
        <v>0.0</v>
      </c>
      <c r="AD406" s="165">
        <v>0.0</v>
      </c>
      <c r="AE406" s="165">
        <v>0.0</v>
      </c>
      <c r="AF406" s="165">
        <v>0.0</v>
      </c>
      <c r="AG406" s="95">
        <f t="shared" si="122"/>
        <v>1</v>
      </c>
    </row>
    <row r="407" outlineLevel="1">
      <c r="A407" s="224" t="s">
        <v>370</v>
      </c>
      <c r="B407" s="159">
        <v>0.0</v>
      </c>
      <c r="C407" s="165">
        <v>0.0</v>
      </c>
      <c r="D407" s="165">
        <v>0.0</v>
      </c>
      <c r="E407" s="159">
        <v>0.0</v>
      </c>
      <c r="F407" s="159">
        <v>0.0</v>
      </c>
      <c r="G407" s="159">
        <v>0.0</v>
      </c>
      <c r="H407" s="159">
        <v>0.0</v>
      </c>
      <c r="I407" s="159">
        <v>0.0</v>
      </c>
      <c r="J407" s="159">
        <v>0.0</v>
      </c>
      <c r="K407" s="159">
        <v>0.0</v>
      </c>
      <c r="L407" s="159">
        <v>0.0</v>
      </c>
      <c r="M407" s="159">
        <v>0.0</v>
      </c>
      <c r="N407" s="159">
        <v>0.0</v>
      </c>
      <c r="O407" s="159">
        <v>0.0</v>
      </c>
      <c r="P407" s="159">
        <v>0.0</v>
      </c>
      <c r="Q407" s="165">
        <v>0.0</v>
      </c>
      <c r="R407" s="165">
        <v>0.0</v>
      </c>
      <c r="S407" s="159">
        <v>0.0</v>
      </c>
      <c r="T407" s="159">
        <v>0.0</v>
      </c>
      <c r="U407" s="159">
        <v>0.0</v>
      </c>
      <c r="V407" s="165">
        <v>0.0</v>
      </c>
      <c r="W407" s="165">
        <v>0.0</v>
      </c>
      <c r="X407" s="165">
        <v>0.0</v>
      </c>
      <c r="Y407" s="165">
        <v>0.0</v>
      </c>
      <c r="Z407" s="165">
        <v>0.0</v>
      </c>
      <c r="AA407" s="159">
        <v>0.0</v>
      </c>
      <c r="AB407" s="165">
        <v>0.0</v>
      </c>
      <c r="AC407" s="159">
        <v>0.0</v>
      </c>
      <c r="AD407" s="165">
        <v>0.0</v>
      </c>
      <c r="AE407" s="165">
        <v>0.0</v>
      </c>
      <c r="AF407" s="165">
        <v>0.0</v>
      </c>
      <c r="AG407" s="231">
        <f t="shared" si="122"/>
        <v>0</v>
      </c>
    </row>
    <row r="408" outlineLevel="1">
      <c r="A408" s="224" t="s">
        <v>371</v>
      </c>
      <c r="B408" s="159">
        <v>0.0</v>
      </c>
      <c r="C408" s="165">
        <v>0.0</v>
      </c>
      <c r="D408" s="165">
        <v>0.0</v>
      </c>
      <c r="E408" s="159">
        <v>0.0</v>
      </c>
      <c r="F408" s="159">
        <v>0.0</v>
      </c>
      <c r="G408" s="159">
        <v>0.0</v>
      </c>
      <c r="H408" s="159">
        <v>0.0</v>
      </c>
      <c r="I408" s="159">
        <v>0.0</v>
      </c>
      <c r="J408" s="159">
        <v>0.0</v>
      </c>
      <c r="K408" s="159">
        <v>0.0</v>
      </c>
      <c r="L408" s="159">
        <v>0.0</v>
      </c>
      <c r="M408" s="159">
        <v>0.0</v>
      </c>
      <c r="N408" s="159">
        <v>0.0</v>
      </c>
      <c r="O408" s="159">
        <v>0.0</v>
      </c>
      <c r="P408" s="159">
        <v>0.0</v>
      </c>
      <c r="Q408" s="165">
        <v>0.0</v>
      </c>
      <c r="R408" s="165">
        <v>0.0</v>
      </c>
      <c r="S408" s="159">
        <v>0.0</v>
      </c>
      <c r="T408" s="159">
        <v>0.0</v>
      </c>
      <c r="U408" s="159">
        <v>0.0</v>
      </c>
      <c r="V408" s="165">
        <v>0.0</v>
      </c>
      <c r="W408" s="165">
        <v>0.0</v>
      </c>
      <c r="X408" s="165">
        <v>0.0</v>
      </c>
      <c r="Y408" s="165">
        <v>0.0</v>
      </c>
      <c r="Z408" s="165">
        <v>0.0</v>
      </c>
      <c r="AA408" s="159">
        <v>0.0</v>
      </c>
      <c r="AB408" s="165">
        <v>0.0</v>
      </c>
      <c r="AC408" s="159">
        <v>0.0</v>
      </c>
      <c r="AD408" s="165">
        <v>0.0</v>
      </c>
      <c r="AE408" s="165">
        <v>0.0</v>
      </c>
      <c r="AF408" s="165">
        <v>0.0</v>
      </c>
      <c r="AG408" s="231">
        <f t="shared" si="122"/>
        <v>0</v>
      </c>
    </row>
    <row r="409">
      <c r="A409" s="217" t="s">
        <v>141</v>
      </c>
      <c r="B409" s="233">
        <f t="shared" ref="B409:AF409" si="123">SUM(B399:B408)</f>
        <v>2</v>
      </c>
      <c r="C409" s="233">
        <f t="shared" si="123"/>
        <v>0</v>
      </c>
      <c r="D409" s="233">
        <f t="shared" si="123"/>
        <v>0</v>
      </c>
      <c r="E409" s="233">
        <f t="shared" si="123"/>
        <v>3</v>
      </c>
      <c r="F409" s="233">
        <f t="shared" si="123"/>
        <v>6</v>
      </c>
      <c r="G409" s="233">
        <f t="shared" si="123"/>
        <v>0</v>
      </c>
      <c r="H409" s="233">
        <f t="shared" si="123"/>
        <v>0</v>
      </c>
      <c r="I409" s="233">
        <f t="shared" si="123"/>
        <v>3</v>
      </c>
      <c r="J409" s="233">
        <f t="shared" si="123"/>
        <v>0</v>
      </c>
      <c r="K409" s="233">
        <f t="shared" si="123"/>
        <v>0</v>
      </c>
      <c r="L409" s="233">
        <f t="shared" si="123"/>
        <v>3</v>
      </c>
      <c r="M409" s="233">
        <f t="shared" si="123"/>
        <v>1</v>
      </c>
      <c r="N409" s="233">
        <f t="shared" si="123"/>
        <v>2</v>
      </c>
      <c r="O409" s="233">
        <f t="shared" si="123"/>
        <v>4</v>
      </c>
      <c r="P409" s="233">
        <f t="shared" si="123"/>
        <v>4</v>
      </c>
      <c r="Q409" s="233">
        <f t="shared" si="123"/>
        <v>0</v>
      </c>
      <c r="R409" s="233">
        <f t="shared" si="123"/>
        <v>0</v>
      </c>
      <c r="S409" s="233">
        <f t="shared" si="123"/>
        <v>3</v>
      </c>
      <c r="T409" s="233">
        <f t="shared" si="123"/>
        <v>9</v>
      </c>
      <c r="U409" s="233">
        <f t="shared" si="123"/>
        <v>5</v>
      </c>
      <c r="V409" s="233">
        <f t="shared" si="123"/>
        <v>0</v>
      </c>
      <c r="W409" s="233">
        <f t="shared" si="123"/>
        <v>0</v>
      </c>
      <c r="X409" s="233">
        <f t="shared" si="123"/>
        <v>0</v>
      </c>
      <c r="Y409" s="233">
        <f t="shared" si="123"/>
        <v>0</v>
      </c>
      <c r="Z409" s="233">
        <f t="shared" si="123"/>
        <v>0</v>
      </c>
      <c r="AA409" s="233">
        <f t="shared" si="123"/>
        <v>8</v>
      </c>
      <c r="AB409" s="233">
        <f t="shared" si="123"/>
        <v>2</v>
      </c>
      <c r="AC409" s="233">
        <f t="shared" si="123"/>
        <v>4</v>
      </c>
      <c r="AD409" s="233">
        <f t="shared" si="123"/>
        <v>1</v>
      </c>
      <c r="AE409" s="233">
        <f t="shared" si="123"/>
        <v>0</v>
      </c>
      <c r="AF409" s="233">
        <f t="shared" si="123"/>
        <v>0</v>
      </c>
      <c r="AG409" s="95">
        <f t="shared" si="122"/>
        <v>60</v>
      </c>
    </row>
    <row r="410">
      <c r="A410" s="100"/>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c r="AE410" s="165"/>
      <c r="AF410" s="165"/>
      <c r="AG410" s="156"/>
    </row>
    <row r="411">
      <c r="A411" s="213" t="s">
        <v>295</v>
      </c>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c r="AB411" s="230"/>
      <c r="AC411" s="230"/>
      <c r="AD411" s="230"/>
      <c r="AE411" s="230"/>
      <c r="AF411" s="230"/>
      <c r="AG411" s="156"/>
    </row>
    <row r="412" outlineLevel="1">
      <c r="A412" s="213" t="s">
        <v>224</v>
      </c>
      <c r="B412" s="165">
        <v>0.0</v>
      </c>
      <c r="C412" s="165">
        <v>0.0</v>
      </c>
      <c r="D412" s="165">
        <v>0.0</v>
      </c>
      <c r="E412" s="165">
        <v>0.0</v>
      </c>
      <c r="F412" s="165">
        <v>0.0</v>
      </c>
      <c r="G412" s="165">
        <v>0.0</v>
      </c>
      <c r="H412" s="165">
        <v>0.0</v>
      </c>
      <c r="I412" s="165">
        <v>0.0</v>
      </c>
      <c r="J412" s="165">
        <v>0.0</v>
      </c>
      <c r="K412" s="165">
        <v>0.0</v>
      </c>
      <c r="L412" s="165">
        <v>0.0</v>
      </c>
      <c r="M412" s="165">
        <v>0.0</v>
      </c>
      <c r="N412" s="165">
        <v>0.0</v>
      </c>
      <c r="O412" s="165">
        <v>0.0</v>
      </c>
      <c r="P412" s="165">
        <v>1.0</v>
      </c>
      <c r="Q412" s="165">
        <v>0.0</v>
      </c>
      <c r="R412" s="165">
        <v>0.0</v>
      </c>
      <c r="S412" s="165">
        <v>0.0</v>
      </c>
      <c r="T412" s="165">
        <v>0.0</v>
      </c>
      <c r="U412" s="165">
        <v>0.0</v>
      </c>
      <c r="V412" s="165">
        <v>0.0</v>
      </c>
      <c r="W412" s="165">
        <v>0.0</v>
      </c>
      <c r="X412" s="165">
        <v>0.0</v>
      </c>
      <c r="Y412" s="165">
        <v>0.0</v>
      </c>
      <c r="Z412" s="165">
        <v>0.0</v>
      </c>
      <c r="AA412" s="165">
        <v>0.0</v>
      </c>
      <c r="AB412" s="165">
        <v>0.0</v>
      </c>
      <c r="AC412" s="165">
        <v>0.0</v>
      </c>
      <c r="AD412" s="165">
        <v>0.0</v>
      </c>
      <c r="AE412" s="165">
        <v>0.0</v>
      </c>
      <c r="AF412" s="165">
        <v>0.0</v>
      </c>
      <c r="AG412" s="95">
        <f t="shared" ref="AG412:AG422" si="124">SUM(B412:AF412)</f>
        <v>1</v>
      </c>
    </row>
    <row r="413" outlineLevel="1">
      <c r="A413" s="213" t="s">
        <v>225</v>
      </c>
      <c r="B413" s="165">
        <v>0.0</v>
      </c>
      <c r="C413" s="165">
        <v>0.0</v>
      </c>
      <c r="D413" s="165">
        <v>0.0</v>
      </c>
      <c r="E413" s="165">
        <v>0.0</v>
      </c>
      <c r="F413" s="165">
        <v>0.0</v>
      </c>
      <c r="G413" s="165">
        <v>0.0</v>
      </c>
      <c r="H413" s="165">
        <v>0.0</v>
      </c>
      <c r="I413" s="165">
        <v>0.0</v>
      </c>
      <c r="J413" s="165">
        <v>0.0</v>
      </c>
      <c r="K413" s="165">
        <v>0.0</v>
      </c>
      <c r="L413" s="165">
        <v>0.0</v>
      </c>
      <c r="M413" s="165">
        <v>0.0</v>
      </c>
      <c r="N413" s="165">
        <v>1.0</v>
      </c>
      <c r="O413" s="165">
        <v>0.0</v>
      </c>
      <c r="P413" s="165">
        <v>1.0</v>
      </c>
      <c r="Q413" s="165">
        <v>0.0</v>
      </c>
      <c r="R413" s="165">
        <v>0.0</v>
      </c>
      <c r="S413" s="165">
        <v>0.0</v>
      </c>
      <c r="T413" s="165">
        <v>1.0</v>
      </c>
      <c r="U413" s="165">
        <v>0.0</v>
      </c>
      <c r="V413" s="165">
        <v>1.0</v>
      </c>
      <c r="W413" s="165">
        <v>0.0</v>
      </c>
      <c r="X413" s="165">
        <v>0.0</v>
      </c>
      <c r="Y413" s="165">
        <v>0.0</v>
      </c>
      <c r="Z413" s="165">
        <v>0.0</v>
      </c>
      <c r="AA413" s="165">
        <v>0.0</v>
      </c>
      <c r="AB413" s="165">
        <v>0.0</v>
      </c>
      <c r="AC413" s="165">
        <v>0.0</v>
      </c>
      <c r="AD413" s="165">
        <v>0.0</v>
      </c>
      <c r="AE413" s="165">
        <v>0.0</v>
      </c>
      <c r="AF413" s="165">
        <v>0.0</v>
      </c>
      <c r="AG413" s="95">
        <f t="shared" si="124"/>
        <v>4</v>
      </c>
    </row>
    <row r="414" outlineLevel="1">
      <c r="A414" s="213" t="s">
        <v>372</v>
      </c>
      <c r="B414" s="165">
        <v>0.0</v>
      </c>
      <c r="C414" s="165">
        <v>0.0</v>
      </c>
      <c r="D414" s="165">
        <v>0.0</v>
      </c>
      <c r="E414" s="165">
        <v>0.0</v>
      </c>
      <c r="F414" s="165">
        <v>0.0</v>
      </c>
      <c r="G414" s="165">
        <v>0.0</v>
      </c>
      <c r="H414" s="165">
        <v>0.0</v>
      </c>
      <c r="I414" s="165">
        <v>0.0</v>
      </c>
      <c r="J414" s="165">
        <v>0.0</v>
      </c>
      <c r="K414" s="165">
        <v>0.0</v>
      </c>
      <c r="L414" s="165">
        <v>0.0</v>
      </c>
      <c r="M414" s="165">
        <v>0.0</v>
      </c>
      <c r="N414" s="165">
        <v>0.0</v>
      </c>
      <c r="O414" s="165">
        <v>0.0</v>
      </c>
      <c r="P414" s="165">
        <v>0.0</v>
      </c>
      <c r="Q414" s="165">
        <v>0.0</v>
      </c>
      <c r="R414" s="165">
        <v>0.0</v>
      </c>
      <c r="S414" s="165">
        <v>0.0</v>
      </c>
      <c r="T414" s="165">
        <v>0.0</v>
      </c>
      <c r="U414" s="165">
        <v>0.0</v>
      </c>
      <c r="V414" s="165">
        <v>1.0</v>
      </c>
      <c r="W414" s="165">
        <v>0.0</v>
      </c>
      <c r="X414" s="165">
        <v>0.0</v>
      </c>
      <c r="Y414" s="165">
        <v>0.0</v>
      </c>
      <c r="Z414" s="165">
        <v>0.0</v>
      </c>
      <c r="AA414" s="165">
        <v>0.0</v>
      </c>
      <c r="AB414" s="165">
        <v>0.0</v>
      </c>
      <c r="AC414" s="165">
        <v>0.0</v>
      </c>
      <c r="AD414" s="165">
        <v>0.0</v>
      </c>
      <c r="AE414" s="165">
        <v>0.0</v>
      </c>
      <c r="AF414" s="165">
        <v>0.0</v>
      </c>
      <c r="AG414" s="95">
        <f t="shared" si="124"/>
        <v>1</v>
      </c>
    </row>
    <row r="415" outlineLevel="1">
      <c r="A415" s="213" t="s">
        <v>373</v>
      </c>
      <c r="B415" s="165">
        <v>0.0</v>
      </c>
      <c r="C415" s="165">
        <v>0.0</v>
      </c>
      <c r="D415" s="165">
        <v>0.0</v>
      </c>
      <c r="E415" s="165">
        <v>0.0</v>
      </c>
      <c r="F415" s="165">
        <v>0.0</v>
      </c>
      <c r="G415" s="165">
        <v>0.0</v>
      </c>
      <c r="H415" s="165">
        <v>0.0</v>
      </c>
      <c r="I415" s="165">
        <v>0.0</v>
      </c>
      <c r="J415" s="165">
        <v>0.0</v>
      </c>
      <c r="K415" s="165">
        <v>0.0</v>
      </c>
      <c r="L415" s="165">
        <v>0.0</v>
      </c>
      <c r="M415" s="165">
        <v>0.0</v>
      </c>
      <c r="N415" s="165">
        <v>0.0</v>
      </c>
      <c r="O415" s="165">
        <v>0.0</v>
      </c>
      <c r="P415" s="165">
        <v>1.0</v>
      </c>
      <c r="Q415" s="165">
        <v>0.0</v>
      </c>
      <c r="R415" s="165">
        <v>0.0</v>
      </c>
      <c r="S415" s="165">
        <v>0.0</v>
      </c>
      <c r="T415" s="165">
        <v>0.0</v>
      </c>
      <c r="U415" s="165">
        <v>0.0</v>
      </c>
      <c r="V415" s="165">
        <v>0.0</v>
      </c>
      <c r="W415" s="165">
        <v>0.0</v>
      </c>
      <c r="X415" s="165">
        <v>0.0</v>
      </c>
      <c r="Y415" s="165">
        <v>0.0</v>
      </c>
      <c r="Z415" s="165">
        <v>0.0</v>
      </c>
      <c r="AA415" s="165">
        <v>0.0</v>
      </c>
      <c r="AB415" s="165">
        <v>0.0</v>
      </c>
      <c r="AC415" s="165">
        <v>0.0</v>
      </c>
      <c r="AD415" s="165">
        <v>0.0</v>
      </c>
      <c r="AE415" s="165">
        <v>0.0</v>
      </c>
      <c r="AF415" s="165">
        <v>0.0</v>
      </c>
      <c r="AG415" s="95">
        <f t="shared" si="124"/>
        <v>1</v>
      </c>
    </row>
    <row r="416" outlineLevel="1">
      <c r="A416" s="213" t="s">
        <v>374</v>
      </c>
      <c r="B416" s="165">
        <v>0.0</v>
      </c>
      <c r="C416" s="165">
        <v>0.0</v>
      </c>
      <c r="D416" s="165">
        <v>0.0</v>
      </c>
      <c r="E416" s="165">
        <v>0.0</v>
      </c>
      <c r="F416" s="165">
        <v>0.0</v>
      </c>
      <c r="G416" s="165">
        <v>0.0</v>
      </c>
      <c r="H416" s="165">
        <v>0.0</v>
      </c>
      <c r="I416" s="165">
        <v>0.0</v>
      </c>
      <c r="J416" s="165">
        <v>0.0</v>
      </c>
      <c r="K416" s="165">
        <v>0.0</v>
      </c>
      <c r="L416" s="165">
        <v>0.0</v>
      </c>
      <c r="M416" s="165">
        <v>0.0</v>
      </c>
      <c r="N416" s="165">
        <v>0.0</v>
      </c>
      <c r="O416" s="165">
        <v>0.0</v>
      </c>
      <c r="P416" s="165">
        <v>0.0</v>
      </c>
      <c r="Q416" s="165">
        <v>0.0</v>
      </c>
      <c r="R416" s="165">
        <v>0.0</v>
      </c>
      <c r="S416" s="165">
        <v>0.0</v>
      </c>
      <c r="T416" s="165">
        <v>0.0</v>
      </c>
      <c r="U416" s="165">
        <v>0.0</v>
      </c>
      <c r="V416" s="165">
        <v>0.0</v>
      </c>
      <c r="W416" s="165">
        <v>0.0</v>
      </c>
      <c r="X416" s="165">
        <v>0.0</v>
      </c>
      <c r="Y416" s="165">
        <v>0.0</v>
      </c>
      <c r="Z416" s="165">
        <v>0.0</v>
      </c>
      <c r="AA416" s="165">
        <v>0.0</v>
      </c>
      <c r="AB416" s="165">
        <v>0.0</v>
      </c>
      <c r="AC416" s="165">
        <v>0.0</v>
      </c>
      <c r="AD416" s="165">
        <v>0.0</v>
      </c>
      <c r="AE416" s="165">
        <v>0.0</v>
      </c>
      <c r="AF416" s="165">
        <v>0.0</v>
      </c>
      <c r="AG416" s="95">
        <f t="shared" si="124"/>
        <v>0</v>
      </c>
    </row>
    <row r="417" outlineLevel="1">
      <c r="A417" s="213" t="s">
        <v>375</v>
      </c>
      <c r="B417" s="165">
        <v>0.0</v>
      </c>
      <c r="C417" s="165">
        <v>0.0</v>
      </c>
      <c r="D417" s="165">
        <v>0.0</v>
      </c>
      <c r="E417" s="165">
        <v>0.0</v>
      </c>
      <c r="F417" s="165">
        <v>0.0</v>
      </c>
      <c r="G417" s="165">
        <v>0.0</v>
      </c>
      <c r="H417" s="165">
        <v>0.0</v>
      </c>
      <c r="I417" s="165">
        <v>0.0</v>
      </c>
      <c r="J417" s="165">
        <v>0.0</v>
      </c>
      <c r="K417" s="165">
        <v>0.0</v>
      </c>
      <c r="L417" s="165">
        <v>0.0</v>
      </c>
      <c r="M417" s="165">
        <v>0.0</v>
      </c>
      <c r="N417" s="165">
        <v>0.0</v>
      </c>
      <c r="O417" s="165">
        <v>0.0</v>
      </c>
      <c r="P417" s="165">
        <v>0.0</v>
      </c>
      <c r="Q417" s="165">
        <v>0.0</v>
      </c>
      <c r="R417" s="165">
        <v>0.0</v>
      </c>
      <c r="S417" s="165">
        <v>0.0</v>
      </c>
      <c r="T417" s="165">
        <v>0.0</v>
      </c>
      <c r="U417" s="165">
        <v>0.0</v>
      </c>
      <c r="V417" s="165">
        <v>0.0</v>
      </c>
      <c r="W417" s="165">
        <v>0.0</v>
      </c>
      <c r="X417" s="165">
        <v>0.0</v>
      </c>
      <c r="Y417" s="165">
        <v>0.0</v>
      </c>
      <c r="Z417" s="165">
        <v>0.0</v>
      </c>
      <c r="AA417" s="165">
        <v>0.0</v>
      </c>
      <c r="AB417" s="165">
        <v>0.0</v>
      </c>
      <c r="AC417" s="165">
        <v>0.0</v>
      </c>
      <c r="AD417" s="165">
        <v>0.0</v>
      </c>
      <c r="AE417" s="165">
        <v>0.0</v>
      </c>
      <c r="AF417" s="165">
        <v>0.0</v>
      </c>
      <c r="AG417" s="95">
        <f t="shared" si="124"/>
        <v>0</v>
      </c>
    </row>
    <row r="418" outlineLevel="1">
      <c r="A418" s="213" t="s">
        <v>376</v>
      </c>
      <c r="B418" s="165">
        <v>0.0</v>
      </c>
      <c r="C418" s="165">
        <v>0.0</v>
      </c>
      <c r="D418" s="165">
        <v>0.0</v>
      </c>
      <c r="E418" s="165">
        <v>0.0</v>
      </c>
      <c r="F418" s="165">
        <v>0.0</v>
      </c>
      <c r="G418" s="165">
        <v>0.0</v>
      </c>
      <c r="H418" s="165">
        <v>0.0</v>
      </c>
      <c r="I418" s="165">
        <v>0.0</v>
      </c>
      <c r="J418" s="165">
        <v>0.0</v>
      </c>
      <c r="K418" s="165">
        <v>0.0</v>
      </c>
      <c r="L418" s="165">
        <v>1.0</v>
      </c>
      <c r="M418" s="165">
        <v>0.0</v>
      </c>
      <c r="N418" s="165">
        <v>0.0</v>
      </c>
      <c r="O418" s="165">
        <v>0.0</v>
      </c>
      <c r="P418" s="165">
        <v>0.0</v>
      </c>
      <c r="Q418" s="165">
        <v>0.0</v>
      </c>
      <c r="R418" s="165">
        <v>0.0</v>
      </c>
      <c r="S418" s="165">
        <v>0.0</v>
      </c>
      <c r="T418" s="165">
        <v>0.0</v>
      </c>
      <c r="U418" s="165">
        <v>0.0</v>
      </c>
      <c r="V418" s="165">
        <v>0.0</v>
      </c>
      <c r="W418" s="165">
        <v>0.0</v>
      </c>
      <c r="X418" s="165">
        <v>0.0</v>
      </c>
      <c r="Y418" s="165">
        <v>0.0</v>
      </c>
      <c r="Z418" s="165">
        <v>0.0</v>
      </c>
      <c r="AA418" s="165">
        <v>0.0</v>
      </c>
      <c r="AB418" s="165">
        <v>0.0</v>
      </c>
      <c r="AC418" s="165">
        <v>0.0</v>
      </c>
      <c r="AD418" s="165">
        <v>0.0</v>
      </c>
      <c r="AE418" s="165">
        <v>0.0</v>
      </c>
      <c r="AF418" s="165">
        <v>0.0</v>
      </c>
      <c r="AG418" s="95">
        <f t="shared" si="124"/>
        <v>1</v>
      </c>
    </row>
    <row r="419" outlineLevel="1">
      <c r="A419" s="213" t="s">
        <v>377</v>
      </c>
      <c r="B419" s="165">
        <v>0.0</v>
      </c>
      <c r="C419" s="165">
        <v>0.0</v>
      </c>
      <c r="D419" s="165">
        <v>0.0</v>
      </c>
      <c r="E419" s="165">
        <v>0.0</v>
      </c>
      <c r="F419" s="165">
        <v>0.0</v>
      </c>
      <c r="G419" s="165">
        <v>0.0</v>
      </c>
      <c r="H419" s="165">
        <v>0.0</v>
      </c>
      <c r="I419" s="165">
        <v>0.0</v>
      </c>
      <c r="J419" s="165">
        <v>0.0</v>
      </c>
      <c r="K419" s="165">
        <v>0.0</v>
      </c>
      <c r="L419" s="165">
        <v>0.0</v>
      </c>
      <c r="M419" s="165">
        <v>0.0</v>
      </c>
      <c r="N419" s="165">
        <v>0.0</v>
      </c>
      <c r="O419" s="165">
        <v>0.0</v>
      </c>
      <c r="P419" s="165">
        <v>1.0</v>
      </c>
      <c r="Q419" s="165">
        <v>0.0</v>
      </c>
      <c r="R419" s="165">
        <v>0.0</v>
      </c>
      <c r="S419" s="165">
        <v>0.0</v>
      </c>
      <c r="T419" s="165">
        <v>0.0</v>
      </c>
      <c r="U419" s="165">
        <v>0.0</v>
      </c>
      <c r="V419" s="165">
        <v>0.0</v>
      </c>
      <c r="W419" s="165">
        <v>0.0</v>
      </c>
      <c r="X419" s="165">
        <v>0.0</v>
      </c>
      <c r="Y419" s="165">
        <v>0.0</v>
      </c>
      <c r="Z419" s="165">
        <v>0.0</v>
      </c>
      <c r="AA419" s="165">
        <v>0.0</v>
      </c>
      <c r="AB419" s="165">
        <v>0.0</v>
      </c>
      <c r="AC419" s="165">
        <v>0.0</v>
      </c>
      <c r="AD419" s="165">
        <v>0.0</v>
      </c>
      <c r="AE419" s="165">
        <v>0.0</v>
      </c>
      <c r="AF419" s="165">
        <v>0.0</v>
      </c>
      <c r="AG419" s="95">
        <f t="shared" si="124"/>
        <v>1</v>
      </c>
    </row>
    <row r="420" outlineLevel="1">
      <c r="A420" s="224" t="s">
        <v>378</v>
      </c>
      <c r="B420" s="159">
        <v>0.0</v>
      </c>
      <c r="C420" s="165">
        <v>0.0</v>
      </c>
      <c r="D420" s="165">
        <v>0.0</v>
      </c>
      <c r="E420" s="165">
        <v>0.0</v>
      </c>
      <c r="F420" s="159">
        <v>0.0</v>
      </c>
      <c r="G420" s="159">
        <v>0.0</v>
      </c>
      <c r="H420" s="159">
        <v>0.0</v>
      </c>
      <c r="I420" s="159">
        <v>0.0</v>
      </c>
      <c r="J420" s="159">
        <v>0.0</v>
      </c>
      <c r="K420" s="159">
        <v>0.0</v>
      </c>
      <c r="L420" s="159">
        <v>0.0</v>
      </c>
      <c r="M420" s="159">
        <v>0.0</v>
      </c>
      <c r="N420" s="165">
        <v>0.0</v>
      </c>
      <c r="O420" s="165">
        <v>0.0</v>
      </c>
      <c r="P420" s="159">
        <v>0.0</v>
      </c>
      <c r="Q420" s="165">
        <v>0.0</v>
      </c>
      <c r="R420" s="165">
        <v>0.0</v>
      </c>
      <c r="S420" s="165">
        <v>0.0</v>
      </c>
      <c r="T420" s="159">
        <v>0.0</v>
      </c>
      <c r="U420" s="165">
        <v>0.0</v>
      </c>
      <c r="V420" s="159">
        <v>0.0</v>
      </c>
      <c r="W420" s="165">
        <v>0.0</v>
      </c>
      <c r="X420" s="165">
        <v>0.0</v>
      </c>
      <c r="Y420" s="165">
        <v>0.0</v>
      </c>
      <c r="Z420" s="165">
        <v>0.0</v>
      </c>
      <c r="AA420" s="165">
        <v>0.0</v>
      </c>
      <c r="AB420" s="165">
        <v>0.0</v>
      </c>
      <c r="AC420" s="165">
        <v>0.0</v>
      </c>
      <c r="AD420" s="165">
        <v>0.0</v>
      </c>
      <c r="AE420" s="165">
        <v>0.0</v>
      </c>
      <c r="AF420" s="165">
        <v>0.0</v>
      </c>
      <c r="AG420" s="231">
        <f t="shared" si="124"/>
        <v>0</v>
      </c>
    </row>
    <row r="421" outlineLevel="1">
      <c r="A421" s="224" t="s">
        <v>379</v>
      </c>
      <c r="B421" s="159">
        <v>0.0</v>
      </c>
      <c r="C421" s="165">
        <v>0.0</v>
      </c>
      <c r="D421" s="165">
        <v>0.0</v>
      </c>
      <c r="E421" s="165">
        <v>0.0</v>
      </c>
      <c r="F421" s="159">
        <v>0.0</v>
      </c>
      <c r="G421" s="159">
        <v>0.0</v>
      </c>
      <c r="H421" s="159">
        <v>0.0</v>
      </c>
      <c r="I421" s="159">
        <v>0.0</v>
      </c>
      <c r="J421" s="159">
        <v>0.0</v>
      </c>
      <c r="K421" s="159">
        <v>0.0</v>
      </c>
      <c r="L421" s="159">
        <v>0.0</v>
      </c>
      <c r="M421" s="159">
        <v>0.0</v>
      </c>
      <c r="N421" s="165">
        <v>0.0</v>
      </c>
      <c r="O421" s="165">
        <v>0.0</v>
      </c>
      <c r="P421" s="159">
        <v>0.0</v>
      </c>
      <c r="Q421" s="165">
        <v>0.0</v>
      </c>
      <c r="R421" s="165">
        <v>0.0</v>
      </c>
      <c r="S421" s="165">
        <v>0.0</v>
      </c>
      <c r="T421" s="159">
        <v>0.0</v>
      </c>
      <c r="U421" s="165">
        <v>0.0</v>
      </c>
      <c r="V421" s="159">
        <v>0.0</v>
      </c>
      <c r="W421" s="165">
        <v>0.0</v>
      </c>
      <c r="X421" s="165">
        <v>0.0</v>
      </c>
      <c r="Y421" s="165">
        <v>0.0</v>
      </c>
      <c r="Z421" s="165">
        <v>0.0</v>
      </c>
      <c r="AA421" s="165">
        <v>0.0</v>
      </c>
      <c r="AB421" s="165">
        <v>0.0</v>
      </c>
      <c r="AC421" s="165">
        <v>0.0</v>
      </c>
      <c r="AD421" s="165">
        <v>0.0</v>
      </c>
      <c r="AE421" s="165">
        <v>0.0</v>
      </c>
      <c r="AF421" s="165">
        <v>0.0</v>
      </c>
      <c r="AG421" s="231">
        <f t="shared" si="124"/>
        <v>0</v>
      </c>
    </row>
    <row r="422">
      <c r="A422" s="217" t="s">
        <v>141</v>
      </c>
      <c r="B422" s="233">
        <f t="shared" ref="B422:F422" si="125">SUM(B412:B421)</f>
        <v>0</v>
      </c>
      <c r="C422" s="233">
        <f t="shared" si="125"/>
        <v>0</v>
      </c>
      <c r="D422" s="233">
        <f t="shared" si="125"/>
        <v>0</v>
      </c>
      <c r="E422" s="233">
        <f t="shared" si="125"/>
        <v>0</v>
      </c>
      <c r="F422" s="233">
        <f t="shared" si="125"/>
        <v>0</v>
      </c>
      <c r="G422" s="233">
        <v>0.0</v>
      </c>
      <c r="H422" s="233">
        <f t="shared" ref="H422:AF422" si="126">SUM(H412:H421)</f>
        <v>0</v>
      </c>
      <c r="I422" s="233">
        <f t="shared" si="126"/>
        <v>0</v>
      </c>
      <c r="J422" s="233">
        <f t="shared" si="126"/>
        <v>0</v>
      </c>
      <c r="K422" s="233">
        <f t="shared" si="126"/>
        <v>0</v>
      </c>
      <c r="L422" s="233">
        <f t="shared" si="126"/>
        <v>1</v>
      </c>
      <c r="M422" s="233">
        <f t="shared" si="126"/>
        <v>0</v>
      </c>
      <c r="N422" s="233">
        <f t="shared" si="126"/>
        <v>1</v>
      </c>
      <c r="O422" s="233">
        <f t="shared" si="126"/>
        <v>0</v>
      </c>
      <c r="P422" s="233">
        <f t="shared" si="126"/>
        <v>4</v>
      </c>
      <c r="Q422" s="233">
        <f t="shared" si="126"/>
        <v>0</v>
      </c>
      <c r="R422" s="233">
        <f t="shared" si="126"/>
        <v>0</v>
      </c>
      <c r="S422" s="233">
        <f t="shared" si="126"/>
        <v>0</v>
      </c>
      <c r="T422" s="233">
        <f t="shared" si="126"/>
        <v>1</v>
      </c>
      <c r="U422" s="233">
        <f t="shared" si="126"/>
        <v>0</v>
      </c>
      <c r="V422" s="233">
        <f t="shared" si="126"/>
        <v>2</v>
      </c>
      <c r="W422" s="233">
        <f t="shared" si="126"/>
        <v>0</v>
      </c>
      <c r="X422" s="233">
        <f t="shared" si="126"/>
        <v>0</v>
      </c>
      <c r="Y422" s="233">
        <f t="shared" si="126"/>
        <v>0</v>
      </c>
      <c r="Z422" s="233">
        <f t="shared" si="126"/>
        <v>0</v>
      </c>
      <c r="AA422" s="233">
        <f t="shared" si="126"/>
        <v>0</v>
      </c>
      <c r="AB422" s="233">
        <f t="shared" si="126"/>
        <v>0</v>
      </c>
      <c r="AC422" s="233">
        <f t="shared" si="126"/>
        <v>0</v>
      </c>
      <c r="AD422" s="233">
        <f t="shared" si="126"/>
        <v>0</v>
      </c>
      <c r="AE422" s="233">
        <f t="shared" si="126"/>
        <v>0</v>
      </c>
      <c r="AF422" s="233">
        <f t="shared" si="126"/>
        <v>0</v>
      </c>
      <c r="AG422" s="95">
        <f t="shared" si="124"/>
        <v>9</v>
      </c>
    </row>
    <row r="423">
      <c r="A423" s="234"/>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65"/>
      <c r="AF423" s="165"/>
      <c r="AG423" s="156"/>
    </row>
    <row r="424">
      <c r="A424" s="235" t="s">
        <v>380</v>
      </c>
      <c r="B424" s="233">
        <v>30.0</v>
      </c>
      <c r="C424" s="233">
        <v>0.0</v>
      </c>
      <c r="D424" s="233">
        <v>0.0</v>
      </c>
      <c r="E424" s="233">
        <v>8.0</v>
      </c>
      <c r="F424" s="233">
        <v>22.0</v>
      </c>
      <c r="G424" s="233">
        <v>10.0</v>
      </c>
      <c r="H424" s="233">
        <v>8.0</v>
      </c>
      <c r="I424" s="233">
        <v>11.0</v>
      </c>
      <c r="J424" s="233">
        <v>0.0</v>
      </c>
      <c r="K424" s="233">
        <v>0.0</v>
      </c>
      <c r="L424" s="233">
        <v>46.0</v>
      </c>
      <c r="M424" s="233">
        <v>6.0</v>
      </c>
      <c r="N424" s="233">
        <v>39.0</v>
      </c>
      <c r="O424" s="233">
        <v>12.0</v>
      </c>
      <c r="P424" s="233">
        <v>35.0</v>
      </c>
      <c r="Q424" s="233">
        <v>0.0</v>
      </c>
      <c r="R424" s="233">
        <v>0.0</v>
      </c>
      <c r="S424" s="233">
        <v>32.0</v>
      </c>
      <c r="T424" s="233">
        <v>2.0</v>
      </c>
      <c r="U424" s="233">
        <v>6.0</v>
      </c>
      <c r="V424" s="233">
        <v>0.0</v>
      </c>
      <c r="W424" s="233">
        <v>0.0</v>
      </c>
      <c r="X424" s="233">
        <v>0.0</v>
      </c>
      <c r="Y424" s="233">
        <v>0.0</v>
      </c>
      <c r="Z424" s="233">
        <v>0.0</v>
      </c>
      <c r="AA424" s="233">
        <v>13.0</v>
      </c>
      <c r="AB424" s="233">
        <v>49.0</v>
      </c>
      <c r="AC424" s="233">
        <v>31.0</v>
      </c>
      <c r="AD424" s="233">
        <v>23.0</v>
      </c>
      <c r="AE424" s="233">
        <v>0.0</v>
      </c>
      <c r="AF424" s="233">
        <v>0.0</v>
      </c>
      <c r="AG424" s="95">
        <f t="shared" ref="AG424:AG425" si="127">SUM(B424:AF424)</f>
        <v>383</v>
      </c>
    </row>
    <row r="425">
      <c r="A425" s="235" t="s">
        <v>381</v>
      </c>
      <c r="B425" s="233">
        <v>0.0</v>
      </c>
      <c r="C425" s="233">
        <v>0.0</v>
      </c>
      <c r="D425" s="233">
        <v>0.0</v>
      </c>
      <c r="E425" s="233">
        <v>0.0</v>
      </c>
      <c r="F425" s="233">
        <v>4.0</v>
      </c>
      <c r="G425" s="233">
        <v>0.0</v>
      </c>
      <c r="H425" s="233">
        <v>1.0</v>
      </c>
      <c r="I425" s="233">
        <v>0.0</v>
      </c>
      <c r="J425" s="233">
        <v>0.0</v>
      </c>
      <c r="K425" s="233">
        <v>0.0</v>
      </c>
      <c r="L425" s="233">
        <v>0.0</v>
      </c>
      <c r="M425" s="233">
        <v>0.0</v>
      </c>
      <c r="N425" s="233">
        <v>2.0</v>
      </c>
      <c r="O425" s="233">
        <v>12.0</v>
      </c>
      <c r="P425" s="233">
        <v>2.0</v>
      </c>
      <c r="Q425" s="233">
        <v>0.0</v>
      </c>
      <c r="R425" s="233">
        <v>0.0</v>
      </c>
      <c r="S425" s="233">
        <v>0.0</v>
      </c>
      <c r="T425" s="233">
        <v>5.0</v>
      </c>
      <c r="U425" s="233">
        <v>1.0</v>
      </c>
      <c r="V425" s="233">
        <v>3.0</v>
      </c>
      <c r="W425" s="233">
        <v>0.0</v>
      </c>
      <c r="X425" s="233">
        <v>0.0</v>
      </c>
      <c r="Y425" s="233">
        <v>0.0</v>
      </c>
      <c r="Z425" s="233">
        <v>0.0</v>
      </c>
      <c r="AA425" s="233">
        <v>0.0</v>
      </c>
      <c r="AB425" s="233">
        <v>4.0</v>
      </c>
      <c r="AC425" s="233">
        <v>3.0</v>
      </c>
      <c r="AD425" s="233">
        <v>0.0</v>
      </c>
      <c r="AE425" s="233">
        <v>0.0</v>
      </c>
      <c r="AF425" s="233">
        <v>0.0</v>
      </c>
      <c r="AG425" s="95">
        <f t="shared" si="127"/>
        <v>37</v>
      </c>
    </row>
    <row r="426">
      <c r="A426" s="172"/>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81"/>
      <c r="AB426" s="181"/>
      <c r="AC426" s="181"/>
      <c r="AD426" s="181"/>
      <c r="AE426" s="181"/>
      <c r="AF426" s="181"/>
      <c r="AG426" s="207"/>
    </row>
    <row r="427">
      <c r="A427" s="141" t="s">
        <v>382</v>
      </c>
      <c r="AG427" s="207"/>
    </row>
    <row r="428">
      <c r="A428" s="219" t="s">
        <v>383</v>
      </c>
      <c r="B428" s="233">
        <v>0.0</v>
      </c>
      <c r="C428" s="233">
        <v>0.0</v>
      </c>
      <c r="D428" s="233">
        <v>0.0</v>
      </c>
      <c r="E428" s="233">
        <v>0.0</v>
      </c>
      <c r="F428" s="233">
        <v>7.0</v>
      </c>
      <c r="G428" s="233">
        <v>1.0</v>
      </c>
      <c r="H428" s="233">
        <v>1.0</v>
      </c>
      <c r="I428" s="233">
        <v>0.0</v>
      </c>
      <c r="J428" s="233">
        <v>0.0</v>
      </c>
      <c r="K428" s="233">
        <v>0.0</v>
      </c>
      <c r="L428" s="233">
        <v>3.0</v>
      </c>
      <c r="M428" s="233">
        <v>0.0</v>
      </c>
      <c r="N428" s="233">
        <v>1.0</v>
      </c>
      <c r="O428" s="233">
        <v>0.0</v>
      </c>
      <c r="P428" s="233">
        <v>0.0</v>
      </c>
      <c r="Q428" s="233">
        <v>0.0</v>
      </c>
      <c r="R428" s="233">
        <v>0.0</v>
      </c>
      <c r="S428" s="233">
        <v>0.0</v>
      </c>
      <c r="T428" s="233">
        <v>3.0</v>
      </c>
      <c r="U428" s="233">
        <v>0.0</v>
      </c>
      <c r="V428" s="233">
        <v>1.0</v>
      </c>
      <c r="W428" s="233">
        <v>0.0</v>
      </c>
      <c r="X428" s="233">
        <v>0.0</v>
      </c>
      <c r="Y428" s="233">
        <v>0.0</v>
      </c>
      <c r="Z428" s="233">
        <v>0.0</v>
      </c>
      <c r="AA428" s="233">
        <v>0.0</v>
      </c>
      <c r="AB428" s="233">
        <v>1.0</v>
      </c>
      <c r="AC428" s="233">
        <v>0.0</v>
      </c>
      <c r="AD428" s="233">
        <v>0.0</v>
      </c>
      <c r="AE428" s="233">
        <v>0.0</v>
      </c>
      <c r="AF428" s="233">
        <v>0.0</v>
      </c>
      <c r="AG428" s="95">
        <f t="shared" ref="AG428:AG429" si="128">SUM(B428:AF428)</f>
        <v>18</v>
      </c>
    </row>
    <row r="429">
      <c r="A429" s="219" t="s">
        <v>384</v>
      </c>
      <c r="B429" s="233">
        <v>0.0</v>
      </c>
      <c r="C429" s="233">
        <v>0.0</v>
      </c>
      <c r="D429" s="233">
        <v>0.0</v>
      </c>
      <c r="E429" s="233">
        <v>0.0</v>
      </c>
      <c r="F429" s="233">
        <v>0.0</v>
      </c>
      <c r="G429" s="233">
        <v>0.0</v>
      </c>
      <c r="H429" s="233">
        <v>0.0</v>
      </c>
      <c r="I429" s="233">
        <v>0.0</v>
      </c>
      <c r="J429" s="233">
        <v>0.0</v>
      </c>
      <c r="K429" s="233">
        <v>0.0</v>
      </c>
      <c r="L429" s="233">
        <v>0.0</v>
      </c>
      <c r="M429" s="233">
        <v>1.0</v>
      </c>
      <c r="N429" s="233">
        <v>0.0</v>
      </c>
      <c r="O429" s="233">
        <v>0.0</v>
      </c>
      <c r="P429" s="233">
        <v>2.0</v>
      </c>
      <c r="Q429" s="233">
        <v>0.0</v>
      </c>
      <c r="R429" s="233">
        <v>0.0</v>
      </c>
      <c r="S429" s="233">
        <v>0.0</v>
      </c>
      <c r="T429" s="233">
        <v>0.0</v>
      </c>
      <c r="U429" s="233">
        <v>0.0</v>
      </c>
      <c r="V429" s="233">
        <v>0.0</v>
      </c>
      <c r="W429" s="233">
        <v>0.0</v>
      </c>
      <c r="X429" s="233">
        <v>0.0</v>
      </c>
      <c r="Y429" s="233">
        <v>0.0</v>
      </c>
      <c r="Z429" s="233">
        <v>0.0</v>
      </c>
      <c r="AA429" s="233">
        <v>0.0</v>
      </c>
      <c r="AB429" s="233">
        <v>0.0</v>
      </c>
      <c r="AC429" s="233">
        <v>0.0</v>
      </c>
      <c r="AD429" s="233">
        <v>0.0</v>
      </c>
      <c r="AE429" s="233">
        <v>0.0</v>
      </c>
      <c r="AF429" s="233">
        <v>0.0</v>
      </c>
      <c r="AG429" s="95">
        <f t="shared" si="128"/>
        <v>3</v>
      </c>
    </row>
    <row r="430">
      <c r="A430" s="172"/>
      <c r="AG430" s="207"/>
    </row>
    <row r="431">
      <c r="A431" s="141" t="s">
        <v>385</v>
      </c>
      <c r="AG431" s="207"/>
    </row>
    <row r="432">
      <c r="A432" s="217" t="s">
        <v>386</v>
      </c>
      <c r="B432" s="236">
        <f t="shared" ref="B432:AF432" si="129">B551</f>
        <v>0</v>
      </c>
      <c r="C432" s="236">
        <f t="shared" si="129"/>
        <v>0</v>
      </c>
      <c r="D432" s="236">
        <f t="shared" si="129"/>
        <v>0</v>
      </c>
      <c r="E432" s="236">
        <f t="shared" si="129"/>
        <v>0</v>
      </c>
      <c r="F432" s="236">
        <f t="shared" si="129"/>
        <v>0</v>
      </c>
      <c r="G432" s="236">
        <f t="shared" si="129"/>
        <v>0</v>
      </c>
      <c r="H432" s="236">
        <f t="shared" si="129"/>
        <v>0</v>
      </c>
      <c r="I432" s="236">
        <f t="shared" si="129"/>
        <v>0</v>
      </c>
      <c r="J432" s="236">
        <f t="shared" si="129"/>
        <v>0</v>
      </c>
      <c r="K432" s="236">
        <f t="shared" si="129"/>
        <v>0</v>
      </c>
      <c r="L432" s="236">
        <f t="shared" si="129"/>
        <v>0</v>
      </c>
      <c r="M432" s="236">
        <f t="shared" si="129"/>
        <v>0</v>
      </c>
      <c r="N432" s="236">
        <f t="shared" si="129"/>
        <v>0</v>
      </c>
      <c r="O432" s="236">
        <f t="shared" si="129"/>
        <v>0</v>
      </c>
      <c r="P432" s="236">
        <f t="shared" si="129"/>
        <v>0</v>
      </c>
      <c r="Q432" s="236">
        <f t="shared" si="129"/>
        <v>0</v>
      </c>
      <c r="R432" s="236">
        <f t="shared" si="129"/>
        <v>0</v>
      </c>
      <c r="S432" s="236">
        <f t="shared" si="129"/>
        <v>0</v>
      </c>
      <c r="T432" s="236">
        <f t="shared" si="129"/>
        <v>0</v>
      </c>
      <c r="U432" s="236">
        <f t="shared" si="129"/>
        <v>0</v>
      </c>
      <c r="V432" s="236">
        <f t="shared" si="129"/>
        <v>0</v>
      </c>
      <c r="W432" s="236">
        <f t="shared" si="129"/>
        <v>0</v>
      </c>
      <c r="X432" s="236">
        <f t="shared" si="129"/>
        <v>0</v>
      </c>
      <c r="Y432" s="236">
        <f t="shared" si="129"/>
        <v>0</v>
      </c>
      <c r="Z432" s="236">
        <f t="shared" si="129"/>
        <v>0</v>
      </c>
      <c r="AA432" s="236">
        <f t="shared" si="129"/>
        <v>0</v>
      </c>
      <c r="AB432" s="236">
        <f t="shared" si="129"/>
        <v>0</v>
      </c>
      <c r="AC432" s="236">
        <f t="shared" si="129"/>
        <v>0</v>
      </c>
      <c r="AD432" s="236">
        <f t="shared" si="129"/>
        <v>0</v>
      </c>
      <c r="AE432" s="236">
        <f t="shared" si="129"/>
        <v>0</v>
      </c>
      <c r="AF432" s="236">
        <f t="shared" si="129"/>
        <v>0</v>
      </c>
      <c r="AG432" s="95">
        <f>SUM(B432:AF432)</f>
        <v>0</v>
      </c>
    </row>
    <row r="433">
      <c r="A433" s="172"/>
      <c r="AG433" s="207"/>
    </row>
    <row r="434">
      <c r="A434" s="237" t="s">
        <v>387</v>
      </c>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207"/>
    </row>
    <row r="435">
      <c r="A435" s="238" t="s">
        <v>388</v>
      </c>
      <c r="B435" s="239">
        <f t="shared" ref="B435:AF435" si="130">SUM(B25:B29)</f>
        <v>18876.6742</v>
      </c>
      <c r="C435" s="239">
        <f t="shared" si="130"/>
        <v>18603.30541</v>
      </c>
      <c r="D435" s="239">
        <f t="shared" si="130"/>
        <v>18731.49575</v>
      </c>
      <c r="E435" s="239">
        <f t="shared" si="130"/>
        <v>15558.32661</v>
      </c>
      <c r="F435" s="239">
        <f t="shared" si="130"/>
        <v>12842.59659</v>
      </c>
      <c r="G435" s="239">
        <f t="shared" si="130"/>
        <v>11495.61847</v>
      </c>
      <c r="H435" s="239">
        <f t="shared" si="130"/>
        <v>11454.22</v>
      </c>
      <c r="I435" s="239">
        <f t="shared" si="130"/>
        <v>12307.96093</v>
      </c>
      <c r="J435" s="239">
        <f t="shared" si="130"/>
        <v>13960.32992</v>
      </c>
      <c r="K435" s="239">
        <f t="shared" si="130"/>
        <v>14168.90811</v>
      </c>
      <c r="L435" s="239">
        <f t="shared" si="130"/>
        <v>12123.25894</v>
      </c>
      <c r="M435" s="239">
        <f t="shared" si="130"/>
        <v>10073.85216</v>
      </c>
      <c r="N435" s="239">
        <f t="shared" si="130"/>
        <v>9549.416472</v>
      </c>
      <c r="O435" s="239">
        <f t="shared" si="130"/>
        <v>9214.099005</v>
      </c>
      <c r="P435" s="239">
        <f t="shared" si="130"/>
        <v>5032.8</v>
      </c>
      <c r="Q435" s="239">
        <f t="shared" si="130"/>
        <v>3311.36</v>
      </c>
      <c r="R435" s="239">
        <f t="shared" si="130"/>
        <v>2981.79</v>
      </c>
      <c r="S435" s="239">
        <f t="shared" si="130"/>
        <v>3000.7</v>
      </c>
      <c r="T435" s="239">
        <f t="shared" si="130"/>
        <v>2633.46</v>
      </c>
      <c r="U435" s="239">
        <f t="shared" si="130"/>
        <v>2316.44</v>
      </c>
      <c r="V435" s="239">
        <f t="shared" si="130"/>
        <v>2657.94</v>
      </c>
      <c r="W435" s="239">
        <f t="shared" si="130"/>
        <v>2572.68</v>
      </c>
      <c r="X435" s="239">
        <f t="shared" si="130"/>
        <v>4065.2</v>
      </c>
      <c r="Y435" s="239">
        <f t="shared" si="130"/>
        <v>3353.57</v>
      </c>
      <c r="Z435" s="239">
        <f t="shared" si="130"/>
        <v>2611.9</v>
      </c>
      <c r="AA435" s="239">
        <f t="shared" si="130"/>
        <v>2056.99</v>
      </c>
      <c r="AB435" s="239">
        <f t="shared" si="130"/>
        <v>2334.81</v>
      </c>
      <c r="AC435" s="239">
        <f t="shared" si="130"/>
        <v>2430.75</v>
      </c>
      <c r="AD435" s="239">
        <f t="shared" si="130"/>
        <v>2202.48</v>
      </c>
      <c r="AE435" s="239">
        <f t="shared" si="130"/>
        <v>2056.54</v>
      </c>
      <c r="AF435" s="239">
        <f t="shared" si="130"/>
        <v>2116.52</v>
      </c>
      <c r="AG435" s="95">
        <f t="shared" ref="AG435:AG456" si="132">SUM(B435:AF435)</f>
        <v>236695.9926</v>
      </c>
    </row>
    <row r="436">
      <c r="A436" s="240" t="s">
        <v>389</v>
      </c>
      <c r="B436" s="137" t="str">
        <f t="shared" ref="B436:AD436" si="131">B30</f>
        <v>-</v>
      </c>
      <c r="C436" s="137" t="str">
        <f t="shared" si="131"/>
        <v>-</v>
      </c>
      <c r="D436" s="137" t="str">
        <f t="shared" si="131"/>
        <v>-</v>
      </c>
      <c r="E436" s="137" t="str">
        <f t="shared" si="131"/>
        <v>-</v>
      </c>
      <c r="F436" s="137" t="str">
        <f t="shared" si="131"/>
        <v>-</v>
      </c>
      <c r="G436" s="137" t="str">
        <f t="shared" si="131"/>
        <v>-</v>
      </c>
      <c r="H436" s="137" t="str">
        <f t="shared" si="131"/>
        <v>-</v>
      </c>
      <c r="I436" s="137" t="str">
        <f t="shared" si="131"/>
        <v>-</v>
      </c>
      <c r="J436" s="137" t="str">
        <f t="shared" si="131"/>
        <v>-</v>
      </c>
      <c r="K436" s="137" t="str">
        <f t="shared" si="131"/>
        <v>-</v>
      </c>
      <c r="L436" s="137" t="str">
        <f t="shared" si="131"/>
        <v>-</v>
      </c>
      <c r="M436" s="137" t="str">
        <f t="shared" si="131"/>
        <v>-</v>
      </c>
      <c r="N436" s="137" t="str">
        <f t="shared" si="131"/>
        <v>-</v>
      </c>
      <c r="O436" s="137" t="str">
        <f t="shared" si="131"/>
        <v>-</v>
      </c>
      <c r="P436" s="137" t="str">
        <f t="shared" si="131"/>
        <v>-</v>
      </c>
      <c r="Q436" s="137" t="str">
        <f t="shared" si="131"/>
        <v>-</v>
      </c>
      <c r="R436" s="137" t="str">
        <f t="shared" si="131"/>
        <v>-</v>
      </c>
      <c r="S436" s="137" t="str">
        <f t="shared" si="131"/>
        <v>-</v>
      </c>
      <c r="T436" s="137" t="str">
        <f t="shared" si="131"/>
        <v>-</v>
      </c>
      <c r="U436" s="137" t="str">
        <f t="shared" si="131"/>
        <v>-</v>
      </c>
      <c r="V436" s="137" t="str">
        <f t="shared" si="131"/>
        <v>-</v>
      </c>
      <c r="W436" s="137" t="str">
        <f t="shared" si="131"/>
        <v>-</v>
      </c>
      <c r="X436" s="137" t="str">
        <f t="shared" si="131"/>
        <v>-</v>
      </c>
      <c r="Y436" s="137" t="str">
        <f t="shared" si="131"/>
        <v>-</v>
      </c>
      <c r="Z436" s="137" t="str">
        <f t="shared" si="131"/>
        <v>-</v>
      </c>
      <c r="AA436" s="137" t="str">
        <f t="shared" si="131"/>
        <v>-</v>
      </c>
      <c r="AB436" s="137" t="str">
        <f t="shared" si="131"/>
        <v>-</v>
      </c>
      <c r="AC436" s="137" t="str">
        <f t="shared" si="131"/>
        <v>-</v>
      </c>
      <c r="AD436" s="137" t="str">
        <f t="shared" si="131"/>
        <v>-</v>
      </c>
      <c r="AE436" s="137"/>
      <c r="AF436" s="137"/>
      <c r="AG436" s="95">
        <f t="shared" si="132"/>
        <v>0</v>
      </c>
    </row>
    <row r="437">
      <c r="A437" s="238" t="s">
        <v>390</v>
      </c>
      <c r="B437" s="241">
        <f>(B55+B56)*'Data - P&amp;L'!$C$3</f>
        <v>3476</v>
      </c>
      <c r="C437" s="241">
        <f>(C55+C56)*'Data - P&amp;L'!$C$3</f>
        <v>3215.3</v>
      </c>
      <c r="D437" s="241">
        <f>(D55+D56)*'Data - P&amp;L'!$C$3</f>
        <v>3562.9</v>
      </c>
      <c r="E437" s="241">
        <f>(E55+E56)*'Data - P&amp;L'!$C$3</f>
        <v>3215.3</v>
      </c>
      <c r="F437" s="241">
        <f>(F55+F56)*'Data - P&amp;L'!$C$3</f>
        <v>2433.2</v>
      </c>
      <c r="G437" s="241">
        <f>(G55+G56)*'Data - P&amp;L'!$C$3</f>
        <v>2433.2</v>
      </c>
      <c r="H437" s="241">
        <f>(H55+H56)*'Data - P&amp;L'!$C$3</f>
        <v>2346.3</v>
      </c>
      <c r="I437" s="241">
        <f>(I55+I56)*'Data - P&amp;L'!$C$3</f>
        <v>1998.7</v>
      </c>
      <c r="J437" s="241">
        <f>(J55+J56)*'Data - P&amp;L'!$C$3</f>
        <v>2693.9</v>
      </c>
      <c r="K437" s="241">
        <f>(K55+K56)*'Data - P&amp;L'!$C$3</f>
        <v>2085.6</v>
      </c>
      <c r="L437" s="241">
        <f>(L55+L56)*'Data - P&amp;L'!$C$3</f>
        <v>1911.8</v>
      </c>
      <c r="M437" s="241">
        <f>(M55+M56)*'Data - P&amp;L'!$C$3</f>
        <v>1390.4</v>
      </c>
      <c r="N437" s="241">
        <f>(N55+N56)*'Data - P&amp;L'!$C$3</f>
        <v>434.5</v>
      </c>
      <c r="O437" s="241">
        <f>(O55+O56)*'Data - P&amp;L'!$C$3</f>
        <v>955.9</v>
      </c>
      <c r="P437" s="241">
        <f>(P55+P56)*'Data - P&amp;L'!$C$3</f>
        <v>608.3</v>
      </c>
      <c r="Q437" s="241">
        <f>(Q55+Q56)*'Data - P&amp;L'!$C$3</f>
        <v>782.1</v>
      </c>
      <c r="R437" s="241">
        <f>(R55+R56)*'Data - P&amp;L'!$C$3</f>
        <v>955.9</v>
      </c>
      <c r="S437" s="241">
        <f>(S55+S56)*'Data - P&amp;L'!$C$3</f>
        <v>1216.6</v>
      </c>
      <c r="T437" s="241">
        <f>(T55+T56)*'Data - P&amp;L'!$C$3</f>
        <v>521.4</v>
      </c>
      <c r="U437" s="241">
        <f>(U55+U56)*'Data - P&amp;L'!$C$3</f>
        <v>608.3</v>
      </c>
      <c r="V437" s="241">
        <f>(V55+V56)*'Data - P&amp;L'!$C$3</f>
        <v>521.4</v>
      </c>
      <c r="W437" s="241">
        <f>(W55+W56)*'Data - P&amp;L'!$C$3</f>
        <v>782.1</v>
      </c>
      <c r="X437" s="241">
        <f>(X55+X56)*'Data - P&amp;L'!$C$3</f>
        <v>1129.7</v>
      </c>
      <c r="Y437" s="241">
        <f>(Y55+Y56)*'Data - P&amp;L'!$C$3</f>
        <v>1390.4</v>
      </c>
      <c r="Z437" s="241">
        <f>(Z55+Z56)*'Data - P&amp;L'!$C$3</f>
        <v>955.9</v>
      </c>
      <c r="AA437" s="241">
        <f>(AA55+AA56)*'Data - P&amp;L'!$C$3</f>
        <v>695.2</v>
      </c>
      <c r="AB437" s="241">
        <f>(AB55+AB56)*'Data - P&amp;L'!$C$3</f>
        <v>608.3</v>
      </c>
      <c r="AC437" s="241">
        <f>(AC55+AC56)*'Data - P&amp;L'!$C$3</f>
        <v>695.2</v>
      </c>
      <c r="AD437" s="241">
        <f>(AD55+AD56)*'Data - P&amp;L'!$C$3</f>
        <v>782.1</v>
      </c>
      <c r="AE437" s="241">
        <f>(AE55+AE56)*'Data - P&amp;L'!$C$3</f>
        <v>521.4</v>
      </c>
      <c r="AF437" s="241">
        <f>(AF55+AF56)*'Data - P&amp;L'!$C$3</f>
        <v>521.4</v>
      </c>
      <c r="AG437" s="242">
        <f t="shared" si="132"/>
        <v>45448.7</v>
      </c>
    </row>
    <row r="438">
      <c r="A438" s="240" t="s">
        <v>391</v>
      </c>
      <c r="B438" s="137">
        <f>(B57+B58)*'Data - P&amp;L'!$C$4</f>
        <v>12201.25</v>
      </c>
      <c r="C438" s="137">
        <f>(C57+C58)*'Data - P&amp;L'!$C$4</f>
        <v>9663.39</v>
      </c>
      <c r="D438" s="137">
        <f>(D57+D58)*'Data - P&amp;L'!$C$4</f>
        <v>10737.1</v>
      </c>
      <c r="E438" s="137">
        <f>(E57+E58)*'Data - P&amp;L'!$C$4</f>
        <v>11127.54</v>
      </c>
      <c r="F438" s="137">
        <f>(F57+F58)*'Data - P&amp;L'!$C$4</f>
        <v>10541.88</v>
      </c>
      <c r="G438" s="137">
        <f>(G57+G58)*'Data - P&amp;L'!$C$4</f>
        <v>9077.73</v>
      </c>
      <c r="H438" s="137">
        <f>(H57+H58)*'Data - P&amp;L'!$C$4</f>
        <v>8101.63</v>
      </c>
      <c r="I438" s="137">
        <f>(I57+I58)*'Data - P&amp;L'!$C$4</f>
        <v>7906.41</v>
      </c>
      <c r="J438" s="137">
        <f>(J57+J58)*'Data - P&amp;L'!$C$4</f>
        <v>9272.95</v>
      </c>
      <c r="K438" s="137">
        <f>(K57+K58)*'Data - P&amp;L'!$C$4</f>
        <v>7711.19</v>
      </c>
      <c r="L438" s="137">
        <f>(L57+L58)*'Data - P&amp;L'!$C$4</f>
        <v>4978.11</v>
      </c>
      <c r="M438" s="137">
        <f>(M57+M58)*'Data - P&amp;L'!$C$4</f>
        <v>3025.91</v>
      </c>
      <c r="N438" s="137">
        <f>(N57+N58)*'Data - P&amp;L'!$C$4</f>
        <v>3025.91</v>
      </c>
      <c r="O438" s="137">
        <f>(O57+O58)*'Data - P&amp;L'!$C$4</f>
        <v>3025.91</v>
      </c>
      <c r="P438" s="137">
        <f>(P57+P58)*'Data - P&amp;L'!$C$4</f>
        <v>3416.35</v>
      </c>
      <c r="Q438" s="137">
        <f>(Q57+Q58)*'Data - P&amp;L'!$C$4</f>
        <v>4002.01</v>
      </c>
      <c r="R438" s="137">
        <f>(R57+R58)*'Data - P&amp;L'!$C$4</f>
        <v>2635.47</v>
      </c>
      <c r="S438" s="137">
        <f>(S57+S58)*'Data - P&amp;L'!$C$4</f>
        <v>2342.64</v>
      </c>
      <c r="T438" s="137">
        <f>(T57+T58)*'Data - P&amp;L'!$C$4</f>
        <v>2245.03</v>
      </c>
      <c r="U438" s="137">
        <f>(U57+U58)*'Data - P&amp;L'!$C$4</f>
        <v>1756.98</v>
      </c>
      <c r="V438" s="137">
        <f>(V57+V58)*'Data - P&amp;L'!$C$4</f>
        <v>3123.52</v>
      </c>
      <c r="W438" s="137">
        <f>(W57+W58)*'Data - P&amp;L'!$C$4</f>
        <v>6442.26</v>
      </c>
      <c r="X438" s="137">
        <f>(X57+X58)*'Data - P&amp;L'!$C$4</f>
        <v>3904.4</v>
      </c>
      <c r="Y438" s="137">
        <f>(Y57+Y58)*'Data - P&amp;L'!$C$4</f>
        <v>4978.11</v>
      </c>
      <c r="Z438" s="137">
        <f>(Z57+Z58)*'Data - P&amp;L'!$C$4</f>
        <v>3123.52</v>
      </c>
      <c r="AA438" s="137">
        <f>(AA57+AA58)*'Data - P&amp;L'!$C$4</f>
        <v>2733.08</v>
      </c>
      <c r="AB438" s="137">
        <f>(AB57+AB58)*'Data - P&amp;L'!$C$4</f>
        <v>2733.08</v>
      </c>
      <c r="AC438" s="137">
        <f>(AC57+AC58)*'Data - P&amp;L'!$C$4</f>
        <v>3904.4</v>
      </c>
      <c r="AD438" s="137">
        <f>(AD57+AD58)*'Data - P&amp;L'!$C$4</f>
        <v>2342.64</v>
      </c>
      <c r="AE438" s="137">
        <f>(AE57+AE58)*'Data - P&amp;L'!$C$4</f>
        <v>3904.4</v>
      </c>
      <c r="AF438" s="137">
        <f>(AF57+AF58)*'Data - P&amp;L'!$C$4</f>
        <v>3318.74</v>
      </c>
      <c r="AG438" s="95">
        <f t="shared" si="132"/>
        <v>167303.54</v>
      </c>
    </row>
    <row r="439">
      <c r="A439" s="238" t="s">
        <v>392</v>
      </c>
      <c r="B439" s="137">
        <f>B61*'Data - P&amp;L'!$C$15</f>
        <v>44125.8</v>
      </c>
      <c r="C439" s="137">
        <f>C61*'Data - P&amp;L'!$C$15</f>
        <v>4922.4</v>
      </c>
      <c r="D439" s="137">
        <f>D61*'Data - P&amp;L'!$C$15</f>
        <v>3164.4</v>
      </c>
      <c r="E439" s="137">
        <f>E61*'Data - P&amp;L'!$C$15</f>
        <v>2549.1</v>
      </c>
      <c r="F439" s="137">
        <f>F61*'Data - P&amp;L'!$C$15</f>
        <v>1670.1</v>
      </c>
      <c r="G439" s="137">
        <f>G61*'Data - P&amp;L'!$C$15</f>
        <v>879</v>
      </c>
      <c r="H439" s="137">
        <f>H61*'Data - P&amp;L'!$C$15</f>
        <v>2021.7</v>
      </c>
      <c r="I439" s="137">
        <f>I61*'Data - P&amp;L'!$C$15</f>
        <v>2812.8</v>
      </c>
      <c r="J439" s="137">
        <f>J61*'Data - P&amp;L'!$C$15</f>
        <v>1494.3</v>
      </c>
      <c r="K439" s="137">
        <f>K61*'Data - P&amp;L'!$C$15</f>
        <v>1933.8</v>
      </c>
      <c r="L439" s="137">
        <f>L61*'Data - P&amp;L'!$C$15</f>
        <v>2285.4</v>
      </c>
      <c r="M439" s="137">
        <f>M61*'Data - P&amp;L'!$C$15</f>
        <v>879</v>
      </c>
      <c r="N439" s="137">
        <f>N61*'Data - P&amp;L'!$C$15</f>
        <v>966.9</v>
      </c>
      <c r="O439" s="137">
        <f>O61*'Data - P&amp;L'!$C$15</f>
        <v>703.2</v>
      </c>
      <c r="P439" s="137">
        <f>P61*'Data - P&amp;L'!$C$15</f>
        <v>527.4</v>
      </c>
      <c r="Q439" s="137">
        <f>Q61*'Data - P&amp;L'!$C$15</f>
        <v>527.4</v>
      </c>
      <c r="R439" s="137">
        <f>R61*'Data - P&amp;L'!$C$15</f>
        <v>615.3</v>
      </c>
      <c r="S439" s="137">
        <f>S61*'Data - P&amp;L'!$C$15</f>
        <v>439.5</v>
      </c>
      <c r="T439" s="137">
        <f>T61*'Data - P&amp;L'!$C$15</f>
        <v>527.4</v>
      </c>
      <c r="U439" s="137">
        <f>U61*'Data - P&amp;L'!$C$15</f>
        <v>879</v>
      </c>
      <c r="V439" s="137">
        <f>V61*'Data - P&amp;L'!$C$15</f>
        <v>263.7</v>
      </c>
      <c r="W439" s="137">
        <f>W61*'Data - P&amp;L'!$C$15</f>
        <v>527.4</v>
      </c>
      <c r="X439" s="137">
        <f>X61*'Data - P&amp;L'!$C$15</f>
        <v>791.1</v>
      </c>
      <c r="Y439" s="137">
        <f>Y61*'Data - P&amp;L'!$C$15</f>
        <v>439.5</v>
      </c>
      <c r="Z439" s="137">
        <f>Z61*'Data - P&amp;L'!$C$15</f>
        <v>703.2</v>
      </c>
      <c r="AA439" s="137">
        <f>AA61*'Data - P&amp;L'!$C$15</f>
        <v>351.6</v>
      </c>
      <c r="AB439" s="137">
        <f>AB61*'Data - P&amp;L'!$C$15</f>
        <v>175.8</v>
      </c>
      <c r="AC439" s="137">
        <f>AC61*'Data - P&amp;L'!$C$15</f>
        <v>263.7</v>
      </c>
      <c r="AD439" s="137">
        <f>AD61*'Data - P&amp;L'!$C$15</f>
        <v>439.5</v>
      </c>
      <c r="AE439" s="137">
        <f>AE61*'Data - P&amp;L'!$C$15</f>
        <v>175.8</v>
      </c>
      <c r="AF439" s="137">
        <f>AF61*'Data - P&amp;L'!$C$15</f>
        <v>87.9</v>
      </c>
      <c r="AG439" s="95">
        <f t="shared" si="132"/>
        <v>78143.1</v>
      </c>
    </row>
    <row r="440">
      <c r="A440" s="240" t="s">
        <v>393</v>
      </c>
      <c r="B440" s="137">
        <f>B62*'Data - P&amp;L'!$C$16</f>
        <v>123942.75</v>
      </c>
      <c r="C440" s="137">
        <f>C62*'Data - P&amp;L'!$C$16</f>
        <v>15845.23</v>
      </c>
      <c r="D440" s="137">
        <f>D62*'Data - P&amp;L'!$C$16</f>
        <v>12345.67</v>
      </c>
      <c r="E440" s="137">
        <f>E62*'Data - P&amp;L'!$C$16</f>
        <v>9137.74</v>
      </c>
      <c r="F440" s="137">
        <f>F62*'Data - P&amp;L'!$C$16</f>
        <v>5346.55</v>
      </c>
      <c r="G440" s="137">
        <f>G62*'Data - P&amp;L'!$C$16</f>
        <v>4763.29</v>
      </c>
      <c r="H440" s="137">
        <f>H62*'Data - P&amp;L'!$C$16</f>
        <v>4957.71</v>
      </c>
      <c r="I440" s="137">
        <f>I62*'Data - P&amp;L'!$C$16</f>
        <v>4860.5</v>
      </c>
      <c r="J440" s="137">
        <f>J62*'Data - P&amp;L'!$C$16</f>
        <v>7582.38</v>
      </c>
      <c r="K440" s="137">
        <f>K62*'Data - P&amp;L'!$C$16</f>
        <v>6513.07</v>
      </c>
      <c r="L440" s="137">
        <f>L62*'Data - P&amp;L'!$C$16</f>
        <v>4666.08</v>
      </c>
      <c r="M440" s="137">
        <f>M62*'Data - P&amp;L'!$C$16</f>
        <v>3013.51</v>
      </c>
      <c r="N440" s="137">
        <f>N62*'Data - P&amp;L'!$C$16</f>
        <v>1944.2</v>
      </c>
      <c r="O440" s="137">
        <f>O62*'Data - P&amp;L'!$C$16</f>
        <v>3207.93</v>
      </c>
      <c r="P440" s="137">
        <f>P62*'Data - P&amp;L'!$C$16</f>
        <v>1555.36</v>
      </c>
      <c r="Q440" s="137">
        <f>Q62*'Data - P&amp;L'!$C$16</f>
        <v>2430.25</v>
      </c>
      <c r="R440" s="137">
        <f>R62*'Data - P&amp;L'!$C$16</f>
        <v>1846.99</v>
      </c>
      <c r="S440" s="137">
        <f>S62*'Data - P&amp;L'!$C$16</f>
        <v>1263.73</v>
      </c>
      <c r="T440" s="137">
        <f>T62*'Data - P&amp;L'!$C$16</f>
        <v>1360.94</v>
      </c>
      <c r="U440" s="137">
        <f>U62*'Data - P&amp;L'!$C$16</f>
        <v>1846.99</v>
      </c>
      <c r="V440" s="137">
        <f>V62*'Data - P&amp;L'!$C$16</f>
        <v>1360.94</v>
      </c>
      <c r="W440" s="137">
        <f>W62*'Data - P&amp;L'!$C$16</f>
        <v>2138.62</v>
      </c>
      <c r="X440" s="137">
        <f>X62*'Data - P&amp;L'!$C$16</f>
        <v>1749.78</v>
      </c>
      <c r="Y440" s="137">
        <f>Y62*'Data - P&amp;L'!$C$16</f>
        <v>2235.83</v>
      </c>
      <c r="Z440" s="137">
        <f>Z62*'Data - P&amp;L'!$C$16</f>
        <v>1749.78</v>
      </c>
      <c r="AA440" s="137">
        <f>AA62*'Data - P&amp;L'!$C$16</f>
        <v>1069.31</v>
      </c>
      <c r="AB440" s="137">
        <f>AB62*'Data - P&amp;L'!$C$16</f>
        <v>1166.52</v>
      </c>
      <c r="AC440" s="137">
        <f>AC62*'Data - P&amp;L'!$C$16</f>
        <v>972.1</v>
      </c>
      <c r="AD440" s="137">
        <f>AD62*'Data - P&amp;L'!$C$16</f>
        <v>583.26</v>
      </c>
      <c r="AE440" s="137">
        <f>AE62*'Data - P&amp;L'!$C$16</f>
        <v>680.47</v>
      </c>
      <c r="AF440" s="137">
        <f>AF62*'Data - P&amp;L'!$C$16</f>
        <v>583.26</v>
      </c>
      <c r="AG440" s="95">
        <f t="shared" si="132"/>
        <v>232720.74</v>
      </c>
    </row>
    <row r="441">
      <c r="A441" s="240" t="s">
        <v>394</v>
      </c>
      <c r="B441" s="137">
        <f>B65*'Data - P&amp;L'!$C$6</f>
        <v>949.77</v>
      </c>
      <c r="C441" s="137">
        <f>C65*'Data - P&amp;L'!$C$6</f>
        <v>675.27</v>
      </c>
      <c r="D441" s="137">
        <f>D65*'Data - P&amp;L'!$C$6</f>
        <v>785.07</v>
      </c>
      <c r="E441" s="137">
        <f>E65*'Data - P&amp;L'!$C$6</f>
        <v>691.74</v>
      </c>
      <c r="F441" s="137">
        <f>F65*'Data - P&amp;L'!$C$6</f>
        <v>581.94</v>
      </c>
      <c r="G441" s="137">
        <f>G65*'Data - P&amp;L'!$C$6</f>
        <v>587.43</v>
      </c>
      <c r="H441" s="137">
        <f>H65*'Data - P&amp;L'!$C$6</f>
        <v>488.61</v>
      </c>
      <c r="I441" s="137">
        <f>I65*'Data - P&amp;L'!$C$6</f>
        <v>439.2</v>
      </c>
      <c r="J441" s="137">
        <f>J65*'Data - P&amp;L'!$C$6</f>
        <v>543.51</v>
      </c>
      <c r="K441" s="137">
        <f>K65*'Data - P&amp;L'!$C$6</f>
        <v>554.49</v>
      </c>
      <c r="L441" s="137">
        <f>L65*'Data - P&amp;L'!$C$6</f>
        <v>236.07</v>
      </c>
      <c r="M441" s="137">
        <f>M65*'Data - P&amp;L'!$C$6</f>
        <v>87.84</v>
      </c>
      <c r="N441" s="137">
        <f>N65*'Data - P&amp;L'!$C$6</f>
        <v>71.37</v>
      </c>
      <c r="O441" s="137">
        <f>O65*'Data - P&amp;L'!$C$6</f>
        <v>71.37</v>
      </c>
      <c r="P441" s="137">
        <f>P65*'Data - P&amp;L'!$C$6</f>
        <v>49.41</v>
      </c>
      <c r="Q441" s="137">
        <f>Q65*'Data - P&amp;L'!$C$6</f>
        <v>82.35</v>
      </c>
      <c r="R441" s="137">
        <f>R65*'Data - P&amp;L'!$C$6</f>
        <v>87.84</v>
      </c>
      <c r="S441" s="137">
        <f>S65*'Data - P&amp;L'!$C$6</f>
        <v>93.33</v>
      </c>
      <c r="T441" s="137">
        <f>T65*'Data - P&amp;L'!$C$6</f>
        <v>38.43</v>
      </c>
      <c r="U441" s="137">
        <f>U65*'Data - P&amp;L'!$C$6</f>
        <v>32.94</v>
      </c>
      <c r="V441" s="137">
        <f>V65*'Data - P&amp;L'!$C$6</f>
        <v>60.39</v>
      </c>
      <c r="W441" s="137">
        <f>W65*'Data - P&amp;L'!$C$6</f>
        <v>225.09</v>
      </c>
      <c r="X441" s="137">
        <f>X65*'Data - P&amp;L'!$C$6</f>
        <v>115.29</v>
      </c>
      <c r="Y441" s="137">
        <f>Y65*'Data - P&amp;L'!$C$6</f>
        <v>109.8</v>
      </c>
      <c r="Z441" s="137">
        <f>Z65*'Data - P&amp;L'!$C$6</f>
        <v>98.82</v>
      </c>
      <c r="AA441" s="137">
        <f>AA65*'Data - P&amp;L'!$C$6</f>
        <v>49.41</v>
      </c>
      <c r="AB441" s="137">
        <f>AB65*'Data - P&amp;L'!$C$6</f>
        <v>82.35</v>
      </c>
      <c r="AC441" s="137">
        <f>AC65*'Data - P&amp;L'!$C$6</f>
        <v>76.86</v>
      </c>
      <c r="AD441" s="137">
        <f>AD65*'Data - P&amp;L'!$C$6</f>
        <v>82.35</v>
      </c>
      <c r="AE441" s="137">
        <f>AE65*'Data - P&amp;L'!$C$6</f>
        <v>76.86</v>
      </c>
      <c r="AF441" s="137">
        <f>AF65*'Data - P&amp;L'!$C$6</f>
        <v>54.9</v>
      </c>
      <c r="AG441" s="95">
        <f t="shared" si="132"/>
        <v>8180.1</v>
      </c>
    </row>
    <row r="442">
      <c r="A442" s="240" t="s">
        <v>395</v>
      </c>
      <c r="B442" s="137">
        <f>B66*'Data - P&amp;L'!$C$8</f>
        <v>47.6</v>
      </c>
      <c r="C442" s="137">
        <f>C66*'Data - P&amp;L'!$C$8</f>
        <v>36.89</v>
      </c>
      <c r="D442" s="137">
        <f>D66*'Data - P&amp;L'!$C$8</f>
        <v>28.56</v>
      </c>
      <c r="E442" s="137">
        <f>E66*'Data - P&amp;L'!$C$8</f>
        <v>33.32</v>
      </c>
      <c r="F442" s="137">
        <f>F66*'Data - P&amp;L'!$C$8</f>
        <v>26.18</v>
      </c>
      <c r="G442" s="137">
        <f>G66*'Data - P&amp;L'!$C$8</f>
        <v>26.18</v>
      </c>
      <c r="H442" s="137">
        <f>H66*'Data - P&amp;L'!$C$8</f>
        <v>23.8</v>
      </c>
      <c r="I442" s="137">
        <f>I66*'Data - P&amp;L'!$C$8</f>
        <v>32.13</v>
      </c>
      <c r="J442" s="137">
        <f>J66*'Data - P&amp;L'!$C$8</f>
        <v>30.94</v>
      </c>
      <c r="K442" s="137">
        <f>K66*'Data - P&amp;L'!$C$8</f>
        <v>35.7</v>
      </c>
      <c r="L442" s="137">
        <f>L66*'Data - P&amp;L'!$C$8</f>
        <v>17.85</v>
      </c>
      <c r="M442" s="137">
        <f>M66*'Data - P&amp;L'!$C$8</f>
        <v>13.09</v>
      </c>
      <c r="N442" s="137">
        <f>N66*'Data - P&amp;L'!$C$8</f>
        <v>4.76</v>
      </c>
      <c r="O442" s="137">
        <f>O66*'Data - P&amp;L'!$C$8</f>
        <v>9.52</v>
      </c>
      <c r="P442" s="137">
        <f>P66*'Data - P&amp;L'!$C$8</f>
        <v>5.95</v>
      </c>
      <c r="Q442" s="137">
        <f>Q66*'Data - P&amp;L'!$C$8</f>
        <v>14.28</v>
      </c>
      <c r="R442" s="137">
        <f>R66*'Data - P&amp;L'!$C$8</f>
        <v>9.52</v>
      </c>
      <c r="S442" s="137">
        <f>S66*'Data - P&amp;L'!$C$8</f>
        <v>16.66</v>
      </c>
      <c r="T442" s="137">
        <f>T66*'Data - P&amp;L'!$C$8</f>
        <v>13.09</v>
      </c>
      <c r="U442" s="137">
        <f>U66*'Data - P&amp;L'!$C$8</f>
        <v>13.09</v>
      </c>
      <c r="V442" s="137">
        <f>V66*'Data - P&amp;L'!$C$8</f>
        <v>10.71</v>
      </c>
      <c r="W442" s="137">
        <f>W66*'Data - P&amp;L'!$C$8</f>
        <v>15.47</v>
      </c>
      <c r="X442" s="137">
        <f>X66*'Data - P&amp;L'!$C$8</f>
        <v>14.28</v>
      </c>
      <c r="Y442" s="137">
        <f>Y66*'Data - P&amp;L'!$C$8</f>
        <v>15.47</v>
      </c>
      <c r="Z442" s="137">
        <f>Z66*'Data - P&amp;L'!$C$8</f>
        <v>13.09</v>
      </c>
      <c r="AA442" s="137">
        <f>AA66*'Data - P&amp;L'!$C$8</f>
        <v>13.09</v>
      </c>
      <c r="AB442" s="137">
        <f>AB66*'Data - P&amp;L'!$C$8</f>
        <v>10.71</v>
      </c>
      <c r="AC442" s="137">
        <f>AC66*'Data - P&amp;L'!$C$8</f>
        <v>9.52</v>
      </c>
      <c r="AD442" s="137">
        <f>AD66*'Data - P&amp;L'!$C$8</f>
        <v>10.71</v>
      </c>
      <c r="AE442" s="137">
        <f>AE66*'Data - P&amp;L'!$C$8</f>
        <v>10.71</v>
      </c>
      <c r="AF442" s="137">
        <f>AF66*'Data - P&amp;L'!$C$8</f>
        <v>9.52</v>
      </c>
      <c r="AG442" s="95">
        <f t="shared" si="132"/>
        <v>572.39</v>
      </c>
    </row>
    <row r="443">
      <c r="A443" s="240" t="s">
        <v>396</v>
      </c>
      <c r="B443" s="137">
        <f>(B67+B68)*'Data - P&amp;L'!$C$9</f>
        <v>313.02</v>
      </c>
      <c r="C443" s="137">
        <f>(C67+C68)*'Data - P&amp;L'!$C$9</f>
        <v>179.82</v>
      </c>
      <c r="D443" s="137">
        <f>(D67+D68)*'Data - P&amp;L'!$C$9</f>
        <v>179.82</v>
      </c>
      <c r="E443" s="137">
        <f>(E67+E68)*'Data - P&amp;L'!$C$9</f>
        <v>153.18</v>
      </c>
      <c r="F443" s="137">
        <f>(F67+F68)*'Data - P&amp;L'!$C$9</f>
        <v>133.2</v>
      </c>
      <c r="G443" s="137">
        <f>(G67+G68)*'Data - P&amp;L'!$C$9</f>
        <v>139.86</v>
      </c>
      <c r="H443" s="137">
        <f>(H67+H68)*'Data - P&amp;L'!$C$9</f>
        <v>166.5</v>
      </c>
      <c r="I443" s="137">
        <f>(I67+I68)*'Data - P&amp;L'!$C$9</f>
        <v>153.18</v>
      </c>
      <c r="J443" s="137">
        <f>(J67+J68)*'Data - P&amp;L'!$C$9</f>
        <v>193.14</v>
      </c>
      <c r="K443" s="137">
        <f>(K67+K68)*'Data - P&amp;L'!$C$9</f>
        <v>173.16</v>
      </c>
      <c r="L443" s="137">
        <f>(L67+L68)*'Data - P&amp;L'!$C$9</f>
        <v>119.88</v>
      </c>
      <c r="M443" s="137">
        <f>(M67+M68)*'Data - P&amp;L'!$C$9</f>
        <v>73.26</v>
      </c>
      <c r="N443" s="137">
        <f>(N67+N68)*'Data - P&amp;L'!$C$9</f>
        <v>13.32</v>
      </c>
      <c r="O443" s="137">
        <f>(O67+O68)*'Data - P&amp;L'!$C$9</f>
        <v>79.92</v>
      </c>
      <c r="P443" s="137">
        <f>(P67+P68)*'Data - P&amp;L'!$C$9</f>
        <v>73.26</v>
      </c>
      <c r="Q443" s="137">
        <f>(Q67+Q68)*'Data - P&amp;L'!$C$9</f>
        <v>86.58</v>
      </c>
      <c r="R443" s="137">
        <f>(R67+R68)*'Data - P&amp;L'!$C$9</f>
        <v>59.94</v>
      </c>
      <c r="S443" s="137">
        <f>(S67+S68)*'Data - P&amp;L'!$C$9</f>
        <v>53.28</v>
      </c>
      <c r="T443" s="137">
        <f>(T67+T68)*'Data - P&amp;L'!$C$9</f>
        <v>39.96</v>
      </c>
      <c r="U443" s="137">
        <f>(U67+U68)*'Data - P&amp;L'!$C$9</f>
        <v>19.98</v>
      </c>
      <c r="V443" s="137">
        <f>(V67+V68)*'Data - P&amp;L'!$C$9</f>
        <v>46.62</v>
      </c>
      <c r="W443" s="137">
        <f>(W67+W68)*'Data - P&amp;L'!$C$9</f>
        <v>86.58</v>
      </c>
      <c r="X443" s="137">
        <f>(X67+X68)*'Data - P&amp;L'!$C$9</f>
        <v>73.26</v>
      </c>
      <c r="Y443" s="137">
        <f>(Y67+Y68)*'Data - P&amp;L'!$C$9</f>
        <v>93.24</v>
      </c>
      <c r="Z443" s="137">
        <f>(Z67+Z68)*'Data - P&amp;L'!$C$9</f>
        <v>39.96</v>
      </c>
      <c r="AA443" s="137">
        <f>(AA67+AA68)*'Data - P&amp;L'!$C$9</f>
        <v>39.96</v>
      </c>
      <c r="AB443" s="137">
        <f>(AB67+AB68)*'Data - P&amp;L'!$C$9</f>
        <v>53.28</v>
      </c>
      <c r="AC443" s="137">
        <f>(AC67+AC68)*'Data - P&amp;L'!$C$9</f>
        <v>79.92</v>
      </c>
      <c r="AD443" s="137">
        <f>(AD67+AD68)*'Data - P&amp;L'!$C$9</f>
        <v>59.94</v>
      </c>
      <c r="AE443" s="137">
        <f>(AE67+AE68)*'Data - P&amp;L'!$C$9</f>
        <v>79.92</v>
      </c>
      <c r="AF443" s="137">
        <f>(AF67+AF68)*'Data - P&amp;L'!$C$9</f>
        <v>33.3</v>
      </c>
      <c r="AG443" s="95">
        <f t="shared" si="132"/>
        <v>3090.24</v>
      </c>
    </row>
    <row r="444">
      <c r="A444" s="240" t="s">
        <v>397</v>
      </c>
      <c r="B444" s="137">
        <f>(B69+B70)*'Data - P&amp;L'!$C$5</f>
        <v>430.08</v>
      </c>
      <c r="C444" s="137">
        <f>(C69+C70)*'Data - P&amp;L'!$C$5</f>
        <v>268.8</v>
      </c>
      <c r="D444" s="137">
        <f>(D69+D70)*'Data - P&amp;L'!$C$5</f>
        <v>241.92</v>
      </c>
      <c r="E444" s="137">
        <f>(E69+E70)*'Data - P&amp;L'!$C$5</f>
        <v>268.8</v>
      </c>
      <c r="F444" s="137">
        <f>(F69+F70)*'Data - P&amp;L'!$C$5</f>
        <v>241.92</v>
      </c>
      <c r="G444" s="137">
        <f>(G69+G70)*'Data - P&amp;L'!$C$5</f>
        <v>215.04</v>
      </c>
      <c r="H444" s="137">
        <f>(H69+H70)*'Data - P&amp;L'!$C$5</f>
        <v>174.72</v>
      </c>
      <c r="I444" s="137">
        <f>(I69+I70)*'Data - P&amp;L'!$C$5</f>
        <v>107.52</v>
      </c>
      <c r="J444" s="137">
        <f>(J69+J70)*'Data - P&amp;L'!$C$5</f>
        <v>309.12</v>
      </c>
      <c r="K444" s="137">
        <f>(K69+K70)*'Data - P&amp;L'!$C$5</f>
        <v>215.04</v>
      </c>
      <c r="L444" s="137">
        <f>(L69+L70)*'Data - P&amp;L'!$C$5</f>
        <v>201.6</v>
      </c>
      <c r="M444" s="137">
        <f>(M69+M70)*'Data - P&amp;L'!$C$5</f>
        <v>161.28</v>
      </c>
      <c r="N444" s="137">
        <f>(N69+N70)*'Data - P&amp;L'!$C$5</f>
        <v>134.4</v>
      </c>
      <c r="O444" s="137">
        <f>(O69+O70)*'Data - P&amp;L'!$C$5</f>
        <v>53.76</v>
      </c>
      <c r="P444" s="137">
        <f>(P69+P70)*'Data - P&amp;L'!$C$5</f>
        <v>120.96</v>
      </c>
      <c r="Q444" s="137">
        <f>(Q69+Q70)*'Data - P&amp;L'!$C$5</f>
        <v>161.28</v>
      </c>
      <c r="R444" s="137">
        <f>(R69+R70)*'Data - P&amp;L'!$C$5</f>
        <v>26.88</v>
      </c>
      <c r="S444" s="137">
        <f>(S69+S70)*'Data - P&amp;L'!$C$5</f>
        <v>107.52</v>
      </c>
      <c r="T444" s="137">
        <f>(T69+T70)*'Data - P&amp;L'!$C$5</f>
        <v>80.64</v>
      </c>
      <c r="U444" s="137">
        <f>(U69+U70)*'Data - P&amp;L'!$C$5</f>
        <v>80.64</v>
      </c>
      <c r="V444" s="137">
        <f>(V69+V70)*'Data - P&amp;L'!$C$5</f>
        <v>40.32</v>
      </c>
      <c r="W444" s="137">
        <f>(W69+W70)*'Data - P&amp;L'!$C$5</f>
        <v>107.52</v>
      </c>
      <c r="X444" s="137">
        <f>(X69+X70)*'Data - P&amp;L'!$C$5</f>
        <v>188.16</v>
      </c>
      <c r="Y444" s="137">
        <f>(Y69+Y70)*'Data - P&amp;L'!$C$5</f>
        <v>67.2</v>
      </c>
      <c r="Z444" s="137">
        <f>(Z69+Z70)*'Data - P&amp;L'!$C$5</f>
        <v>107.52</v>
      </c>
      <c r="AA444" s="137">
        <f>(AA69+AA70)*'Data - P&amp;L'!$C$5</f>
        <v>67.2</v>
      </c>
      <c r="AB444" s="137">
        <f>(AB69+AB70)*'Data - P&amp;L'!$C$5</f>
        <v>147.84</v>
      </c>
      <c r="AC444" s="137">
        <f>(AC69+AC70)*'Data - P&amp;L'!$C$5</f>
        <v>134.4</v>
      </c>
      <c r="AD444" s="137">
        <f>(AD69+AD70)*'Data - P&amp;L'!$C$5</f>
        <v>67.2</v>
      </c>
      <c r="AE444" s="137">
        <f>(AE69+AE70)*'Data - P&amp;L'!$C$5</f>
        <v>80.64</v>
      </c>
      <c r="AF444" s="137">
        <f>(AF69+AF70)*'Data - P&amp;L'!$C$5</f>
        <v>94.08</v>
      </c>
      <c r="AG444" s="95">
        <f t="shared" si="132"/>
        <v>4704</v>
      </c>
    </row>
    <row r="445">
      <c r="A445" s="240" t="s">
        <v>398</v>
      </c>
      <c r="B445" s="243">
        <f>(B71+B72)*'Data - P&amp;L'!$C$10</f>
        <v>786</v>
      </c>
      <c r="C445" s="243">
        <f>(C71+C72)*'Data - P&amp;L'!$C$10</f>
        <v>570</v>
      </c>
      <c r="D445" s="243">
        <f>(D71+D72)*'Data - P&amp;L'!$C$10</f>
        <v>438</v>
      </c>
      <c r="E445" s="243">
        <f>(E71+E72)*'Data - P&amp;L'!$C$10</f>
        <v>426</v>
      </c>
      <c r="F445" s="243">
        <f>(F71+F72)*'Data - P&amp;L'!$C$10</f>
        <v>336</v>
      </c>
      <c r="G445" s="243">
        <f>(G71+G72)*'Data - P&amp;L'!$C$10</f>
        <v>360</v>
      </c>
      <c r="H445" s="243">
        <f>(H71+H72)*'Data - P&amp;L'!$C$10</f>
        <v>324</v>
      </c>
      <c r="I445" s="243">
        <f>(I71+I72)*'Data - P&amp;L'!$C$10</f>
        <v>270</v>
      </c>
      <c r="J445" s="243">
        <f>(J71+J72)*'Data - P&amp;L'!$C$10</f>
        <v>456</v>
      </c>
      <c r="K445" s="243">
        <f>(K71+K72)*'Data - P&amp;L'!$C$10</f>
        <v>372</v>
      </c>
      <c r="L445" s="243">
        <f>(L71+L72)*'Data - P&amp;L'!$C$10</f>
        <v>276</v>
      </c>
      <c r="M445" s="243">
        <f>(M71+M72)*'Data - P&amp;L'!$C$10</f>
        <v>186</v>
      </c>
      <c r="N445" s="243">
        <f>(N71+N72)*'Data - P&amp;L'!$C$10</f>
        <v>96</v>
      </c>
      <c r="O445" s="243">
        <f>(O71+O72)*'Data - P&amp;L'!$C$10</f>
        <v>162</v>
      </c>
      <c r="P445" s="243">
        <f>(P71+P72)*'Data - P&amp;L'!$C$10</f>
        <v>144</v>
      </c>
      <c r="Q445" s="243">
        <f>(Q71+Q72)*'Data - P&amp;L'!$C$10</f>
        <v>222</v>
      </c>
      <c r="R445" s="243">
        <f>(R71+R72)*'Data - P&amp;L'!$C$10</f>
        <v>168</v>
      </c>
      <c r="S445" s="243">
        <f>(S71+S72)*'Data - P&amp;L'!$C$10</f>
        <v>126</v>
      </c>
      <c r="T445" s="243">
        <f>(T71+T72)*'Data - P&amp;L'!$C$10</f>
        <v>126</v>
      </c>
      <c r="U445" s="243">
        <f>(U71+U72)*'Data - P&amp;L'!$C$10</f>
        <v>120</v>
      </c>
      <c r="V445" s="243">
        <f>(V71+V72)*'Data - P&amp;L'!$C$10</f>
        <v>150</v>
      </c>
      <c r="W445" s="243">
        <f>(W71+W72)*'Data - P&amp;L'!$C$10</f>
        <v>138</v>
      </c>
      <c r="X445" s="243">
        <f>(X71+X72)*'Data - P&amp;L'!$C$10</f>
        <v>162</v>
      </c>
      <c r="Y445" s="243">
        <f>(Y71+Y72)*'Data - P&amp;L'!$C$10</f>
        <v>234</v>
      </c>
      <c r="Z445" s="243">
        <f>(Z71+Z72)*'Data - P&amp;L'!$C$10</f>
        <v>180</v>
      </c>
      <c r="AA445" s="243">
        <f>(AA71+AA72)*'Data - P&amp;L'!$C$10</f>
        <v>132</v>
      </c>
      <c r="AB445" s="243">
        <f>(AB71+AB72)*'Data - P&amp;L'!$C$10</f>
        <v>114</v>
      </c>
      <c r="AC445" s="243">
        <f>(AC71+AC72)*'Data - P&amp;L'!$C$10</f>
        <v>168</v>
      </c>
      <c r="AD445" s="243">
        <f>(AD71+AD72)*'Data - P&amp;L'!$C$10</f>
        <v>120</v>
      </c>
      <c r="AE445" s="243">
        <f>(AE71+AE72)*'Data - P&amp;L'!$C$10</f>
        <v>156</v>
      </c>
      <c r="AF445" s="243">
        <f>(AF71+AF72)*'Data - P&amp;L'!$C$10</f>
        <v>108</v>
      </c>
      <c r="AG445" s="95">
        <f t="shared" si="132"/>
        <v>7626</v>
      </c>
    </row>
    <row r="446">
      <c r="A446" s="240" t="s">
        <v>399</v>
      </c>
      <c r="B446" s="243">
        <f>B73*'Data - P&amp;L'!$C$17</f>
        <v>0</v>
      </c>
      <c r="C446" s="243">
        <f>C73*'Data - P&amp;L'!$C$17</f>
        <v>0</v>
      </c>
      <c r="D446" s="243">
        <f>D73*'Data - P&amp;L'!$C$17</f>
        <v>0</v>
      </c>
      <c r="E446" s="243">
        <f>E73*'Data - P&amp;L'!$C$17</f>
        <v>0</v>
      </c>
      <c r="F446" s="243">
        <f>F73*'Data - P&amp;L'!$C$17</f>
        <v>0</v>
      </c>
      <c r="G446" s="243">
        <f>G73*'Data - P&amp;L'!$C$17</f>
        <v>0</v>
      </c>
      <c r="H446" s="243">
        <f>H73*'Data - P&amp;L'!$C$17</f>
        <v>0</v>
      </c>
      <c r="I446" s="243">
        <f>I73*'Data - P&amp;L'!$C$17</f>
        <v>0</v>
      </c>
      <c r="J446" s="243">
        <f>J73*'Data - P&amp;L'!$C$17</f>
        <v>0</v>
      </c>
      <c r="K446" s="243">
        <f>K73*'Data - P&amp;L'!$C$17</f>
        <v>0</v>
      </c>
      <c r="L446" s="243">
        <f>L73*'Data - P&amp;L'!$C$17</f>
        <v>0</v>
      </c>
      <c r="M446" s="243">
        <f>M73*'Data - P&amp;L'!$C$17</f>
        <v>0</v>
      </c>
      <c r="N446" s="243">
        <f>N73*'Data - P&amp;L'!$C$17</f>
        <v>41.19</v>
      </c>
      <c r="O446" s="243">
        <f>O73*'Data - P&amp;L'!$C$17</f>
        <v>41.19</v>
      </c>
      <c r="P446" s="243">
        <f>P73*'Data - P&amp;L'!$C$17</f>
        <v>82.38</v>
      </c>
      <c r="Q446" s="243">
        <f>Q73*'Data - P&amp;L'!$C$17</f>
        <v>41.19</v>
      </c>
      <c r="R446" s="243">
        <f>R73*'Data - P&amp;L'!$C$17</f>
        <v>27.46</v>
      </c>
      <c r="S446" s="243">
        <f>S73*'Data - P&amp;L'!$C$17</f>
        <v>0</v>
      </c>
      <c r="T446" s="243">
        <f>T73*'Data - P&amp;L'!$C$17</f>
        <v>27.46</v>
      </c>
      <c r="U446" s="243">
        <f>U73*'Data - P&amp;L'!$C$17</f>
        <v>41.19</v>
      </c>
      <c r="V446" s="243">
        <f>V73*'Data - P&amp;L'!$C$17</f>
        <v>0</v>
      </c>
      <c r="W446" s="243">
        <f>W73*'Data - P&amp;L'!$C$17</f>
        <v>68.65</v>
      </c>
      <c r="X446" s="243">
        <f>X73*'Data - P&amp;L'!$C$17</f>
        <v>41.19</v>
      </c>
      <c r="Y446" s="243">
        <f>Y73*'Data - P&amp;L'!$C$17</f>
        <v>27.46</v>
      </c>
      <c r="Z446" s="243">
        <f>Z73*'Data - P&amp;L'!$C$17</f>
        <v>0</v>
      </c>
      <c r="AA446" s="243">
        <f>AA73*'Data - P&amp;L'!$C$17</f>
        <v>0</v>
      </c>
      <c r="AB446" s="243">
        <f>AB73*'Data - P&amp;L'!$C$17</f>
        <v>13.73</v>
      </c>
      <c r="AC446" s="243">
        <f>AC73*'Data - P&amp;L'!$C$17</f>
        <v>13.73</v>
      </c>
      <c r="AD446" s="243">
        <f>AD73*'Data - P&amp;L'!$C$17</f>
        <v>0</v>
      </c>
      <c r="AE446" s="243">
        <f>AE73*'Data - P&amp;L'!$C$17</f>
        <v>0</v>
      </c>
      <c r="AF446" s="243">
        <f>AF73*'Data - P&amp;L'!$C$17</f>
        <v>0</v>
      </c>
      <c r="AG446" s="95">
        <f t="shared" si="132"/>
        <v>466.82</v>
      </c>
    </row>
    <row r="447">
      <c r="A447" s="240" t="s">
        <v>400</v>
      </c>
      <c r="B447" s="243">
        <f>B74*'Data - P&amp;L'!$C$18</f>
        <v>773.72</v>
      </c>
      <c r="C447" s="243">
        <f>C74*'Data - P&amp;L'!$C$18</f>
        <v>240.12</v>
      </c>
      <c r="D447" s="243">
        <f>D74*'Data - P&amp;L'!$C$18</f>
        <v>26.68</v>
      </c>
      <c r="E447" s="243">
        <f>E74*'Data - P&amp;L'!$C$18</f>
        <v>106.72</v>
      </c>
      <c r="F447" s="243">
        <f>F74*'Data - P&amp;L'!$C$18</f>
        <v>53.36</v>
      </c>
      <c r="G447" s="243">
        <f>G74*'Data - P&amp;L'!$C$18</f>
        <v>53.36</v>
      </c>
      <c r="H447" s="243">
        <f>H74*'Data - P&amp;L'!$C$18</f>
        <v>0</v>
      </c>
      <c r="I447" s="243">
        <f>I74*'Data - P&amp;L'!$C$18</f>
        <v>0</v>
      </c>
      <c r="J447" s="243">
        <f>J74*'Data - P&amp;L'!$C$18</f>
        <v>80.04</v>
      </c>
      <c r="K447" s="243">
        <f>K74*'Data - P&amp;L'!$C$18</f>
        <v>186.76</v>
      </c>
      <c r="L447" s="243">
        <f>L74*'Data - P&amp;L'!$C$18</f>
        <v>26.68</v>
      </c>
      <c r="M447" s="243">
        <f>M74*'Data - P&amp;L'!$C$18</f>
        <v>53.36</v>
      </c>
      <c r="N447" s="243">
        <f>N74*'Data - P&amp;L'!$C$18</f>
        <v>53.36</v>
      </c>
      <c r="O447" s="243">
        <f>O74*'Data - P&amp;L'!$C$18</f>
        <v>80.04</v>
      </c>
      <c r="P447" s="243">
        <f>P74*'Data - P&amp;L'!$C$18</f>
        <v>53.36</v>
      </c>
      <c r="Q447" s="243">
        <f>Q74*'Data - P&amp;L'!$C$18</f>
        <v>53.36</v>
      </c>
      <c r="R447" s="243">
        <f>R74*'Data - P&amp;L'!$C$18</f>
        <v>53.36</v>
      </c>
      <c r="S447" s="243">
        <f>S74*'Data - P&amp;L'!$C$18</f>
        <v>53.36</v>
      </c>
      <c r="T447" s="243">
        <f>T74*'Data - P&amp;L'!$C$18</f>
        <v>0</v>
      </c>
      <c r="U447" s="243">
        <f>U74*'Data - P&amp;L'!$C$18</f>
        <v>26.68</v>
      </c>
      <c r="V447" s="243">
        <f>V74*'Data - P&amp;L'!$C$18</f>
        <v>0</v>
      </c>
      <c r="W447" s="243">
        <f>W74*'Data - P&amp;L'!$C$18</f>
        <v>53.36</v>
      </c>
      <c r="X447" s="243">
        <f>X74*'Data - P&amp;L'!$C$18</f>
        <v>26.68</v>
      </c>
      <c r="Y447" s="243">
        <f>Y74*'Data - P&amp;L'!$C$18</f>
        <v>53.36</v>
      </c>
      <c r="Z447" s="243">
        <f>Z74*'Data - P&amp;L'!$C$18</f>
        <v>26.68</v>
      </c>
      <c r="AA447" s="243">
        <f>AA74*'Data - P&amp;L'!$C$18</f>
        <v>0</v>
      </c>
      <c r="AB447" s="243">
        <f>AB74*'Data - P&amp;L'!$C$18</f>
        <v>26.68</v>
      </c>
      <c r="AC447" s="243">
        <f>AC74*'Data - P&amp;L'!$C$18</f>
        <v>0</v>
      </c>
      <c r="AD447" s="243">
        <f>AD74*'Data - P&amp;L'!$C$18</f>
        <v>0</v>
      </c>
      <c r="AE447" s="243">
        <f>AE74*'Data - P&amp;L'!$C$18</f>
        <v>0</v>
      </c>
      <c r="AF447" s="243">
        <f>AF74*'Data - P&amp;L'!$C$18</f>
        <v>0</v>
      </c>
      <c r="AG447" s="95">
        <f t="shared" si="132"/>
        <v>2161.08</v>
      </c>
    </row>
    <row r="448">
      <c r="A448" s="240" t="s">
        <v>401</v>
      </c>
      <c r="B448" s="243">
        <f>B88*'Data - P&amp;L'!$C$11</f>
        <v>0</v>
      </c>
      <c r="C448" s="243">
        <f>C88*'Data - P&amp;L'!$C$11</f>
        <v>0</v>
      </c>
      <c r="D448" s="243">
        <f>D88*'Data - P&amp;L'!$C$11</f>
        <v>0</v>
      </c>
      <c r="E448" s="243">
        <f>E88*'Data - P&amp;L'!$C$11</f>
        <v>0</v>
      </c>
      <c r="F448" s="243">
        <f>F88*'Data - P&amp;L'!$C$11</f>
        <v>7.88</v>
      </c>
      <c r="G448" s="243">
        <f>G88*'Data - P&amp;L'!$C$11</f>
        <v>27.58</v>
      </c>
      <c r="H448" s="243">
        <f>H88*'Data - P&amp;L'!$C$11</f>
        <v>3.94</v>
      </c>
      <c r="I448" s="243">
        <f>I88*'Data - P&amp;L'!$C$11</f>
        <v>0</v>
      </c>
      <c r="J448" s="243">
        <f>J88*'Data - P&amp;L'!$C$11</f>
        <v>3.94</v>
      </c>
      <c r="K448" s="243">
        <f>K88*'Data - P&amp;L'!$C$11</f>
        <v>0</v>
      </c>
      <c r="L448" s="243">
        <f>L88*'Data - P&amp;L'!$C$11</f>
        <v>0</v>
      </c>
      <c r="M448" s="243">
        <f>M88*'Data - P&amp;L'!$C$11</f>
        <v>0</v>
      </c>
      <c r="N448" s="243">
        <f>N88*'Data - P&amp;L'!$C$11</f>
        <v>0</v>
      </c>
      <c r="O448" s="243">
        <f>O88*'Data - P&amp;L'!$C$11</f>
        <v>0</v>
      </c>
      <c r="P448" s="243">
        <f>P88*'Data - P&amp;L'!$C$11</f>
        <v>3.94</v>
      </c>
      <c r="Q448" s="243">
        <f>Q88*'Data - P&amp;L'!$C$11</f>
        <v>3.94</v>
      </c>
      <c r="R448" s="243">
        <f>R88*'Data - P&amp;L'!$C$11</f>
        <v>0</v>
      </c>
      <c r="S448" s="243">
        <f>S88*'Data - P&amp;L'!$C$11</f>
        <v>7.88</v>
      </c>
      <c r="T448" s="243">
        <f>T88*'Data - P&amp;L'!$C$11</f>
        <v>3.94</v>
      </c>
      <c r="U448" s="243">
        <f>U88*'Data - P&amp;L'!$C$11</f>
        <v>0</v>
      </c>
      <c r="V448" s="243">
        <f>V88*'Data - P&amp;L'!$C$11</f>
        <v>0</v>
      </c>
      <c r="W448" s="243">
        <f>W88*'Data - P&amp;L'!$C$11</f>
        <v>0</v>
      </c>
      <c r="X448" s="243">
        <f>X88*'Data - P&amp;L'!$C$11</f>
        <v>3.94</v>
      </c>
      <c r="Y448" s="243">
        <f>Y88*'Data - P&amp;L'!$C$11</f>
        <v>0</v>
      </c>
      <c r="Z448" s="243">
        <f>Z88*'Data - P&amp;L'!$C$11</f>
        <v>0</v>
      </c>
      <c r="AA448" s="243">
        <f>AA88*'Data - P&amp;L'!$C$11</f>
        <v>0</v>
      </c>
      <c r="AB448" s="243">
        <f>AB88*'Data - P&amp;L'!$C$11</f>
        <v>0</v>
      </c>
      <c r="AC448" s="243">
        <f>AC88*'Data - P&amp;L'!$C$11</f>
        <v>0</v>
      </c>
      <c r="AD448" s="243">
        <f>AD88*'Data - P&amp;L'!$C$11</f>
        <v>0</v>
      </c>
      <c r="AE448" s="243">
        <f>AE88*'Data - P&amp;L'!$C$11</f>
        <v>0</v>
      </c>
      <c r="AF448" s="243">
        <f>AF88*'Data - P&amp;L'!$C$11</f>
        <v>0</v>
      </c>
      <c r="AG448" s="95">
        <f t="shared" si="132"/>
        <v>66.98</v>
      </c>
    </row>
    <row r="449">
      <c r="A449" s="244" t="s">
        <v>402</v>
      </c>
      <c r="B449" s="245"/>
      <c r="C449" s="245"/>
      <c r="D449" s="245"/>
      <c r="E449" s="245"/>
      <c r="F449" s="245"/>
      <c r="G449" s="245"/>
      <c r="H449" s="245"/>
      <c r="I449" s="245"/>
      <c r="J449" s="245"/>
      <c r="K449" s="245"/>
      <c r="L449" s="245"/>
      <c r="M449" s="245"/>
      <c r="N449" s="245"/>
      <c r="O449" s="245"/>
      <c r="P449" s="245"/>
      <c r="Q449" s="245"/>
      <c r="R449" s="245"/>
      <c r="S449" s="245"/>
      <c r="T449" s="245"/>
      <c r="U449" s="245"/>
      <c r="V449" s="245"/>
      <c r="W449" s="245"/>
      <c r="X449" s="245"/>
      <c r="Y449" s="245"/>
      <c r="Z449" s="245"/>
      <c r="AA449" s="245"/>
      <c r="AB449" s="245"/>
      <c r="AC449" s="245"/>
      <c r="AD449" s="245"/>
      <c r="AE449" s="245"/>
      <c r="AF449" s="245"/>
      <c r="AG449" s="95">
        <f t="shared" si="132"/>
        <v>0</v>
      </c>
    </row>
    <row r="450">
      <c r="A450" s="240" t="s">
        <v>403</v>
      </c>
      <c r="B450" s="137">
        <f>(B52*'Data - P&amp;L'!$L$12*'Data - P&amp;L'!$L$3)+(B52*'Data - P&amp;L'!$L$13*'Data - P&amp;L'!$L$14)</f>
        <v>18571.31635</v>
      </c>
      <c r="C450" s="137">
        <f>(C52*'Data - P&amp;L'!$L$12*'Data - P&amp;L'!$L$3)+(C52*'Data - P&amp;L'!$L$13*'Data - P&amp;L'!$L$14)</f>
        <v>3286.145923</v>
      </c>
      <c r="D450" s="137">
        <f>(D52*'Data - P&amp;L'!$L$12*'Data - P&amp;L'!$L$3)+(D52*'Data - P&amp;L'!$L$13*'Data - P&amp;L'!$L$14)</f>
        <v>2809.62809</v>
      </c>
      <c r="E450" s="137">
        <f>(E52*'Data - P&amp;L'!$L$12*'Data - P&amp;L'!$L$3)+(E52*'Data - P&amp;L'!$L$13*'Data - P&amp;L'!$L$14)</f>
        <v>2425.522401</v>
      </c>
      <c r="F450" s="137">
        <f>(F52*'Data - P&amp;L'!$L$12*'Data - P&amp;L'!$L$3)+(F52*'Data - P&amp;L'!$L$13*'Data - P&amp;L'!$L$14)</f>
        <v>1826.736534</v>
      </c>
      <c r="G450" s="137">
        <f>(G52*'Data - P&amp;L'!$L$12*'Data - P&amp;L'!$L$3)+(G52*'Data - P&amp;L'!$L$13*'Data - P&amp;L'!$L$14)</f>
        <v>1602.898196</v>
      </c>
      <c r="H450" s="137">
        <f>(H52*'Data - P&amp;L'!$L$12*'Data - P&amp;L'!$L$3)+(H52*'Data - P&amp;L'!$L$13*'Data - P&amp;L'!$L$14)</f>
        <v>1631.863874</v>
      </c>
      <c r="I450" s="137">
        <f>(I52*'Data - P&amp;L'!$L$12*'Data - P&amp;L'!$L$3)+(I52*'Data - P&amp;L'!$L$13*'Data - P&amp;L'!$L$14)</f>
        <v>1622.687142</v>
      </c>
      <c r="J450" s="137">
        <f>(J52*'Data - P&amp;L'!$L$12*'Data - P&amp;L'!$L$3)+(J52*'Data - P&amp;L'!$L$13*'Data - P&amp;L'!$L$14)</f>
        <v>1994.37462</v>
      </c>
      <c r="K450" s="137">
        <f>(K52*'Data - P&amp;L'!$L$12*'Data - P&amp;L'!$L$3)+(K52*'Data - P&amp;L'!$L$13*'Data - P&amp;L'!$L$14)</f>
        <v>1776.323267</v>
      </c>
      <c r="L450" s="137">
        <f>(L52*'Data - P&amp;L'!$L$12*'Data - P&amp;L'!$L$3)+(L52*'Data - P&amp;L'!$L$13*'Data - P&amp;L'!$L$14)</f>
        <v>1525.491784</v>
      </c>
      <c r="M450" s="137">
        <f>(M52*'Data - P&amp;L'!$L$12*'Data - P&amp;L'!$L$3)+(M52*'Data - P&amp;L'!$L$13*'Data - P&amp;L'!$L$14)</f>
        <v>1054.32953</v>
      </c>
      <c r="N450" s="137">
        <f>(N52*'Data - P&amp;L'!$L$12*'Data - P&amp;L'!$L$3)+(N52*'Data - P&amp;L'!$L$13*'Data - P&amp;L'!$L$14)</f>
        <v>747.1072087</v>
      </c>
      <c r="O450" s="137">
        <f>(O52*'Data - P&amp;L'!$L$12*'Data - P&amp;L'!$L$3)+(O52*'Data - P&amp;L'!$L$13*'Data - P&amp;L'!$L$14)</f>
        <v>938.9043152</v>
      </c>
      <c r="P450" s="137">
        <f>(P52*'Data - P&amp;L'!$L$12*'Data - P&amp;L'!$L$3)+(P52*'Data - P&amp;L'!$L$13*'Data - P&amp;L'!$L$14)</f>
        <v>714.8909186</v>
      </c>
      <c r="Q450" s="137">
        <f>(Q52*'Data - P&amp;L'!$L$12*'Data - P&amp;L'!$L$3)+(Q52*'Data - P&amp;L'!$L$13*'Data - P&amp;L'!$L$14)</f>
        <v>956.0755997</v>
      </c>
      <c r="R450" s="137">
        <f>(R52*'Data - P&amp;L'!$L$12*'Data - P&amp;L'!$L$3)+(R52*'Data - P&amp;L'!$L$13*'Data - P&amp;L'!$L$14)</f>
        <v>741.8015585</v>
      </c>
      <c r="S450" s="137">
        <f>(S52*'Data - P&amp;L'!$L$12*'Data - P&amp;L'!$L$3)+(S52*'Data - P&amp;L'!$L$13*'Data - P&amp;L'!$L$14)</f>
        <v>670.8458326</v>
      </c>
      <c r="T450" s="137">
        <f>(T52*'Data - P&amp;L'!$L$12*'Data - P&amp;L'!$L$3)+(T52*'Data - P&amp;L'!$L$13*'Data - P&amp;L'!$L$14)</f>
        <v>566.1756182</v>
      </c>
      <c r="U450" s="137">
        <f>(U52*'Data - P&amp;L'!$L$12*'Data - P&amp;L'!$L$3)+(U52*'Data - P&amp;L'!$L$13*'Data - P&amp;L'!$L$14)</f>
        <v>601.9701091</v>
      </c>
      <c r="V450" s="137">
        <f>(V52*'Data - P&amp;L'!$L$12*'Data - P&amp;L'!$L$3)+(V52*'Data - P&amp;L'!$L$13*'Data - P&amp;L'!$L$14)</f>
        <v>649.3337001</v>
      </c>
      <c r="W450" s="137">
        <f>(W52*'Data - P&amp;L'!$L$12*'Data - P&amp;L'!$L$3)+(W52*'Data - P&amp;L'!$L$13*'Data - P&amp;L'!$L$14)</f>
        <v>1153.807959</v>
      </c>
      <c r="X450" s="137">
        <f>(X52*'Data - P&amp;L'!$L$12*'Data - P&amp;L'!$L$3)+(X52*'Data - P&amp;L'!$L$13*'Data - P&amp;L'!$L$14)</f>
        <v>938.1711996</v>
      </c>
      <c r="Y450" s="137">
        <f>(Y52*'Data - P&amp;L'!$L$12*'Data - P&amp;L'!$L$3)+(Y52*'Data - P&amp;L'!$L$13*'Data - P&amp;L'!$L$14)</f>
        <v>1122.198438</v>
      </c>
      <c r="Z450" s="137">
        <f>(Z52*'Data - P&amp;L'!$L$12*'Data - P&amp;L'!$L$3)+(Z52*'Data - P&amp;L'!$L$13*'Data - P&amp;L'!$L$14)</f>
        <v>834.0261614</v>
      </c>
      <c r="AA450" s="137">
        <f>(AA52*'Data - P&amp;L'!$L$12*'Data - P&amp;L'!$L$3)+(AA52*'Data - P&amp;L'!$L$13*'Data - P&amp;L'!$L$14)</f>
        <v>596.7898924</v>
      </c>
      <c r="AB450" s="137">
        <f>(AB52*'Data - P&amp;L'!$L$12*'Data - P&amp;L'!$L$3)+(AB52*'Data - P&amp;L'!$L$13*'Data - P&amp;L'!$L$14)</f>
        <v>591.7509404</v>
      </c>
      <c r="AC450" s="137">
        <f>(AC52*'Data - P&amp;L'!$L$12*'Data - P&amp;L'!$L$3)+(AC52*'Data - P&amp;L'!$L$13*'Data - P&amp;L'!$L$14)</f>
        <v>734.1096293</v>
      </c>
      <c r="AD450" s="137">
        <f>(AD52*'Data - P&amp;L'!$L$12*'Data - P&amp;L'!$L$3)+(AD52*'Data - P&amp;L'!$L$13*'Data - P&amp;L'!$L$14)</f>
        <v>517.5817448</v>
      </c>
      <c r="AE450" s="137">
        <f>(AE52*'Data - P&amp;L'!$L$12*'Data - P&amp;L'!$L$3)+(AE52*'Data - P&amp;L'!$L$13*'Data - P&amp;L'!$L$14)</f>
        <v>666.4602304</v>
      </c>
      <c r="AF450" s="137">
        <f>(AF52*'Data - P&amp;L'!$L$12*'Data - P&amp;L'!$L$3)+(AF52*'Data - P&amp;L'!$L$13*'Data - P&amp;L'!$L$14)</f>
        <v>562.3629908</v>
      </c>
      <c r="AG450" s="242">
        <f t="shared" si="132"/>
        <v>54431.68175</v>
      </c>
    </row>
    <row r="451">
      <c r="A451" s="246" t="s">
        <v>404</v>
      </c>
      <c r="B451" s="247">
        <f>(B42*'Data - P&amp;L'!$L$12*'Data - P&amp;L'!$I$10)+(B42*'Data - P&amp;L'!$L$13*'Data - P&amp;L'!$L$15)</f>
        <v>588.3</v>
      </c>
      <c r="C451" s="247">
        <f>(C42*'Data - P&amp;L'!$L$12*'Data - P&amp;L'!$I$10)+(C42*'Data - P&amp;L'!$L$13*'Data - P&amp;L'!$L$15)</f>
        <v>124.8</v>
      </c>
      <c r="D451" s="247">
        <f>(D42*'Data - P&amp;L'!$L$12*'Data - P&amp;L'!$I$10)+(D42*'Data - P&amp;L'!$L$13*'Data - P&amp;L'!$L$15)</f>
        <v>104.1</v>
      </c>
      <c r="E451" s="247">
        <f>(E42*'Data - P&amp;L'!$L$12*'Data - P&amp;L'!$I$10)+(E42*'Data - P&amp;L'!$L$13*'Data - P&amp;L'!$L$15)</f>
        <v>93.6</v>
      </c>
      <c r="F451" s="247">
        <f>(F42*'Data - P&amp;L'!$L$12*'Data - P&amp;L'!$I$10)+(F42*'Data - P&amp;L'!$L$13*'Data - P&amp;L'!$L$15)</f>
        <v>74.1</v>
      </c>
      <c r="G451" s="247">
        <f>(G42*'Data - P&amp;L'!$L$12*'Data - P&amp;L'!$I$10)+(G42*'Data - P&amp;L'!$L$13*'Data - P&amp;L'!$L$15)</f>
        <v>64.2</v>
      </c>
      <c r="H451" s="247">
        <f>(H42*'Data - P&amp;L'!$L$12*'Data - P&amp;L'!$I$10)+(H42*'Data - P&amp;L'!$L$13*'Data - P&amp;L'!$L$15)</f>
        <v>62.4</v>
      </c>
      <c r="I451" s="247">
        <f>(I42*'Data - P&amp;L'!$L$12*'Data - P&amp;L'!$I$10)+(I42*'Data - P&amp;L'!$L$13*'Data - P&amp;L'!$L$15)</f>
        <v>60</v>
      </c>
      <c r="J451" s="247">
        <f>(J42*'Data - P&amp;L'!$L$12*'Data - P&amp;L'!$I$10)+(J42*'Data - P&amp;L'!$L$13*'Data - P&amp;L'!$L$15)</f>
        <v>80.7</v>
      </c>
      <c r="K451" s="247">
        <f>(K42*'Data - P&amp;L'!$L$12*'Data - P&amp;L'!$I$10)+(K42*'Data - P&amp;L'!$L$13*'Data - P&amp;L'!$L$15)</f>
        <v>71.1</v>
      </c>
      <c r="L451" s="247">
        <f>(L42*'Data - P&amp;L'!$L$12*'Data - P&amp;L'!$I$10)+(L42*'Data - P&amp;L'!$L$13*'Data - P&amp;L'!$L$15)</f>
        <v>54.9</v>
      </c>
      <c r="M451" s="247">
        <f>(M42*'Data - P&amp;L'!$L$12*'Data - P&amp;L'!$I$10)+(M42*'Data - P&amp;L'!$L$13*'Data - P&amp;L'!$L$15)</f>
        <v>37.5</v>
      </c>
      <c r="N451" s="247">
        <f>(N42*'Data - P&amp;L'!$L$12*'Data - P&amp;L'!$I$10)+(N42*'Data - P&amp;L'!$L$13*'Data - P&amp;L'!$L$15)</f>
        <v>27.9</v>
      </c>
      <c r="O451" s="247">
        <f>(O42*'Data - P&amp;L'!$L$12*'Data - P&amp;L'!$I$10)+(O42*'Data - P&amp;L'!$L$13*'Data - P&amp;L'!$L$15)</f>
        <v>32.1</v>
      </c>
      <c r="P451" s="247">
        <f>(P42*'Data - P&amp;L'!$L$12*'Data - P&amp;L'!$I$10)+(P42*'Data - P&amp;L'!$L$13*'Data - P&amp;L'!$L$15)</f>
        <v>27</v>
      </c>
      <c r="Q451" s="247">
        <f>(Q42*'Data - P&amp;L'!$L$12*'Data - P&amp;L'!$I$10)+(Q42*'Data - P&amp;L'!$L$13*'Data - P&amp;L'!$L$15)</f>
        <v>35.4</v>
      </c>
      <c r="R451" s="247">
        <f>(R42*'Data - P&amp;L'!$L$12*'Data - P&amp;L'!$I$10)+(R42*'Data - P&amp;L'!$L$13*'Data - P&amp;L'!$L$15)</f>
        <v>27.3</v>
      </c>
      <c r="S451" s="247">
        <f>(S42*'Data - P&amp;L'!$L$12*'Data - P&amp;L'!$I$10)+(S42*'Data - P&amp;L'!$L$13*'Data - P&amp;L'!$L$15)</f>
        <v>27.9</v>
      </c>
      <c r="T451" s="247">
        <f>(T42*'Data - P&amp;L'!$L$12*'Data - P&amp;L'!$I$10)+(T42*'Data - P&amp;L'!$L$13*'Data - P&amp;L'!$L$15)</f>
        <v>21.3</v>
      </c>
      <c r="U451" s="247">
        <f>(U42*'Data - P&amp;L'!$L$12*'Data - P&amp;L'!$I$10)+(U42*'Data - P&amp;L'!$L$13*'Data - P&amp;L'!$L$15)</f>
        <v>24.6</v>
      </c>
      <c r="V451" s="247">
        <f>(V42*'Data - P&amp;L'!$L$12*'Data - P&amp;L'!$I$10)+(V42*'Data - P&amp;L'!$L$13*'Data - P&amp;L'!$L$15)</f>
        <v>24.6</v>
      </c>
      <c r="W451" s="247">
        <f>(W42*'Data - P&amp;L'!$L$12*'Data - P&amp;L'!$I$10)+(W42*'Data - P&amp;L'!$L$13*'Data - P&amp;L'!$L$15)</f>
        <v>30</v>
      </c>
      <c r="X451" s="247">
        <f>(X42*'Data - P&amp;L'!$L$12*'Data - P&amp;L'!$I$10)+(X42*'Data - P&amp;L'!$L$13*'Data - P&amp;L'!$L$15)</f>
        <v>35.1</v>
      </c>
      <c r="Y451" s="247">
        <f>(Y42*'Data - P&amp;L'!$L$12*'Data - P&amp;L'!$I$10)+(Y42*'Data - P&amp;L'!$L$13*'Data - P&amp;L'!$L$15)</f>
        <v>41.1</v>
      </c>
      <c r="Z451" s="247">
        <f>(Z42*'Data - P&amp;L'!$L$12*'Data - P&amp;L'!$I$10)+(Z42*'Data - P&amp;L'!$L$13*'Data - P&amp;L'!$L$15)</f>
        <v>33.6</v>
      </c>
      <c r="AA451" s="247">
        <f>(AA42*'Data - P&amp;L'!$L$12*'Data - P&amp;L'!$I$10)+(AA42*'Data - P&amp;L'!$L$13*'Data - P&amp;L'!$L$15)</f>
        <v>23.7</v>
      </c>
      <c r="AB451" s="247">
        <f>(AB42*'Data - P&amp;L'!$L$12*'Data - P&amp;L'!$I$10)+(AB42*'Data - P&amp;L'!$L$13*'Data - P&amp;L'!$L$15)</f>
        <v>23.7</v>
      </c>
      <c r="AC451" s="247">
        <f>(AC42*'Data - P&amp;L'!$L$12*'Data - P&amp;L'!$I$10)+(AC42*'Data - P&amp;L'!$L$13*'Data - P&amp;L'!$L$15)</f>
        <v>27.9</v>
      </c>
      <c r="AD451" s="247">
        <f>(AD42*'Data - P&amp;L'!$L$12*'Data - P&amp;L'!$I$10)+(AD42*'Data - P&amp;L'!$L$13*'Data - P&amp;L'!$L$15)</f>
        <v>17.1</v>
      </c>
      <c r="AE451" s="247">
        <f>(AE42*'Data - P&amp;L'!$L$12*'Data - P&amp;L'!$I$10)+(AE42*'Data - P&amp;L'!$L$13*'Data - P&amp;L'!$L$15)</f>
        <v>26.1</v>
      </c>
      <c r="AF451" s="247">
        <f>(AF42*'Data - P&amp;L'!$L$12*'Data - P&amp;L'!$I$10)+(AF42*'Data - P&amp;L'!$L$13*'Data - P&amp;L'!$L$15)</f>
        <v>24</v>
      </c>
      <c r="AG451" s="248">
        <f t="shared" si="132"/>
        <v>1946.1</v>
      </c>
    </row>
    <row r="452">
      <c r="A452" s="249" t="s">
        <v>405</v>
      </c>
      <c r="B452" s="137">
        <f>((SUM(B171:B174))*'Data - P&amp;L'!$C$38)+((SUM(B178:B181))*'Data - P&amp;L'!$C$39)</f>
        <v>1970.1</v>
      </c>
      <c r="C452" s="137">
        <f>((SUM(C171:C174))*'Data - P&amp;L'!$C$38)+((SUM(C178:C181))*'Data - P&amp;L'!$C$39)</f>
        <v>1623.84</v>
      </c>
      <c r="D452" s="137">
        <f>((SUM(D171:D174))*'Data - P&amp;L'!$C$38)+((SUM(D178:D181))*'Data - P&amp;L'!$C$39)</f>
        <v>1802.94</v>
      </c>
      <c r="E452" s="137">
        <f>((SUM(E171:E174))*'Data - P&amp;L'!$C$38)+((SUM(E178:E181))*'Data - P&amp;L'!$C$39)</f>
        <v>1802.94</v>
      </c>
      <c r="F452" s="137">
        <f>((SUM(F171:F174))*'Data - P&amp;L'!$C$38)+((SUM(F178:F181))*'Data - P&amp;L'!$C$39)</f>
        <v>1623.84</v>
      </c>
      <c r="G452" s="137">
        <f>((SUM(G171:G174))*'Data - P&amp;L'!$C$38)+((SUM(G178:G181))*'Data - P&amp;L'!$C$39)</f>
        <v>1444.74</v>
      </c>
      <c r="H452" s="137">
        <f>((SUM(H171:H174))*'Data - P&amp;L'!$C$38)+((SUM(H178:H181))*'Data - P&amp;L'!$C$39)</f>
        <v>1313.4</v>
      </c>
      <c r="I452" s="137">
        <f>((SUM(I171:I174))*'Data - P&amp;L'!$C$38)+((SUM(I178:I181))*'Data - P&amp;L'!$C$39)</f>
        <v>1241.76</v>
      </c>
      <c r="J452" s="137">
        <f>((SUM(J171:J174))*'Data - P&amp;L'!$C$38)+((SUM(J178:J181))*'Data - P&amp;L'!$C$39)</f>
        <v>1504.44</v>
      </c>
      <c r="K452" s="137">
        <f>((SUM(K171:K174))*'Data - P&amp;L'!$C$38)+((SUM(K178:K181))*'Data - P&amp;L'!$C$39)</f>
        <v>1229.82</v>
      </c>
      <c r="L452" s="137">
        <f>((SUM(L171:L174))*'Data - P&amp;L'!$C$38)+((SUM(L178:L181))*'Data - P&amp;L'!$C$39)</f>
        <v>871.62</v>
      </c>
      <c r="M452" s="137">
        <f>((SUM(M171:M174))*'Data - P&amp;L'!$C$38)+((SUM(M178:M181))*'Data - P&amp;L'!$C$39)</f>
        <v>561.18</v>
      </c>
      <c r="N452" s="137">
        <f>((SUM(N171:N174))*'Data - P&amp;L'!$C$38)+((SUM(N178:N181))*'Data - P&amp;L'!$C$39)</f>
        <v>429.84</v>
      </c>
      <c r="O452" s="137">
        <f>((SUM(O171:O174))*'Data - P&amp;L'!$C$38)+((SUM(O178:O181))*'Data - P&amp;L'!$C$39)</f>
        <v>501.48</v>
      </c>
      <c r="P452" s="137">
        <f>((SUM(P171:P174))*'Data - P&amp;L'!$C$38)+((SUM(P178:P181))*'Data - P&amp;L'!$C$39)</f>
        <v>501.48</v>
      </c>
      <c r="Q452" s="137">
        <f>((SUM(Q171:Q174))*'Data - P&amp;L'!$C$38)+((SUM(Q178:Q181))*'Data - P&amp;L'!$C$39)</f>
        <v>597</v>
      </c>
      <c r="R452" s="137">
        <f>((SUM(R171:R174))*'Data - P&amp;L'!$C$38)+((SUM(R178:R181))*'Data - P&amp;L'!$C$39)</f>
        <v>453.72</v>
      </c>
      <c r="S452" s="137">
        <f>((SUM(S171:S174))*'Data - P&amp;L'!$C$38)+((SUM(S178:S181))*'Data - P&amp;L'!$C$39)</f>
        <v>453.72</v>
      </c>
      <c r="T452" s="137">
        <f>((SUM(T171:T174))*'Data - P&amp;L'!$C$38)+((SUM(T178:T181))*'Data - P&amp;L'!$C$39)</f>
        <v>346.26</v>
      </c>
      <c r="U452" s="137">
        <f>((SUM(U171:U174))*'Data - P&amp;L'!$C$38)+((SUM(U178:U181))*'Data - P&amp;L'!$C$39)</f>
        <v>298.5</v>
      </c>
      <c r="V452" s="137">
        <f>((SUM(V171:V174))*'Data - P&amp;L'!$C$38)+((SUM(V178:V181))*'Data - P&amp;L'!$C$39)</f>
        <v>453.72</v>
      </c>
      <c r="W452" s="137">
        <f>((SUM(W171:W174))*'Data - P&amp;L'!$C$38)+((SUM(W178:W181))*'Data - P&amp;L'!$C$39)</f>
        <v>895.5</v>
      </c>
      <c r="X452" s="137">
        <f>((SUM(X171:X174))*'Data - P&amp;L'!$C$38)+((SUM(X178:X181))*'Data - P&amp;L'!$C$39)</f>
        <v>632.82</v>
      </c>
      <c r="Y452" s="137">
        <f>((SUM(Y171:Y174))*'Data - P&amp;L'!$C$38)+((SUM(Y178:Y181))*'Data - P&amp;L'!$C$39)</f>
        <v>799.98</v>
      </c>
      <c r="Z452" s="137">
        <f>((SUM(Z171:Z174))*'Data - P&amp;L'!$C$38)+((SUM(Z178:Z181))*'Data - P&amp;L'!$C$39)</f>
        <v>513.42</v>
      </c>
      <c r="AA452" s="137">
        <f>((SUM(AA171:AA174))*'Data - P&amp;L'!$C$38)+((SUM(AA178:AA181))*'Data - P&amp;L'!$C$39)</f>
        <v>429.84</v>
      </c>
      <c r="AB452" s="137">
        <f>((SUM(AB171:AB174))*'Data - P&amp;L'!$C$38)+((SUM(AB178:AB181))*'Data - P&amp;L'!$C$39)</f>
        <v>417.9</v>
      </c>
      <c r="AC452" s="137">
        <f>((SUM(AC171:AC174))*'Data - P&amp;L'!$C$38)+((SUM(AC178:AC181))*'Data - P&amp;L'!$C$39)</f>
        <v>573.12</v>
      </c>
      <c r="AD452" s="137">
        <f>((SUM(AD171:AD174))*'Data - P&amp;L'!$C$38)+((SUM(AD178:AD181))*'Data - P&amp;L'!$C$39)</f>
        <v>394.02</v>
      </c>
      <c r="AE452" s="137">
        <f>((SUM(AE171:AE174))*'Data - P&amp;L'!$C$38)+((SUM(AE178:AE181))*'Data - P&amp;L'!$C$39)</f>
        <v>549.24</v>
      </c>
      <c r="AF452" s="137">
        <f>((SUM(AF171:AF174))*'Data - P&amp;L'!$C$38)+((SUM(AF178:AF181))*'Data - P&amp;L'!$C$39)</f>
        <v>477.6</v>
      </c>
      <c r="AG452" s="242">
        <f t="shared" si="132"/>
        <v>26709.78</v>
      </c>
    </row>
    <row r="453">
      <c r="A453" s="240" t="s">
        <v>406</v>
      </c>
      <c r="B453" s="243">
        <f>((SUM(B171:B174))*'Data - P&amp;L'!$C$34)+((SUM(B178:B181))*'Data - P&amp;L'!$C$35)</f>
        <v>4948.18</v>
      </c>
      <c r="C453" s="243">
        <f>((SUM(C171:C174))*'Data - P&amp;L'!$C$34)+((SUM(C178:C181))*'Data - P&amp;L'!$C$35)</f>
        <v>4075.86</v>
      </c>
      <c r="D453" s="243">
        <f>((SUM(D171:D174))*'Data - P&amp;L'!$C$34)+((SUM(D178:D181))*'Data - P&amp;L'!$C$35)</f>
        <v>4542.08</v>
      </c>
      <c r="E453" s="243">
        <f>((SUM(E171:E174))*'Data - P&amp;L'!$C$34)+((SUM(E178:E181))*'Data - P&amp;L'!$C$35)</f>
        <v>4542.08</v>
      </c>
      <c r="F453" s="243">
        <f>((SUM(F171:F174))*'Data - P&amp;L'!$C$34)+((SUM(F178:F181))*'Data - P&amp;L'!$C$35)</f>
        <v>4090.88</v>
      </c>
      <c r="G453" s="243">
        <f>((SUM(G171:G174))*'Data - P&amp;L'!$C$34)+((SUM(G178:G181))*'Data - P&amp;L'!$C$35)</f>
        <v>3624.66</v>
      </c>
      <c r="H453" s="243">
        <f>((SUM(H171:H174))*'Data - P&amp;L'!$C$34)+((SUM(H178:H181))*'Data - P&amp;L'!$C$35)</f>
        <v>3308.8</v>
      </c>
      <c r="I453" s="243">
        <f>((SUM(I171:I174))*'Data - P&amp;L'!$C$34)+((SUM(I178:I181))*'Data - P&amp;L'!$C$35)</f>
        <v>3113.3</v>
      </c>
      <c r="J453" s="243">
        <f>((SUM(J171:J174))*'Data - P&amp;L'!$C$34)+((SUM(J178:J181))*'Data - P&amp;L'!$C$35)</f>
        <v>3790.08</v>
      </c>
      <c r="K453" s="243">
        <f>((SUM(K171:K174))*'Data - P&amp;L'!$C$34)+((SUM(K178:K181))*'Data - P&amp;L'!$C$35)</f>
        <v>3098.24</v>
      </c>
      <c r="L453" s="243">
        <f>((SUM(L171:L174))*'Data - P&amp;L'!$C$34)+((SUM(L178:L181))*'Data - P&amp;L'!$C$35)</f>
        <v>2195.84</v>
      </c>
      <c r="M453" s="243">
        <f>((SUM(M171:M174))*'Data - P&amp;L'!$C$34)+((SUM(M178:M181))*'Data - P&amp;L'!$C$35)</f>
        <v>1413.76</v>
      </c>
      <c r="N453" s="243">
        <f>((SUM(N171:N174))*'Data - P&amp;L'!$C$34)+((SUM(N178:N181))*'Data - P&amp;L'!$C$35)</f>
        <v>1082.88</v>
      </c>
      <c r="O453" s="243">
        <f>((SUM(O171:O174))*'Data - P&amp;L'!$C$34)+((SUM(O178:O181))*'Data - P&amp;L'!$C$35)</f>
        <v>1263.36</v>
      </c>
      <c r="P453" s="243">
        <f>((SUM(P171:P174))*'Data - P&amp;L'!$C$34)+((SUM(P178:P181))*'Data - P&amp;L'!$C$35)</f>
        <v>1263.36</v>
      </c>
      <c r="Q453" s="243">
        <f>((SUM(Q171:Q174))*'Data - P&amp;L'!$C$34)+((SUM(Q178:Q181))*'Data - P&amp;L'!$C$35)</f>
        <v>1504</v>
      </c>
      <c r="R453" s="243">
        <f>((SUM(R171:R174))*'Data - P&amp;L'!$C$34)+((SUM(R178:R181))*'Data - P&amp;L'!$C$35)</f>
        <v>1143.04</v>
      </c>
      <c r="S453" s="243">
        <f>((SUM(S171:S174))*'Data - P&amp;L'!$C$34)+((SUM(S178:S181))*'Data - P&amp;L'!$C$35)</f>
        <v>1128.02</v>
      </c>
      <c r="T453" s="243">
        <f>((SUM(T171:T174))*'Data - P&amp;L'!$C$34)+((SUM(T178:T181))*'Data - P&amp;L'!$C$35)</f>
        <v>872.32</v>
      </c>
      <c r="U453" s="243">
        <f>((SUM(U171:U174))*'Data - P&amp;L'!$C$34)+((SUM(U178:U181))*'Data - P&amp;L'!$C$35)</f>
        <v>752</v>
      </c>
      <c r="V453" s="243">
        <f>((SUM(V171:V174))*'Data - P&amp;L'!$C$34)+((SUM(V178:V181))*'Data - P&amp;L'!$C$35)</f>
        <v>1143.04</v>
      </c>
      <c r="W453" s="243">
        <f>((SUM(W171:W174))*'Data - P&amp;L'!$C$34)+((SUM(W178:W181))*'Data - P&amp;L'!$C$35)</f>
        <v>2256</v>
      </c>
      <c r="X453" s="243">
        <f>((SUM(X171:X174))*'Data - P&amp;L'!$C$34)+((SUM(X178:X181))*'Data - P&amp;L'!$C$35)</f>
        <v>1594.24</v>
      </c>
      <c r="Y453" s="243">
        <f>((SUM(Y171:Y174))*'Data - P&amp;L'!$C$34)+((SUM(Y178:Y181))*'Data - P&amp;L'!$C$35)</f>
        <v>2015.36</v>
      </c>
      <c r="Z453" s="243">
        <f>((SUM(Z171:Z174))*'Data - P&amp;L'!$C$34)+((SUM(Z178:Z181))*'Data - P&amp;L'!$C$35)</f>
        <v>1293.44</v>
      </c>
      <c r="AA453" s="243">
        <f>((SUM(AA171:AA174))*'Data - P&amp;L'!$C$34)+((SUM(AA178:AA181))*'Data - P&amp;L'!$C$35)</f>
        <v>1082.88</v>
      </c>
      <c r="AB453" s="243">
        <f>((SUM(AB171:AB174))*'Data - P&amp;L'!$C$34)+((SUM(AB178:AB181))*'Data - P&amp;L'!$C$35)</f>
        <v>1052.8</v>
      </c>
      <c r="AC453" s="243">
        <f>((SUM(AC171:AC174))*'Data - P&amp;L'!$C$34)+((SUM(AC178:AC181))*'Data - P&amp;L'!$C$35)</f>
        <v>1428.82</v>
      </c>
      <c r="AD453" s="243">
        <f>((SUM(AD171:AD174))*'Data - P&amp;L'!$C$34)+((SUM(AD178:AD181))*'Data - P&amp;L'!$C$35)</f>
        <v>992.64</v>
      </c>
      <c r="AE453" s="243">
        <f>((SUM(AE171:AE174))*'Data - P&amp;L'!$C$34)+((SUM(AE178:AE181))*'Data - P&amp;L'!$C$35)</f>
        <v>1368.66</v>
      </c>
      <c r="AF453" s="243">
        <f>((SUM(AF171:AF174))*'Data - P&amp;L'!$C$34)+((SUM(AF178:AF181))*'Data - P&amp;L'!$C$35)</f>
        <v>1203.2</v>
      </c>
      <c r="AG453" s="95">
        <f t="shared" si="132"/>
        <v>67183.82</v>
      </c>
    </row>
    <row r="454">
      <c r="A454" s="240" t="s">
        <v>407</v>
      </c>
      <c r="B454" s="250">
        <f>((SUM(B188:B195))*'Data - P&amp;L'!$D$38)+((SUM(B201:B208))*'Data - P&amp;L'!$D$39)</f>
        <v>607.045</v>
      </c>
      <c r="C454" s="250">
        <f>((SUM(C188:C195))*'Data - P&amp;L'!$D$38)+((SUM(C201:C208))*'Data - P&amp;L'!$D$39)</f>
        <v>424.785</v>
      </c>
      <c r="D454" s="250">
        <f>((SUM(D188:D195))*'Data - P&amp;L'!$D$38)+((SUM(D201:D208))*'Data - P&amp;L'!$D$39)</f>
        <v>408.99</v>
      </c>
      <c r="E454" s="250">
        <f>((SUM(E188:E195))*'Data - P&amp;L'!$D$38)+((SUM(E201:E208))*'Data - P&amp;L'!$D$39)</f>
        <v>384.605</v>
      </c>
      <c r="F454" s="250">
        <f>((SUM(F188:F195))*'Data - P&amp;L'!$D$38)+((SUM(F201:F208))*'Data - P&amp;L'!$D$39)</f>
        <v>318.585</v>
      </c>
      <c r="G454" s="250">
        <f>((SUM(G188:G195))*'Data - P&amp;L'!$D$38)+((SUM(G201:G208))*'Data - P&amp;L'!$D$39)</f>
        <v>324.325</v>
      </c>
      <c r="H454" s="250">
        <f>((SUM(H188:H195))*'Data - P&amp;L'!$D$38)+((SUM(H201:H208))*'Data - P&amp;L'!$D$39)</f>
        <v>288.445</v>
      </c>
      <c r="I454" s="250">
        <f>((SUM(I188:I195))*'Data - P&amp;L'!$D$38)+((SUM(I201:I208))*'Data - P&amp;L'!$D$39)</f>
        <v>262.605</v>
      </c>
      <c r="J454" s="250">
        <f>((SUM(J188:J195))*'Data - P&amp;L'!$D$38)+((SUM(J201:J208))*'Data - P&amp;L'!$D$39)</f>
        <v>363.09</v>
      </c>
      <c r="K454" s="250">
        <f>((SUM(K188:K195))*'Data - P&amp;L'!$D$38)+((SUM(K201:K208))*'Data - P&amp;L'!$D$39)</f>
        <v>337.27</v>
      </c>
      <c r="L454" s="250">
        <f>((SUM(L188:L195))*'Data - P&amp;L'!$D$38)+((SUM(L201:L208))*'Data - P&amp;L'!$D$39)</f>
        <v>196.61</v>
      </c>
      <c r="M454" s="250">
        <f>((SUM(M188:M195))*'Data - P&amp;L'!$D$38)+((SUM(M201:M208))*'Data - P&amp;L'!$D$39)</f>
        <v>116.25</v>
      </c>
      <c r="N454" s="250">
        <f>((SUM(N188:N195))*'Data - P&amp;L'!$D$38)+((SUM(N201:N208))*'Data - P&amp;L'!$D$39)</f>
        <v>64.575</v>
      </c>
      <c r="O454" s="250">
        <f>((SUM(O188:O195))*'Data - P&amp;L'!$D$38)+((SUM(O201:O208))*'Data - P&amp;L'!$D$39)</f>
        <v>91.84</v>
      </c>
      <c r="P454" s="250">
        <f>((SUM(P188:P195))*'Data - P&amp;L'!$D$38)+((SUM(P201:P208))*'Data - P&amp;L'!$D$39)</f>
        <v>83.24</v>
      </c>
      <c r="Q454" s="250">
        <f>((SUM(Q188:Q195))*'Data - P&amp;L'!$D$38)+((SUM(Q201:Q208))*'Data - P&amp;L'!$D$39)</f>
        <v>127.74</v>
      </c>
      <c r="R454" s="250">
        <f>((SUM(R188:R195))*'Data - P&amp;L'!$D$38)+((SUM(R201:R208))*'Data - P&amp;L'!$D$39)</f>
        <v>90.41</v>
      </c>
      <c r="S454" s="250">
        <f>((SUM(S188:S195))*'Data - P&amp;L'!$D$38)+((SUM(S201:S208))*'Data - P&amp;L'!$D$39)</f>
        <v>97.59</v>
      </c>
      <c r="T454" s="250">
        <f>((SUM(T188:T195))*'Data - P&amp;L'!$D$38)+((SUM(T201:T208))*'Data - P&amp;L'!$D$39)</f>
        <v>73.205</v>
      </c>
      <c r="U454" s="250">
        <f>((SUM(U188:U195))*'Data - P&amp;L'!$D$38)+((SUM(U201:U208))*'Data - P&amp;L'!$D$39)</f>
        <v>66.015</v>
      </c>
      <c r="V454" s="250">
        <f>((SUM(V188:V195))*'Data - P&amp;L'!$D$38)+((SUM(V201:V208))*'Data - P&amp;L'!$D$39)</f>
        <v>78.925</v>
      </c>
      <c r="W454" s="250">
        <f>((SUM(W188:W195))*'Data - P&amp;L'!$D$38)+((SUM(W201:W208))*'Data - P&amp;L'!$D$39)</f>
        <v>140.64</v>
      </c>
      <c r="X454" s="250">
        <f>((SUM(X188:X195))*'Data - P&amp;L'!$D$38)+((SUM(X201:X208))*'Data - P&amp;L'!$D$39)</f>
        <v>121.99</v>
      </c>
      <c r="Y454" s="250">
        <f>((SUM(Y188:Y195))*'Data - P&amp;L'!$D$38)+((SUM(Y201:Y208))*'Data - P&amp;L'!$D$39)</f>
        <v>130.59</v>
      </c>
      <c r="Z454" s="250">
        <f>((SUM(Z188:Z195))*'Data - P&amp;L'!$D$38)+((SUM(Z201:Z208))*'Data - P&amp;L'!$D$39)</f>
        <v>104.755</v>
      </c>
      <c r="AA454" s="250">
        <f>((SUM(AA188:AA195))*'Data - P&amp;L'!$D$38)+((SUM(AA201:AA208))*'Data - P&amp;L'!$D$39)</f>
        <v>76.06</v>
      </c>
      <c r="AB454" s="250">
        <f>((SUM(AB188:AB195))*'Data - P&amp;L'!$D$38)+((SUM(AB201:AB208))*'Data - P&amp;L'!$D$39)</f>
        <v>88.97</v>
      </c>
      <c r="AC454" s="250">
        <f>((SUM(AC188:AC195))*'Data - P&amp;L'!$D$38)+((SUM(AC201:AC208))*'Data - P&amp;L'!$D$39)</f>
        <v>103.345</v>
      </c>
      <c r="AD454" s="250">
        <f>((SUM(AD188:AD195))*'Data - P&amp;L'!$D$38)+((SUM(AD201:AD208))*'Data - P&amp;L'!$D$39)</f>
        <v>83.23</v>
      </c>
      <c r="AE454" s="250">
        <f>((SUM(AE188:AE195))*'Data - P&amp;L'!$D$38)+((SUM(AE201:AE208))*'Data - P&amp;L'!$D$39)</f>
        <v>96.155</v>
      </c>
      <c r="AF454" s="250">
        <f>((SUM(AF188:AF195))*'Data - P&amp;L'!$D$38)+((SUM(AF201:AF208))*'Data - P&amp;L'!$D$39)</f>
        <v>68.88</v>
      </c>
      <c r="AG454" s="95">
        <f t="shared" si="132"/>
        <v>5820.76</v>
      </c>
    </row>
    <row r="455">
      <c r="A455" s="240" t="s">
        <v>408</v>
      </c>
      <c r="B455" s="250">
        <f>(B198*'Data - P&amp;L'!$D$34)+(B211*'Data - P&amp;L'!$D$35)</f>
        <v>4280.6</v>
      </c>
      <c r="C455" s="250">
        <f>(C198*'Data - P&amp;L'!$D$34)+(C211*'Data - P&amp;L'!$D$35)</f>
        <v>2889.8</v>
      </c>
      <c r="D455" s="250">
        <f>(D198*'Data - P&amp;L'!$D$34)+(D211*'Data - P&amp;L'!$D$35)</f>
        <v>2715.47</v>
      </c>
      <c r="E455" s="250">
        <f>(E198*'Data - P&amp;L'!$D$34)+(E211*'Data - P&amp;L'!$D$35)</f>
        <v>2575.31</v>
      </c>
      <c r="F455" s="250">
        <f>(F198*'Data - P&amp;L'!$D$34)+(F211*'Data - P&amp;L'!$D$35)</f>
        <v>2124.61</v>
      </c>
      <c r="G455" s="250">
        <f>(G198*'Data - P&amp;L'!$D$34)+(G211*'Data - P&amp;L'!$D$35)</f>
        <v>2162.73</v>
      </c>
      <c r="H455" s="250">
        <f>(H198*'Data - P&amp;L'!$D$34)+(H211*'Data - P&amp;L'!$D$35)</f>
        <v>1908.79</v>
      </c>
      <c r="I455" s="250">
        <f>(I198*'Data - P&amp;L'!$D$34)+(I211*'Data - P&amp;L'!$D$35)</f>
        <v>1743.99</v>
      </c>
      <c r="J455" s="250">
        <f>(J198*'Data - P&amp;L'!$D$34)+(J211*'Data - P&amp;L'!$D$35)</f>
        <v>2416.09</v>
      </c>
      <c r="K455" s="250">
        <f>(K198*'Data - P&amp;L'!$D$34)+(K211*'Data - P&amp;L'!$D$35)</f>
        <v>2275.93</v>
      </c>
      <c r="L455" s="250">
        <f>(L198*'Data - P&amp;L'!$D$34)+(L211*'Data - P&amp;L'!$D$35)</f>
        <v>1305.03</v>
      </c>
      <c r="M455" s="250">
        <f>(M198*'Data - P&amp;L'!$D$34)+(M211*'Data - P&amp;L'!$D$35)</f>
        <v>780.88</v>
      </c>
      <c r="N455" s="250">
        <f>(N198*'Data - P&amp;L'!$D$34)+(N211*'Data - P&amp;L'!$D$35)</f>
        <v>476.5</v>
      </c>
      <c r="O455" s="250">
        <f>(O198*'Data - P&amp;L'!$D$34)+(O211*'Data - P&amp;L'!$D$35)</f>
        <v>667.1</v>
      </c>
      <c r="P455" s="250">
        <f>(P198*'Data - P&amp;L'!$D$34)+(P211*'Data - P&amp;L'!$D$35)</f>
        <v>622.24</v>
      </c>
      <c r="Q455" s="250">
        <f>(Q198*'Data - P&amp;L'!$D$34)+(Q211*'Data - P&amp;L'!$D$35)</f>
        <v>878.97</v>
      </c>
      <c r="R455" s="250">
        <f>(R198*'Data - P&amp;L'!$D$34)+(R211*'Data - P&amp;L'!$D$35)</f>
        <v>635.14</v>
      </c>
      <c r="S455" s="250">
        <f>(S198*'Data - P&amp;L'!$D$34)+(S211*'Data - P&amp;L'!$D$35)</f>
        <v>660.36</v>
      </c>
      <c r="T455" s="250">
        <f>(T198*'Data - P&amp;L'!$D$34)+(T211*'Data - P&amp;L'!$D$35)</f>
        <v>491.61</v>
      </c>
      <c r="U455" s="250">
        <f>(U198*'Data - P&amp;L'!$D$34)+(U211*'Data - P&amp;L'!$D$35)</f>
        <v>473.13</v>
      </c>
      <c r="V455" s="250">
        <f>(V198*'Data - P&amp;L'!$D$34)+(V211*'Data - P&amp;L'!$D$35)</f>
        <v>524.15</v>
      </c>
      <c r="W455" s="250">
        <f>(W198*'Data - P&amp;L'!$D$34)+(W211*'Data - P&amp;L'!$D$35)</f>
        <v>993.91</v>
      </c>
      <c r="X455" s="250">
        <f>(X198*'Data - P&amp;L'!$D$34)+(X211*'Data - P&amp;L'!$D$35)</f>
        <v>838.06</v>
      </c>
      <c r="Y455" s="250">
        <f>(Y198*'Data - P&amp;L'!$D$34)+(Y211*'Data - P&amp;L'!$D$35)</f>
        <v>901.98</v>
      </c>
      <c r="Z455" s="250">
        <f>(Z198*'Data - P&amp;L'!$D$34)+(Z211*'Data - P&amp;L'!$D$35)</f>
        <v>705.22</v>
      </c>
      <c r="AA455" s="250">
        <f>(AA198*'Data - P&amp;L'!$D$34)+(AA211*'Data - P&amp;L'!$D$35)</f>
        <v>501.72</v>
      </c>
      <c r="AB455" s="250">
        <f>(AB198*'Data - P&amp;L'!$D$34)+(AB211*'Data - P&amp;L'!$D$35)</f>
        <v>609.92</v>
      </c>
      <c r="AC455" s="250">
        <f>(AC198*'Data - P&amp;L'!$D$34)+(AC211*'Data - P&amp;L'!$D$35)</f>
        <v>678.84</v>
      </c>
      <c r="AD455" s="250">
        <f>(AD198*'Data - P&amp;L'!$D$34)+(AD211*'Data - P&amp;L'!$D$35)</f>
        <v>552.74</v>
      </c>
      <c r="AE455" s="250">
        <f>(AE198*'Data - P&amp;L'!$D$34)+(AE211*'Data - P&amp;L'!$D$35)</f>
        <v>631.77</v>
      </c>
      <c r="AF455" s="250">
        <f>(AF198*'Data - P&amp;L'!$D$34)+(AF211*'Data - P&amp;L'!$D$35)</f>
        <v>457.44</v>
      </c>
      <c r="AG455" s="95">
        <f t="shared" si="132"/>
        <v>39480.03</v>
      </c>
    </row>
    <row r="456">
      <c r="A456" s="240" t="s">
        <v>409</v>
      </c>
      <c r="B456" s="250">
        <f>B88*'Data - P&amp;L'!$E$23</f>
        <v>0</v>
      </c>
      <c r="C456" s="250">
        <f>C88*'Data - P&amp;L'!$E$23</f>
        <v>0</v>
      </c>
      <c r="D456" s="250">
        <f>D88*'Data - P&amp;L'!$E$23</f>
        <v>0</v>
      </c>
      <c r="E456" s="250">
        <f>E88*'Data - P&amp;L'!$E$23</f>
        <v>0</v>
      </c>
      <c r="F456" s="250">
        <f>F88*'Data - P&amp;L'!$E$23</f>
        <v>10.8</v>
      </c>
      <c r="G456" s="250">
        <f>G88*'Data - P&amp;L'!$E$23</f>
        <v>37.8</v>
      </c>
      <c r="H456" s="250">
        <f>H88*'Data - P&amp;L'!$E$23</f>
        <v>5.4</v>
      </c>
      <c r="I456" s="250">
        <f>I88*'Data - P&amp;L'!$E$23</f>
        <v>0</v>
      </c>
      <c r="J456" s="250">
        <f>J88*'Data - P&amp;L'!$E$23</f>
        <v>5.4</v>
      </c>
      <c r="K456" s="250">
        <f>K88*'Data - P&amp;L'!$E$23</f>
        <v>0</v>
      </c>
      <c r="L456" s="250">
        <f>L88*'Data - P&amp;L'!$E$23</f>
        <v>0</v>
      </c>
      <c r="M456" s="250">
        <f>M88*'Data - P&amp;L'!$E$23</f>
        <v>0</v>
      </c>
      <c r="N456" s="250">
        <f>N88*'Data - P&amp;L'!$E$23</f>
        <v>0</v>
      </c>
      <c r="O456" s="250">
        <f>O88*'Data - P&amp;L'!$E$23</f>
        <v>0</v>
      </c>
      <c r="P456" s="250">
        <f>P88*'Data - P&amp;L'!$E$23</f>
        <v>5.4</v>
      </c>
      <c r="Q456" s="250">
        <f>Q88*'Data - P&amp;L'!$E$23</f>
        <v>5.4</v>
      </c>
      <c r="R456" s="250">
        <f>R88*'Data - P&amp;L'!$E$23</f>
        <v>0</v>
      </c>
      <c r="S456" s="250">
        <f>S88*'Data - P&amp;L'!$E$23</f>
        <v>10.8</v>
      </c>
      <c r="T456" s="250">
        <f>T88*'Data - P&amp;L'!$E$23</f>
        <v>5.4</v>
      </c>
      <c r="U456" s="250">
        <f>U88*'Data - P&amp;L'!$E$23</f>
        <v>0</v>
      </c>
      <c r="V456" s="250">
        <f>V88*'Data - P&amp;L'!$E$23</f>
        <v>0</v>
      </c>
      <c r="W456" s="250">
        <f>W88*'Data - P&amp;L'!$E$23</f>
        <v>0</v>
      </c>
      <c r="X456" s="250">
        <f>X88*'Data - P&amp;L'!$E$23</f>
        <v>5.4</v>
      </c>
      <c r="Y456" s="250">
        <f>Y88*'Data - P&amp;L'!$E$23</f>
        <v>0</v>
      </c>
      <c r="Z456" s="250">
        <f>Z88*'Data - P&amp;L'!$E$23</f>
        <v>0</v>
      </c>
      <c r="AA456" s="250">
        <f>AA88*'Data - P&amp;L'!$E$23</f>
        <v>0</v>
      </c>
      <c r="AB456" s="250">
        <f>AB88*'Data - P&amp;L'!$E$23</f>
        <v>0</v>
      </c>
      <c r="AC456" s="250">
        <f>AC88*'Data - P&amp;L'!$E$23</f>
        <v>0</v>
      </c>
      <c r="AD456" s="250">
        <f>AD88*'Data - P&amp;L'!$E$23</f>
        <v>0</v>
      </c>
      <c r="AE456" s="250">
        <f>AE88*'Data - P&amp;L'!$E$23</f>
        <v>0</v>
      </c>
      <c r="AF456" s="250">
        <f>AF88*'Data - P&amp;L'!$E$23</f>
        <v>0</v>
      </c>
      <c r="AG456" s="95">
        <f t="shared" si="132"/>
        <v>91.8</v>
      </c>
    </row>
    <row r="457">
      <c r="A457" s="244" t="s">
        <v>410</v>
      </c>
      <c r="B457" s="251"/>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c r="AA457" s="251"/>
      <c r="AB457" s="251"/>
      <c r="AC457" s="251"/>
      <c r="AD457" s="251"/>
      <c r="AE457" s="251"/>
      <c r="AF457" s="252"/>
      <c r="AG457" s="253"/>
    </row>
    <row r="458">
      <c r="A458" s="240" t="s">
        <v>411</v>
      </c>
      <c r="B458" s="250">
        <f t="shared" ref="B458:AF458" si="133">B50</f>
        <v>37467.8</v>
      </c>
      <c r="C458" s="250">
        <f t="shared" si="133"/>
        <v>6623.71</v>
      </c>
      <c r="D458" s="250">
        <f t="shared" si="133"/>
        <v>5640.47</v>
      </c>
      <c r="E458" s="250">
        <f t="shared" si="133"/>
        <v>4787.21</v>
      </c>
      <c r="F458" s="250">
        <f t="shared" si="133"/>
        <v>3534.85</v>
      </c>
      <c r="G458" s="250">
        <f t="shared" si="133"/>
        <v>3154.87</v>
      </c>
      <c r="H458" s="250">
        <f t="shared" si="133"/>
        <v>3158.81</v>
      </c>
      <c r="I458" s="250">
        <f t="shared" si="133"/>
        <v>3131.63</v>
      </c>
      <c r="J458" s="250">
        <f t="shared" si="133"/>
        <v>3951.72</v>
      </c>
      <c r="K458" s="250">
        <f t="shared" si="133"/>
        <v>3605.45</v>
      </c>
      <c r="L458" s="250">
        <f t="shared" si="133"/>
        <v>3002.88</v>
      </c>
      <c r="M458" s="250">
        <f t="shared" si="133"/>
        <v>2120.77</v>
      </c>
      <c r="N458" s="250">
        <f t="shared" si="133"/>
        <v>1375.77</v>
      </c>
      <c r="O458" s="250">
        <f t="shared" si="133"/>
        <v>1877.19</v>
      </c>
      <c r="P458" s="250">
        <f t="shared" si="133"/>
        <v>1399.58</v>
      </c>
      <c r="Q458" s="250">
        <f t="shared" si="133"/>
        <v>1854.66</v>
      </c>
      <c r="R458" s="250">
        <f t="shared" si="133"/>
        <v>1538.05</v>
      </c>
      <c r="S458" s="250">
        <f t="shared" si="133"/>
        <v>1230.58</v>
      </c>
      <c r="T458" s="250">
        <f t="shared" si="133"/>
        <v>1114.83</v>
      </c>
      <c r="U458" s="250">
        <f t="shared" si="133"/>
        <v>1166.46</v>
      </c>
      <c r="V458" s="250">
        <f t="shared" si="133"/>
        <v>1359.29</v>
      </c>
      <c r="W458" s="250">
        <f t="shared" si="133"/>
        <v>2195.66</v>
      </c>
      <c r="X458" s="250">
        <f t="shared" si="133"/>
        <v>2008.49</v>
      </c>
      <c r="Y458" s="250">
        <f t="shared" si="133"/>
        <v>2240.09</v>
      </c>
      <c r="Z458" s="250">
        <f t="shared" si="133"/>
        <v>1659.07</v>
      </c>
      <c r="AA458" s="250">
        <f t="shared" si="133"/>
        <v>1266.03</v>
      </c>
      <c r="AB458" s="250">
        <f t="shared" si="133"/>
        <v>1100.92</v>
      </c>
      <c r="AC458" s="250">
        <f t="shared" si="133"/>
        <v>1384.55</v>
      </c>
      <c r="AD458" s="250">
        <f t="shared" si="133"/>
        <v>1050.28</v>
      </c>
      <c r="AE458" s="250">
        <f t="shared" si="133"/>
        <v>1340.89</v>
      </c>
      <c r="AF458" s="250">
        <f t="shared" si="133"/>
        <v>1079.24</v>
      </c>
      <c r="AG458" s="95">
        <f t="shared" ref="AG458:AG459" si="134">SUM(B458:AF458)</f>
        <v>108421.8</v>
      </c>
    </row>
    <row r="459">
      <c r="A459" s="246" t="s">
        <v>412</v>
      </c>
      <c r="B459" s="254">
        <f>((SUM(B222:B225))+B255)*'Data - P&amp;L'!$O$3</f>
        <v>76.34</v>
      </c>
      <c r="C459" s="254">
        <f>((SUM(C222:C225))+C255)*'Data - P&amp;L'!$O$3</f>
        <v>53.9</v>
      </c>
      <c r="D459" s="254">
        <f>((SUM(D222:D225))+D255)*'Data - P&amp;L'!$O$3</f>
        <v>13.64</v>
      </c>
      <c r="E459" s="254">
        <f>((SUM(E222:E225))+E255)*'Data - P&amp;L'!$O$3</f>
        <v>22</v>
      </c>
      <c r="F459" s="254">
        <f>((SUM(F222:F225))+F255)*'Data - P&amp;L'!$O$3</f>
        <v>11.44</v>
      </c>
      <c r="G459" s="254">
        <f>((SUM(G222:G225))+G255)*'Data - P&amp;L'!$O$3</f>
        <v>56.4102</v>
      </c>
      <c r="H459" s="254">
        <f>((SUM(H222:H225))+H255)*'Data - P&amp;L'!$O$3</f>
        <v>7.26</v>
      </c>
      <c r="I459" s="254">
        <f>((SUM(I222:I225))+I255)*'Data - P&amp;L'!$O$3</f>
        <v>31.603</v>
      </c>
      <c r="J459" s="254">
        <f>((SUM(J222:J225))+J255)*'Data - P&amp;L'!$O$3</f>
        <v>30.349</v>
      </c>
      <c r="K459" s="254">
        <f>((SUM(K222:K225))+K255)*'Data - P&amp;L'!$O$3</f>
        <v>31.24</v>
      </c>
      <c r="L459" s="254">
        <f>((SUM(L222:L225))+L255)*'Data - P&amp;L'!$O$3</f>
        <v>16.94</v>
      </c>
      <c r="M459" s="254">
        <f>((SUM(M222:M225))+M255)*'Data - P&amp;L'!$O$3</f>
        <v>21.098</v>
      </c>
      <c r="N459" s="254">
        <f>((SUM(N222:N225))+N255)*'Data - P&amp;L'!$O$3</f>
        <v>0</v>
      </c>
      <c r="O459" s="254">
        <f>((SUM(O222:O225))+O255)*'Data - P&amp;L'!$O$3</f>
        <v>0</v>
      </c>
      <c r="P459" s="254">
        <f>((SUM(P222:P225))+P255)*'Data - P&amp;L'!$O$3</f>
        <v>28.16</v>
      </c>
      <c r="Q459" s="254">
        <f>((SUM(Q222:Q225))+Q255)*'Data - P&amp;L'!$O$3</f>
        <v>42.9</v>
      </c>
      <c r="R459" s="254">
        <f>((SUM(R222:R225))+R255)*'Data - P&amp;L'!$O$3</f>
        <v>6.38</v>
      </c>
      <c r="S459" s="254">
        <f>((SUM(S222:S225))+S255)*'Data - P&amp;L'!$O$3</f>
        <v>74.14</v>
      </c>
      <c r="T459" s="254">
        <f>((SUM(T222:T225))+T255)*'Data - P&amp;L'!$O$3</f>
        <v>23.32</v>
      </c>
      <c r="U459" s="254">
        <f>((SUM(U222:U225))+U255)*'Data - P&amp;L'!$O$3</f>
        <v>6.38</v>
      </c>
      <c r="V459" s="254">
        <f>((SUM(V222:V225))+V255)*'Data - P&amp;L'!$O$3</f>
        <v>0</v>
      </c>
      <c r="W459" s="254">
        <f>((SUM(W222:W225))+W255)*'Data - P&amp;L'!$O$3</f>
        <v>8.36</v>
      </c>
      <c r="X459" s="254">
        <f>((SUM(X222:X225))+X255)*'Data - P&amp;L'!$O$3</f>
        <v>19.14</v>
      </c>
      <c r="Y459" s="254">
        <f>((SUM(Y222:Y225))+Y255)*'Data - P&amp;L'!$O$3</f>
        <v>6.38</v>
      </c>
      <c r="Z459" s="254">
        <f>((SUM(Z222:Z225))+Z255)*'Data - P&amp;L'!$O$3</f>
        <v>0</v>
      </c>
      <c r="AA459" s="254">
        <f>((SUM(AA222:AA225))+AA255)*'Data - P&amp;L'!$O$3</f>
        <v>4.18</v>
      </c>
      <c r="AB459" s="254">
        <f>((SUM(AB222:AB225))+AB255)*'Data - P&amp;L'!$O$3</f>
        <v>0</v>
      </c>
      <c r="AC459" s="254">
        <f>((SUM(AC222:AC225))+AC255)*'Data - P&amp;L'!$O$3</f>
        <v>107.6922</v>
      </c>
      <c r="AD459" s="254">
        <f>((SUM(AD222:AD225))+AD255)*'Data - P&amp;L'!$O$3</f>
        <v>0</v>
      </c>
      <c r="AE459" s="254">
        <f>((SUM(AE222:AE225))+AE255)*'Data - P&amp;L'!$O$3</f>
        <v>83.2524</v>
      </c>
      <c r="AF459" s="254">
        <f>((SUM(AF222:AF225))+AF255)*'Data - P&amp;L'!$O$3</f>
        <v>0</v>
      </c>
      <c r="AG459" s="248">
        <f t="shared" si="134"/>
        <v>782.5048</v>
      </c>
    </row>
    <row r="460">
      <c r="A460" s="88"/>
      <c r="B460" s="255"/>
      <c r="C460" s="255"/>
      <c r="D460" s="255"/>
      <c r="E460" s="255"/>
      <c r="F460" s="255"/>
      <c r="G460" s="255"/>
      <c r="H460" s="255"/>
      <c r="I460" s="255"/>
      <c r="J460" s="255"/>
      <c r="K460" s="255"/>
      <c r="L460" s="255"/>
      <c r="M460" s="255"/>
      <c r="N460" s="255"/>
      <c r="O460" s="255"/>
      <c r="P460" s="255"/>
      <c r="Q460" s="255"/>
      <c r="R460" s="255"/>
      <c r="S460" s="255"/>
      <c r="T460" s="255"/>
      <c r="U460" s="255"/>
      <c r="V460" s="255"/>
      <c r="W460" s="255"/>
      <c r="X460" s="255"/>
      <c r="Y460" s="255"/>
      <c r="Z460" s="255"/>
      <c r="AA460" s="255"/>
      <c r="AB460" s="255"/>
      <c r="AC460" s="255"/>
      <c r="AD460" s="255"/>
      <c r="AE460" s="255"/>
      <c r="AF460" s="255"/>
      <c r="AG460" s="95"/>
    </row>
    <row r="461">
      <c r="A461" s="215" t="s">
        <v>413</v>
      </c>
      <c r="B461" s="256">
        <f t="shared" ref="B461:AF461" si="135">SUM(B435:B459)</f>
        <v>274432.3455</v>
      </c>
      <c r="C461" s="256">
        <f t="shared" si="135"/>
        <v>73323.36633</v>
      </c>
      <c r="D461" s="256">
        <f t="shared" si="135"/>
        <v>68278.93384</v>
      </c>
      <c r="E461" s="256">
        <f t="shared" si="135"/>
        <v>59901.03401</v>
      </c>
      <c r="F461" s="256">
        <f t="shared" si="135"/>
        <v>47830.64812</v>
      </c>
      <c r="G461" s="256">
        <f t="shared" si="135"/>
        <v>42530.92187</v>
      </c>
      <c r="H461" s="256">
        <f t="shared" si="135"/>
        <v>41748.29887</v>
      </c>
      <c r="I461" s="256">
        <f t="shared" si="135"/>
        <v>42095.97607</v>
      </c>
      <c r="J461" s="256">
        <f t="shared" si="135"/>
        <v>50756.79354</v>
      </c>
      <c r="K461" s="256">
        <f t="shared" si="135"/>
        <v>46375.09138</v>
      </c>
      <c r="L461" s="256">
        <f t="shared" si="135"/>
        <v>36012.04072</v>
      </c>
      <c r="M461" s="256">
        <f t="shared" si="135"/>
        <v>25063.26969</v>
      </c>
      <c r="N461" s="256">
        <f t="shared" si="135"/>
        <v>20539.89868</v>
      </c>
      <c r="O461" s="256">
        <f t="shared" si="135"/>
        <v>22976.81332</v>
      </c>
      <c r="P461" s="256">
        <f t="shared" si="135"/>
        <v>16318.82092</v>
      </c>
      <c r="Q461" s="256">
        <f t="shared" si="135"/>
        <v>17720.2456</v>
      </c>
      <c r="R461" s="256">
        <f t="shared" si="135"/>
        <v>14104.29156</v>
      </c>
      <c r="S461" s="256">
        <f t="shared" si="135"/>
        <v>13075.15583</v>
      </c>
      <c r="T461" s="256">
        <f t="shared" si="135"/>
        <v>11132.17062</v>
      </c>
      <c r="U461" s="256">
        <f t="shared" si="135"/>
        <v>11131.28511</v>
      </c>
      <c r="V461" s="256">
        <f t="shared" si="135"/>
        <v>12468.5987</v>
      </c>
      <c r="W461" s="256">
        <f t="shared" si="135"/>
        <v>20831.60796</v>
      </c>
      <c r="X461" s="256">
        <f t="shared" si="135"/>
        <v>18458.3912</v>
      </c>
      <c r="Y461" s="256">
        <f t="shared" si="135"/>
        <v>20255.61844</v>
      </c>
      <c r="Z461" s="256">
        <f t="shared" si="135"/>
        <v>14753.90116</v>
      </c>
      <c r="AA461" s="256">
        <f t="shared" si="135"/>
        <v>11189.03989</v>
      </c>
      <c r="AB461" s="256">
        <f t="shared" si="135"/>
        <v>11353.06094</v>
      </c>
      <c r="AC461" s="256">
        <f t="shared" si="135"/>
        <v>13786.95683</v>
      </c>
      <c r="AD461" s="256">
        <f t="shared" si="135"/>
        <v>10297.77174</v>
      </c>
      <c r="AE461" s="256">
        <f t="shared" si="135"/>
        <v>12505.26763</v>
      </c>
      <c r="AF461" s="256">
        <f t="shared" si="135"/>
        <v>10800.34299</v>
      </c>
      <c r="AG461" s="95">
        <f>SUM(B461:AF461)</f>
        <v>1092047.959</v>
      </c>
    </row>
    <row r="462">
      <c r="A462" s="172"/>
      <c r="AG462" s="257"/>
    </row>
    <row r="463">
      <c r="A463" s="172"/>
      <c r="B463" s="46"/>
      <c r="C463" s="46"/>
      <c r="D463" s="46"/>
      <c r="E463" s="46"/>
      <c r="F463" s="46"/>
      <c r="G463" s="46"/>
      <c r="H463" s="46"/>
      <c r="I463" s="46"/>
      <c r="J463" s="46"/>
      <c r="K463" s="46"/>
      <c r="L463" s="46"/>
      <c r="M463" s="46"/>
      <c r="N463" s="46"/>
      <c r="O463" s="46"/>
      <c r="P463" s="46"/>
      <c r="Q463" s="46"/>
      <c r="R463" s="46"/>
      <c r="S463" s="46"/>
      <c r="T463" s="46"/>
      <c r="U463" s="46"/>
      <c r="V463" s="46"/>
      <c r="W463" s="46"/>
      <c r="AG463" s="257"/>
    </row>
    <row r="464">
      <c r="A464" s="88"/>
      <c r="B464" s="255"/>
      <c r="C464" s="255"/>
      <c r="D464" s="255"/>
      <c r="E464" s="255"/>
      <c r="F464" s="255"/>
      <c r="G464" s="255"/>
      <c r="H464" s="255"/>
      <c r="I464" s="255"/>
      <c r="J464" s="255"/>
      <c r="K464" s="255"/>
      <c r="L464" s="255"/>
      <c r="M464" s="255"/>
      <c r="N464" s="255"/>
      <c r="O464" s="255"/>
      <c r="P464" s="255"/>
      <c r="Q464" s="255"/>
      <c r="R464" s="255"/>
      <c r="S464" s="255"/>
      <c r="T464" s="255"/>
      <c r="U464" s="255"/>
      <c r="V464" s="255"/>
      <c r="W464" s="255"/>
      <c r="X464" s="255"/>
      <c r="Y464" s="255"/>
      <c r="Z464" s="255"/>
      <c r="AA464" s="255"/>
      <c r="AB464" s="255"/>
      <c r="AC464" s="255"/>
      <c r="AD464" s="255"/>
      <c r="AE464" s="255"/>
      <c r="AF464" s="255"/>
      <c r="AG464" s="95"/>
    </row>
    <row r="465">
      <c r="A465" s="258" t="s">
        <v>414</v>
      </c>
      <c r="B465" s="259">
        <f t="shared" ref="B465:X465" si="136">B467/B59</f>
        <v>2033.716754</v>
      </c>
      <c r="C465" s="259">
        <f t="shared" si="136"/>
        <v>254.5129681</v>
      </c>
      <c r="D465" s="259">
        <f t="shared" si="136"/>
        <v>158.9830209</v>
      </c>
      <c r="E465" s="259">
        <f t="shared" si="136"/>
        <v>130.9136159</v>
      </c>
      <c r="F465" s="259">
        <f t="shared" si="136"/>
        <v>89.48935203</v>
      </c>
      <c r="G465" s="259">
        <f t="shared" si="136"/>
        <v>83.62031516</v>
      </c>
      <c r="H465" s="259">
        <f t="shared" si="136"/>
        <v>107.746283</v>
      </c>
      <c r="I465" s="259">
        <f t="shared" si="136"/>
        <v>107.7210955</v>
      </c>
      <c r="J465" s="259">
        <f t="shared" si="136"/>
        <v>117.0687814</v>
      </c>
      <c r="K465" s="259">
        <f t="shared" si="136"/>
        <v>116.2158119</v>
      </c>
      <c r="L465" s="259">
        <f t="shared" si="136"/>
        <v>193.0745106</v>
      </c>
      <c r="M465" s="259">
        <f t="shared" si="136"/>
        <v>203.5608577</v>
      </c>
      <c r="N465" s="259">
        <f t="shared" si="136"/>
        <v>111.1019811</v>
      </c>
      <c r="O465" s="259">
        <f t="shared" si="136"/>
        <v>187.2034924</v>
      </c>
      <c r="P465" s="259">
        <f t="shared" si="136"/>
        <v>170.5373591</v>
      </c>
      <c r="Q465" s="259">
        <f t="shared" si="136"/>
        <v>273.662488</v>
      </c>
      <c r="R465" s="259">
        <f t="shared" si="136"/>
        <v>270.0265379</v>
      </c>
      <c r="S465" s="259">
        <f t="shared" si="136"/>
        <v>235.7769518</v>
      </c>
      <c r="T465" s="259">
        <f t="shared" si="136"/>
        <v>257.3965304</v>
      </c>
      <c r="U465" s="259">
        <f t="shared" si="136"/>
        <v>345.6437956</v>
      </c>
      <c r="V465" s="259">
        <f t="shared" si="136"/>
        <v>233.1445079</v>
      </c>
      <c r="W465" s="259">
        <f t="shared" si="136"/>
        <v>227.5533605</v>
      </c>
      <c r="X465" s="259">
        <f t="shared" si="136"/>
        <v>233.1488453</v>
      </c>
      <c r="Y465" s="259"/>
      <c r="Z465" s="259"/>
      <c r="AA465" s="259"/>
      <c r="AB465" s="259"/>
      <c r="AC465" s="259"/>
      <c r="AD465" s="259"/>
      <c r="AE465" s="259"/>
      <c r="AF465" s="259"/>
      <c r="AG465" s="260"/>
    </row>
    <row r="466">
      <c r="A466" s="261">
        <f>SUM(B52:AF52)</f>
        <v>1787869.33</v>
      </c>
      <c r="B466" s="255"/>
      <c r="C466" s="255"/>
      <c r="D466" s="255"/>
      <c r="E466" s="255"/>
      <c r="F466" s="255"/>
      <c r="G466" s="255"/>
      <c r="H466" s="255"/>
      <c r="I466" s="255"/>
      <c r="J466" s="255"/>
      <c r="K466" s="255"/>
      <c r="L466" s="255"/>
      <c r="M466" s="255"/>
      <c r="N466" s="255"/>
      <c r="O466" s="255"/>
      <c r="P466" s="255"/>
      <c r="Q466" s="255"/>
      <c r="R466" s="255"/>
      <c r="S466" s="255"/>
      <c r="T466" s="255"/>
      <c r="U466" s="255"/>
      <c r="V466" s="255"/>
      <c r="W466" s="255"/>
      <c r="X466" s="255"/>
      <c r="Y466" s="255"/>
      <c r="Z466" s="255"/>
      <c r="AA466" s="255"/>
      <c r="AB466" s="255"/>
      <c r="AC466" s="255"/>
      <c r="AD466" s="255"/>
      <c r="AE466" s="255"/>
      <c r="AF466" s="255"/>
      <c r="AG466" s="95"/>
    </row>
    <row r="467">
      <c r="A467" s="262" t="s">
        <v>415</v>
      </c>
      <c r="B467" s="255">
        <f t="shared" ref="B467:AF467" si="137">B52-B461</f>
        <v>335563.2645</v>
      </c>
      <c r="C467" s="255">
        <f t="shared" si="137"/>
        <v>34613.76367</v>
      </c>
      <c r="D467" s="255">
        <f t="shared" si="137"/>
        <v>24006.43616</v>
      </c>
      <c r="E467" s="255">
        <f t="shared" si="137"/>
        <v>19767.95599</v>
      </c>
      <c r="F467" s="255">
        <f t="shared" si="137"/>
        <v>12170.55188</v>
      </c>
      <c r="G467" s="255">
        <f t="shared" si="137"/>
        <v>10118.05813</v>
      </c>
      <c r="H467" s="255">
        <f t="shared" si="137"/>
        <v>11852.09113</v>
      </c>
      <c r="I467" s="255">
        <f t="shared" si="137"/>
        <v>11202.99393</v>
      </c>
      <c r="J467" s="255">
        <f t="shared" si="137"/>
        <v>14750.66646</v>
      </c>
      <c r="K467" s="255">
        <f t="shared" si="137"/>
        <v>11970.22862</v>
      </c>
      <c r="L467" s="255">
        <f t="shared" si="137"/>
        <v>14094.43928</v>
      </c>
      <c r="M467" s="255">
        <f t="shared" si="137"/>
        <v>9567.36031</v>
      </c>
      <c r="N467" s="255">
        <f t="shared" si="137"/>
        <v>3999.671319</v>
      </c>
      <c r="O467" s="255">
        <f t="shared" si="137"/>
        <v>7862.54668</v>
      </c>
      <c r="P467" s="255">
        <f t="shared" si="137"/>
        <v>7162.569081</v>
      </c>
      <c r="Q467" s="255">
        <f t="shared" si="137"/>
        <v>13683.1244</v>
      </c>
      <c r="R467" s="255">
        <f t="shared" si="137"/>
        <v>10261.00844</v>
      </c>
      <c r="S467" s="255">
        <f t="shared" si="137"/>
        <v>8959.524167</v>
      </c>
      <c r="T467" s="255">
        <f t="shared" si="137"/>
        <v>7464.499382</v>
      </c>
      <c r="U467" s="255">
        <f t="shared" si="137"/>
        <v>8641.094891</v>
      </c>
      <c r="V467" s="255">
        <f t="shared" si="137"/>
        <v>8859.4913</v>
      </c>
      <c r="W467" s="255">
        <f t="shared" si="137"/>
        <v>17066.50204</v>
      </c>
      <c r="X467" s="255">
        <f t="shared" si="137"/>
        <v>12356.8888</v>
      </c>
      <c r="Y467" s="255">
        <f t="shared" si="137"/>
        <v>16604.24156</v>
      </c>
      <c r="Z467" s="255">
        <f t="shared" si="137"/>
        <v>12640.61884</v>
      </c>
      <c r="AA467" s="255">
        <f t="shared" si="137"/>
        <v>8413.190108</v>
      </c>
      <c r="AB467" s="255">
        <f t="shared" si="137"/>
        <v>8083.65906</v>
      </c>
      <c r="AC467" s="255">
        <f t="shared" si="137"/>
        <v>10325.69317</v>
      </c>
      <c r="AD467" s="255">
        <f t="shared" si="137"/>
        <v>6702.778255</v>
      </c>
      <c r="AE467" s="255">
        <f t="shared" si="137"/>
        <v>9385.36237</v>
      </c>
      <c r="AF467" s="255">
        <f t="shared" si="137"/>
        <v>7671.097009</v>
      </c>
      <c r="AG467" s="95">
        <f>SUM(B467:AF467)</f>
        <v>695821.3709</v>
      </c>
    </row>
    <row r="468">
      <c r="A468" s="263">
        <f>SUM(B467:AF467)</f>
        <v>695821.3709</v>
      </c>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c r="AA468" s="264"/>
      <c r="AB468" s="264"/>
      <c r="AC468" s="264"/>
      <c r="AD468" s="264"/>
      <c r="AE468" s="264"/>
      <c r="AF468" s="264"/>
      <c r="AG468" s="95"/>
    </row>
    <row r="469">
      <c r="A469" s="262" t="s">
        <v>416</v>
      </c>
      <c r="B469" s="264">
        <f t="shared" ref="B469:AF469" si="138">B467/B52</f>
        <v>0.5501076712</v>
      </c>
      <c r="C469" s="264">
        <f t="shared" si="138"/>
        <v>0.3206844917</v>
      </c>
      <c r="D469" s="264">
        <f t="shared" si="138"/>
        <v>0.2601326317</v>
      </c>
      <c r="E469" s="264">
        <f t="shared" si="138"/>
        <v>0.2481261027</v>
      </c>
      <c r="F469" s="264">
        <f t="shared" si="138"/>
        <v>0.2028384745</v>
      </c>
      <c r="G469" s="264">
        <f t="shared" si="138"/>
        <v>0.1921795661</v>
      </c>
      <c r="H469" s="264">
        <f t="shared" si="138"/>
        <v>0.2211194942</v>
      </c>
      <c r="I469" s="264">
        <f t="shared" si="138"/>
        <v>0.2101915652</v>
      </c>
      <c r="J469" s="264">
        <f t="shared" si="138"/>
        <v>0.2251753687</v>
      </c>
      <c r="K469" s="264">
        <f t="shared" si="138"/>
        <v>0.2051617615</v>
      </c>
      <c r="L469" s="264">
        <f t="shared" si="138"/>
        <v>0.2812897509</v>
      </c>
      <c r="M469" s="264">
        <f t="shared" si="138"/>
        <v>0.2762687341</v>
      </c>
      <c r="N469" s="264">
        <f t="shared" si="138"/>
        <v>0.1629886473</v>
      </c>
      <c r="O469" s="264">
        <f t="shared" si="138"/>
        <v>0.2549516812</v>
      </c>
      <c r="P469" s="264">
        <f t="shared" si="138"/>
        <v>0.3050317329</v>
      </c>
      <c r="Q469" s="264">
        <f t="shared" si="138"/>
        <v>0.4357215293</v>
      </c>
      <c r="R469" s="264">
        <f t="shared" si="138"/>
        <v>0.4211320378</v>
      </c>
      <c r="S469" s="264">
        <f t="shared" si="138"/>
        <v>0.4066101331</v>
      </c>
      <c r="T469" s="264">
        <f t="shared" si="138"/>
        <v>0.4013890327</v>
      </c>
      <c r="U469" s="264">
        <f t="shared" si="138"/>
        <v>0.4370285667</v>
      </c>
      <c r="V469" s="264">
        <f t="shared" si="138"/>
        <v>0.4153907499</v>
      </c>
      <c r="W469" s="264">
        <f t="shared" si="138"/>
        <v>0.4503259408</v>
      </c>
      <c r="X469" s="264">
        <f t="shared" si="138"/>
        <v>0.4009987513</v>
      </c>
      <c r="Y469" s="264">
        <f t="shared" si="138"/>
        <v>0.450469469</v>
      </c>
      <c r="Z469" s="264">
        <f t="shared" si="138"/>
        <v>0.4614287397</v>
      </c>
      <c r="AA469" s="264">
        <f t="shared" si="138"/>
        <v>0.4291955613</v>
      </c>
      <c r="AB469" s="264">
        <f t="shared" si="138"/>
        <v>0.4158962551</v>
      </c>
      <c r="AC469" s="264">
        <f t="shared" si="138"/>
        <v>0.4282272239</v>
      </c>
      <c r="AD469" s="264">
        <f t="shared" si="138"/>
        <v>0.3942683181</v>
      </c>
      <c r="AE469" s="264">
        <f t="shared" si="138"/>
        <v>0.4287387969</v>
      </c>
      <c r="AF469" s="264">
        <f t="shared" si="138"/>
        <v>0.4152950181</v>
      </c>
      <c r="AG469" s="95"/>
    </row>
    <row r="470">
      <c r="A470" s="265">
        <f>A468/A466</f>
        <v>0.3891902832</v>
      </c>
      <c r="B470" s="255"/>
      <c r="C470" s="255"/>
      <c r="D470" s="255"/>
      <c r="E470" s="255"/>
      <c r="F470" s="255"/>
      <c r="G470" s="255"/>
      <c r="H470" s="255"/>
      <c r="I470" s="255"/>
      <c r="J470" s="255"/>
      <c r="K470" s="255"/>
      <c r="L470" s="255"/>
      <c r="M470" s="255"/>
      <c r="N470" s="255"/>
      <c r="O470" s="255"/>
      <c r="P470" s="255"/>
      <c r="Q470" s="255"/>
      <c r="R470" s="255"/>
      <c r="S470" s="255"/>
      <c r="T470" s="255"/>
      <c r="U470" s="255"/>
      <c r="V470" s="255"/>
      <c r="W470" s="255"/>
      <c r="X470" s="255"/>
      <c r="Y470" s="255"/>
      <c r="Z470" s="255"/>
      <c r="AA470" s="255"/>
      <c r="AB470" s="255"/>
      <c r="AC470" s="255"/>
      <c r="AD470" s="255"/>
      <c r="AE470" s="255"/>
      <c r="AF470" s="255"/>
      <c r="AG470" s="95"/>
    </row>
    <row r="471">
      <c r="A471" s="266" t="s">
        <v>417</v>
      </c>
      <c r="B471" s="267">
        <f>Summary!B97</f>
        <v>32.31478191</v>
      </c>
      <c r="C471" s="267">
        <f>Summary!C97</f>
        <v>5.802040424</v>
      </c>
      <c r="D471" s="267">
        <f>Summary!D97</f>
        <v>4.926748576</v>
      </c>
      <c r="E471" s="267">
        <f>Summary!E97</f>
        <v>5.120665739</v>
      </c>
      <c r="F471" s="267">
        <f>Summary!F97</f>
        <v>4.672045842</v>
      </c>
      <c r="G471" s="267">
        <f>Summary!G97</f>
        <v>4.579917134</v>
      </c>
      <c r="H471" s="267">
        <f>Summary!H97</f>
        <v>4.679532085</v>
      </c>
      <c r="I471" s="267">
        <f>Summary!I97</f>
        <v>4.330446799</v>
      </c>
      <c r="J471" s="267">
        <f>Summary!J97</f>
        <v>4.692400565</v>
      </c>
      <c r="K471" s="267">
        <f>Summary!K97</f>
        <v>4.117841654</v>
      </c>
      <c r="L471" s="267">
        <f>Summary!L97</f>
        <v>4.133086676</v>
      </c>
      <c r="M471" s="267">
        <f>Summary!M97</f>
        <v>3.437675027</v>
      </c>
      <c r="N471" s="267">
        <f>Summary!N97</f>
        <v>2.569745499</v>
      </c>
      <c r="O471" s="267">
        <f>Summary!O97</f>
        <v>3.346975107</v>
      </c>
      <c r="P471" s="267">
        <f>Summary!P97</f>
        <v>6.997589134</v>
      </c>
      <c r="Q471" s="267">
        <f>Summary!Q97</f>
        <v>9.483526406</v>
      </c>
      <c r="R471" s="267">
        <f>Summary!R97</f>
        <v>8.171366864</v>
      </c>
      <c r="S471" s="267">
        <f>Summary!S97</f>
        <v>7.343179925</v>
      </c>
      <c r="T471" s="267">
        <f>Summary!T97</f>
        <v>7.061686906</v>
      </c>
      <c r="U471" s="267">
        <f>Summary!U97</f>
        <v>8.535675433</v>
      </c>
      <c r="V471" s="267">
        <f>Summary!V97</f>
        <v>8.02429325</v>
      </c>
      <c r="W471" s="267">
        <f>Summary!W97</f>
        <v>14.73098481</v>
      </c>
      <c r="X471" s="267">
        <f>Summary!X97</f>
        <v>7.580261734</v>
      </c>
      <c r="Y471" s="267">
        <f>Summary!Y97</f>
        <v>10.99123024</v>
      </c>
      <c r="Z471" s="267">
        <f>Summary!Z97</f>
        <v>10.48834948</v>
      </c>
      <c r="AA471" s="267">
        <f>Summary!AA97</f>
        <v>9.529569906</v>
      </c>
      <c r="AB471" s="267">
        <f>Summary!AB97</f>
        <v>8.324754477</v>
      </c>
      <c r="AC471" s="267">
        <f>Summary!AC97</f>
        <v>9.919839556</v>
      </c>
      <c r="AD471" s="267">
        <f>Summary!AD97</f>
        <v>7.71882151</v>
      </c>
      <c r="AE471" s="267">
        <f>Summary!AE97</f>
        <v>10.64439787</v>
      </c>
      <c r="AF471" s="267">
        <f>Summary!AF97</f>
        <v>8.727269291</v>
      </c>
      <c r="AG471" s="268"/>
    </row>
    <row r="472">
      <c r="A472" s="88"/>
      <c r="B472" s="255"/>
      <c r="C472" s="255"/>
      <c r="D472" s="255"/>
      <c r="E472" s="255"/>
      <c r="F472" s="255"/>
      <c r="G472" s="255"/>
      <c r="H472" s="255"/>
      <c r="I472" s="255"/>
      <c r="J472" s="255"/>
      <c r="K472" s="255"/>
      <c r="L472" s="255"/>
      <c r="M472" s="255"/>
      <c r="N472" s="255"/>
      <c r="O472" s="255"/>
      <c r="P472" s="255"/>
      <c r="Q472" s="255"/>
      <c r="R472" s="255"/>
      <c r="S472" s="255"/>
      <c r="T472" s="255"/>
      <c r="U472" s="255"/>
      <c r="V472" s="255"/>
      <c r="W472" s="255"/>
      <c r="X472" s="255"/>
      <c r="Y472" s="255"/>
      <c r="Z472" s="255"/>
      <c r="AA472" s="255"/>
      <c r="AB472" s="255"/>
      <c r="AC472" s="255"/>
      <c r="AD472" s="255"/>
      <c r="AE472" s="255"/>
      <c r="AF472" s="255"/>
      <c r="AG472" s="95"/>
    </row>
    <row r="473">
      <c r="A473" s="88"/>
      <c r="B473" s="255"/>
      <c r="C473" s="255"/>
      <c r="D473" s="255"/>
      <c r="E473" s="255"/>
      <c r="F473" s="255"/>
      <c r="G473" s="255"/>
      <c r="H473" s="255"/>
      <c r="I473" s="255"/>
      <c r="J473" s="255"/>
      <c r="K473" s="255"/>
      <c r="L473" s="255"/>
      <c r="M473" s="255"/>
      <c r="N473" s="255"/>
      <c r="O473" s="255"/>
      <c r="P473" s="255"/>
      <c r="Q473" s="255"/>
      <c r="R473" s="255"/>
      <c r="S473" s="255"/>
      <c r="T473" s="255"/>
      <c r="U473" s="255"/>
      <c r="V473" s="255"/>
      <c r="W473" s="255"/>
      <c r="X473" s="255"/>
      <c r="Y473" s="255"/>
      <c r="Z473" s="255"/>
      <c r="AA473" s="255"/>
      <c r="AB473" s="255"/>
      <c r="AC473" s="255"/>
      <c r="AD473" s="255"/>
      <c r="AE473" s="255"/>
      <c r="AF473" s="255"/>
      <c r="AG473" s="95"/>
    </row>
    <row r="474">
      <c r="A474" s="237" t="s">
        <v>418</v>
      </c>
      <c r="B474" s="254" t="str">
        <f t="shared" ref="B474:AD474" si="139">iferror(#REF!+#REF!+#REF!+#REF!+#REF!,"")</f>
        <v/>
      </c>
      <c r="C474" s="254" t="str">
        <f t="shared" si="139"/>
        <v/>
      </c>
      <c r="D474" s="254" t="str">
        <f t="shared" si="139"/>
        <v/>
      </c>
      <c r="E474" s="254" t="str">
        <f t="shared" si="139"/>
        <v/>
      </c>
      <c r="F474" s="254" t="str">
        <f t="shared" si="139"/>
        <v/>
      </c>
      <c r="G474" s="254" t="str">
        <f t="shared" si="139"/>
        <v/>
      </c>
      <c r="H474" s="254" t="str">
        <f t="shared" si="139"/>
        <v/>
      </c>
      <c r="I474" s="254" t="str">
        <f t="shared" si="139"/>
        <v/>
      </c>
      <c r="J474" s="254" t="str">
        <f t="shared" si="139"/>
        <v/>
      </c>
      <c r="K474" s="254" t="str">
        <f t="shared" si="139"/>
        <v/>
      </c>
      <c r="L474" s="254" t="str">
        <f t="shared" si="139"/>
        <v/>
      </c>
      <c r="M474" s="254" t="str">
        <f t="shared" si="139"/>
        <v/>
      </c>
      <c r="N474" s="254" t="str">
        <f t="shared" si="139"/>
        <v/>
      </c>
      <c r="O474" s="254" t="str">
        <f t="shared" si="139"/>
        <v/>
      </c>
      <c r="P474" s="254" t="str">
        <f t="shared" si="139"/>
        <v/>
      </c>
      <c r="Q474" s="254" t="str">
        <f t="shared" si="139"/>
        <v/>
      </c>
      <c r="R474" s="254" t="str">
        <f t="shared" si="139"/>
        <v/>
      </c>
      <c r="S474" s="254" t="str">
        <f t="shared" si="139"/>
        <v/>
      </c>
      <c r="T474" s="254" t="str">
        <f t="shared" si="139"/>
        <v/>
      </c>
      <c r="U474" s="254" t="str">
        <f t="shared" si="139"/>
        <v/>
      </c>
      <c r="V474" s="254" t="str">
        <f t="shared" si="139"/>
        <v/>
      </c>
      <c r="W474" s="254" t="str">
        <f t="shared" si="139"/>
        <v/>
      </c>
      <c r="X474" s="254" t="str">
        <f t="shared" si="139"/>
        <v/>
      </c>
      <c r="Y474" s="254" t="str">
        <f t="shared" si="139"/>
        <v/>
      </c>
      <c r="Z474" s="254" t="str">
        <f t="shared" si="139"/>
        <v/>
      </c>
      <c r="AA474" s="254" t="str">
        <f t="shared" si="139"/>
        <v/>
      </c>
      <c r="AB474" s="254" t="str">
        <f t="shared" si="139"/>
        <v/>
      </c>
      <c r="AC474" s="254" t="str">
        <f t="shared" si="139"/>
        <v/>
      </c>
      <c r="AD474" s="254" t="str">
        <f t="shared" si="139"/>
        <v/>
      </c>
      <c r="AE474" s="255"/>
      <c r="AF474" s="255"/>
      <c r="AG474" s="95">
        <f t="shared" ref="AG474:AG523" si="141">SUM(B474:AF474)</f>
        <v>0</v>
      </c>
    </row>
    <row r="475">
      <c r="A475" s="240" t="s">
        <v>419</v>
      </c>
      <c r="B475" s="269">
        <f t="shared" ref="B475:AF475" si="140">SUM(B476:B490)-B491</f>
        <v>-11751.375</v>
      </c>
      <c r="C475" s="269">
        <f t="shared" si="140"/>
        <v>-1812.105</v>
      </c>
      <c r="D475" s="269">
        <f t="shared" si="140"/>
        <v>-2463.455</v>
      </c>
      <c r="E475" s="269">
        <f t="shared" si="140"/>
        <v>-6211.925</v>
      </c>
      <c r="F475" s="269">
        <f t="shared" si="140"/>
        <v>-3695.48</v>
      </c>
      <c r="G475" s="269">
        <f t="shared" si="140"/>
        <v>-279.555</v>
      </c>
      <c r="H475" s="269">
        <f t="shared" si="140"/>
        <v>-868.92</v>
      </c>
      <c r="I475" s="269">
        <f t="shared" si="140"/>
        <v>-1181.835</v>
      </c>
      <c r="J475" s="269">
        <f t="shared" si="140"/>
        <v>-424.75</v>
      </c>
      <c r="K475" s="269">
        <f t="shared" si="140"/>
        <v>-900.365</v>
      </c>
      <c r="L475" s="269">
        <f t="shared" si="140"/>
        <v>-2596.495</v>
      </c>
      <c r="M475" s="269">
        <f t="shared" si="140"/>
        <v>-4868.775</v>
      </c>
      <c r="N475" s="269">
        <f t="shared" si="140"/>
        <v>-1060.9</v>
      </c>
      <c r="O475" s="269">
        <f t="shared" si="140"/>
        <v>-2332.63</v>
      </c>
      <c r="P475" s="269">
        <f t="shared" si="140"/>
        <v>-377.02</v>
      </c>
      <c r="Q475" s="269">
        <f t="shared" si="140"/>
        <v>-1194.61</v>
      </c>
      <c r="R475" s="269">
        <f t="shared" si="140"/>
        <v>0</v>
      </c>
      <c r="S475" s="269">
        <f t="shared" si="140"/>
        <v>-664.75</v>
      </c>
      <c r="T475" s="269">
        <f t="shared" si="140"/>
        <v>0</v>
      </c>
      <c r="U475" s="269">
        <f t="shared" si="140"/>
        <v>-311.8</v>
      </c>
      <c r="V475" s="269">
        <f t="shared" si="140"/>
        <v>-769.05</v>
      </c>
      <c r="W475" s="269">
        <f t="shared" si="140"/>
        <v>0</v>
      </c>
      <c r="X475" s="269">
        <f t="shared" si="140"/>
        <v>-814.49</v>
      </c>
      <c r="Y475" s="269">
        <f t="shared" si="140"/>
        <v>0</v>
      </c>
      <c r="Z475" s="269">
        <f t="shared" si="140"/>
        <v>-166.1</v>
      </c>
      <c r="AA475" s="269">
        <f t="shared" si="140"/>
        <v>-512.025</v>
      </c>
      <c r="AB475" s="269">
        <f t="shared" si="140"/>
        <v>-1262.225</v>
      </c>
      <c r="AC475" s="269">
        <f t="shared" si="140"/>
        <v>-350.65</v>
      </c>
      <c r="AD475" s="269">
        <f t="shared" si="140"/>
        <v>-829.44</v>
      </c>
      <c r="AE475" s="270">
        <f t="shared" si="140"/>
        <v>-1136.92</v>
      </c>
      <c r="AF475" s="270">
        <f t="shared" si="140"/>
        <v>-1428.55</v>
      </c>
      <c r="AG475" s="95">
        <f t="shared" si="141"/>
        <v>-50266.195</v>
      </c>
    </row>
    <row r="476" outlineLevel="1">
      <c r="A476" s="151" t="s">
        <v>420</v>
      </c>
      <c r="B476" s="255">
        <f>(B262+B263+B269+B270)*'Data - P&amp;L'!$C$3</f>
        <v>260.7</v>
      </c>
      <c r="C476" s="255">
        <f>(C262+C263+C269+C270)*'Data - P&amp;L'!$C$3</f>
        <v>0</v>
      </c>
      <c r="D476" s="255">
        <f>(D262+D263+D269+D270)*'Data - P&amp;L'!$C$3</f>
        <v>0</v>
      </c>
      <c r="E476" s="255">
        <f>(E262+E263+E269+E270)*'Data - P&amp;L'!$C$3</f>
        <v>0</v>
      </c>
      <c r="F476" s="255">
        <f>(F262+F263+F269+F270)*'Data - P&amp;L'!$C$3</f>
        <v>260.7</v>
      </c>
      <c r="G476" s="255">
        <f>(G262+G263+G269+G270)*'Data - P&amp;L'!$C$3</f>
        <v>86.9</v>
      </c>
      <c r="H476" s="255">
        <f>(H262+H263+H269+H270)*'Data - P&amp;L'!$C$3</f>
        <v>0</v>
      </c>
      <c r="I476" s="255">
        <f>(I262+I263+I269+I270)*'Data - P&amp;L'!$C$3</f>
        <v>0</v>
      </c>
      <c r="J476" s="255">
        <f>(J262+J263+J269+J270)*'Data - P&amp;L'!$C$3</f>
        <v>0</v>
      </c>
      <c r="K476" s="255">
        <f>(K262+K263+K269+K270)*'Data - P&amp;L'!$C$3</f>
        <v>0</v>
      </c>
      <c r="L476" s="255">
        <f>(L262+L263+L269+L270)*'Data - P&amp;L'!$C$3</f>
        <v>0</v>
      </c>
      <c r="M476" s="255">
        <f>(M262+M263+M269+M270)*'Data - P&amp;L'!$C$3</f>
        <v>0</v>
      </c>
      <c r="N476" s="255">
        <f>(N262+N263+N269+N270)*'Data - P&amp;L'!$C$3</f>
        <v>260.7</v>
      </c>
      <c r="O476" s="255">
        <f>(O262+O263+O269+O270)*'Data - P&amp;L'!$C$3</f>
        <v>0</v>
      </c>
      <c r="P476" s="255">
        <f>(P262+P263+P269+P270)*'Data - P&amp;L'!$C$3</f>
        <v>0</v>
      </c>
      <c r="Q476" s="255">
        <f>(Q262+Q263+Q269+Q270)*'Data - P&amp;L'!$C$3</f>
        <v>86.9</v>
      </c>
      <c r="R476" s="255">
        <f>(R262+R263+R269+R270)*'Data - P&amp;L'!$C$3</f>
        <v>0</v>
      </c>
      <c r="S476" s="255">
        <f>(S262+S263+S269+S270)*'Data - P&amp;L'!$C$3</f>
        <v>0</v>
      </c>
      <c r="T476" s="255">
        <f>(T262+T263+T269+T270)*'Data - P&amp;L'!$C$3</f>
        <v>0</v>
      </c>
      <c r="U476" s="255">
        <f>(U262+U263+U269+U270)*'Data - P&amp;L'!$C$3</f>
        <v>0</v>
      </c>
      <c r="V476" s="255">
        <f>(V262+V263+V269+V270)*'Data - P&amp;L'!$C$3</f>
        <v>0</v>
      </c>
      <c r="W476" s="255">
        <f>(W262+W263+W269+W270)*'Data - P&amp;L'!$C$3</f>
        <v>0</v>
      </c>
      <c r="X476" s="255">
        <f>(X262+X263+X269+X270)*'Data - P&amp;L'!$C$3</f>
        <v>0</v>
      </c>
      <c r="Y476" s="255">
        <f>(Y262+Y263+Y269+Y270)*'Data - P&amp;L'!$C$3</f>
        <v>0</v>
      </c>
      <c r="Z476" s="255">
        <f>(Z262+Z263+Z269+Z270)*'Data - P&amp;L'!$C$3</f>
        <v>0</v>
      </c>
      <c r="AA476" s="255">
        <f>(AA262+AA263+AA269+AA270)*'Data - P&amp;L'!$C$3</f>
        <v>86.9</v>
      </c>
      <c r="AB476" s="255">
        <f>(AB262+AB263+AB269+AB270)*'Data - P&amp;L'!$C$3</f>
        <v>0</v>
      </c>
      <c r="AC476" s="255">
        <f>(AC262+AC263+AC269+AC270)*'Data - P&amp;L'!$C$3</f>
        <v>0</v>
      </c>
      <c r="AD476" s="255">
        <f>(AD262+AD263+AD269+AD270)*'Data - P&amp;L'!$C$3</f>
        <v>0</v>
      </c>
      <c r="AE476" s="255">
        <f>(AE262+AE263+AE269+AE270)*'Data - P&amp;L'!$C$3</f>
        <v>0</v>
      </c>
      <c r="AF476" s="255">
        <f>(AF262+AF263+AF269+AF270)*'Data - P&amp;L'!$C$3</f>
        <v>0</v>
      </c>
      <c r="AG476" s="95">
        <f t="shared" si="141"/>
        <v>1042.8</v>
      </c>
    </row>
    <row r="477" outlineLevel="1">
      <c r="A477" s="151" t="s">
        <v>421</v>
      </c>
      <c r="B477" s="255">
        <f>(B264+B265+B271+B272)*'Data - P&amp;L'!$C$4</f>
        <v>97.61</v>
      </c>
      <c r="C477" s="255">
        <f>(C264+C265+C271+C272)*'Data - P&amp;L'!$C$4</f>
        <v>97.61</v>
      </c>
      <c r="D477" s="255">
        <f>(D264+D265+D271+D272)*'Data - P&amp;L'!$C$4</f>
        <v>0</v>
      </c>
      <c r="E477" s="255">
        <f>(E264+E265+E271+E272)*'Data - P&amp;L'!$C$4</f>
        <v>0</v>
      </c>
      <c r="F477" s="255">
        <f>(F264+F265+F271+F272)*'Data - P&amp;L'!$C$4</f>
        <v>0</v>
      </c>
      <c r="G477" s="255">
        <f>(G264+G265+G271+G272)*'Data - P&amp;L'!$C$4</f>
        <v>0</v>
      </c>
      <c r="H477" s="255">
        <f>(H264+H265+H271+H272)*'Data - P&amp;L'!$C$4</f>
        <v>0</v>
      </c>
      <c r="I477" s="255">
        <f>(I264+I265+I271+I272)*'Data - P&amp;L'!$C$4</f>
        <v>195.22</v>
      </c>
      <c r="J477" s="255">
        <f>(J264+J265+J271+J272)*'Data - P&amp;L'!$C$4</f>
        <v>0</v>
      </c>
      <c r="K477" s="255">
        <f>(K264+K265+K271+K272)*'Data - P&amp;L'!$C$4</f>
        <v>0</v>
      </c>
      <c r="L477" s="255">
        <f>(L264+L265+L271+L272)*'Data - P&amp;L'!$C$4</f>
        <v>97.61</v>
      </c>
      <c r="M477" s="255">
        <f>(M264+M265+M271+M272)*'Data - P&amp;L'!$C$4</f>
        <v>97.61</v>
      </c>
      <c r="N477" s="255">
        <f>(N264+N265+N271+N272)*'Data - P&amp;L'!$C$4</f>
        <v>0</v>
      </c>
      <c r="O477" s="255">
        <f>(O264+O265+O271+O272)*'Data - P&amp;L'!$C$4</f>
        <v>97.61</v>
      </c>
      <c r="P477" s="255">
        <f>(P264+P265+P271+P272)*'Data - P&amp;L'!$C$4</f>
        <v>0</v>
      </c>
      <c r="Q477" s="255">
        <f>(Q264+Q265+Q271+Q272)*'Data - P&amp;L'!$C$4</f>
        <v>97.61</v>
      </c>
      <c r="R477" s="255">
        <f>(R264+R265+R271+R272)*'Data - P&amp;L'!$C$4</f>
        <v>0</v>
      </c>
      <c r="S477" s="255">
        <f>(S264+S265+S271+S272)*'Data - P&amp;L'!$C$4</f>
        <v>0</v>
      </c>
      <c r="T477" s="255">
        <f>(T264+T265+T271+T272)*'Data - P&amp;L'!$C$4</f>
        <v>0</v>
      </c>
      <c r="U477" s="255">
        <f>(U264+U265+U271+U272)*'Data - P&amp;L'!$C$4</f>
        <v>97.61</v>
      </c>
      <c r="V477" s="255">
        <f>(V264+V265+V271+V272)*'Data - P&amp;L'!$C$4</f>
        <v>0</v>
      </c>
      <c r="W477" s="255">
        <f>(W264+W265+W271+W272)*'Data - P&amp;L'!$C$4</f>
        <v>0</v>
      </c>
      <c r="X477" s="255">
        <f>(X264+X265+X271+X272)*'Data - P&amp;L'!$C$4</f>
        <v>97.61</v>
      </c>
      <c r="Y477" s="255">
        <f>(Y264+Y265+Y271+Y272)*'Data - P&amp;L'!$C$4</f>
        <v>0</v>
      </c>
      <c r="Z477" s="255">
        <f>(Z264+Z265+Z271+Z272)*'Data - P&amp;L'!$C$4</f>
        <v>0</v>
      </c>
      <c r="AA477" s="255">
        <f>(AA264+AA265+AA271+AA272)*'Data - P&amp;L'!$C$4</f>
        <v>97.61</v>
      </c>
      <c r="AB477" s="255">
        <f>(AB264+AB265+AB271+AB272)*'Data - P&amp;L'!$C$4</f>
        <v>0</v>
      </c>
      <c r="AC477" s="255">
        <f>(AC264+AC265+AC271+AC272)*'Data - P&amp;L'!$C$4</f>
        <v>0</v>
      </c>
      <c r="AD477" s="255">
        <f>(AD264+AD265+AD271+AD272)*'Data - P&amp;L'!$C$4</f>
        <v>0</v>
      </c>
      <c r="AE477" s="255">
        <f>(AE264+AE265+AE271+AE272)*'Data - P&amp;L'!$C$4</f>
        <v>0</v>
      </c>
      <c r="AF477" s="255">
        <f>(AF264+AF265+AF271+AF272)*'Data - P&amp;L'!$C$4</f>
        <v>0</v>
      </c>
      <c r="AG477" s="95">
        <f t="shared" si="141"/>
        <v>1073.71</v>
      </c>
    </row>
    <row r="478" outlineLevel="1">
      <c r="A478" s="151" t="s">
        <v>392</v>
      </c>
      <c r="B478" s="255">
        <f>(B266+B273)*'Data - P&amp;L'!$C$15</f>
        <v>1406.4</v>
      </c>
      <c r="C478" s="255">
        <f>(C266+C273)*'Data - P&amp;L'!$C$15</f>
        <v>351.6</v>
      </c>
      <c r="D478" s="255">
        <f>(D266+D273)*'Data - P&amp;L'!$C$15</f>
        <v>351.6</v>
      </c>
      <c r="E478" s="255">
        <f>(E266+E273)*'Data - P&amp;L'!$C$15</f>
        <v>527.4</v>
      </c>
      <c r="F478" s="255">
        <f>(F266+F273)*'Data - P&amp;L'!$C$15</f>
        <v>527.4</v>
      </c>
      <c r="G478" s="255">
        <f>(G266+G273)*'Data - P&amp;L'!$C$15</f>
        <v>0</v>
      </c>
      <c r="H478" s="255">
        <f>(H266+H273)*'Data - P&amp;L'!$C$15</f>
        <v>175.8</v>
      </c>
      <c r="I478" s="255">
        <f>(I266+I273)*'Data - P&amp;L'!$C$15</f>
        <v>263.7</v>
      </c>
      <c r="J478" s="255">
        <f>(J266+J273)*'Data - P&amp;L'!$C$15</f>
        <v>87.9</v>
      </c>
      <c r="K478" s="255">
        <f>(K266+K273)*'Data - P&amp;L'!$C$15</f>
        <v>263.7</v>
      </c>
      <c r="L478" s="255">
        <f>(L266+L273)*'Data - P&amp;L'!$C$15</f>
        <v>703.2</v>
      </c>
      <c r="M478" s="255">
        <f>(M266+M273)*'Data - P&amp;L'!$C$15</f>
        <v>791.1</v>
      </c>
      <c r="N478" s="255">
        <f>(N266+N273)*'Data - P&amp;L'!$C$15</f>
        <v>0</v>
      </c>
      <c r="O478" s="255">
        <f>(O266+O273)*'Data - P&amp;L'!$C$15</f>
        <v>175.8</v>
      </c>
      <c r="P478" s="255">
        <f>(P266+P273)*'Data - P&amp;L'!$C$15</f>
        <v>175.8</v>
      </c>
      <c r="Q478" s="255">
        <f>(Q266+Q273)*'Data - P&amp;L'!$C$15</f>
        <v>175.8</v>
      </c>
      <c r="R478" s="255">
        <f>(R266+R273)*'Data - P&amp;L'!$C$15</f>
        <v>0</v>
      </c>
      <c r="S478" s="255">
        <f>(S266+S273)*'Data - P&amp;L'!$C$15</f>
        <v>87.9</v>
      </c>
      <c r="T478" s="255">
        <f>(T266+T273)*'Data - P&amp;L'!$C$15</f>
        <v>0</v>
      </c>
      <c r="U478" s="255">
        <f>(U266+U273)*'Data - P&amp;L'!$C$15</f>
        <v>0</v>
      </c>
      <c r="V478" s="255">
        <f>(V266+V273)*'Data - P&amp;L'!$C$15</f>
        <v>175.8</v>
      </c>
      <c r="W478" s="255">
        <f>(W266+W273)*'Data - P&amp;L'!$C$15</f>
        <v>0</v>
      </c>
      <c r="X478" s="255">
        <f>(X266+X273)*'Data - P&amp;L'!$C$15</f>
        <v>0</v>
      </c>
      <c r="Y478" s="255">
        <f>(Y266+Y273)*'Data - P&amp;L'!$C$15</f>
        <v>0</v>
      </c>
      <c r="Z478" s="255">
        <f>(Z266+Z273)*'Data - P&amp;L'!$C$15</f>
        <v>87.9</v>
      </c>
      <c r="AA478" s="255">
        <f>(AA266+AA273)*'Data - P&amp;L'!$C$15</f>
        <v>0</v>
      </c>
      <c r="AB478" s="255">
        <f>(AB266+AB273)*'Data - P&amp;L'!$C$15</f>
        <v>175.8</v>
      </c>
      <c r="AC478" s="255">
        <f>(AC266+AC273)*'Data - P&amp;L'!$C$15</f>
        <v>0</v>
      </c>
      <c r="AD478" s="255">
        <f>(AD266+AD273)*'Data - P&amp;L'!$C$15</f>
        <v>0</v>
      </c>
      <c r="AE478" s="255">
        <f>(AE266+AE273)*'Data - P&amp;L'!$C$15</f>
        <v>0</v>
      </c>
      <c r="AF478" s="255">
        <f>(AF266+AF273)*'Data - P&amp;L'!$C$15</f>
        <v>0</v>
      </c>
      <c r="AG478" s="95">
        <f t="shared" si="141"/>
        <v>6504.6</v>
      </c>
    </row>
    <row r="479" outlineLevel="1">
      <c r="A479" s="151" t="s">
        <v>393</v>
      </c>
      <c r="B479" s="255">
        <f>(B267+B274)*'Data - P&amp;L'!$C$16</f>
        <v>3499.56</v>
      </c>
      <c r="C479" s="255">
        <f>(C267+C274)*'Data - P&amp;L'!$C$16</f>
        <v>388.84</v>
      </c>
      <c r="D479" s="255">
        <f>(D267+D274)*'Data - P&amp;L'!$C$16</f>
        <v>680.47</v>
      </c>
      <c r="E479" s="255">
        <f>(E267+E274)*'Data - P&amp;L'!$C$16</f>
        <v>1944.2</v>
      </c>
      <c r="F479" s="255">
        <f>(F267+F274)*'Data - P&amp;L'!$C$16</f>
        <v>972.1</v>
      </c>
      <c r="G479" s="255">
        <f>(G267+G274)*'Data - P&amp;L'!$C$16</f>
        <v>97.21</v>
      </c>
      <c r="H479" s="255">
        <f>(H267+H274)*'Data - P&amp;L'!$C$16</f>
        <v>194.42</v>
      </c>
      <c r="I479" s="255">
        <f>(I267+I274)*'Data - P&amp;L'!$C$16</f>
        <v>194.42</v>
      </c>
      <c r="J479" s="255">
        <f>(J267+J274)*'Data - P&amp;L'!$C$16</f>
        <v>97.21</v>
      </c>
      <c r="K479" s="255">
        <f>(K267+K274)*'Data - P&amp;L'!$C$16</f>
        <v>97.21</v>
      </c>
      <c r="L479" s="255">
        <f>(L267+L274)*'Data - P&amp;L'!$C$16</f>
        <v>388.84</v>
      </c>
      <c r="M479" s="255">
        <f>(M267+M274)*'Data - P&amp;L'!$C$16</f>
        <v>1263.73</v>
      </c>
      <c r="N479" s="255">
        <f>(N267+N274)*'Data - P&amp;L'!$C$16</f>
        <v>97.21</v>
      </c>
      <c r="O479" s="255">
        <f>(O267+O274)*'Data - P&amp;L'!$C$16</f>
        <v>777.68</v>
      </c>
      <c r="P479" s="255">
        <f>(P267+P274)*'Data - P&amp;L'!$C$16</f>
        <v>0</v>
      </c>
      <c r="Q479" s="255">
        <f>(Q267+Q274)*'Data - P&amp;L'!$C$16</f>
        <v>194.42</v>
      </c>
      <c r="R479" s="255">
        <f>(R267+R274)*'Data - P&amp;L'!$C$16</f>
        <v>0</v>
      </c>
      <c r="S479" s="255">
        <f>(S267+S274)*'Data - P&amp;L'!$C$16</f>
        <v>194.42</v>
      </c>
      <c r="T479" s="255">
        <f>(T267+T274)*'Data - P&amp;L'!$C$16</f>
        <v>0</v>
      </c>
      <c r="U479" s="255">
        <f>(U267+U274)*'Data - P&amp;L'!$C$16</f>
        <v>97.21</v>
      </c>
      <c r="V479" s="255">
        <f>(V267+V274)*'Data - P&amp;L'!$C$16</f>
        <v>97.21</v>
      </c>
      <c r="W479" s="255">
        <f>(W267+W274)*'Data - P&amp;L'!$C$16</f>
        <v>0</v>
      </c>
      <c r="X479" s="255">
        <f>(X267+X274)*'Data - P&amp;L'!$C$16</f>
        <v>97.21</v>
      </c>
      <c r="Y479" s="255">
        <f>(Y267+Y274)*'Data - P&amp;L'!$C$16</f>
        <v>0</v>
      </c>
      <c r="Z479" s="255">
        <f>(Z267+Z274)*'Data - P&amp;L'!$C$16</f>
        <v>0</v>
      </c>
      <c r="AA479" s="255">
        <f>(AA267+AA274)*'Data - P&amp;L'!$C$16</f>
        <v>97.21</v>
      </c>
      <c r="AB479" s="255">
        <f>(AB267+AB274)*'Data - P&amp;L'!$C$16</f>
        <v>194.42</v>
      </c>
      <c r="AC479" s="255">
        <f>(AC267+AC274)*'Data - P&amp;L'!$C$16</f>
        <v>0</v>
      </c>
      <c r="AD479" s="255">
        <f>(AD267+AD274)*'Data - P&amp;L'!$C$16</f>
        <v>0</v>
      </c>
      <c r="AE479" s="255">
        <f>(AE267+AE274)*'Data - P&amp;L'!$C$16</f>
        <v>291.63</v>
      </c>
      <c r="AF479" s="255">
        <f>(AF267+AF274)*'Data - P&amp;L'!$C$16</f>
        <v>0</v>
      </c>
      <c r="AG479" s="95">
        <f t="shared" si="141"/>
        <v>11956.83</v>
      </c>
    </row>
    <row r="480" outlineLevel="1">
      <c r="A480" s="151" t="s">
        <v>422</v>
      </c>
      <c r="B480" s="255">
        <f>(B279+B292)*'Data - P&amp;L'!$C$6</f>
        <v>16.47</v>
      </c>
      <c r="C480" s="255">
        <f>(C279+C292)*'Data - P&amp;L'!$C$6</f>
        <v>5.49</v>
      </c>
      <c r="D480" s="255">
        <f>(D279+D292)*'Data - P&amp;L'!$C$6</f>
        <v>0</v>
      </c>
      <c r="E480" s="255">
        <f>(E279+E292)*'Data - P&amp;L'!$C$6</f>
        <v>0</v>
      </c>
      <c r="F480" s="255">
        <f>(F279+F292)*'Data - P&amp;L'!$C$6</f>
        <v>0</v>
      </c>
      <c r="G480" s="255">
        <f>(G279+G292)*'Data - P&amp;L'!$C$6</f>
        <v>5.49</v>
      </c>
      <c r="H480" s="255">
        <f>(H279+H292)*'Data - P&amp;L'!$C$6</f>
        <v>0</v>
      </c>
      <c r="I480" s="255">
        <f>(I279+I292)*'Data - P&amp;L'!$C$6</f>
        <v>5.49</v>
      </c>
      <c r="J480" s="255">
        <f>(J279+J292)*'Data - P&amp;L'!$C$6</f>
        <v>0</v>
      </c>
      <c r="K480" s="255">
        <f>(K279+K292)*'Data - P&amp;L'!$C$6</f>
        <v>0</v>
      </c>
      <c r="L480" s="255">
        <f>(L279+L292)*'Data - P&amp;L'!$C$6</f>
        <v>0</v>
      </c>
      <c r="M480" s="255">
        <f>(M279+M292)*'Data - P&amp;L'!$C$6</f>
        <v>5.49</v>
      </c>
      <c r="N480" s="255">
        <f>(N279+N292)*'Data - P&amp;L'!$C$6</f>
        <v>0</v>
      </c>
      <c r="O480" s="255">
        <f>(O279+O292)*'Data - P&amp;L'!$C$6</f>
        <v>0</v>
      </c>
      <c r="P480" s="255">
        <f>(P279+P292)*'Data - P&amp;L'!$C$6</f>
        <v>0</v>
      </c>
      <c r="Q480" s="255">
        <f>(Q279+Q292)*'Data - P&amp;L'!$C$6</f>
        <v>0</v>
      </c>
      <c r="R480" s="255">
        <f>(R279+R292)*'Data - P&amp;L'!$C$6</f>
        <v>0</v>
      </c>
      <c r="S480" s="255">
        <f>(S279+S292)*'Data - P&amp;L'!$C$6</f>
        <v>0</v>
      </c>
      <c r="T480" s="255">
        <f>(T279+T292)*'Data - P&amp;L'!$C$6</f>
        <v>0</v>
      </c>
      <c r="U480" s="255">
        <f>(U279+U292)*'Data - P&amp;L'!$C$6</f>
        <v>0</v>
      </c>
      <c r="V480" s="255">
        <f>(V279+V292)*'Data - P&amp;L'!$C$6</f>
        <v>0</v>
      </c>
      <c r="W480" s="255">
        <f>(W279+W292)*'Data - P&amp;L'!$C$6</f>
        <v>0</v>
      </c>
      <c r="X480" s="255">
        <f>(X279+X292)*'Data - P&amp;L'!$C$6</f>
        <v>0</v>
      </c>
      <c r="Y480" s="255">
        <f>(Y279+Y292)*'Data - P&amp;L'!$C$6</f>
        <v>0</v>
      </c>
      <c r="Z480" s="255">
        <f>(Z279+Z292)*'Data - P&amp;L'!$C$6</f>
        <v>0</v>
      </c>
      <c r="AA480" s="255">
        <f>(AA279+AA292)*'Data - P&amp;L'!$C$6</f>
        <v>0</v>
      </c>
      <c r="AB480" s="255">
        <f>(AB279+AB292)*'Data - P&amp;L'!$C$6</f>
        <v>5.49</v>
      </c>
      <c r="AC480" s="255">
        <f>(AC279+AC292)*'Data - P&amp;L'!$C$6</f>
        <v>5.49</v>
      </c>
      <c r="AD480" s="255">
        <f>(AD279+AD292)*'Data - P&amp;L'!$C$6</f>
        <v>0</v>
      </c>
      <c r="AE480" s="255">
        <f>(AE279+AE292)*'Data - P&amp;L'!$C$6</f>
        <v>0</v>
      </c>
      <c r="AF480" s="255">
        <f>(AF279+AF292)*'Data - P&amp;L'!$C$6</f>
        <v>0</v>
      </c>
      <c r="AG480" s="95">
        <f t="shared" si="141"/>
        <v>49.41</v>
      </c>
    </row>
    <row r="481" outlineLevel="1">
      <c r="A481" s="151" t="s">
        <v>423</v>
      </c>
      <c r="B481" s="255">
        <f>(B280+B293)*'Data - P&amp;L'!$C$8</f>
        <v>0</v>
      </c>
      <c r="C481" s="255">
        <f>(C280+C293)*'Data - P&amp;L'!$C$8</f>
        <v>0</v>
      </c>
      <c r="D481" s="255">
        <f>(D280+D293)*'Data - P&amp;L'!$C$8</f>
        <v>0</v>
      </c>
      <c r="E481" s="255">
        <f>(E280+E293)*'Data - P&amp;L'!$C$8</f>
        <v>0</v>
      </c>
      <c r="F481" s="255">
        <f>(F280+F293)*'Data - P&amp;L'!$C$8</f>
        <v>1.19</v>
      </c>
      <c r="G481" s="255">
        <f>(G280+G293)*'Data - P&amp;L'!$C$8</f>
        <v>0</v>
      </c>
      <c r="H481" s="255">
        <f>(H280+H293)*'Data - P&amp;L'!$C$8</f>
        <v>0</v>
      </c>
      <c r="I481" s="255">
        <f>(I280+I293)*'Data - P&amp;L'!$C$8</f>
        <v>0</v>
      </c>
      <c r="J481" s="255">
        <f>(J280+J293)*'Data - P&amp;L'!$C$8</f>
        <v>0</v>
      </c>
      <c r="K481" s="255">
        <f>(K280+K293)*'Data - P&amp;L'!$C$8</f>
        <v>0</v>
      </c>
      <c r="L481" s="255">
        <f>(L280+L293)*'Data - P&amp;L'!$C$8</f>
        <v>0</v>
      </c>
      <c r="M481" s="255">
        <f>(M280+M293)*'Data - P&amp;L'!$C$8</f>
        <v>0</v>
      </c>
      <c r="N481" s="255">
        <f>(N280+N293)*'Data - P&amp;L'!$C$8</f>
        <v>0</v>
      </c>
      <c r="O481" s="255">
        <f>(O280+O293)*'Data - P&amp;L'!$C$8</f>
        <v>0</v>
      </c>
      <c r="P481" s="255">
        <f>(P280+P293)*'Data - P&amp;L'!$C$8</f>
        <v>0</v>
      </c>
      <c r="Q481" s="255">
        <f>(Q280+Q293)*'Data - P&amp;L'!$C$8</f>
        <v>1.19</v>
      </c>
      <c r="R481" s="255">
        <f>(R280+R293)*'Data - P&amp;L'!$C$8</f>
        <v>0</v>
      </c>
      <c r="S481" s="255">
        <f>(S280+S293)*'Data - P&amp;L'!$C$8</f>
        <v>0</v>
      </c>
      <c r="T481" s="255">
        <f>(T280+T293)*'Data - P&amp;L'!$C$8</f>
        <v>0</v>
      </c>
      <c r="U481" s="255">
        <f>(U280+U293)*'Data - P&amp;L'!$C$8</f>
        <v>1.19</v>
      </c>
      <c r="V481" s="255">
        <f>(V280+V293)*'Data - P&amp;L'!$C$8</f>
        <v>0</v>
      </c>
      <c r="W481" s="255">
        <f>(W280+W293)*'Data - P&amp;L'!$C$8</f>
        <v>0</v>
      </c>
      <c r="X481" s="255">
        <f>(X280+X293)*'Data - P&amp;L'!$C$8</f>
        <v>1.19</v>
      </c>
      <c r="Y481" s="255">
        <f>(Y280+Y293)*'Data - P&amp;L'!$C$8</f>
        <v>0</v>
      </c>
      <c r="Z481" s="255">
        <f>(Z280+Z293)*'Data - P&amp;L'!$C$8</f>
        <v>0</v>
      </c>
      <c r="AA481" s="255">
        <f>(AA280+AA293)*'Data - P&amp;L'!$C$8</f>
        <v>0</v>
      </c>
      <c r="AB481" s="255">
        <f>(AB280+AB293)*'Data - P&amp;L'!$C$8</f>
        <v>0</v>
      </c>
      <c r="AC481" s="255">
        <f>(AC280+AC293)*'Data - P&amp;L'!$C$8</f>
        <v>0</v>
      </c>
      <c r="AD481" s="255">
        <f>(AD280+AD293)*'Data - P&amp;L'!$C$8</f>
        <v>0</v>
      </c>
      <c r="AE481" s="255">
        <f>(AE280+AE293)*'Data - P&amp;L'!$C$8</f>
        <v>0</v>
      </c>
      <c r="AF481" s="255">
        <f>(AF280+AF293)*'Data - P&amp;L'!$C$8</f>
        <v>0</v>
      </c>
      <c r="AG481" s="95">
        <f t="shared" si="141"/>
        <v>4.76</v>
      </c>
    </row>
    <row r="482" outlineLevel="1">
      <c r="A482" s="151" t="s">
        <v>424</v>
      </c>
      <c r="B482" s="255">
        <f>(B281+B282+B294+B295)*'Data - P&amp;L'!$C$9</f>
        <v>0</v>
      </c>
      <c r="C482" s="255">
        <f>(C281+C282+C294+C295)*'Data - P&amp;L'!$C$9</f>
        <v>6.66</v>
      </c>
      <c r="D482" s="255">
        <f>(D281+D282+D294+D295)*'Data - P&amp;L'!$C$9</f>
        <v>0</v>
      </c>
      <c r="E482" s="255">
        <f>(E281+E282+E294+E295)*'Data - P&amp;L'!$C$9</f>
        <v>0</v>
      </c>
      <c r="F482" s="255">
        <f>(F281+F282+F294+F295)*'Data - P&amp;L'!$C$9</f>
        <v>6.66</v>
      </c>
      <c r="G482" s="255">
        <f>(G281+G282+G294+G295)*'Data - P&amp;L'!$C$9</f>
        <v>0</v>
      </c>
      <c r="H482" s="255">
        <f>(H281+H282+H294+H295)*'Data - P&amp;L'!$C$9</f>
        <v>6.66</v>
      </c>
      <c r="I482" s="255">
        <f>(I281+I282+I294+I295)*'Data - P&amp;L'!$C$9</f>
        <v>0</v>
      </c>
      <c r="J482" s="255">
        <f>(J281+J282+J294+J295)*'Data - P&amp;L'!$C$9</f>
        <v>0</v>
      </c>
      <c r="K482" s="255">
        <f>(K281+K282+K294+K295)*'Data - P&amp;L'!$C$9</f>
        <v>0</v>
      </c>
      <c r="L482" s="255">
        <f>(L281+L282+L294+L295)*'Data - P&amp;L'!$C$9</f>
        <v>0</v>
      </c>
      <c r="M482" s="255">
        <f>(M281+M282+M294+M295)*'Data - P&amp;L'!$C$9</f>
        <v>0</v>
      </c>
      <c r="N482" s="255">
        <f>(N281+N282+N294+N295)*'Data - P&amp;L'!$C$9</f>
        <v>6.66</v>
      </c>
      <c r="O482" s="255">
        <f>(O281+O282+O294+O295)*'Data - P&amp;L'!$C$9</f>
        <v>0</v>
      </c>
      <c r="P482" s="255">
        <f>(P281+P282+P294+P295)*'Data - P&amp;L'!$C$9</f>
        <v>0</v>
      </c>
      <c r="Q482" s="255">
        <f>(Q281+Q282+Q294+Q295)*'Data - P&amp;L'!$C$9</f>
        <v>0</v>
      </c>
      <c r="R482" s="255">
        <f>(R281+R282+R294+R295)*'Data - P&amp;L'!$C$9</f>
        <v>0</v>
      </c>
      <c r="S482" s="255">
        <f>(S281+S282+S294+S295)*'Data - P&amp;L'!$C$9</f>
        <v>0</v>
      </c>
      <c r="T482" s="255">
        <f>(T281+T282+T294+T295)*'Data - P&amp;L'!$C$9</f>
        <v>0</v>
      </c>
      <c r="U482" s="255">
        <f>(U281+U282+U294+U295)*'Data - P&amp;L'!$C$9</f>
        <v>6.66</v>
      </c>
      <c r="V482" s="255">
        <f>(V281+V282+V294+V295)*'Data - P&amp;L'!$C$9</f>
        <v>0</v>
      </c>
      <c r="W482" s="255">
        <f>(W281+W282+W294+W295)*'Data - P&amp;L'!$C$9</f>
        <v>0</v>
      </c>
      <c r="X482" s="255">
        <f>(X281+X282+X294+X295)*'Data - P&amp;L'!$C$9</f>
        <v>0</v>
      </c>
      <c r="Y482" s="255">
        <f>(Y281+Y282+Y294+Y295)*'Data - P&amp;L'!$C$9</f>
        <v>0</v>
      </c>
      <c r="Z482" s="255">
        <f>(Z281+Z282+Z294+Z295)*'Data - P&amp;L'!$C$9</f>
        <v>0</v>
      </c>
      <c r="AA482" s="255">
        <f>(AA281+AA282+AA294+AA295)*'Data - P&amp;L'!$C$9</f>
        <v>0</v>
      </c>
      <c r="AB482" s="255">
        <f>(AB281+AB282+AB294+AB295)*'Data - P&amp;L'!$C$9</f>
        <v>0</v>
      </c>
      <c r="AC482" s="255">
        <f>(AC281+AC282+AC294+AC295)*'Data - P&amp;L'!$C$9</f>
        <v>6.66</v>
      </c>
      <c r="AD482" s="255">
        <f>(AD281+AD282+AD294+AD295)*'Data - P&amp;L'!$C$9</f>
        <v>0</v>
      </c>
      <c r="AE482" s="255">
        <f>(AE281+AE282+AE294+AE295)*'Data - P&amp;L'!$C$9</f>
        <v>0</v>
      </c>
      <c r="AF482" s="255">
        <f>(AF281+AF282+AF294+AF295)*'Data - P&amp;L'!$C$9</f>
        <v>0</v>
      </c>
      <c r="AG482" s="95">
        <f t="shared" si="141"/>
        <v>39.96</v>
      </c>
    </row>
    <row r="483" outlineLevel="1">
      <c r="A483" s="151" t="s">
        <v>425</v>
      </c>
      <c r="B483" s="255">
        <f>(B283+B284+B296+B297)*'Data - P&amp;L'!$C$5</f>
        <v>0</v>
      </c>
      <c r="C483" s="255">
        <f>(C283+C284+C296+C297)*'Data - P&amp;L'!$C$5</f>
        <v>0</v>
      </c>
      <c r="D483" s="255">
        <f>(D283+D284+D296+D297)*'Data - P&amp;L'!$C$5</f>
        <v>13.44</v>
      </c>
      <c r="E483" s="255">
        <f>(E283+E284+E296+E297)*'Data - P&amp;L'!$C$5</f>
        <v>13.44</v>
      </c>
      <c r="F483" s="255">
        <f>(F283+F284+F296+F297)*'Data - P&amp;L'!$C$5</f>
        <v>0</v>
      </c>
      <c r="G483" s="255">
        <f>(G283+G284+G296+G297)*'Data - P&amp;L'!$C$5</f>
        <v>0</v>
      </c>
      <c r="H483" s="255">
        <f>(H283+H284+H296+H297)*'Data - P&amp;L'!$C$5</f>
        <v>13.44</v>
      </c>
      <c r="I483" s="255">
        <f>(I283+I284+I296+I297)*'Data - P&amp;L'!$C$5</f>
        <v>0</v>
      </c>
      <c r="J483" s="255">
        <f>(J283+J284+J296+J297)*'Data - P&amp;L'!$C$5</f>
        <v>0</v>
      </c>
      <c r="K483" s="255">
        <f>(K283+K284+K296+K297)*'Data - P&amp;L'!$C$5</f>
        <v>0</v>
      </c>
      <c r="L483" s="255">
        <f>(L283+L284+L296+L297)*'Data - P&amp;L'!$C$5</f>
        <v>13.44</v>
      </c>
      <c r="M483" s="255">
        <f>(M283+M284+M296+M297)*'Data - P&amp;L'!$C$5</f>
        <v>0</v>
      </c>
      <c r="N483" s="255">
        <f>(N283+N284+N296+N297)*'Data - P&amp;L'!$C$5</f>
        <v>0</v>
      </c>
      <c r="O483" s="255">
        <f>(O283+O284+O296+O297)*'Data - P&amp;L'!$C$5</f>
        <v>0</v>
      </c>
      <c r="P483" s="255">
        <f>(P283+P284+P296+P297)*'Data - P&amp;L'!$C$5</f>
        <v>0</v>
      </c>
      <c r="Q483" s="255">
        <f>(Q283+Q284+Q296+Q297)*'Data - P&amp;L'!$C$5</f>
        <v>0</v>
      </c>
      <c r="R483" s="255">
        <f>(R283+R284+R296+R297)*'Data - P&amp;L'!$C$5</f>
        <v>0</v>
      </c>
      <c r="S483" s="255">
        <f>(S283+S284+S296+S297)*'Data - P&amp;L'!$C$5</f>
        <v>0</v>
      </c>
      <c r="T483" s="255">
        <f>(T283+T284+T296+T297)*'Data - P&amp;L'!$C$5</f>
        <v>0</v>
      </c>
      <c r="U483" s="255">
        <f>(U283+U284+U296+U297)*'Data - P&amp;L'!$C$5</f>
        <v>0</v>
      </c>
      <c r="V483" s="255">
        <f>(V283+V284+V296+V297)*'Data - P&amp;L'!$C$5</f>
        <v>0</v>
      </c>
      <c r="W483" s="255">
        <f>(W283+W284+W296+W297)*'Data - P&amp;L'!$C$5</f>
        <v>0</v>
      </c>
      <c r="X483" s="255">
        <f>(X283+X284+X296+X297)*'Data - P&amp;L'!$C$5</f>
        <v>0</v>
      </c>
      <c r="Y483" s="255">
        <f>(Y283+Y284+Y296+Y297)*'Data - P&amp;L'!$C$5</f>
        <v>0</v>
      </c>
      <c r="Z483" s="255">
        <f>(Z283+Z284+Z296+Z297)*'Data - P&amp;L'!$C$5</f>
        <v>0</v>
      </c>
      <c r="AA483" s="255">
        <f>(AA283+AA284+AA296+AA297)*'Data - P&amp;L'!$C$5</f>
        <v>0</v>
      </c>
      <c r="AB483" s="255">
        <f>(AB283+AB284+AB296+AB297)*'Data - P&amp;L'!$C$5</f>
        <v>0</v>
      </c>
      <c r="AC483" s="255">
        <f>(AC283+AC284+AC296+AC297)*'Data - P&amp;L'!$C$5</f>
        <v>0</v>
      </c>
      <c r="AD483" s="255">
        <f>(AD283+AD284+AD296+AD297)*'Data - P&amp;L'!$C$5</f>
        <v>0</v>
      </c>
      <c r="AE483" s="255">
        <f>(AE283+AE284+AE296+AE297)*'Data - P&amp;L'!$C$5</f>
        <v>0</v>
      </c>
      <c r="AF483" s="255">
        <f>(AF283+AF284+AF296+AF297)*'Data - P&amp;L'!$C$5</f>
        <v>0</v>
      </c>
      <c r="AG483" s="95">
        <f t="shared" si="141"/>
        <v>53.76</v>
      </c>
    </row>
    <row r="484" outlineLevel="1">
      <c r="A484" s="151" t="s">
        <v>426</v>
      </c>
      <c r="B484" s="255">
        <f>(B285+B286+B298+B299)*'Data - P&amp;L'!$C$10</f>
        <v>0</v>
      </c>
      <c r="C484" s="255">
        <f>(C285+C286+C298+C299)*'Data - P&amp;L'!$C$10</f>
        <v>6</v>
      </c>
      <c r="D484" s="255">
        <f>(D285+D286+D298+D299)*'Data - P&amp;L'!$C$10</f>
        <v>0</v>
      </c>
      <c r="E484" s="255">
        <f>(E285+E286+E298+E299)*'Data - P&amp;L'!$C$10</f>
        <v>0</v>
      </c>
      <c r="F484" s="255">
        <f>(F285+F286+F298+F299)*'Data - P&amp;L'!$C$10</f>
        <v>12</v>
      </c>
      <c r="G484" s="255">
        <f>(G285+G286+G298+G299)*'Data - P&amp;L'!$C$10</f>
        <v>0</v>
      </c>
      <c r="H484" s="255">
        <f>(H285+H286+H298+H299)*'Data - P&amp;L'!$C$10</f>
        <v>0</v>
      </c>
      <c r="I484" s="255">
        <f>(I285+I286+I298+I299)*'Data - P&amp;L'!$C$10</f>
        <v>0</v>
      </c>
      <c r="J484" s="255">
        <f>(J285+J286+J298+J299)*'Data - P&amp;L'!$C$10</f>
        <v>0</v>
      </c>
      <c r="K484" s="255">
        <f>(K285+K286+K298+K299)*'Data - P&amp;L'!$C$10</f>
        <v>0</v>
      </c>
      <c r="L484" s="255">
        <f>(L285+L286+L298+L299)*'Data - P&amp;L'!$C$10</f>
        <v>12</v>
      </c>
      <c r="M484" s="255">
        <f>(M285+M286+M298+M299)*'Data - P&amp;L'!$C$10</f>
        <v>0</v>
      </c>
      <c r="N484" s="255">
        <f>(N285+N286+N298+N299)*'Data - P&amp;L'!$C$10</f>
        <v>6</v>
      </c>
      <c r="O484" s="255">
        <f>(O285+O286+O298+O299)*'Data - P&amp;L'!$C$10</f>
        <v>0</v>
      </c>
      <c r="P484" s="255">
        <f>(P285+P286+P298+P299)*'Data - P&amp;L'!$C$10</f>
        <v>0</v>
      </c>
      <c r="Q484" s="255">
        <f>(Q285+Q286+Q298+Q299)*'Data - P&amp;L'!$C$10</f>
        <v>0</v>
      </c>
      <c r="R484" s="255">
        <f>(R285+R286+R298+R299)*'Data - P&amp;L'!$C$10</f>
        <v>0</v>
      </c>
      <c r="S484" s="255">
        <f>(S285+S286+S298+S299)*'Data - P&amp;L'!$C$10</f>
        <v>0</v>
      </c>
      <c r="T484" s="255">
        <f>(T285+T286+T298+T299)*'Data - P&amp;L'!$C$10</f>
        <v>0</v>
      </c>
      <c r="U484" s="255">
        <f>(U285+U286+U298+U299)*'Data - P&amp;L'!$C$10</f>
        <v>0</v>
      </c>
      <c r="V484" s="255">
        <f>(V285+V286+V298+V299)*'Data - P&amp;L'!$C$10</f>
        <v>0</v>
      </c>
      <c r="W484" s="255">
        <f>(W285+W286+W298+W299)*'Data - P&amp;L'!$C$10</f>
        <v>0</v>
      </c>
      <c r="X484" s="255">
        <f>(X285+X286+X298+X299)*'Data - P&amp;L'!$C$10</f>
        <v>6</v>
      </c>
      <c r="Y484" s="255">
        <f>(Y285+Y286+Y298+Y299)*'Data - P&amp;L'!$C$10</f>
        <v>0</v>
      </c>
      <c r="Z484" s="255">
        <f>(Z285+Z286+Z298+Z299)*'Data - P&amp;L'!$C$10</f>
        <v>0</v>
      </c>
      <c r="AA484" s="255">
        <f>(AA285+AA286+AA298+AA299)*'Data - P&amp;L'!$C$10</f>
        <v>0</v>
      </c>
      <c r="AB484" s="255">
        <f>(AB285+AB286+AB298+AB299)*'Data - P&amp;L'!$C$10</f>
        <v>0</v>
      </c>
      <c r="AC484" s="255">
        <f>(AC285+AC286+AC298+AC299)*'Data - P&amp;L'!$C$10</f>
        <v>0</v>
      </c>
      <c r="AD484" s="255">
        <f>(AD285+AD286+AD298+AD299)*'Data - P&amp;L'!$C$10</f>
        <v>0</v>
      </c>
      <c r="AE484" s="255">
        <f>(AE285+AE286+AE298+AE299)*'Data - P&amp;L'!$C$10</f>
        <v>0</v>
      </c>
      <c r="AF484" s="255">
        <f>(AF285+AF286+AF298+AF299)*'Data - P&amp;L'!$C$10</f>
        <v>0</v>
      </c>
      <c r="AG484" s="95">
        <f t="shared" si="141"/>
        <v>42</v>
      </c>
    </row>
    <row r="485" outlineLevel="1">
      <c r="A485" s="151" t="s">
        <v>399</v>
      </c>
      <c r="B485" s="255">
        <f>(B287+B300)*'Data - P&amp;L'!$C$17</f>
        <v>0</v>
      </c>
      <c r="C485" s="255">
        <f>(C287+C300)*'Data - P&amp;L'!$C$17</f>
        <v>0</v>
      </c>
      <c r="D485" s="255">
        <f>(D287+D300)*'Data - P&amp;L'!$C$17</f>
        <v>0</v>
      </c>
      <c r="E485" s="255">
        <f>(E287+E300)*'Data - P&amp;L'!$C$17</f>
        <v>0</v>
      </c>
      <c r="F485" s="255">
        <f>(F287+F300)*'Data - P&amp;L'!$C$17</f>
        <v>0</v>
      </c>
      <c r="G485" s="255">
        <f>(G287+G300)*'Data - P&amp;L'!$C$17</f>
        <v>0</v>
      </c>
      <c r="H485" s="255">
        <f>(H287+H300)*'Data - P&amp;L'!$C$17</f>
        <v>0</v>
      </c>
      <c r="I485" s="255">
        <f>(I287+I300)*'Data - P&amp;L'!$C$17</f>
        <v>0</v>
      </c>
      <c r="J485" s="255">
        <f>(J287+J300)*'Data - P&amp;L'!$C$17</f>
        <v>0</v>
      </c>
      <c r="K485" s="255">
        <f>(K287+K300)*'Data - P&amp;L'!$C$17</f>
        <v>0</v>
      </c>
      <c r="L485" s="255">
        <f>(L287+L300)*'Data - P&amp;L'!$C$17</f>
        <v>0</v>
      </c>
      <c r="M485" s="255">
        <f>(M287+M300)*'Data - P&amp;L'!$C$17</f>
        <v>0</v>
      </c>
      <c r="N485" s="255">
        <f>(N287+N300)*'Data - P&amp;L'!$C$17</f>
        <v>0</v>
      </c>
      <c r="O485" s="255">
        <f>(O287+O300)*'Data - P&amp;L'!$C$17</f>
        <v>0</v>
      </c>
      <c r="P485" s="255">
        <f>(P287+P300)*'Data - P&amp;L'!$C$17</f>
        <v>0</v>
      </c>
      <c r="Q485" s="255">
        <f>(Q287+Q300)*'Data - P&amp;L'!$C$17</f>
        <v>0</v>
      </c>
      <c r="R485" s="255">
        <f>(R287+R300)*'Data - P&amp;L'!$C$17</f>
        <v>0</v>
      </c>
      <c r="S485" s="255">
        <f>(S287+S300)*'Data - P&amp;L'!$C$17</f>
        <v>0</v>
      </c>
      <c r="T485" s="255">
        <f>(T287+T300)*'Data - P&amp;L'!$C$17</f>
        <v>0</v>
      </c>
      <c r="U485" s="255">
        <f>(U287+U300)*'Data - P&amp;L'!$C$17</f>
        <v>0</v>
      </c>
      <c r="V485" s="255">
        <f>(V287+V300)*'Data - P&amp;L'!$C$17</f>
        <v>0</v>
      </c>
      <c r="W485" s="255">
        <f>(W287+W300)*'Data - P&amp;L'!$C$17</f>
        <v>0</v>
      </c>
      <c r="X485" s="255">
        <f>(X287+X300)*'Data - P&amp;L'!$C$17</f>
        <v>0</v>
      </c>
      <c r="Y485" s="255">
        <f>(Y287+Y300)*'Data - P&amp;L'!$C$17</f>
        <v>0</v>
      </c>
      <c r="Z485" s="255">
        <f>(Z287+Z300)*'Data - P&amp;L'!$C$17</f>
        <v>0</v>
      </c>
      <c r="AA485" s="255">
        <f>(AA287+AA300)*'Data - P&amp;L'!$C$17</f>
        <v>13.73</v>
      </c>
      <c r="AB485" s="255">
        <f>(AB287+AB300)*'Data - P&amp;L'!$C$17</f>
        <v>0</v>
      </c>
      <c r="AC485" s="255">
        <f>(AC287+AC300)*'Data - P&amp;L'!$C$17</f>
        <v>0</v>
      </c>
      <c r="AD485" s="255">
        <f>(AD287+AD300)*'Data - P&amp;L'!$C$17</f>
        <v>0</v>
      </c>
      <c r="AE485" s="255">
        <f>(AE287+AE300)*'Data - P&amp;L'!$C$17</f>
        <v>0</v>
      </c>
      <c r="AF485" s="255">
        <f>(AF287+AF300)*'Data - P&amp;L'!$C$17</f>
        <v>0</v>
      </c>
      <c r="AG485" s="95">
        <f t="shared" si="141"/>
        <v>13.73</v>
      </c>
    </row>
    <row r="486" outlineLevel="1">
      <c r="A486" s="151" t="s">
        <v>400</v>
      </c>
      <c r="B486" s="255">
        <f>(B288+B301)*'Data - P&amp;L'!$C$18</f>
        <v>0</v>
      </c>
      <c r="C486" s="255">
        <f>(C288+C301)*'Data - P&amp;L'!$C$18</f>
        <v>0</v>
      </c>
      <c r="D486" s="255">
        <f>(D288+D301)*'Data - P&amp;L'!$C$18</f>
        <v>0</v>
      </c>
      <c r="E486" s="255">
        <f>(E288+E301)*'Data - P&amp;L'!$C$18</f>
        <v>0</v>
      </c>
      <c r="F486" s="255">
        <f>(F288+F301)*'Data - P&amp;L'!$C$18</f>
        <v>0</v>
      </c>
      <c r="G486" s="255">
        <f>(G288+G301)*'Data - P&amp;L'!$C$18</f>
        <v>0</v>
      </c>
      <c r="H486" s="255">
        <f>(H288+H301)*'Data - P&amp;L'!$C$18</f>
        <v>0</v>
      </c>
      <c r="I486" s="255">
        <f>(I288+I301)*'Data - P&amp;L'!$C$18</f>
        <v>0</v>
      </c>
      <c r="J486" s="255">
        <f>(J288+J301)*'Data - P&amp;L'!$C$18</f>
        <v>0</v>
      </c>
      <c r="K486" s="255">
        <f>(K288+K301)*'Data - P&amp;L'!$C$18</f>
        <v>26.68</v>
      </c>
      <c r="L486" s="255">
        <f>(L288+L301)*'Data - P&amp;L'!$C$18</f>
        <v>0</v>
      </c>
      <c r="M486" s="255">
        <f>(M288+M301)*'Data - P&amp;L'!$C$18</f>
        <v>0</v>
      </c>
      <c r="N486" s="255">
        <f>(N288+N301)*'Data - P&amp;L'!$C$18</f>
        <v>0</v>
      </c>
      <c r="O486" s="255">
        <f>(O288+O301)*'Data - P&amp;L'!$C$18</f>
        <v>0</v>
      </c>
      <c r="P486" s="255">
        <f>(P288+P301)*'Data - P&amp;L'!$C$18</f>
        <v>0</v>
      </c>
      <c r="Q486" s="255">
        <f>(Q288+Q301)*'Data - P&amp;L'!$C$18</f>
        <v>0</v>
      </c>
      <c r="R486" s="255">
        <f>(R288+R301)*'Data - P&amp;L'!$C$18</f>
        <v>0</v>
      </c>
      <c r="S486" s="255">
        <f>(S288+S301)*'Data - P&amp;L'!$C$18</f>
        <v>0</v>
      </c>
      <c r="T486" s="255">
        <f>(T288+T301)*'Data - P&amp;L'!$C$18</f>
        <v>0</v>
      </c>
      <c r="U486" s="255">
        <f>(U288+U301)*'Data - P&amp;L'!$C$18</f>
        <v>0</v>
      </c>
      <c r="V486" s="255">
        <f>(V288+V301)*'Data - P&amp;L'!$C$18</f>
        <v>0</v>
      </c>
      <c r="W486" s="255">
        <f>(W288+W301)*'Data - P&amp;L'!$C$18</f>
        <v>0</v>
      </c>
      <c r="X486" s="255">
        <f>(X288+X301)*'Data - P&amp;L'!$C$18</f>
        <v>0</v>
      </c>
      <c r="Y486" s="255">
        <f>(Y288+Y301)*'Data - P&amp;L'!$C$18</f>
        <v>0</v>
      </c>
      <c r="Z486" s="255">
        <f>(Z288+Z301)*'Data - P&amp;L'!$C$18</f>
        <v>0</v>
      </c>
      <c r="AA486" s="255">
        <f>(AA288+AA301)*'Data - P&amp;L'!$C$18</f>
        <v>0</v>
      </c>
      <c r="AB486" s="255">
        <f>(AB288+AB301)*'Data - P&amp;L'!$C$18</f>
        <v>0</v>
      </c>
      <c r="AC486" s="255">
        <f>(AC288+AC301)*'Data - P&amp;L'!$C$18</f>
        <v>0</v>
      </c>
      <c r="AD486" s="255">
        <f>(AD288+AD301)*'Data - P&amp;L'!$C$18</f>
        <v>0</v>
      </c>
      <c r="AE486" s="255">
        <f>(AE288+AE301)*'Data - P&amp;L'!$C$18</f>
        <v>0</v>
      </c>
      <c r="AF486" s="255">
        <f>(AF288+AF301)*'Data - P&amp;L'!$C$18</f>
        <v>0</v>
      </c>
      <c r="AG486" s="95">
        <f t="shared" si="141"/>
        <v>26.68</v>
      </c>
    </row>
    <row r="487" outlineLevel="1">
      <c r="A487" s="151" t="s">
        <v>427</v>
      </c>
      <c r="B487" s="255">
        <f>((SUM(B262:B265))*'Data - P&amp;L'!$C$38)+((SUM(B269:B272))*'Data - P&amp;L'!$C$39)</f>
        <v>47.76</v>
      </c>
      <c r="C487" s="255">
        <f>((SUM(C262:C265))*'Data - P&amp;L'!$C$38)+((SUM(C269:C272))*'Data - P&amp;L'!$C$39)</f>
        <v>11.94</v>
      </c>
      <c r="D487" s="255">
        <f>((SUM(D262:D265))*'Data - P&amp;L'!$C$38)+((SUM(D269:D272))*'Data - P&amp;L'!$C$39)</f>
        <v>0</v>
      </c>
      <c r="E487" s="255">
        <f>((SUM(E262:E265))*'Data - P&amp;L'!$C$38)+((SUM(E269:E272))*'Data - P&amp;L'!$C$39)</f>
        <v>0</v>
      </c>
      <c r="F487" s="255">
        <f>((SUM(F262:F265))*'Data - P&amp;L'!$C$38)+((SUM(F269:F272))*'Data - P&amp;L'!$C$39)</f>
        <v>35.82</v>
      </c>
      <c r="G487" s="255">
        <f>((SUM(G262:G265))*'Data - P&amp;L'!$C$38)+((SUM(G269:G272))*'Data - P&amp;L'!$C$39)</f>
        <v>11.94</v>
      </c>
      <c r="H487" s="255">
        <f>((SUM(H262:H265))*'Data - P&amp;L'!$C$38)+((SUM(H269:H272))*'Data - P&amp;L'!$C$39)</f>
        <v>0</v>
      </c>
      <c r="I487" s="255">
        <f>((SUM(I262:I265))*'Data - P&amp;L'!$C$38)+((SUM(I269:I272))*'Data - P&amp;L'!$C$39)</f>
        <v>23.88</v>
      </c>
      <c r="J487" s="255">
        <f>((SUM(J262:J265))*'Data - P&amp;L'!$C$38)+((SUM(J269:J272))*'Data - P&amp;L'!$C$39)</f>
        <v>0</v>
      </c>
      <c r="K487" s="255">
        <f>((SUM(K262:K265))*'Data - P&amp;L'!$C$38)+((SUM(K269:K272))*'Data - P&amp;L'!$C$39)</f>
        <v>0</v>
      </c>
      <c r="L487" s="255">
        <f>((SUM(L262:L265))*'Data - P&amp;L'!$C$38)+((SUM(L269:L272))*'Data - P&amp;L'!$C$39)</f>
        <v>11.94</v>
      </c>
      <c r="M487" s="255">
        <f>((SUM(M262:M265))*'Data - P&amp;L'!$C$38)+((SUM(M269:M272))*'Data - P&amp;L'!$C$39)</f>
        <v>11.94</v>
      </c>
      <c r="N487" s="255">
        <f>((SUM(N262:N265))*'Data - P&amp;L'!$C$38)+((SUM(N269:N272))*'Data - P&amp;L'!$C$39)</f>
        <v>35.82</v>
      </c>
      <c r="O487" s="255">
        <f>((SUM(O262:O265))*'Data - P&amp;L'!$C$38)+((SUM(O269:O272))*'Data - P&amp;L'!$C$39)</f>
        <v>11.94</v>
      </c>
      <c r="P487" s="255">
        <f>((SUM(P262:P265))*'Data - P&amp;L'!$C$38)+((SUM(P269:P272))*'Data - P&amp;L'!$C$39)</f>
        <v>0</v>
      </c>
      <c r="Q487" s="255">
        <f>((SUM(Q262:Q265))*'Data - P&amp;L'!$C$38)+((SUM(Q269:Q272))*'Data - P&amp;L'!$C$39)</f>
        <v>23.88</v>
      </c>
      <c r="R487" s="255">
        <f>((SUM(R262:R265))*'Data - P&amp;L'!$C$38)+((SUM(R269:R272))*'Data - P&amp;L'!$C$39)</f>
        <v>0</v>
      </c>
      <c r="S487" s="255">
        <f>((SUM(S262:S265))*'Data - P&amp;L'!$C$38)+((SUM(S269:S272))*'Data - P&amp;L'!$C$39)</f>
        <v>0</v>
      </c>
      <c r="T487" s="255">
        <f>((SUM(T262:T265))*'Data - P&amp;L'!$C$38)+((SUM(T269:T272))*'Data - P&amp;L'!$C$39)</f>
        <v>0</v>
      </c>
      <c r="U487" s="255">
        <f>((SUM(U262:U265))*'Data - P&amp;L'!$C$38)+((SUM(U269:U272))*'Data - P&amp;L'!$C$39)</f>
        <v>11.94</v>
      </c>
      <c r="V487" s="255">
        <f>((SUM(V262:V265))*'Data - P&amp;L'!$C$38)+((SUM(V269:V272))*'Data - P&amp;L'!$C$39)</f>
        <v>0</v>
      </c>
      <c r="W487" s="255">
        <f>((SUM(W262:W265))*'Data - P&amp;L'!$C$38)+((SUM(W269:W272))*'Data - P&amp;L'!$C$39)</f>
        <v>0</v>
      </c>
      <c r="X487" s="255">
        <f>((SUM(X262:X265))*'Data - P&amp;L'!$C$38)+((SUM(X269:X272))*'Data - P&amp;L'!$C$39)</f>
        <v>11.94</v>
      </c>
      <c r="Y487" s="255">
        <f>((SUM(Y262:Y265))*'Data - P&amp;L'!$C$38)+((SUM(Y269:Y272))*'Data - P&amp;L'!$C$39)</f>
        <v>0</v>
      </c>
      <c r="Z487" s="255">
        <f>((SUM(Z262:Z265))*'Data - P&amp;L'!$C$38)+((SUM(Z269:Z272))*'Data - P&amp;L'!$C$39)</f>
        <v>0</v>
      </c>
      <c r="AA487" s="255">
        <f>((SUM(AA262:AA265))*'Data - P&amp;L'!$C$38)+((SUM(AA269:AA272))*'Data - P&amp;L'!$C$39)</f>
        <v>23.88</v>
      </c>
      <c r="AB487" s="255">
        <f>((SUM(AB262:AB265))*'Data - P&amp;L'!$C$38)+((SUM(AB269:AB272))*'Data - P&amp;L'!$C$39)</f>
        <v>0</v>
      </c>
      <c r="AC487" s="255">
        <f>((SUM(AC262:AC265))*'Data - P&amp;L'!$C$38)+((SUM(AC269:AC272))*'Data - P&amp;L'!$C$39)</f>
        <v>0</v>
      </c>
      <c r="AD487" s="255">
        <f>((SUM(AD262:AD265))*'Data - P&amp;L'!$C$38)+((SUM(AD269:AD272))*'Data - P&amp;L'!$C$39)</f>
        <v>0</v>
      </c>
      <c r="AE487" s="255">
        <f>((SUM(AE262:AE265))*'Data - P&amp;L'!$C$38)+((SUM(AE269:AE272))*'Data - P&amp;L'!$C$39)</f>
        <v>0</v>
      </c>
      <c r="AF487" s="255">
        <f>((SUM(AF262:AF265))*'Data - P&amp;L'!$C$38)+((SUM(AF269:AF272))*'Data - P&amp;L'!$C$39)</f>
        <v>0</v>
      </c>
      <c r="AG487" s="95">
        <f t="shared" si="141"/>
        <v>274.62</v>
      </c>
    </row>
    <row r="488" outlineLevel="1">
      <c r="A488" s="151" t="s">
        <v>428</v>
      </c>
      <c r="B488" s="255">
        <f>((B262+B263+B264+B265)*'Data - P&amp;L'!$C$34)+((B269+B270+B271+B272)*'Data - P&amp;L'!$C$35)</f>
        <v>120.32</v>
      </c>
      <c r="C488" s="255">
        <f>((C262+C263+C264+C265)*'Data - P&amp;L'!$C$34)+((C269+C270+C271+C272)*'Data - P&amp;L'!$C$35)</f>
        <v>30.08</v>
      </c>
      <c r="D488" s="255">
        <f>((D262+D263+D264+D265)*'Data - P&amp;L'!$C$34)+((D269+D270+D271+D272)*'Data - P&amp;L'!$C$35)</f>
        <v>0</v>
      </c>
      <c r="E488" s="255">
        <f>((E262+E263+E264+E265)*'Data - P&amp;L'!$C$34)+((E269+E270+E271+E272)*'Data - P&amp;L'!$C$35)</f>
        <v>0</v>
      </c>
      <c r="F488" s="255">
        <f>((F262+F263+F264+F265)*'Data - P&amp;L'!$C$34)+((F269+F270+F271+F272)*'Data - P&amp;L'!$C$35)</f>
        <v>90.24</v>
      </c>
      <c r="G488" s="255">
        <f>((G262+G263+G264+G265)*'Data - P&amp;L'!$C$34)+((G269+G270+G271+G272)*'Data - P&amp;L'!$C$35)</f>
        <v>30.08</v>
      </c>
      <c r="H488" s="255">
        <f>((H262+H263+H264+H265)*'Data - P&amp;L'!$C$34)+((H269+H270+H271+H272)*'Data - P&amp;L'!$C$35)</f>
        <v>0</v>
      </c>
      <c r="I488" s="255">
        <f>((I262+I263+I264+I265)*'Data - P&amp;L'!$C$34)+((I269+I270+I271+I272)*'Data - P&amp;L'!$C$35)</f>
        <v>60.16</v>
      </c>
      <c r="J488" s="255">
        <f>((J262+J263+J264+J265)*'Data - P&amp;L'!$C$34)+((J269+J270+J271+J272)*'Data - P&amp;L'!$C$35)</f>
        <v>0</v>
      </c>
      <c r="K488" s="255">
        <f>((K262+K263+K264+K265)*'Data - P&amp;L'!$C$34)+((K269+K270+K271+K272)*'Data - P&amp;L'!$C$35)</f>
        <v>0</v>
      </c>
      <c r="L488" s="255">
        <f>((L262+L263+L264+L265)*'Data - P&amp;L'!$C$34)+((L269+L270+L271+L272)*'Data - P&amp;L'!$C$35)</f>
        <v>30.08</v>
      </c>
      <c r="M488" s="255">
        <f>((M262+M263+M264+M265)*'Data - P&amp;L'!$C$34)+((M269+M270+M271+M272)*'Data - P&amp;L'!$C$35)</f>
        <v>30.08</v>
      </c>
      <c r="N488" s="255">
        <f>((N262+N263+N264+N265)*'Data - P&amp;L'!$C$34)+((N269+N270+N271+N272)*'Data - P&amp;L'!$C$35)</f>
        <v>90.24</v>
      </c>
      <c r="O488" s="255">
        <f>((O262+O263+O264+O265)*'Data - P&amp;L'!$C$34)+((O269+O270+O271+O272)*'Data - P&amp;L'!$C$35)</f>
        <v>30.08</v>
      </c>
      <c r="P488" s="255">
        <f>((P262+P263+P264+P265)*'Data - P&amp;L'!$C$34)+((P269+P270+P271+P272)*'Data - P&amp;L'!$C$35)</f>
        <v>0</v>
      </c>
      <c r="Q488" s="255">
        <f>((Q262+Q263+Q264+Q265)*'Data - P&amp;L'!$C$34)+((Q269+Q270+Q271+Q272)*'Data - P&amp;L'!$C$35)</f>
        <v>45.14</v>
      </c>
      <c r="R488" s="255">
        <f>((R262+R263+R264+R265)*'Data - P&amp;L'!$C$34)+((R269+R270+R271+R272)*'Data - P&amp;L'!$C$35)</f>
        <v>0</v>
      </c>
      <c r="S488" s="255">
        <f>((S262+S263+S264+S265)*'Data - P&amp;L'!$C$34)+((S269+S270+S271+S272)*'Data - P&amp;L'!$C$35)</f>
        <v>0</v>
      </c>
      <c r="T488" s="255">
        <f>((T262+T263+T264+T265)*'Data - P&amp;L'!$C$34)+((T269+T270+T271+T272)*'Data - P&amp;L'!$C$35)</f>
        <v>0</v>
      </c>
      <c r="U488" s="255">
        <f>((U262+U263+U264+U265)*'Data - P&amp;L'!$C$34)+((U269+U270+U271+U272)*'Data - P&amp;L'!$C$35)</f>
        <v>30.08</v>
      </c>
      <c r="V488" s="255">
        <f>((V262+V263+V264+V265)*'Data - P&amp;L'!$C$34)+((V269+V270+V271+V272)*'Data - P&amp;L'!$C$35)</f>
        <v>0</v>
      </c>
      <c r="W488" s="255">
        <f>((W262+W263+W264+W265)*'Data - P&amp;L'!$C$34)+((W269+W270+W271+W272)*'Data - P&amp;L'!$C$35)</f>
        <v>0</v>
      </c>
      <c r="X488" s="255">
        <f>((X262+X263+X264+X265)*'Data - P&amp;L'!$C$34)+((X269+X270+X271+X272)*'Data - P&amp;L'!$C$35)</f>
        <v>30.08</v>
      </c>
      <c r="Y488" s="255">
        <f>((Y262+Y263+Y264+Y265)*'Data - P&amp;L'!$C$34)+((Y269+Y270+Y271+Y272)*'Data - P&amp;L'!$C$35)</f>
        <v>0</v>
      </c>
      <c r="Z488" s="255">
        <f>((Z262+Z263+Z264+Z265)*'Data - P&amp;L'!$C$34)+((Z269+Z270+Z271+Z272)*'Data - P&amp;L'!$C$35)</f>
        <v>0</v>
      </c>
      <c r="AA488" s="255">
        <f>((AA262+AA263+AA264+AA265)*'Data - P&amp;L'!$C$34)+((AA269+AA270+AA271+AA272)*'Data - P&amp;L'!$C$35)</f>
        <v>60.16</v>
      </c>
      <c r="AB488" s="255">
        <f>((AB262+AB263+AB264+AB265)*'Data - P&amp;L'!$C$34)+((AB269+AB270+AB271+AB272)*'Data - P&amp;L'!$C$35)</f>
        <v>0</v>
      </c>
      <c r="AC488" s="255">
        <f>((AC262+AC263+AC264+AC265)*'Data - P&amp;L'!$C$34)+((AC269+AC270+AC271+AC272)*'Data - P&amp;L'!$C$35)</f>
        <v>0</v>
      </c>
      <c r="AD488" s="255">
        <f>((AD262+AD263+AD264+AD265)*'Data - P&amp;L'!$C$34)+((AD269+AD270+AD271+AD272)*'Data - P&amp;L'!$C$35)</f>
        <v>0</v>
      </c>
      <c r="AE488" s="255">
        <f>((AE262+AE263+AE264+AE265)*'Data - P&amp;L'!$C$34)+((AE269+AE270+AE271+AE272)*'Data - P&amp;L'!$C$35)</f>
        <v>0</v>
      </c>
      <c r="AF488" s="255">
        <f>((AF262+AF263+AF264+AF265)*'Data - P&amp;L'!$C$34)+((AF269+AF270+AF271+AF272)*'Data - P&amp;L'!$C$35)</f>
        <v>0</v>
      </c>
      <c r="AG488" s="95">
        <f t="shared" si="141"/>
        <v>676.82</v>
      </c>
    </row>
    <row r="489" outlineLevel="1">
      <c r="A489" s="151" t="s">
        <v>429</v>
      </c>
      <c r="B489" s="255">
        <f>(B289*'Data - P&amp;L'!$D$38)+(B302*'Data - P&amp;L'!$D$39)</f>
        <v>4.305</v>
      </c>
      <c r="C489" s="255">
        <f>(C289*'Data - P&amp;L'!$D$38)+(C302*'Data - P&amp;L'!$D$39)</f>
        <v>4.305</v>
      </c>
      <c r="D489" s="255">
        <f>(D289*'Data - P&amp;L'!$D$38)+(D302*'Data - P&amp;L'!$D$39)</f>
        <v>1.435</v>
      </c>
      <c r="E489" s="255">
        <f>(E289*'Data - P&amp;L'!$D$38)+(E302*'Data - P&amp;L'!$D$39)</f>
        <v>1.435</v>
      </c>
      <c r="F489" s="255">
        <f>(F289*'Data - P&amp;L'!$D$38)+(F302*'Data - P&amp;L'!$D$39)</f>
        <v>5.74</v>
      </c>
      <c r="G489" s="255">
        <f>(G289*'Data - P&amp;L'!$D$38)+(G302*'Data - P&amp;L'!$D$39)</f>
        <v>1.435</v>
      </c>
      <c r="H489" s="255">
        <f>(H289*'Data - P&amp;L'!$D$38)+(H302*'Data - P&amp;L'!$D$39)</f>
        <v>2.87</v>
      </c>
      <c r="I489" s="255">
        <f>(I289*'Data - P&amp;L'!$D$38)+(I302*'Data - P&amp;L'!$D$39)</f>
        <v>1.435</v>
      </c>
      <c r="J489" s="255">
        <f>(J289*'Data - P&amp;L'!$D$38)+(J302*'Data - P&amp;L'!$D$39)</f>
        <v>0</v>
      </c>
      <c r="K489" s="255">
        <f>(K289*'Data - P&amp;L'!$D$38)+(K302*'Data - P&amp;L'!$D$39)</f>
        <v>1.435</v>
      </c>
      <c r="L489" s="255">
        <f>(L289*'Data - P&amp;L'!$D$38)+(L302*'Data - P&amp;L'!$D$39)</f>
        <v>4.305</v>
      </c>
      <c r="M489" s="255">
        <f>(M289*'Data - P&amp;L'!$D$38)+(M302*'Data - P&amp;L'!$D$39)</f>
        <v>1.435</v>
      </c>
      <c r="N489" s="255">
        <f>(N289*'Data - P&amp;L'!$D$38)+(N302*'Data - P&amp;L'!$D$39)</f>
        <v>2.87</v>
      </c>
      <c r="O489" s="255">
        <f>(O289*'Data - P&amp;L'!$D$38)+(O302*'Data - P&amp;L'!$D$39)</f>
        <v>0</v>
      </c>
      <c r="P489" s="255">
        <f>(P289*'Data - P&amp;L'!$D$38)+(P302*'Data - P&amp;L'!$D$39)</f>
        <v>0</v>
      </c>
      <c r="Q489" s="255">
        <f>(Q289*'Data - P&amp;L'!$D$38)+(Q302*'Data - P&amp;L'!$D$39)</f>
        <v>1.44</v>
      </c>
      <c r="R489" s="255">
        <f>(R289*'Data - P&amp;L'!$D$38)+(R302*'Data - P&amp;L'!$D$39)</f>
        <v>0</v>
      </c>
      <c r="S489" s="255">
        <f>(S289*'Data - P&amp;L'!$D$38)+(S302*'Data - P&amp;L'!$D$39)</f>
        <v>0</v>
      </c>
      <c r="T489" s="255">
        <f>(T289*'Data - P&amp;L'!$D$38)+(T302*'Data - P&amp;L'!$D$39)</f>
        <v>0</v>
      </c>
      <c r="U489" s="255">
        <f>(U289*'Data - P&amp;L'!$D$38)+(U302*'Data - P&amp;L'!$D$39)</f>
        <v>2.87</v>
      </c>
      <c r="V489" s="255">
        <f>(V289*'Data - P&amp;L'!$D$38)+(V302*'Data - P&amp;L'!$D$39)</f>
        <v>0</v>
      </c>
      <c r="W489" s="255">
        <f>(W289*'Data - P&amp;L'!$D$38)+(W302*'Data - P&amp;L'!$D$39)</f>
        <v>0</v>
      </c>
      <c r="X489" s="255">
        <f>(X289*'Data - P&amp;L'!$D$38)+(X302*'Data - P&amp;L'!$D$39)</f>
        <v>2.87</v>
      </c>
      <c r="Y489" s="255">
        <f>(Y289*'Data - P&amp;L'!$D$38)+(Y302*'Data - P&amp;L'!$D$39)</f>
        <v>0</v>
      </c>
      <c r="Z489" s="255">
        <f>(Z289*'Data - P&amp;L'!$D$38)+(Z302*'Data - P&amp;L'!$D$39)</f>
        <v>0</v>
      </c>
      <c r="AA489" s="255">
        <f>(AA289*'Data - P&amp;L'!$D$38)+(AA302*'Data - P&amp;L'!$D$39)</f>
        <v>1.435</v>
      </c>
      <c r="AB489" s="255">
        <f>(AB289*'Data - P&amp;L'!$D$38)+(AB302*'Data - P&amp;L'!$D$39)</f>
        <v>1.435</v>
      </c>
      <c r="AC489" s="255">
        <f>(AC289*'Data - P&amp;L'!$D$38)+(AC302*'Data - P&amp;L'!$D$39)</f>
        <v>2.88</v>
      </c>
      <c r="AD489" s="255">
        <f>(AD289*'Data - P&amp;L'!$D$38)+(AD302*'Data - P&amp;L'!$D$39)</f>
        <v>0</v>
      </c>
      <c r="AE489" s="255">
        <f>(AE289*'Data - P&amp;L'!$D$38)+(AE302*'Data - P&amp;L'!$D$39)</f>
        <v>0</v>
      </c>
      <c r="AF489" s="255">
        <f>(AF289*'Data - P&amp;L'!$D$38)+(AF302*'Data - P&amp;L'!$D$39)</f>
        <v>0</v>
      </c>
      <c r="AG489" s="95">
        <f t="shared" si="141"/>
        <v>45.935</v>
      </c>
    </row>
    <row r="490" outlineLevel="1">
      <c r="A490" s="151" t="s">
        <v>430</v>
      </c>
      <c r="B490" s="255">
        <f>(B289*'Data - P&amp;L'!$D$34)+(B302*'Data - P&amp;L'!$D$35)</f>
        <v>28.59</v>
      </c>
      <c r="C490" s="255">
        <f>(C289*'Data - P&amp;L'!$D$34)+(C302*'Data - P&amp;L'!$D$35)</f>
        <v>28.59</v>
      </c>
      <c r="D490" s="255">
        <f>(D289*'Data - P&amp;L'!$D$34)+(D302*'Data - P&amp;L'!$D$35)</f>
        <v>9.53</v>
      </c>
      <c r="E490" s="255">
        <f>(E289*'Data - P&amp;L'!$D$34)+(E302*'Data - P&amp;L'!$D$35)</f>
        <v>9.53</v>
      </c>
      <c r="F490" s="255">
        <f>(F289*'Data - P&amp;L'!$D$34)+(F302*'Data - P&amp;L'!$D$35)</f>
        <v>38.12</v>
      </c>
      <c r="G490" s="255">
        <f>(G289*'Data - P&amp;L'!$D$34)+(G302*'Data - P&amp;L'!$D$35)</f>
        <v>9.53</v>
      </c>
      <c r="H490" s="255">
        <f>(H289*'Data - P&amp;L'!$D$34)+(H302*'Data - P&amp;L'!$D$35)</f>
        <v>19.06</v>
      </c>
      <c r="I490" s="255">
        <f>(I289*'Data - P&amp;L'!$D$34)+(I302*'Data - P&amp;L'!$D$35)</f>
        <v>9.53</v>
      </c>
      <c r="J490" s="255">
        <f>(J289*'Data - P&amp;L'!$D$34)+(J302*'Data - P&amp;L'!$D$35)</f>
        <v>0</v>
      </c>
      <c r="K490" s="255">
        <f>(K289*'Data - P&amp;L'!$D$34)+(K302*'Data - P&amp;L'!$D$35)</f>
        <v>9.53</v>
      </c>
      <c r="L490" s="255">
        <f>(L289*'Data - P&amp;L'!$D$34)+(L302*'Data - P&amp;L'!$D$35)</f>
        <v>28.59</v>
      </c>
      <c r="M490" s="255">
        <f>(M289*'Data - P&amp;L'!$D$34)+(M302*'Data - P&amp;L'!$D$35)</f>
        <v>9.53</v>
      </c>
      <c r="N490" s="255">
        <f>(N289*'Data - P&amp;L'!$D$34)+(N302*'Data - P&amp;L'!$D$35)</f>
        <v>19.06</v>
      </c>
      <c r="O490" s="255">
        <f>(O289*'Data - P&amp;L'!$D$34)+(O302*'Data - P&amp;L'!$D$35)</f>
        <v>0</v>
      </c>
      <c r="P490" s="255">
        <f>(P289*'Data - P&amp;L'!$D$34)+(P302*'Data - P&amp;L'!$D$35)</f>
        <v>0</v>
      </c>
      <c r="Q490" s="255">
        <f>(Q289*'Data - P&amp;L'!$D$34)+(Q302*'Data - P&amp;L'!$D$35)</f>
        <v>6.16</v>
      </c>
      <c r="R490" s="255">
        <f>(R289*'Data - P&amp;L'!$D$34)+(R302*'Data - P&amp;L'!$D$35)</f>
        <v>0</v>
      </c>
      <c r="S490" s="255">
        <f>(S289*'Data - P&amp;L'!$D$34)+(S302*'Data - P&amp;L'!$D$35)</f>
        <v>0</v>
      </c>
      <c r="T490" s="255">
        <f>(T289*'Data - P&amp;L'!$D$34)+(T302*'Data - P&amp;L'!$D$35)</f>
        <v>0</v>
      </c>
      <c r="U490" s="255">
        <f>(U289*'Data - P&amp;L'!$D$34)+(U302*'Data - P&amp;L'!$D$35)</f>
        <v>19.06</v>
      </c>
      <c r="V490" s="255">
        <f>(V289*'Data - P&amp;L'!$D$34)+(V302*'Data - P&amp;L'!$D$35)</f>
        <v>0</v>
      </c>
      <c r="W490" s="255">
        <f>(W289*'Data - P&amp;L'!$D$34)+(W302*'Data - P&amp;L'!$D$35)</f>
        <v>0</v>
      </c>
      <c r="X490" s="255">
        <f>(X289*'Data - P&amp;L'!$D$34)+(X302*'Data - P&amp;L'!$D$35)</f>
        <v>19.06</v>
      </c>
      <c r="Y490" s="255">
        <f>(Y289*'Data - P&amp;L'!$D$34)+(Y302*'Data - P&amp;L'!$D$35)</f>
        <v>0</v>
      </c>
      <c r="Z490" s="255">
        <f>(Z289*'Data - P&amp;L'!$D$34)+(Z302*'Data - P&amp;L'!$D$35)</f>
        <v>0</v>
      </c>
      <c r="AA490" s="255">
        <f>(AA289*'Data - P&amp;L'!$D$34)+(AA302*'Data - P&amp;L'!$D$35)</f>
        <v>9.53</v>
      </c>
      <c r="AB490" s="255">
        <f>(AB289*'Data - P&amp;L'!$D$34)+(AB302*'Data - P&amp;L'!$D$35)</f>
        <v>9.53</v>
      </c>
      <c r="AC490" s="255">
        <f>(AC289*'Data - P&amp;L'!$D$34)+(AC302*'Data - P&amp;L'!$D$35)</f>
        <v>12.32</v>
      </c>
      <c r="AD490" s="255">
        <f>(AD289*'Data - P&amp;L'!$D$34)+(AD302*'Data - P&amp;L'!$D$35)</f>
        <v>0</v>
      </c>
      <c r="AE490" s="255">
        <f>(AE289*'Data - P&amp;L'!$D$34)+(AE302*'Data - P&amp;L'!$D$35)</f>
        <v>0</v>
      </c>
      <c r="AF490" s="255">
        <f>(AF289*'Data - P&amp;L'!$D$34)+(AF302*'Data - P&amp;L'!$D$35)</f>
        <v>0</v>
      </c>
      <c r="AG490" s="95">
        <f t="shared" si="141"/>
        <v>294.85</v>
      </c>
    </row>
    <row r="491" outlineLevel="1">
      <c r="A491" s="151" t="s">
        <v>431</v>
      </c>
      <c r="B491" s="255">
        <f t="shared" ref="B491:AF491" si="142">B306+B311</f>
        <v>17233.09</v>
      </c>
      <c r="C491" s="255">
        <f t="shared" si="142"/>
        <v>2743.22</v>
      </c>
      <c r="D491" s="255">
        <f t="shared" si="142"/>
        <v>3519.93</v>
      </c>
      <c r="E491" s="255">
        <f t="shared" si="142"/>
        <v>8707.93</v>
      </c>
      <c r="F491" s="255">
        <f t="shared" si="142"/>
        <v>5645.45</v>
      </c>
      <c r="G491" s="255">
        <f t="shared" si="142"/>
        <v>522.14</v>
      </c>
      <c r="H491" s="255">
        <f t="shared" si="142"/>
        <v>1281.17</v>
      </c>
      <c r="I491" s="255">
        <f t="shared" si="142"/>
        <v>1935.67</v>
      </c>
      <c r="J491" s="255">
        <f t="shared" si="142"/>
        <v>609.86</v>
      </c>
      <c r="K491" s="255">
        <f t="shared" si="142"/>
        <v>1298.92</v>
      </c>
      <c r="L491" s="255">
        <f t="shared" si="142"/>
        <v>3886.5</v>
      </c>
      <c r="M491" s="255">
        <f t="shared" si="142"/>
        <v>7079.69</v>
      </c>
      <c r="N491" s="255">
        <f t="shared" si="142"/>
        <v>1579.46</v>
      </c>
      <c r="O491" s="255">
        <f t="shared" si="142"/>
        <v>3425.74</v>
      </c>
      <c r="P491" s="255">
        <f t="shared" si="142"/>
        <v>552.82</v>
      </c>
      <c r="Q491" s="255">
        <f t="shared" si="142"/>
        <v>1827.15</v>
      </c>
      <c r="R491" s="255">
        <f t="shared" si="142"/>
        <v>0</v>
      </c>
      <c r="S491" s="255">
        <f t="shared" si="142"/>
        <v>947.07</v>
      </c>
      <c r="T491" s="255">
        <f t="shared" si="142"/>
        <v>0</v>
      </c>
      <c r="U491" s="255">
        <f t="shared" si="142"/>
        <v>578.42</v>
      </c>
      <c r="V491" s="255">
        <f t="shared" si="142"/>
        <v>1042.06</v>
      </c>
      <c r="W491" s="255">
        <f t="shared" si="142"/>
        <v>0</v>
      </c>
      <c r="X491" s="255">
        <f t="shared" si="142"/>
        <v>1080.45</v>
      </c>
      <c r="Y491" s="255">
        <f t="shared" si="142"/>
        <v>0</v>
      </c>
      <c r="Z491" s="255">
        <f t="shared" si="142"/>
        <v>254</v>
      </c>
      <c r="AA491" s="255">
        <f t="shared" si="142"/>
        <v>902.48</v>
      </c>
      <c r="AB491" s="255">
        <f t="shared" si="142"/>
        <v>1648.9</v>
      </c>
      <c r="AC491" s="255">
        <f t="shared" si="142"/>
        <v>378</v>
      </c>
      <c r="AD491" s="255">
        <f t="shared" si="142"/>
        <v>829.44</v>
      </c>
      <c r="AE491" s="255">
        <f t="shared" si="142"/>
        <v>1428.55</v>
      </c>
      <c r="AF491" s="255">
        <f t="shared" si="142"/>
        <v>1428.55</v>
      </c>
      <c r="AG491" s="95">
        <f t="shared" si="141"/>
        <v>72366.66</v>
      </c>
    </row>
    <row r="492">
      <c r="A492" s="240" t="s">
        <v>432</v>
      </c>
      <c r="B492" s="269">
        <f t="shared" ref="B492:AF492" si="143">SUM(B493:B505)-B506-B507</f>
        <v>-507.3525</v>
      </c>
      <c r="C492" s="269">
        <f t="shared" si="143"/>
        <v>0</v>
      </c>
      <c r="D492" s="269">
        <f t="shared" si="143"/>
        <v>-901.7125</v>
      </c>
      <c r="E492" s="269">
        <f t="shared" si="143"/>
        <v>-3195.50125</v>
      </c>
      <c r="F492" s="269">
        <f t="shared" si="143"/>
        <v>-253.1275</v>
      </c>
      <c r="G492" s="269">
        <f t="shared" si="143"/>
        <v>-1794.63375</v>
      </c>
      <c r="H492" s="269">
        <f t="shared" si="143"/>
        <v>-4899.31625</v>
      </c>
      <c r="I492" s="269">
        <f t="shared" si="143"/>
        <v>-835.75125</v>
      </c>
      <c r="J492" s="269">
        <f t="shared" si="143"/>
        <v>0</v>
      </c>
      <c r="K492" s="269">
        <f t="shared" si="143"/>
        <v>0</v>
      </c>
      <c r="L492" s="269">
        <f t="shared" si="143"/>
        <v>0</v>
      </c>
      <c r="M492" s="269">
        <f t="shared" si="143"/>
        <v>-4295.47875</v>
      </c>
      <c r="N492" s="269">
        <f t="shared" si="143"/>
        <v>-219.64625</v>
      </c>
      <c r="O492" s="269">
        <f t="shared" si="143"/>
        <v>-999.99625</v>
      </c>
      <c r="P492" s="269">
        <f t="shared" si="143"/>
        <v>-1553.42125</v>
      </c>
      <c r="Q492" s="269">
        <f t="shared" si="143"/>
        <v>-304.0275</v>
      </c>
      <c r="R492" s="269">
        <f t="shared" si="143"/>
        <v>0</v>
      </c>
      <c r="S492" s="269">
        <f t="shared" si="143"/>
        <v>-629.44875</v>
      </c>
      <c r="T492" s="269">
        <f t="shared" si="143"/>
        <v>-54.00875</v>
      </c>
      <c r="U492" s="269">
        <f t="shared" si="143"/>
        <v>-649.815</v>
      </c>
      <c r="V492" s="269">
        <f t="shared" si="143"/>
        <v>0</v>
      </c>
      <c r="W492" s="269">
        <f t="shared" si="143"/>
        <v>0</v>
      </c>
      <c r="X492" s="269">
        <f t="shared" si="143"/>
        <v>0</v>
      </c>
      <c r="Y492" s="269">
        <f t="shared" si="143"/>
        <v>0</v>
      </c>
      <c r="Z492" s="269">
        <f t="shared" si="143"/>
        <v>0</v>
      </c>
      <c r="AA492" s="269">
        <f t="shared" si="143"/>
        <v>-291.48125</v>
      </c>
      <c r="AB492" s="269">
        <f t="shared" si="143"/>
        <v>-1566.45</v>
      </c>
      <c r="AC492" s="269">
        <f t="shared" si="143"/>
        <v>-2232.75125</v>
      </c>
      <c r="AD492" s="269">
        <f t="shared" si="143"/>
        <v>0</v>
      </c>
      <c r="AE492" s="269">
        <f t="shared" si="143"/>
        <v>0</v>
      </c>
      <c r="AF492" s="269">
        <f t="shared" si="143"/>
        <v>-214.5825</v>
      </c>
      <c r="AG492" s="95">
        <f t="shared" si="141"/>
        <v>-25398.5025</v>
      </c>
    </row>
    <row r="493" outlineLevel="1">
      <c r="A493" s="151" t="s">
        <v>433</v>
      </c>
      <c r="B493" s="255">
        <f>((B316+B317+B323+B324)*'Data - P&amp;L'!$C$3)*'Data - P&amp;L'!$C$54</f>
        <v>21.725</v>
      </c>
      <c r="C493" s="255">
        <f>((C316+C317+C323+C324)*'Data - P&amp;L'!$C$3)*'Data - P&amp;L'!$C$54</f>
        <v>0</v>
      </c>
      <c r="D493" s="255">
        <f>((D316+D317+D323+D324)*'Data - P&amp;L'!$C$3)*'Data - P&amp;L'!$C$54</f>
        <v>0</v>
      </c>
      <c r="E493" s="255">
        <f>((E316+E317+E323+E324)*'Data - P&amp;L'!$C$3)*'Data - P&amp;L'!$C$54</f>
        <v>130.35</v>
      </c>
      <c r="F493" s="255">
        <f>((F316+F317+F323+F324)*'Data - P&amp;L'!$C$3)*'Data - P&amp;L'!$C$54</f>
        <v>0</v>
      </c>
      <c r="G493" s="255">
        <f>((G316+G317+G323+G324)*'Data - P&amp;L'!$C$3)*'Data - P&amp;L'!$C$54</f>
        <v>21.725</v>
      </c>
      <c r="H493" s="255">
        <f>((H316+H317+H323+H324)*'Data - P&amp;L'!$C$3)*'Data - P&amp;L'!$C$54</f>
        <v>130.35</v>
      </c>
      <c r="I493" s="255">
        <f>((I316+I317+I323+I324)*'Data - P&amp;L'!$C$3)*'Data - P&amp;L'!$C$54</f>
        <v>43.45</v>
      </c>
      <c r="J493" s="255">
        <f>((J316+J317+J323+J324)*'Data - P&amp;L'!$C$3)*'Data - P&amp;L'!$C$54</f>
        <v>0</v>
      </c>
      <c r="K493" s="255">
        <f>((K316+K317+K323+K324)*'Data - P&amp;L'!$C$3)*'Data - P&amp;L'!$C$54</f>
        <v>0</v>
      </c>
      <c r="L493" s="255">
        <f>((L316+L317+L323+L324)*'Data - P&amp;L'!$C$3)*'Data - P&amp;L'!$C$54</f>
        <v>0</v>
      </c>
      <c r="M493" s="255">
        <f>((M316+M317+M323+M324)*'Data - P&amp;L'!$C$3)*'Data - P&amp;L'!$C$54</f>
        <v>65.175</v>
      </c>
      <c r="N493" s="255">
        <f>((N316+N317+N323+N324)*'Data - P&amp;L'!$C$3)*'Data - P&amp;L'!$C$54</f>
        <v>0</v>
      </c>
      <c r="O493" s="255">
        <f>((O316+O317+O323+O324)*'Data - P&amp;L'!$C$3)*'Data - P&amp;L'!$C$54</f>
        <v>0</v>
      </c>
      <c r="P493" s="255">
        <f>((P316+P317+P323+P324)*'Data - P&amp;L'!$C$3)*'Data - P&amp;L'!$C$54</f>
        <v>43.45</v>
      </c>
      <c r="Q493" s="255">
        <f>((Q316+Q317+Q323+Q324)*'Data - P&amp;L'!$C$3)*'Data - P&amp;L'!$C$54</f>
        <v>0</v>
      </c>
      <c r="R493" s="255">
        <f>((R316+R317+R323+R324)*'Data - P&amp;L'!$C$3)*'Data - P&amp;L'!$C$54</f>
        <v>0</v>
      </c>
      <c r="S493" s="255">
        <f>((S316+S317+S323+S324)*'Data - P&amp;L'!$C$3)*'Data - P&amp;L'!$C$54</f>
        <v>0</v>
      </c>
      <c r="T493" s="255">
        <f>((T316+T317+T323+T324)*'Data - P&amp;L'!$C$3)*'Data - P&amp;L'!$C$54</f>
        <v>0</v>
      </c>
      <c r="U493" s="255">
        <f>((U316+U317+U323+U324)*'Data - P&amp;L'!$C$3)*'Data - P&amp;L'!$C$54</f>
        <v>43.45</v>
      </c>
      <c r="V493" s="255">
        <f>((V316+V317+V323+V324)*'Data - P&amp;L'!$C$3)*'Data - P&amp;L'!$C$54</f>
        <v>0</v>
      </c>
      <c r="W493" s="255">
        <f>((W316+W317+W323+W324)*'Data - P&amp;L'!$C$3)*'Data - P&amp;L'!$C$54</f>
        <v>0</v>
      </c>
      <c r="X493" s="255">
        <f>((X316+X317+X323+X324)*'Data - P&amp;L'!$C$3)*'Data - P&amp;L'!$C$54</f>
        <v>0</v>
      </c>
      <c r="Y493" s="255">
        <f>((Y316+Y317+Y323+Y324)*'Data - P&amp;L'!$C$3)*'Data - P&amp;L'!$C$54</f>
        <v>0</v>
      </c>
      <c r="Z493" s="255">
        <f>((Z316+Z317+Z323+Z324)*'Data - P&amp;L'!$C$3)*'Data - P&amp;L'!$C$54</f>
        <v>0</v>
      </c>
      <c r="AA493" s="255">
        <f>((AA316+AA317+AA323+AA324)*'Data - P&amp;L'!$C$3)*'Data - P&amp;L'!$C$54</f>
        <v>0</v>
      </c>
      <c r="AB493" s="255">
        <f>((AB316+AB317+AB323+AB324)*'Data - P&amp;L'!$C$3)*'Data - P&amp;L'!$C$54</f>
        <v>43.45</v>
      </c>
      <c r="AC493" s="255">
        <f>((AC316+AC317+AC323+AC324)*'Data - P&amp;L'!$C$3)*'Data - P&amp;L'!$C$54</f>
        <v>65.175</v>
      </c>
      <c r="AD493" s="255">
        <f>((AD316+AD317+AD323+AD324)*'Data - P&amp;L'!$C$3)*'Data - P&amp;L'!$C$54</f>
        <v>0</v>
      </c>
      <c r="AE493" s="255">
        <f>((AE316+AE317+AE323+AE324)*'Data - P&amp;L'!$C$3)*'Data - P&amp;L'!$C$54</f>
        <v>0</v>
      </c>
      <c r="AF493" s="255">
        <f>((AF316+AF317+AF323+AF324)*'Data - P&amp;L'!$C$3)*'Data - P&amp;L'!$C$54</f>
        <v>0</v>
      </c>
      <c r="AG493" s="95">
        <f t="shared" si="141"/>
        <v>608.3</v>
      </c>
    </row>
    <row r="494" outlineLevel="1">
      <c r="A494" s="151" t="s">
        <v>434</v>
      </c>
      <c r="B494" s="255">
        <f>(B318+B319+B325+B326)*'Data - P&amp;L'!$C$4*'Data - P&amp;L'!$C$54</f>
        <v>24.4025</v>
      </c>
      <c r="C494" s="255">
        <f>(C318+C319+C325+C326)*'Data - P&amp;L'!$C$4*'Data - P&amp;L'!$C$54</f>
        <v>0</v>
      </c>
      <c r="D494" s="255">
        <f>(D318+D319+D325+D326)*'Data - P&amp;L'!$C$4*'Data - P&amp;L'!$C$54</f>
        <v>73.2075</v>
      </c>
      <c r="E494" s="255">
        <f>(E318+E319+E325+E326)*'Data - P&amp;L'!$C$4*'Data - P&amp;L'!$C$54</f>
        <v>146.415</v>
      </c>
      <c r="F494" s="255">
        <f>(F318+F319+F325+F326)*'Data - P&amp;L'!$C$4*'Data - P&amp;L'!$C$54</f>
        <v>24.4025</v>
      </c>
      <c r="G494" s="255">
        <f>(G318+G319+G325+G326)*'Data - P&amp;L'!$C$4*'Data - P&amp;L'!$C$54</f>
        <v>122.0125</v>
      </c>
      <c r="H494" s="255">
        <f>(H318+H319+H325+H326)*'Data - P&amp;L'!$C$4*'Data - P&amp;L'!$C$54</f>
        <v>292.83</v>
      </c>
      <c r="I494" s="255">
        <f>(I318+I319+I325+I326)*'Data - P&amp;L'!$C$4*'Data - P&amp;L'!$C$54</f>
        <v>24.4025</v>
      </c>
      <c r="J494" s="255">
        <f>(J318+J319+J325+J326)*'Data - P&amp;L'!$C$4*'Data - P&amp;L'!$C$54</f>
        <v>0</v>
      </c>
      <c r="K494" s="255">
        <f>(K318+K319+K325+K326)*'Data - P&amp;L'!$C$4*'Data - P&amp;L'!$C$54</f>
        <v>0</v>
      </c>
      <c r="L494" s="255">
        <f>(L318+L319+L325+L326)*'Data - P&amp;L'!$C$4*'Data - P&amp;L'!$C$54</f>
        <v>0</v>
      </c>
      <c r="M494" s="255">
        <f>(M318+M319+M325+M326)*'Data - P&amp;L'!$C$4*'Data - P&amp;L'!$C$54</f>
        <v>341.635</v>
      </c>
      <c r="N494" s="255">
        <f>(N318+N319+N325+N326)*'Data - P&amp;L'!$C$4*'Data - P&amp;L'!$C$54</f>
        <v>24.4025</v>
      </c>
      <c r="O494" s="255">
        <f>(O318+O319+O325+O326)*'Data - P&amp;L'!$C$4*'Data - P&amp;L'!$C$54</f>
        <v>73.2075</v>
      </c>
      <c r="P494" s="255">
        <f>(P318+P319+P325+P326)*'Data - P&amp;L'!$C$4*'Data - P&amp;L'!$C$54</f>
        <v>97.61</v>
      </c>
      <c r="Q494" s="255">
        <f>(Q318+Q319+Q325+Q326)*'Data - P&amp;L'!$C$4*'Data - P&amp;L'!$C$54</f>
        <v>24.4025</v>
      </c>
      <c r="R494" s="255">
        <f>(R318+R319+R325+R326)*'Data - P&amp;L'!$C$4*'Data - P&amp;L'!$C$54</f>
        <v>0</v>
      </c>
      <c r="S494" s="255">
        <f>(S318+S319+S325+S326)*'Data - P&amp;L'!$C$4*'Data - P&amp;L'!$C$54</f>
        <v>48.805</v>
      </c>
      <c r="T494" s="255">
        <f>(T318+T319+T325+T326)*'Data - P&amp;L'!$C$4*'Data - P&amp;L'!$C$54</f>
        <v>0</v>
      </c>
      <c r="U494" s="255">
        <f>(U318+U319+U325+U326)*'Data - P&amp;L'!$C$4*'Data - P&amp;L'!$C$54</f>
        <v>24.4025</v>
      </c>
      <c r="V494" s="255">
        <f>(V318+V319+V325+V326)*'Data - P&amp;L'!$C$4*'Data - P&amp;L'!$C$54</f>
        <v>0</v>
      </c>
      <c r="W494" s="255">
        <f>(W318+W319+W325+W326)*'Data - P&amp;L'!$C$4*'Data - P&amp;L'!$C$54</f>
        <v>0</v>
      </c>
      <c r="X494" s="255">
        <f>(X318+X319+X325+X326)*'Data - P&amp;L'!$C$4*'Data - P&amp;L'!$C$54</f>
        <v>0</v>
      </c>
      <c r="Y494" s="255">
        <f>(Y318+Y319+Y325+Y326)*'Data - P&amp;L'!$C$4*'Data - P&amp;L'!$C$54</f>
        <v>0</v>
      </c>
      <c r="Z494" s="255">
        <f>(Z318+Z319+Z325+Z326)*'Data - P&amp;L'!$C$4*'Data - P&amp;L'!$C$54</f>
        <v>0</v>
      </c>
      <c r="AA494" s="255">
        <f>(AA318+AA319+AA325+AA326)*'Data - P&amp;L'!$C$4*'Data - P&amp;L'!$C$54</f>
        <v>24.4025</v>
      </c>
      <c r="AB494" s="255">
        <f>(AB318+AB319+AB325+AB326)*'Data - P&amp;L'!$C$4*'Data - P&amp;L'!$C$54</f>
        <v>122.0125</v>
      </c>
      <c r="AC494" s="255">
        <f>(AC318+AC319+AC325+AC326)*'Data - P&amp;L'!$C$4*'Data - P&amp;L'!$C$54</f>
        <v>146.415</v>
      </c>
      <c r="AD494" s="255">
        <f>(AD318+AD319+AD325+AD326)*'Data - P&amp;L'!$C$4*'Data - P&amp;L'!$C$54</f>
        <v>0</v>
      </c>
      <c r="AE494" s="255">
        <f>(AE318+AE319+AE325+AE326)*'Data - P&amp;L'!$C$4*'Data - P&amp;L'!$C$54</f>
        <v>0</v>
      </c>
      <c r="AF494" s="255">
        <f>(AF318+AF319+AF325+AF326)*'Data - P&amp;L'!$C$4*'Data - P&amp;L'!$C$54</f>
        <v>24.4025</v>
      </c>
      <c r="AG494" s="95">
        <f t="shared" si="141"/>
        <v>1659.37</v>
      </c>
    </row>
    <row r="495" outlineLevel="1">
      <c r="A495" s="151" t="s">
        <v>392</v>
      </c>
      <c r="B495" s="255">
        <f>(B320+B327)*'Data - P&amp;L'!$C$15*'Data - P&amp;L'!$C$54</f>
        <v>0</v>
      </c>
      <c r="C495" s="255">
        <f>(C320+C327)*'Data - P&amp;L'!$C$15*'Data - P&amp;L'!$C$54</f>
        <v>0</v>
      </c>
      <c r="D495" s="255">
        <f>(D320+D327)*'Data - P&amp;L'!$C$15*'Data - P&amp;L'!$C$54</f>
        <v>0</v>
      </c>
      <c r="E495" s="255">
        <f>(E320+E327)*'Data - P&amp;L'!$C$15*'Data - P&amp;L'!$C$54</f>
        <v>0</v>
      </c>
      <c r="F495" s="255">
        <f>(F320+F327)*'Data - P&amp;L'!$C$15*'Data - P&amp;L'!$C$54</f>
        <v>0</v>
      </c>
      <c r="G495" s="255">
        <f>(G320+G327)*'Data - P&amp;L'!$C$15*'Data - P&amp;L'!$C$54</f>
        <v>0</v>
      </c>
      <c r="H495" s="255">
        <f>(H320+H327)*'Data - P&amp;L'!$C$15*'Data - P&amp;L'!$C$54</f>
        <v>0</v>
      </c>
      <c r="I495" s="255">
        <f>(I320+I327)*'Data - P&amp;L'!$C$15*'Data - P&amp;L'!$C$54</f>
        <v>0</v>
      </c>
      <c r="J495" s="255">
        <f>(J320+J327)*'Data - P&amp;L'!$C$15*'Data - P&amp;L'!$C$54</f>
        <v>0</v>
      </c>
      <c r="K495" s="255">
        <f>(K320+K327)*'Data - P&amp;L'!$C$15*'Data - P&amp;L'!$C$54</f>
        <v>0</v>
      </c>
      <c r="L495" s="255">
        <f>(L320+L327)*'Data - P&amp;L'!$C$15*'Data - P&amp;L'!$C$54</f>
        <v>0</v>
      </c>
      <c r="M495" s="255">
        <f>(M320+M327)*'Data - P&amp;L'!$C$15*'Data - P&amp;L'!$C$54</f>
        <v>0</v>
      </c>
      <c r="N495" s="255">
        <f>(N320+N327)*'Data - P&amp;L'!$C$15*'Data - P&amp;L'!$C$54</f>
        <v>0</v>
      </c>
      <c r="O495" s="255">
        <f>(O320+O327)*'Data - P&amp;L'!$C$15*'Data - P&amp;L'!$C$54</f>
        <v>0</v>
      </c>
      <c r="P495" s="255">
        <f>(P320+P327)*'Data - P&amp;L'!$C$15*'Data - P&amp;L'!$C$54</f>
        <v>0</v>
      </c>
      <c r="Q495" s="255">
        <f>(Q320+Q327)*'Data - P&amp;L'!$C$15*'Data - P&amp;L'!$C$54</f>
        <v>0</v>
      </c>
      <c r="R495" s="255">
        <f>(R320+R327)*'Data - P&amp;L'!$C$15*'Data - P&amp;L'!$C$54</f>
        <v>0</v>
      </c>
      <c r="S495" s="255">
        <f>(S320+S327)*'Data - P&amp;L'!$C$15*'Data - P&amp;L'!$C$54</f>
        <v>0</v>
      </c>
      <c r="T495" s="255">
        <f>(T320+T327)*'Data - P&amp;L'!$C$15*'Data - P&amp;L'!$C$54</f>
        <v>0</v>
      </c>
      <c r="U495" s="255">
        <f>(U320+U327)*'Data - P&amp;L'!$C$15*'Data - P&amp;L'!$C$54</f>
        <v>0</v>
      </c>
      <c r="V495" s="255">
        <f>(V320+V327)*'Data - P&amp;L'!$C$15*'Data - P&amp;L'!$C$54</f>
        <v>0</v>
      </c>
      <c r="W495" s="255">
        <f>(W320+W327)*'Data - P&amp;L'!$C$15*'Data - P&amp;L'!$C$54</f>
        <v>0</v>
      </c>
      <c r="X495" s="255">
        <f>(X320+X327)*'Data - P&amp;L'!$C$15*'Data - P&amp;L'!$C$54</f>
        <v>0</v>
      </c>
      <c r="Y495" s="255">
        <f>(Y320+Y327)*'Data - P&amp;L'!$C$15*'Data - P&amp;L'!$C$54</f>
        <v>0</v>
      </c>
      <c r="Z495" s="255">
        <f>(Z320+Z327)*'Data - P&amp;L'!$C$15*'Data - P&amp;L'!$C$54</f>
        <v>0</v>
      </c>
      <c r="AA495" s="255">
        <f>(AA320+AA327)*'Data - P&amp;L'!$C$15*'Data - P&amp;L'!$C$54</f>
        <v>0</v>
      </c>
      <c r="AB495" s="255">
        <f>(AB320+AB327)*'Data - P&amp;L'!$C$15*'Data - P&amp;L'!$C$54</f>
        <v>0</v>
      </c>
      <c r="AC495" s="255">
        <f>(AC320+AC327)*'Data - P&amp;L'!$C$15*'Data - P&amp;L'!$C$54</f>
        <v>0</v>
      </c>
      <c r="AD495" s="255">
        <f>(AD320+AD327)*'Data - P&amp;L'!$C$15*'Data - P&amp;L'!$C$54</f>
        <v>0</v>
      </c>
      <c r="AE495" s="255">
        <f>(AE320+AE327)*'Data - P&amp;L'!$C$15*'Data - P&amp;L'!$C$54</f>
        <v>0</v>
      </c>
      <c r="AF495" s="255">
        <f>(AF320+AF327)*'Data - P&amp;L'!$C$15*'Data - P&amp;L'!$C$54</f>
        <v>0</v>
      </c>
      <c r="AG495" s="95">
        <f t="shared" si="141"/>
        <v>0</v>
      </c>
    </row>
    <row r="496" outlineLevel="1">
      <c r="A496" s="151" t="s">
        <v>393</v>
      </c>
      <c r="B496" s="255">
        <f>(B321+B328)*'Data - P&amp;L'!$C$16*'Data - P&amp;L'!$C$54</f>
        <v>0</v>
      </c>
      <c r="C496" s="255">
        <f>(C321+C328)*'Data - P&amp;L'!$C$16*'Data - P&amp;L'!$C$54</f>
        <v>0</v>
      </c>
      <c r="D496" s="255">
        <f>(D321+D328)*'Data - P&amp;L'!$C$16*'Data - P&amp;L'!$C$54</f>
        <v>0</v>
      </c>
      <c r="E496" s="255">
        <f>(E321+E328)*'Data - P&amp;L'!$C$16*'Data - P&amp;L'!$C$54</f>
        <v>0</v>
      </c>
      <c r="F496" s="255">
        <f>(F321+F328)*'Data - P&amp;L'!$C$16*'Data - P&amp;L'!$C$54</f>
        <v>0</v>
      </c>
      <c r="G496" s="255">
        <f>(G321+G328)*'Data - P&amp;L'!$C$16*'Data - P&amp;L'!$C$54</f>
        <v>0</v>
      </c>
      <c r="H496" s="255">
        <f>(H321+H328)*'Data - P&amp;L'!$C$16*'Data - P&amp;L'!$C$54</f>
        <v>0</v>
      </c>
      <c r="I496" s="255">
        <f>(I321+I328)*'Data - P&amp;L'!$C$16*'Data - P&amp;L'!$C$54</f>
        <v>0</v>
      </c>
      <c r="J496" s="255">
        <f>(J321+J328)*'Data - P&amp;L'!$C$16*'Data - P&amp;L'!$C$54</f>
        <v>0</v>
      </c>
      <c r="K496" s="255">
        <f>(K321+K328)*'Data - P&amp;L'!$C$16*'Data - P&amp;L'!$C$54</f>
        <v>0</v>
      </c>
      <c r="L496" s="255">
        <f>(L321+L328)*'Data - P&amp;L'!$C$16*'Data - P&amp;L'!$C$54</f>
        <v>0</v>
      </c>
      <c r="M496" s="255">
        <f>(M321+M328)*'Data - P&amp;L'!$C$16*'Data - P&amp;L'!$C$54</f>
        <v>0</v>
      </c>
      <c r="N496" s="255">
        <f>(N321+N328)*'Data - P&amp;L'!$C$16*'Data - P&amp;L'!$C$54</f>
        <v>0</v>
      </c>
      <c r="O496" s="255">
        <f>(O321+O328)*'Data - P&amp;L'!$C$16*'Data - P&amp;L'!$C$54</f>
        <v>0</v>
      </c>
      <c r="P496" s="255">
        <f>(P321+P328)*'Data - P&amp;L'!$C$16*'Data - P&amp;L'!$C$54</f>
        <v>0</v>
      </c>
      <c r="Q496" s="255">
        <f>(Q321+Q328)*'Data - P&amp;L'!$C$16*'Data - P&amp;L'!$C$54</f>
        <v>0</v>
      </c>
      <c r="R496" s="255">
        <f>(R321+R328)*'Data - P&amp;L'!$C$16*'Data - P&amp;L'!$C$54</f>
        <v>0</v>
      </c>
      <c r="S496" s="255">
        <f>(S321+S328)*'Data - P&amp;L'!$C$16*'Data - P&amp;L'!$C$54</f>
        <v>0</v>
      </c>
      <c r="T496" s="255">
        <f>(T321+T328)*'Data - P&amp;L'!$C$16*'Data - P&amp;L'!$C$54</f>
        <v>0</v>
      </c>
      <c r="U496" s="255">
        <f>(U321+U328)*'Data - P&amp;L'!$C$16*'Data - P&amp;L'!$C$54</f>
        <v>0</v>
      </c>
      <c r="V496" s="255">
        <f>(V321+V328)*'Data - P&amp;L'!$C$16*'Data - P&amp;L'!$C$54</f>
        <v>0</v>
      </c>
      <c r="W496" s="255">
        <f>(W321+W328)*'Data - P&amp;L'!$C$16*'Data - P&amp;L'!$C$54</f>
        <v>0</v>
      </c>
      <c r="X496" s="255">
        <f>(X321+X328)*'Data - P&amp;L'!$C$16*'Data - P&amp;L'!$C$54</f>
        <v>0</v>
      </c>
      <c r="Y496" s="255">
        <f>(Y321+Y328)*'Data - P&amp;L'!$C$16*'Data - P&amp;L'!$C$54</f>
        <v>0</v>
      </c>
      <c r="Z496" s="255">
        <f>(Z321+Z328)*'Data - P&amp;L'!$C$16*'Data - P&amp;L'!$C$54</f>
        <v>0</v>
      </c>
      <c r="AA496" s="255">
        <f>(AA321+AA328)*'Data - P&amp;L'!$C$16*'Data - P&amp;L'!$C$54</f>
        <v>0</v>
      </c>
      <c r="AB496" s="255">
        <f>(AB321+AB328)*'Data - P&amp;L'!$C$16*'Data - P&amp;L'!$C$54</f>
        <v>0</v>
      </c>
      <c r="AC496" s="255">
        <f>(AC321+AC328)*'Data - P&amp;L'!$C$16*'Data - P&amp;L'!$C$54</f>
        <v>0</v>
      </c>
      <c r="AD496" s="255">
        <f>(AD321+AD328)*'Data - P&amp;L'!$C$16*'Data - P&amp;L'!$C$54</f>
        <v>0</v>
      </c>
      <c r="AE496" s="255">
        <f>(AE321+AE328)*'Data - P&amp;L'!$C$16*'Data - P&amp;L'!$C$54</f>
        <v>0</v>
      </c>
      <c r="AF496" s="255">
        <f>(AF321+AF328)*'Data - P&amp;L'!$C$16*'Data - P&amp;L'!$C$54</f>
        <v>0</v>
      </c>
      <c r="AG496" s="95">
        <f t="shared" si="141"/>
        <v>0</v>
      </c>
    </row>
    <row r="497" outlineLevel="1">
      <c r="A497" s="151" t="s">
        <v>435</v>
      </c>
      <c r="B497" s="255">
        <f>(B333+B346)*'Data - P&amp;L'!$C$6*'Data - P&amp;L'!$C$54</f>
        <v>0</v>
      </c>
      <c r="C497" s="255">
        <f>(C333+C346)*'Data - P&amp;L'!$C$6*'Data - P&amp;L'!$C$54</f>
        <v>0</v>
      </c>
      <c r="D497" s="255">
        <f>(D333+D346)*'Data - P&amp;L'!$C$6*'Data - P&amp;L'!$C$54</f>
        <v>1.3725</v>
      </c>
      <c r="E497" s="255">
        <f>(E333+E346)*'Data - P&amp;L'!$C$6*'Data - P&amp;L'!$C$54</f>
        <v>2.745</v>
      </c>
      <c r="F497" s="255">
        <f>(F333+F346)*'Data - P&amp;L'!$C$6*'Data - P&amp;L'!$C$54</f>
        <v>0</v>
      </c>
      <c r="G497" s="255">
        <f>(G333+G346)*'Data - P&amp;L'!$C$6*'Data - P&amp;L'!$C$54</f>
        <v>1.3725</v>
      </c>
      <c r="H497" s="255">
        <f>(H333+H346)*'Data - P&amp;L'!$C$6*'Data - P&amp;L'!$C$54</f>
        <v>6.8625</v>
      </c>
      <c r="I497" s="255">
        <f>(I333+I346)*'Data - P&amp;L'!$C$6*'Data - P&amp;L'!$C$54</f>
        <v>2.745</v>
      </c>
      <c r="J497" s="255">
        <f>(J333+J346)*'Data - P&amp;L'!$C$6*'Data - P&amp;L'!$C$54</f>
        <v>0</v>
      </c>
      <c r="K497" s="255">
        <f>(K333+K346)*'Data - P&amp;L'!$C$6*'Data - P&amp;L'!$C$54</f>
        <v>0</v>
      </c>
      <c r="L497" s="255">
        <f>(L333+L346)*'Data - P&amp;L'!$C$6*'Data - P&amp;L'!$C$54</f>
        <v>0</v>
      </c>
      <c r="M497" s="255">
        <f>(M333+M346)*'Data - P&amp;L'!$C$6*'Data - P&amp;L'!$C$54</f>
        <v>6.8625</v>
      </c>
      <c r="N497" s="255">
        <f>(N333+N346)*'Data - P&amp;L'!$C$6*'Data - P&amp;L'!$C$54</f>
        <v>0</v>
      </c>
      <c r="O497" s="255">
        <f>(O333+O346)*'Data - P&amp;L'!$C$6*'Data - P&amp;L'!$C$54</f>
        <v>6.8625</v>
      </c>
      <c r="P497" s="255">
        <f>(P333+P346)*'Data - P&amp;L'!$C$6*'Data - P&amp;L'!$C$54</f>
        <v>1.3725</v>
      </c>
      <c r="Q497" s="255">
        <f>(Q333+Q346)*'Data - P&amp;L'!$C$6*'Data - P&amp;L'!$C$54</f>
        <v>1.3725</v>
      </c>
      <c r="R497" s="255">
        <f>(R333+R346)*'Data - P&amp;L'!$C$6*'Data - P&amp;L'!$C$54</f>
        <v>0</v>
      </c>
      <c r="S497" s="255">
        <f>(S333+S346)*'Data - P&amp;L'!$C$6*'Data - P&amp;L'!$C$54</f>
        <v>4.1175</v>
      </c>
      <c r="T497" s="255">
        <f>(T333+T346)*'Data - P&amp;L'!$C$6*'Data - P&amp;L'!$C$54</f>
        <v>1.3725</v>
      </c>
      <c r="U497" s="255">
        <f>(U333+U346)*'Data - P&amp;L'!$C$6*'Data - P&amp;L'!$C$54</f>
        <v>2.745</v>
      </c>
      <c r="V497" s="255">
        <f>(V333+V346)*'Data - P&amp;L'!$C$6*'Data - P&amp;L'!$C$54</f>
        <v>0</v>
      </c>
      <c r="W497" s="255">
        <f>(W333+W346)*'Data - P&amp;L'!$C$6*'Data - P&amp;L'!$C$54</f>
        <v>0</v>
      </c>
      <c r="X497" s="255">
        <f>(X333+X346)*'Data - P&amp;L'!$C$6*'Data - P&amp;L'!$C$54</f>
        <v>0</v>
      </c>
      <c r="Y497" s="255">
        <f>(Y333+Y346)*'Data - P&amp;L'!$C$6*'Data - P&amp;L'!$C$54</f>
        <v>0</v>
      </c>
      <c r="Z497" s="255">
        <f>(Z333+Z346)*'Data - P&amp;L'!$C$6*'Data - P&amp;L'!$C$54</f>
        <v>0</v>
      </c>
      <c r="AA497" s="255">
        <f>(AA333+AA346)*'Data - P&amp;L'!$C$6*'Data - P&amp;L'!$C$54</f>
        <v>1.3725</v>
      </c>
      <c r="AB497" s="255">
        <f>(AB333+AB346)*'Data - P&amp;L'!$C$6*'Data - P&amp;L'!$C$54</f>
        <v>4.1175</v>
      </c>
      <c r="AC497" s="255">
        <f>(AC333+AC346)*'Data - P&amp;L'!$C$6*'Data - P&amp;L'!$C$54</f>
        <v>10.98</v>
      </c>
      <c r="AD497" s="255">
        <f>(AD333+AD346)*'Data - P&amp;L'!$C$6*'Data - P&amp;L'!$C$54</f>
        <v>0</v>
      </c>
      <c r="AE497" s="255">
        <f>(AE333+AE346)*'Data - P&amp;L'!$C$6*'Data - P&amp;L'!$C$54</f>
        <v>0</v>
      </c>
      <c r="AF497" s="255">
        <f>(AF333+AF346)*'Data - P&amp;L'!$C$6*'Data - P&amp;L'!$C$54</f>
        <v>0</v>
      </c>
      <c r="AG497" s="95">
        <f t="shared" si="141"/>
        <v>56.2725</v>
      </c>
    </row>
    <row r="498" outlineLevel="1">
      <c r="A498" s="151" t="s">
        <v>436</v>
      </c>
      <c r="B498" s="255">
        <f>(B334+B347)*'Data - P&amp;L'!$C$8*'Data - P&amp;L'!$C$54</f>
        <v>0</v>
      </c>
      <c r="C498" s="255">
        <f>(C334+C347)*'Data - P&amp;L'!$C$8*'Data - P&amp;L'!$C$54</f>
        <v>0</v>
      </c>
      <c r="D498" s="255">
        <f>(D334+D347)*'Data - P&amp;L'!$C$8*'Data - P&amp;L'!$C$54</f>
        <v>0</v>
      </c>
      <c r="E498" s="255">
        <f>(E334+E347)*'Data - P&amp;L'!$C$8*'Data - P&amp;L'!$C$54</f>
        <v>0.8925</v>
      </c>
      <c r="F498" s="255">
        <f>(F334+F347)*'Data - P&amp;L'!$C$8*'Data - P&amp;L'!$C$54</f>
        <v>0.2975</v>
      </c>
      <c r="G498" s="255">
        <f>(G334+G347)*'Data - P&amp;L'!$C$8*'Data - P&amp;L'!$C$54</f>
        <v>0</v>
      </c>
      <c r="H498" s="255">
        <f>(H334+H347)*'Data - P&amp;L'!$C$8*'Data - P&amp;L'!$C$54</f>
        <v>0.8925</v>
      </c>
      <c r="I498" s="255">
        <f>(I334+I346)*'Data - P&amp;L'!$C$8*'Data - P&amp;L'!$C$54</f>
        <v>0</v>
      </c>
      <c r="J498" s="255">
        <f>(J334+J347)*'Data - P&amp;L'!$C$8*'Data - P&amp;L'!$C$54</f>
        <v>0</v>
      </c>
      <c r="K498" s="255">
        <f>(K334+K347)*'Data - P&amp;L'!$C$8*'Data - P&amp;L'!$C$54</f>
        <v>0</v>
      </c>
      <c r="L498" s="255">
        <f>(L334+L347)*'Data - P&amp;L'!$C$8*'Data - P&amp;L'!$C$54</f>
        <v>0</v>
      </c>
      <c r="M498" s="255">
        <f>(M334+M347)*'Data - P&amp;L'!$C$8*'Data - P&amp;L'!$C$54</f>
        <v>0.8925</v>
      </c>
      <c r="N498" s="255">
        <f>(N334+N347)*'Data - P&amp;L'!$C$8*'Data - P&amp;L'!$C$54</f>
        <v>0.2975</v>
      </c>
      <c r="O498" s="255">
        <f>(O334+O347)*'Data - P&amp;L'!$C$8*'Data - P&amp;L'!$C$54</f>
        <v>0.2975</v>
      </c>
      <c r="P498" s="255">
        <f>(P334+P347)*'Data - P&amp;L'!$C$8*'Data - P&amp;L'!$C$54</f>
        <v>0</v>
      </c>
      <c r="Q498" s="255">
        <f>(Q334+Q347)*'Data - P&amp;L'!$C$8*'Data - P&amp;L'!$C$54</f>
        <v>0</v>
      </c>
      <c r="R498" s="255">
        <f>(R334+R347)*'Data - P&amp;L'!$C$8*'Data - P&amp;L'!$C$54</f>
        <v>0</v>
      </c>
      <c r="S498" s="255">
        <f>(S334+S347)*'Data - P&amp;L'!$C$8*'Data - P&amp;L'!$C$54</f>
        <v>0.2975</v>
      </c>
      <c r="T498" s="255">
        <f>(T334+T347)*'Data - P&amp;L'!$C$8*'Data - P&amp;L'!$C$54</f>
        <v>0</v>
      </c>
      <c r="U498" s="255">
        <f>(U334+U347)*'Data - P&amp;L'!$C$8*'Data - P&amp;L'!$C$54</f>
        <v>0.2975</v>
      </c>
      <c r="V498" s="255">
        <f>(V334+V347)*'Data - P&amp;L'!$C$8*'Data - P&amp;L'!$C$54</f>
        <v>0</v>
      </c>
      <c r="W498" s="255">
        <f>(W334+W347)*'Data - P&amp;L'!$C$8*'Data - P&amp;L'!$C$54</f>
        <v>0</v>
      </c>
      <c r="X498" s="255">
        <f>(X334+X347)*'Data - P&amp;L'!$C$8*'Data - P&amp;L'!$C$54</f>
        <v>0</v>
      </c>
      <c r="Y498" s="255">
        <f>(Y334+Y347)*'Data - P&amp;L'!$C$8*'Data - P&amp;L'!$C$54</f>
        <v>0</v>
      </c>
      <c r="Z498" s="255">
        <f>(Z334+Z347)*'Data - P&amp;L'!$C$8*'Data - P&amp;L'!$C$54</f>
        <v>0</v>
      </c>
      <c r="AA498" s="255">
        <f>(AA334+AA347)*'Data - P&amp;L'!$C$8*'Data - P&amp;L'!$C$54</f>
        <v>0.2975</v>
      </c>
      <c r="AB498" s="255">
        <f>(AB334+AB347)*'Data - P&amp;L'!$C$8*'Data - P&amp;L'!$C$54</f>
        <v>0.595</v>
      </c>
      <c r="AC498" s="255">
        <f>(AC334+AC347)*'Data - P&amp;L'!$C$8*'Data - P&amp;L'!$C$54</f>
        <v>0</v>
      </c>
      <c r="AD498" s="255">
        <f>(AD334+AD347)*'Data - P&amp;L'!$C$8*'Data - P&amp;L'!$C$54</f>
        <v>0</v>
      </c>
      <c r="AE498" s="255">
        <f>(AE334+AE347)*'Data - P&amp;L'!$C$8*'Data - P&amp;L'!$C$54</f>
        <v>0</v>
      </c>
      <c r="AF498" s="255">
        <f>(AF334+AF347)*'Data - P&amp;L'!$C$8*'Data - P&amp;L'!$C$54</f>
        <v>0</v>
      </c>
      <c r="AG498" s="95">
        <f t="shared" si="141"/>
        <v>5.0575</v>
      </c>
    </row>
    <row r="499" outlineLevel="1">
      <c r="A499" s="151" t="s">
        <v>424</v>
      </c>
      <c r="B499" s="255">
        <f>(B335+B336+B348+B349)*'Data - P&amp;L'!$C$9*'Data - P&amp;L'!$C$54</f>
        <v>0</v>
      </c>
      <c r="C499" s="255">
        <f>(C335+C336+C348+C349)*'Data - P&amp;L'!$C$9*'Data - P&amp;L'!$C$54</f>
        <v>0</v>
      </c>
      <c r="D499" s="255">
        <f>(D335+D336+D348+D349)*'Data - P&amp;L'!$C$9*'Data - P&amp;L'!$C$54</f>
        <v>1.665</v>
      </c>
      <c r="E499" s="255">
        <f>(E335+E336+E348+E349)*'Data - P&amp;L'!$C$9*'Data - P&amp;L'!$C$54</f>
        <v>3.33</v>
      </c>
      <c r="F499" s="255">
        <f>(F335+F336+F348+F349)*'Data - P&amp;L'!$C$9*'Data - P&amp;L'!$C$54</f>
        <v>0</v>
      </c>
      <c r="G499" s="255">
        <f>(G335+G336+G348+G349)*'Data - P&amp;L'!$C$9*'Data - P&amp;L'!$C$54</f>
        <v>0</v>
      </c>
      <c r="H499" s="255">
        <f>(H335+H336+H348+H349)*'Data - P&amp;L'!$C$9*'Data - P&amp;L'!$C$54</f>
        <v>4.995</v>
      </c>
      <c r="I499" s="255">
        <f>(I335+I336+I348+I349)*'Data - P&amp;L'!$C$9*'Data - P&amp;L'!$C$54</f>
        <v>0</v>
      </c>
      <c r="J499" s="255">
        <f>(J335+J336+J348+J349)*'Data - P&amp;L'!$C$9*'Data - P&amp;L'!$C$54</f>
        <v>0</v>
      </c>
      <c r="K499" s="255">
        <f>(K335+K336+K348+K349)*'Data - P&amp;L'!$C$9*'Data - P&amp;L'!$C$54</f>
        <v>0</v>
      </c>
      <c r="L499" s="255">
        <f>(L335+L336+L348+L349)*'Data - P&amp;L'!$C$9*'Data - P&amp;L'!$C$54</f>
        <v>0</v>
      </c>
      <c r="M499" s="255">
        <f>(M335+M336+M348+M349)*'Data - P&amp;L'!$C$9*'Data - P&amp;L'!$C$54</f>
        <v>3.33</v>
      </c>
      <c r="N499" s="255">
        <f>(N335+N336+N348+N349)*'Data - P&amp;L'!$C$9*'Data - P&amp;L'!$C$54</f>
        <v>0</v>
      </c>
      <c r="O499" s="255">
        <f>(O335+O336+O348+O349)*'Data - P&amp;L'!$C$9*'Data - P&amp;L'!$C$54</f>
        <v>1.665</v>
      </c>
      <c r="P499" s="255">
        <f>(P335+P336+P348+P349)*'Data - P&amp;L'!$C$9*'Data - P&amp;L'!$C$54</f>
        <v>0</v>
      </c>
      <c r="Q499" s="255">
        <f>(Q335+Q336+Q348+Q349)*'Data - P&amp;L'!$C$9*'Data - P&amp;L'!$C$54</f>
        <v>1.665</v>
      </c>
      <c r="R499" s="255">
        <f>(R335+R336+R348+R349)*'Data - P&amp;L'!$C$9*'Data - P&amp;L'!$C$54</f>
        <v>0</v>
      </c>
      <c r="S499" s="255">
        <f>(S335+S336+S348+S349)*'Data - P&amp;L'!$C$9*'Data - P&amp;L'!$C$54</f>
        <v>3.33</v>
      </c>
      <c r="T499" s="255">
        <f>(T335+T336+T348+T349)*'Data - P&amp;L'!$C$9*'Data - P&amp;L'!$C$54</f>
        <v>0</v>
      </c>
      <c r="U499" s="255">
        <f>(U335+U336+U348+U349)*'Data - P&amp;L'!$C$9*'Data - P&amp;L'!$C$54</f>
        <v>0</v>
      </c>
      <c r="V499" s="255">
        <f>(V335+V336+V348+V349)*'Data - P&amp;L'!$C$9*'Data - P&amp;L'!$C$54</f>
        <v>0</v>
      </c>
      <c r="W499" s="255">
        <f>(W335+W336+W348+W349)*'Data - P&amp;L'!$C$9*'Data - P&amp;L'!$C$54</f>
        <v>0</v>
      </c>
      <c r="X499" s="255">
        <f>(X335+X336+X348+X349)*'Data - P&amp;L'!$C$9*'Data - P&amp;L'!$C$54</f>
        <v>0</v>
      </c>
      <c r="Y499" s="255">
        <f>(Y335+Y336+Y348+Y349)*'Data - P&amp;L'!$C$9*'Data - P&amp;L'!$C$54</f>
        <v>0</v>
      </c>
      <c r="Z499" s="255">
        <f>(Z335+Z336+Z348+Z349)*'Data - P&amp;L'!$C$9*'Data - P&amp;L'!$C$54</f>
        <v>0</v>
      </c>
      <c r="AA499" s="255">
        <f>(AA335+AA336+AA348+AA349)*'Data - P&amp;L'!$C$9*'Data - P&amp;L'!$C$54</f>
        <v>1.665</v>
      </c>
      <c r="AB499" s="255">
        <f>(AB335+AB336+AB348+AB349)*'Data - P&amp;L'!$C$9*'Data - P&amp;L'!$C$54</f>
        <v>0</v>
      </c>
      <c r="AC499" s="255">
        <f>(AC335+AC336+AC348+AC349)*'Data - P&amp;L'!$C$9*'Data - P&amp;L'!$C$54</f>
        <v>0</v>
      </c>
      <c r="AD499" s="255">
        <f>(AD335+AD336+AD348+AD349)*'Data - P&amp;L'!$C$9*'Data - P&amp;L'!$C$54</f>
        <v>0</v>
      </c>
      <c r="AE499" s="255">
        <f>(AE335+AE336+AE348+AE349)*'Data - P&amp;L'!$C$9*'Data - P&amp;L'!$C$54</f>
        <v>0</v>
      </c>
      <c r="AF499" s="255">
        <f>(AF335+AF336+AF348+AF349)*'Data - P&amp;L'!$C$9*'Data - P&amp;L'!$C$54</f>
        <v>0</v>
      </c>
      <c r="AG499" s="95">
        <f t="shared" si="141"/>
        <v>21.645</v>
      </c>
    </row>
    <row r="500" outlineLevel="1">
      <c r="A500" s="151" t="s">
        <v>425</v>
      </c>
      <c r="B500" s="255">
        <f>(B337+B338+B350+B351)*'Data - P&amp;L'!$C$5*'Data - P&amp;L'!$C$54</f>
        <v>0</v>
      </c>
      <c r="C500" s="255">
        <f>(C337+C338+C350+C351)*'Data - P&amp;L'!$C$5*'Data - P&amp;L'!$C$54</f>
        <v>0</v>
      </c>
      <c r="D500" s="255">
        <f>(D337+D338+D350+D351)*'Data - P&amp;L'!$C$5*'Data - P&amp;L'!$C$54</f>
        <v>0</v>
      </c>
      <c r="E500" s="255">
        <f>(E337+E338+E350+E351)*'Data - P&amp;L'!$C$5*'Data - P&amp;L'!$C$54</f>
        <v>3.36</v>
      </c>
      <c r="F500" s="255">
        <f>(F337+F338+F350+F351)*'Data - P&amp;L'!$C$5*'Data - P&amp;L'!$C$54</f>
        <v>0</v>
      </c>
      <c r="G500" s="255">
        <f>(G337+G338+G350+G351)*'Data - P&amp;L'!$C$5*'Data - P&amp;L'!$C$54</f>
        <v>6.72</v>
      </c>
      <c r="H500" s="255">
        <f>(H337+H338+H350+H351)*'Data - P&amp;L'!$C$5*'Data - P&amp;L'!$C$54</f>
        <v>0</v>
      </c>
      <c r="I500" s="255">
        <f>(I337+I338+I350+I351)*'Data - P&amp;L'!$C$5*'Data - P&amp;L'!$C$54</f>
        <v>0</v>
      </c>
      <c r="J500" s="255">
        <f>(J337+J338+J350+J351)*'Data - P&amp;L'!$C$5*'Data - P&amp;L'!$C$54</f>
        <v>0</v>
      </c>
      <c r="K500" s="255">
        <f>(K337+K338+K350+K351)*'Data - P&amp;L'!$C$5*'Data - P&amp;L'!$C$54</f>
        <v>0</v>
      </c>
      <c r="L500" s="255">
        <f>(L337+L338+L350+L351)*'Data - P&amp;L'!$C$5*'Data - P&amp;L'!$C$54</f>
        <v>0</v>
      </c>
      <c r="M500" s="255">
        <f>(M337+M338+M350+M351)*'Data - P&amp;L'!$C$5*'Data - P&amp;L'!$C$54</f>
        <v>0</v>
      </c>
      <c r="N500" s="255">
        <f>(N337+N338+N350+N351)*'Data - P&amp;L'!$C$5*'Data - P&amp;L'!$C$54</f>
        <v>0</v>
      </c>
      <c r="O500" s="255">
        <f>(O337+O338+O350+O351)*'Data - P&amp;L'!$C$5*'Data - P&amp;L'!$C$54</f>
        <v>3.36</v>
      </c>
      <c r="P500" s="255">
        <f>(P337+P338+P350+P351)*'Data - P&amp;L'!$C$5*'Data - P&amp;L'!$C$54</f>
        <v>0</v>
      </c>
      <c r="Q500" s="255">
        <f>(Q337+Q338+Q350+Q351)*'Data - P&amp;L'!$C$5*'Data - P&amp;L'!$C$54</f>
        <v>0</v>
      </c>
      <c r="R500" s="255">
        <f>(R337+R338+R350+R351)*'Data - P&amp;L'!$C$5*'Data - P&amp;L'!$C$54</f>
        <v>0</v>
      </c>
      <c r="S500" s="255">
        <f>(S337+S338+S350+S351)*'Data - P&amp;L'!$C$5*'Data - P&amp;L'!$C$54</f>
        <v>0</v>
      </c>
      <c r="T500" s="255">
        <f>(T337+T338+T350+T351)*'Data - P&amp;L'!$C$5*'Data - P&amp;L'!$C$54</f>
        <v>0</v>
      </c>
      <c r="U500" s="255">
        <f>(U337+U338+U350+U351)*'Data - P&amp;L'!$C$5*'Data - P&amp;L'!$C$54</f>
        <v>0</v>
      </c>
      <c r="V500" s="255">
        <f>(V337+V338+V350+V351)*'Data - P&amp;L'!$C$5*'Data - P&amp;L'!$C$54</f>
        <v>0</v>
      </c>
      <c r="W500" s="255">
        <f>(W337+W338+W350+W351)*'Data - P&amp;L'!$C$5*'Data - P&amp;L'!$C$54</f>
        <v>0</v>
      </c>
      <c r="X500" s="255">
        <f>(X337+X338+X350+X351)*'Data - P&amp;L'!$C$5*'Data - P&amp;L'!$C$54</f>
        <v>0</v>
      </c>
      <c r="Y500" s="255">
        <f>(Y337+Y338+Y350+Y351)*'Data - P&amp;L'!$C$5*'Data - P&amp;L'!$C$54</f>
        <v>0</v>
      </c>
      <c r="Z500" s="255">
        <f>(Z337+Z338+Z350+Z351)*'Data - P&amp;L'!$C$5*'Data - P&amp;L'!$C$54</f>
        <v>0</v>
      </c>
      <c r="AA500" s="255">
        <f>(AA337+AA338+AA350+AA351)*'Data - P&amp;L'!$C$5*'Data - P&amp;L'!$C$54</f>
        <v>0</v>
      </c>
      <c r="AB500" s="255">
        <f>(AB337+AB338+AB350+AB351)*'Data - P&amp;L'!$C$5*'Data - P&amp;L'!$C$54</f>
        <v>3.36</v>
      </c>
      <c r="AC500" s="255">
        <f>(AC337+AC338+AC350+AC351)*'Data - P&amp;L'!$C$5*'Data - P&amp;L'!$C$54</f>
        <v>10.08</v>
      </c>
      <c r="AD500" s="255">
        <f>(AD337+AD338+AD350+AD351)*'Data - P&amp;L'!$C$5*'Data - P&amp;L'!$C$54</f>
        <v>0</v>
      </c>
      <c r="AE500" s="255">
        <f>(AE337+AE338+AE350+AE351)*'Data - P&amp;L'!$C$5*'Data - P&amp;L'!$C$54</f>
        <v>0</v>
      </c>
      <c r="AF500" s="255">
        <f>(AF337+AF338+AF350+AF351)*'Data - P&amp;L'!$C$5*'Data - P&amp;L'!$C$54</f>
        <v>0</v>
      </c>
      <c r="AG500" s="95">
        <f t="shared" si="141"/>
        <v>26.88</v>
      </c>
    </row>
    <row r="501" outlineLevel="1">
      <c r="A501" s="151" t="s">
        <v>426</v>
      </c>
      <c r="B501" s="255">
        <f>(B339+B340+B352+B353)*'Data - P&amp;L'!$C$10*'Data - P&amp;L'!$C$54</f>
        <v>0</v>
      </c>
      <c r="C501" s="255">
        <f>(C339+C340+C352+C353)*'Data - P&amp;L'!$C$10*'Data - P&amp;L'!$C$54</f>
        <v>0</v>
      </c>
      <c r="D501" s="255">
        <f>(D339+D340+D352+D353)*'Data - P&amp;L'!$C$10*'Data - P&amp;L'!$C$54</f>
        <v>0</v>
      </c>
      <c r="E501" s="255">
        <f>(E339+E340+E352+E353)*'Data - P&amp;L'!$C$10*'Data - P&amp;L'!$C$54</f>
        <v>4.5</v>
      </c>
      <c r="F501" s="255">
        <f>(F339+F340+F352+F353)*'Data - P&amp;L'!$C$10*'Data - P&amp;L'!$C$54</f>
        <v>1.5</v>
      </c>
      <c r="G501" s="255">
        <f>(G339+G340+G352+G353)*'Data - P&amp;L'!$C$10*'Data - P&amp;L'!$C$54</f>
        <v>0</v>
      </c>
      <c r="H501" s="255">
        <f>(H339+H340+H352+H353)*'Data - P&amp;L'!$C$10*'Data - P&amp;L'!$C$54</f>
        <v>4.5</v>
      </c>
      <c r="I501" s="255">
        <f>(I339+I340+I352+I353)*'Data - P&amp;L'!$C$10*'Data - P&amp;L'!$C$54</f>
        <v>0</v>
      </c>
      <c r="J501" s="255">
        <f>(J339+J340+J352+J353)*'Data - P&amp;L'!$C$10*'Data - P&amp;L'!$C$54</f>
        <v>0</v>
      </c>
      <c r="K501" s="255">
        <f>(K339+K340+K352+K353)*'Data - P&amp;L'!$C$10*'Data - P&amp;L'!$C$54</f>
        <v>0</v>
      </c>
      <c r="L501" s="255">
        <f>(L339+L340+L352+L353)*'Data - P&amp;L'!$C$10*'Data - P&amp;L'!$C$54</f>
        <v>0</v>
      </c>
      <c r="M501" s="255">
        <f>(M339+M340+M352+M353)*'Data - P&amp;L'!$C$10*'Data - P&amp;L'!$C$54</f>
        <v>7.5</v>
      </c>
      <c r="N501" s="255">
        <f>(N339+N340+N352+N353)*'Data - P&amp;L'!$C$10*'Data - P&amp;L'!$C$54</f>
        <v>0</v>
      </c>
      <c r="O501" s="255">
        <f>(O339+O340+O352+O353)*'Data - P&amp;L'!$C$10*'Data - P&amp;L'!$C$54</f>
        <v>4.5</v>
      </c>
      <c r="P501" s="255">
        <f>(P339+P340+P352+P353)*'Data - P&amp;L'!$C$10*'Data - P&amp;L'!$C$54</f>
        <v>3</v>
      </c>
      <c r="Q501" s="255">
        <f>(Q339+Q340+Q352+Q353)*'Data - P&amp;L'!$C$10*'Data - P&amp;L'!$C$54</f>
        <v>0</v>
      </c>
      <c r="R501" s="255">
        <f>(R339+R340+R352+R353)*'Data - P&amp;L'!$C$10*'Data - P&amp;L'!$C$54</f>
        <v>0</v>
      </c>
      <c r="S501" s="255">
        <f>(S339+S340+S352+S353)*'Data - P&amp;L'!$C$10*'Data - P&amp;L'!$C$54</f>
        <v>1.5</v>
      </c>
      <c r="T501" s="255">
        <f>(T339+T340+T352+T353)*'Data - P&amp;L'!$C$10*'Data - P&amp;L'!$C$54</f>
        <v>0</v>
      </c>
      <c r="U501" s="255">
        <f>(U339+U340+U352+U353)*'Data - P&amp;L'!$C$10*'Data - P&amp;L'!$C$54</f>
        <v>1.5</v>
      </c>
      <c r="V501" s="255">
        <f>(V339+V340+V352+V353)*'Data - P&amp;L'!$C$10*'Data - P&amp;L'!$C$54</f>
        <v>0</v>
      </c>
      <c r="W501" s="255">
        <f>(W339+W340+W352+W353)*'Data - P&amp;L'!$C$10*'Data - P&amp;L'!$C$54</f>
        <v>0</v>
      </c>
      <c r="X501" s="255">
        <f>(X339+X340+X352+X353)*'Data - P&amp;L'!$C$10*'Data - P&amp;L'!$C$54</f>
        <v>0</v>
      </c>
      <c r="Y501" s="255">
        <f>(Y339+Y340+Y352+Y353)*'Data - P&amp;L'!$C$10*'Data - P&amp;L'!$C$54</f>
        <v>0</v>
      </c>
      <c r="Z501" s="255">
        <f>(Z339+Z340+Z352+Z353)*'Data - P&amp;L'!$C$10*'Data - P&amp;L'!$C$54</f>
        <v>0</v>
      </c>
      <c r="AA501" s="255">
        <f>(AA339+AA340+AA352+AA353)*'Data - P&amp;L'!$C$10*'Data - P&amp;L'!$C$54</f>
        <v>1.5</v>
      </c>
      <c r="AB501" s="255">
        <f>(AB339+AB340+AB352+AB353)*'Data - P&amp;L'!$C$10*'Data - P&amp;L'!$C$54</f>
        <v>3</v>
      </c>
      <c r="AC501" s="255">
        <f>(AC339+AC340+AC352+AC353)*'Data - P&amp;L'!$C$10*'Data - P&amp;L'!$C$54</f>
        <v>3</v>
      </c>
      <c r="AD501" s="255">
        <f>(AD339+AD340+AD352+AD353)*'Data - P&amp;L'!$C$10*'Data - P&amp;L'!$C$54</f>
        <v>0</v>
      </c>
      <c r="AE501" s="255">
        <f>(AE339+AE340+AE352+AE353)*'Data - P&amp;L'!$C$10*'Data - P&amp;L'!$C$54</f>
        <v>0</v>
      </c>
      <c r="AF501" s="255">
        <f>(AF339+AF340+AF352+AF353)*'Data - P&amp;L'!$C$10*'Data - P&amp;L'!$C$54</f>
        <v>0</v>
      </c>
      <c r="AG501" s="95">
        <f t="shared" si="141"/>
        <v>36</v>
      </c>
    </row>
    <row r="502" outlineLevel="1">
      <c r="A502" s="151" t="s">
        <v>399</v>
      </c>
      <c r="B502" s="255">
        <f>(B341+B354)*'Data - P&amp;L'!$C$17*'Data - P&amp;L'!$C$54</f>
        <v>0</v>
      </c>
      <c r="C502" s="255">
        <f>(C341+C354)*'Data - P&amp;L'!$C$17*'Data - P&amp;L'!$C$54</f>
        <v>0</v>
      </c>
      <c r="D502" s="255">
        <f>(D341+D354)*'Data - P&amp;L'!$C$17*'Data - P&amp;L'!$C$54</f>
        <v>0</v>
      </c>
      <c r="E502" s="255">
        <f>(E341+E354)*'Data - P&amp;L'!$C$17*'Data - P&amp;L'!$C$54</f>
        <v>0</v>
      </c>
      <c r="F502" s="255">
        <f>(F341+F354)*'Data - P&amp;L'!$C$17*'Data - P&amp;L'!$C$54</f>
        <v>0</v>
      </c>
      <c r="G502" s="255">
        <f>(G341+G354)*'Data - P&amp;L'!$C$17*'Data - P&amp;L'!$C$54</f>
        <v>0</v>
      </c>
      <c r="H502" s="255">
        <f>(H341+H354)*'Data - P&amp;L'!$C$17*'Data - P&amp;L'!$C$54</f>
        <v>0</v>
      </c>
      <c r="I502" s="255">
        <f>(I341+I354)*'Data - P&amp;L'!$C$17*'Data - P&amp;L'!$C$54</f>
        <v>0</v>
      </c>
      <c r="J502" s="255">
        <f>(J341+J354)*'Data - P&amp;L'!$C$17*'Data - P&amp;L'!$C$54</f>
        <v>0</v>
      </c>
      <c r="K502" s="255">
        <f>(K341+K354)*'Data - P&amp;L'!$C$17*'Data - P&amp;L'!$C$54</f>
        <v>0</v>
      </c>
      <c r="L502" s="255">
        <f>(L341+L354)*'Data - P&amp;L'!$C$17*'Data - P&amp;L'!$C$54</f>
        <v>0</v>
      </c>
      <c r="M502" s="255">
        <f>(M341+M354)*'Data - P&amp;L'!$C$17*'Data - P&amp;L'!$C$54</f>
        <v>0</v>
      </c>
      <c r="N502" s="255">
        <f>(N341+N354)*'Data - P&amp;L'!$C$17*'Data - P&amp;L'!$C$54</f>
        <v>0</v>
      </c>
      <c r="O502" s="255">
        <f>(O341+O354)*'Data - P&amp;L'!$C$17*'Data - P&amp;L'!$C$54</f>
        <v>0</v>
      </c>
      <c r="P502" s="255">
        <f>(P341+P354)*'Data - P&amp;L'!$C$17*'Data - P&amp;L'!$C$54</f>
        <v>0</v>
      </c>
      <c r="Q502" s="255">
        <f>(Q341+Q354)*'Data - P&amp;L'!$C$17*'Data - P&amp;L'!$C$54</f>
        <v>0</v>
      </c>
      <c r="R502" s="255">
        <f>(R341+R354)*'Data - P&amp;L'!$C$17*'Data - P&amp;L'!$C$54</f>
        <v>0</v>
      </c>
      <c r="S502" s="255">
        <f>(S341+S354)*'Data - P&amp;L'!$C$17*'Data - P&amp;L'!$C$54</f>
        <v>0</v>
      </c>
      <c r="T502" s="255">
        <f>(T341+T354)*'Data - P&amp;L'!$C$17*'Data - P&amp;L'!$C$54</f>
        <v>0</v>
      </c>
      <c r="U502" s="255">
        <f>(U341+U354)*'Data - P&amp;L'!$C$17*'Data - P&amp;L'!$C$54</f>
        <v>0</v>
      </c>
      <c r="V502" s="255">
        <f>(V341+V354)*'Data - P&amp;L'!$C$17*'Data - P&amp;L'!$C$54</f>
        <v>0</v>
      </c>
      <c r="W502" s="255">
        <f>(W341+W354)*'Data - P&amp;L'!$C$17*'Data - P&amp;L'!$C$54</f>
        <v>0</v>
      </c>
      <c r="X502" s="255">
        <f>(X341+X354)*'Data - P&amp;L'!$C$17*'Data - P&amp;L'!$C$54</f>
        <v>0</v>
      </c>
      <c r="Y502" s="255">
        <f>(Y341+Y354)*'Data - P&amp;L'!$C$17*'Data - P&amp;L'!$C$54</f>
        <v>0</v>
      </c>
      <c r="Z502" s="255">
        <f>(Z341+Z354)*'Data - P&amp;L'!$C$17*'Data - P&amp;L'!$C$54</f>
        <v>0</v>
      </c>
      <c r="AA502" s="255">
        <f>(AA341+AA354)*'Data - P&amp;L'!$C$17*'Data - P&amp;L'!$C$54</f>
        <v>3.4325</v>
      </c>
      <c r="AB502" s="255">
        <f>(AB341+AB354)*'Data - P&amp;L'!$C$17*'Data - P&amp;L'!$C$54</f>
        <v>0</v>
      </c>
      <c r="AC502" s="255">
        <f>(AC341+AC354)*'Data - P&amp;L'!$C$17*'Data - P&amp;L'!$C$54</f>
        <v>0</v>
      </c>
      <c r="AD502" s="255">
        <f>(AD341+AD354)*'Data - P&amp;L'!$C$17*'Data - P&amp;L'!$C$54</f>
        <v>0</v>
      </c>
      <c r="AE502" s="255">
        <f>(AE341+AE354)*'Data - P&amp;L'!$C$17*'Data - P&amp;L'!$C$54</f>
        <v>0</v>
      </c>
      <c r="AF502" s="255">
        <f>(AF341+AF354)*'Data - P&amp;L'!$C$17*'Data - P&amp;L'!$C$54</f>
        <v>0</v>
      </c>
      <c r="AG502" s="95">
        <f t="shared" si="141"/>
        <v>3.4325</v>
      </c>
    </row>
    <row r="503" outlineLevel="1">
      <c r="A503" s="151" t="s">
        <v>400</v>
      </c>
      <c r="B503" s="255">
        <f>(B342+B355)*'Data - P&amp;L'!$C$18*'Data - P&amp;L'!$C$54</f>
        <v>0</v>
      </c>
      <c r="C503" s="255">
        <f>(C342+C355)*'Data - P&amp;L'!$C$18*'Data - P&amp;L'!$C$54</f>
        <v>0</v>
      </c>
      <c r="D503" s="255">
        <f>(D342+D355)*'Data - P&amp;L'!$C$18*'Data - P&amp;L'!$C$54</f>
        <v>0</v>
      </c>
      <c r="E503" s="255">
        <f>(E342+E355)*'Data - P&amp;L'!$C$18*'Data - P&amp;L'!$C$54</f>
        <v>0</v>
      </c>
      <c r="F503" s="255">
        <f>(F342+F355)*'Data - P&amp;L'!$C$18*'Data - P&amp;L'!$C$54</f>
        <v>0</v>
      </c>
      <c r="G503" s="255">
        <f>(G342+G355)*'Data - P&amp;L'!$C$18*'Data - P&amp;L'!$C$54</f>
        <v>0</v>
      </c>
      <c r="H503" s="255">
        <f>(H342+H355)*'Data - P&amp;L'!$C$18*'Data - P&amp;L'!$C$54</f>
        <v>0</v>
      </c>
      <c r="I503" s="255">
        <f>(I342+I355)*'Data - P&amp;L'!$C$18*'Data - P&amp;L'!$C$54</f>
        <v>6.67</v>
      </c>
      <c r="J503" s="255">
        <f>(J342+J355)*'Data - P&amp;L'!$C$18*'Data - P&amp;L'!$C$54</f>
        <v>0</v>
      </c>
      <c r="K503" s="255">
        <f>(K342+K355)*'Data - P&amp;L'!$C$18*'Data - P&amp;L'!$C$54</f>
        <v>0</v>
      </c>
      <c r="L503" s="255">
        <f>(L342+L355)*'Data - P&amp;L'!$C$18*'Data - P&amp;L'!$C$54</f>
        <v>0</v>
      </c>
      <c r="M503" s="255">
        <f>(M342+M355)*'Data - P&amp;L'!$C$18*'Data - P&amp;L'!$C$54</f>
        <v>0</v>
      </c>
      <c r="N503" s="255">
        <f>(N342+N355)*'Data - P&amp;L'!$C$18*'Data - P&amp;L'!$C$54</f>
        <v>0</v>
      </c>
      <c r="O503" s="255">
        <f>(O342+O355)*'Data - P&amp;L'!$C$18*'Data - P&amp;L'!$C$54</f>
        <v>0</v>
      </c>
      <c r="P503" s="255">
        <f>(P342+P355)*'Data - P&amp;L'!$C$18*'Data - P&amp;L'!$C$54</f>
        <v>0</v>
      </c>
      <c r="Q503" s="255">
        <f>(Q342+Q355)*'Data - P&amp;L'!$C$18*'Data - P&amp;L'!$C$54</f>
        <v>0</v>
      </c>
      <c r="R503" s="255">
        <f>(R342+R355)*'Data - P&amp;L'!$C$18*'Data - P&amp;L'!$C$54</f>
        <v>0</v>
      </c>
      <c r="S503" s="255">
        <f>(S342+S355)*'Data - P&amp;L'!$C$18*'Data - P&amp;L'!$C$54</f>
        <v>0</v>
      </c>
      <c r="T503" s="255">
        <f>(T342+T355)*'Data - P&amp;L'!$C$18*'Data - P&amp;L'!$C$54</f>
        <v>0</v>
      </c>
      <c r="U503" s="255">
        <f>(U342+U355)*'Data - P&amp;L'!$C$18*'Data - P&amp;L'!$C$54</f>
        <v>0</v>
      </c>
      <c r="V503" s="255">
        <f>(V342+V355)*'Data - P&amp;L'!$C$18*'Data - P&amp;L'!$C$54</f>
        <v>0</v>
      </c>
      <c r="W503" s="255">
        <f>(W342+W355)*'Data - P&amp;L'!$C$18*'Data - P&amp;L'!$C$54</f>
        <v>0</v>
      </c>
      <c r="X503" s="255">
        <f>(X342+X355)*'Data - P&amp;L'!$C$18*'Data - P&amp;L'!$C$54</f>
        <v>0</v>
      </c>
      <c r="Y503" s="255">
        <f>(Y342+Y355)*'Data - P&amp;L'!$C$18*'Data - P&amp;L'!$C$54</f>
        <v>0</v>
      </c>
      <c r="Z503" s="255">
        <f>(Z342+Z355)*'Data - P&amp;L'!$C$18*'Data - P&amp;L'!$C$54</f>
        <v>0</v>
      </c>
      <c r="AA503" s="255">
        <f>(AA342+AA355)*'Data - P&amp;L'!$C$18*'Data - P&amp;L'!$C$54</f>
        <v>0</v>
      </c>
      <c r="AB503" s="255">
        <f>(AB342+AB355)*'Data - P&amp;L'!$C$18*'Data - P&amp;L'!$C$54</f>
        <v>0</v>
      </c>
      <c r="AC503" s="255">
        <f>(AC342+AC355)*'Data - P&amp;L'!$C$18*'Data - P&amp;L'!$C$54</f>
        <v>0</v>
      </c>
      <c r="AD503" s="255">
        <f>(AD342+AD355)*'Data - P&amp;L'!$C$18*'Data - P&amp;L'!$C$54</f>
        <v>0</v>
      </c>
      <c r="AE503" s="255">
        <f>(AE342+AE355)*'Data - P&amp;L'!$C$18*'Data - P&amp;L'!$C$54</f>
        <v>0</v>
      </c>
      <c r="AF503" s="255">
        <f>(AF342+AF355)*'Data - P&amp;L'!$C$18*'Data - P&amp;L'!$C$54</f>
        <v>0</v>
      </c>
      <c r="AG503" s="95">
        <f t="shared" si="141"/>
        <v>6.67</v>
      </c>
    </row>
    <row r="504" outlineLevel="1">
      <c r="A504" s="271" t="s">
        <v>427</v>
      </c>
      <c r="B504" s="255">
        <f>((B329*'Data - P&amp;L'!$C$38)+(B330*'Data - P&amp;L'!$C$39))*'Data - P&amp;L'!$C$54</f>
        <v>5.97</v>
      </c>
      <c r="C504" s="255">
        <f>((C329*'Data - P&amp;L'!$C$38)+(C330*'Data - P&amp;L'!$C$39))*'Data - P&amp;L'!$C$54</f>
        <v>0</v>
      </c>
      <c r="D504" s="255">
        <f>((D329*'Data - P&amp;L'!$C$38)+(D330*'Data - P&amp;L'!$C$39))*'Data - P&amp;L'!$C$54</f>
        <v>8.955</v>
      </c>
      <c r="E504" s="255">
        <f>((E329*'Data - P&amp;L'!$C$38)+(E330*'Data - P&amp;L'!$C$39))*'Data - P&amp;L'!$C$54</f>
        <v>35.82</v>
      </c>
      <c r="F504" s="255">
        <f>((F329*'Data - P&amp;L'!$C$38)+(F330*'Data - P&amp;L'!$C$39))*'Data - P&amp;L'!$C$54</f>
        <v>2.985</v>
      </c>
      <c r="G504" s="255">
        <f>((G329*'Data - P&amp;L'!$C$38)+(G330*'Data - P&amp;L'!$C$39))*'Data - P&amp;L'!$C$54</f>
        <v>17.91</v>
      </c>
      <c r="H504" s="255">
        <f>((H329*'Data - P&amp;L'!$C$38)+(H330*'Data - P&amp;L'!$C$39))*'Data - P&amp;L'!$C$54</f>
        <v>53.73</v>
      </c>
      <c r="I504" s="255">
        <f>((I329*'Data - P&amp;L'!$C$38)+(I330*'Data - P&amp;L'!$C$39))*'Data - P&amp;L'!$C$54</f>
        <v>8.955</v>
      </c>
      <c r="J504" s="255">
        <f>((J329*'Data - P&amp;L'!$C$38)+(J330*'Data - P&amp;L'!$C$39))*'Data - P&amp;L'!$C$54</f>
        <v>0</v>
      </c>
      <c r="K504" s="255">
        <f>((K329*'Data - P&amp;L'!$C$38)+(K330*'Data - P&amp;L'!$C$39))*'Data - P&amp;L'!$C$54</f>
        <v>0</v>
      </c>
      <c r="L504" s="255">
        <f>((L329*'Data - P&amp;L'!$C$38)+(L330*'Data - P&amp;L'!$C$39))*'Data - P&amp;L'!$C$54</f>
        <v>0</v>
      </c>
      <c r="M504" s="255">
        <f>((M329*'Data - P&amp;L'!$C$38)+(M330*'Data - P&amp;L'!$C$39))*'Data - P&amp;L'!$C$54</f>
        <v>50.745</v>
      </c>
      <c r="N504" s="255">
        <f>((N329*'Data - P&amp;L'!$C$38)+(N330*'Data - P&amp;L'!$C$39))*'Data - P&amp;L'!$C$54</f>
        <v>2.985</v>
      </c>
      <c r="O504" s="255">
        <f>((O329*'Data - P&amp;L'!$C$38)+(O330*'Data - P&amp;L'!$C$39))*'Data - P&amp;L'!$C$54</f>
        <v>8.955</v>
      </c>
      <c r="P504" s="255">
        <f>((P329*'Data - P&amp;L'!$C$38)+(P330*'Data - P&amp;L'!$C$39))*'Data - P&amp;L'!$C$54</f>
        <v>17.91</v>
      </c>
      <c r="Q504" s="255">
        <f>((Q329*'Data - P&amp;L'!$C$38)+(Q330*'Data - P&amp;L'!$C$39))*'Data - P&amp;L'!$C$54</f>
        <v>2.985</v>
      </c>
      <c r="R504" s="255">
        <f>((R329*'Data - P&amp;L'!$C$38)+(R330*'Data - P&amp;L'!$C$39))*'Data - P&amp;L'!$C$54</f>
        <v>0</v>
      </c>
      <c r="S504" s="255">
        <f>((S329*'Data - P&amp;L'!$C$38)+(S330*'Data - P&amp;L'!$C$39))*'Data - P&amp;L'!$C$54</f>
        <v>5.97</v>
      </c>
      <c r="T504" s="255">
        <f>((T329*'Data - P&amp;L'!$C$38)+(T330*'Data - P&amp;L'!$C$39))*'Data - P&amp;L'!$C$54</f>
        <v>0</v>
      </c>
      <c r="U504" s="255">
        <f>((U329*'Data - P&amp;L'!$C$38)+(U330*'Data - P&amp;L'!$C$39))*'Data - P&amp;L'!$C$54</f>
        <v>8.955</v>
      </c>
      <c r="V504" s="255">
        <f>((V329*'Data - P&amp;L'!$C$38)+(V330*'Data - P&amp;L'!$C$39))*'Data - P&amp;L'!$C$54</f>
        <v>0</v>
      </c>
      <c r="W504" s="255">
        <f>((W329*'Data - P&amp;L'!$C$38)+(W330*'Data - P&amp;L'!$C$39))*'Data - P&amp;L'!$C$54</f>
        <v>0</v>
      </c>
      <c r="X504" s="255">
        <f>((X329*'Data - P&amp;L'!$C$38)+(X330*'Data - P&amp;L'!$C$39))*'Data - P&amp;L'!$C$54</f>
        <v>0</v>
      </c>
      <c r="Y504" s="255">
        <f>((Y329*'Data - P&amp;L'!$C$38)+(Y330*'Data - P&amp;L'!$C$39))*'Data - P&amp;L'!$C$54</f>
        <v>0</v>
      </c>
      <c r="Z504" s="255">
        <f>((Z329*'Data - P&amp;L'!$C$38)+(Z330*'Data - P&amp;L'!$C$39))*'Data - P&amp;L'!$C$54</f>
        <v>0</v>
      </c>
      <c r="AA504" s="255">
        <f>((AA329*'Data - P&amp;L'!$C$38)+(AA330*'Data - P&amp;L'!$C$39))*'Data - P&amp;L'!$C$54</f>
        <v>2.985</v>
      </c>
      <c r="AB504" s="255">
        <f>((AB329*'Data - P&amp;L'!$C$38)+(AB330*'Data - P&amp;L'!$C$39))*'Data - P&amp;L'!$C$54</f>
        <v>20.895</v>
      </c>
      <c r="AC504" s="255">
        <f>((AC329*'Data - P&amp;L'!$C$38)+(AC330*'Data - P&amp;L'!$C$39))*'Data - P&amp;L'!$C$54</f>
        <v>26.865</v>
      </c>
      <c r="AD504" s="255">
        <f>((AD329*'Data - P&amp;L'!$C$38)+(AD330*'Data - P&amp;L'!$C$39))*'Data - P&amp;L'!$C$54</f>
        <v>0</v>
      </c>
      <c r="AE504" s="255">
        <f>((AE329*'Data - P&amp;L'!$C$38)+(AE330*'Data - P&amp;L'!$C$39))*'Data - P&amp;L'!$C$54</f>
        <v>0</v>
      </c>
      <c r="AF504" s="255">
        <f>((AF329*'Data - P&amp;L'!$C$38)+(AF330*'Data - P&amp;L'!$C$39))*'Data - P&amp;L'!$C$54</f>
        <v>2.985</v>
      </c>
      <c r="AG504" s="95">
        <f t="shared" si="141"/>
        <v>286.56</v>
      </c>
    </row>
    <row r="505" outlineLevel="1">
      <c r="A505" s="271" t="s">
        <v>429</v>
      </c>
      <c r="B505" s="255">
        <f>((B343*'Data - P&amp;L'!$D$38)+(B356*'Data - P&amp;L'!$D$39))*'Data - P&amp;L'!$C$54</f>
        <v>0</v>
      </c>
      <c r="C505" s="255">
        <f>((C343*'Data - P&amp;L'!$D$38)+(C356*'Data - P&amp;L'!$D$39))*'Data - P&amp;L'!$C$54</f>
        <v>0</v>
      </c>
      <c r="D505" s="255">
        <f>((D343*'Data - P&amp;L'!$D$38)+(D356*'Data - P&amp;L'!$D$39))*'Data - P&amp;L'!$C$54</f>
        <v>0.7175</v>
      </c>
      <c r="E505" s="255">
        <f>((E343*'Data - P&amp;L'!$D$38)+(E356*'Data - P&amp;L'!$D$39))*'Data - P&amp;L'!$C$54</f>
        <v>3.94625</v>
      </c>
      <c r="F505" s="255">
        <f>((F343*'Data - P&amp;L'!$D$38)+(F356*'Data - P&amp;L'!$D$39))*'Data - P&amp;L'!$C$54</f>
        <v>0.7175</v>
      </c>
      <c r="G505" s="255">
        <f>((G343*'Data - P&amp;L'!$D$38)+(G356*'Data - P&amp;L'!$D$39))*'Data - P&amp;L'!$C$54</f>
        <v>1.07625</v>
      </c>
      <c r="H505" s="255">
        <f>((H343*'Data - P&amp;L'!$D$38)+(H356*'Data - P&amp;L'!$D$39))*'Data - P&amp;L'!$C$54</f>
        <v>5.02375</v>
      </c>
      <c r="I505" s="255">
        <f>((I343*'Data - P&amp;L'!$D$38)+(I356*'Data - P&amp;L'!$D$39))*'Data - P&amp;L'!$C$54</f>
        <v>1.07625</v>
      </c>
      <c r="J505" s="255">
        <f>((J343*'Data - P&amp;L'!$D$38)+(J356*'Data - P&amp;L'!$D$39))*'Data - P&amp;L'!$C$54</f>
        <v>0</v>
      </c>
      <c r="K505" s="255">
        <f>((K343*'Data - P&amp;L'!$D$38)+(K356*'Data - P&amp;L'!$D$39))*'Data - P&amp;L'!$C$54</f>
        <v>0</v>
      </c>
      <c r="L505" s="255">
        <f>((L343*'Data - P&amp;L'!$D$38)+(L356*'Data - P&amp;L'!$D$39))*'Data - P&amp;L'!$C$54</f>
        <v>0</v>
      </c>
      <c r="M505" s="255">
        <f>((M343*'Data - P&amp;L'!$D$38)+(M356*'Data - P&amp;L'!$D$39))*'Data - P&amp;L'!$C$54</f>
        <v>5.38125</v>
      </c>
      <c r="N505" s="255">
        <f>((N343*'Data - P&amp;L'!$D$38)+(N356*'Data - P&amp;L'!$D$39))*'Data - P&amp;L'!$C$54</f>
        <v>0.35875</v>
      </c>
      <c r="O505" s="255">
        <f>((O343*'Data - P&amp;L'!$D$38)+(O356*'Data - P&amp;L'!$D$39))*'Data - P&amp;L'!$C$54</f>
        <v>3.94625</v>
      </c>
      <c r="P505" s="255">
        <f>((P343*'Data - P&amp;L'!$D$38)+(P356*'Data - P&amp;L'!$D$39))*'Data - P&amp;L'!$C$54</f>
        <v>1.07625</v>
      </c>
      <c r="Q505" s="255">
        <f>((Q343*'Data - P&amp;L'!$D$38)+(Q356*'Data - P&amp;L'!$D$39))*'Data - P&amp;L'!$C$54</f>
        <v>0.7175</v>
      </c>
      <c r="R505" s="255">
        <f>((R343*'Data - P&amp;L'!$D$38)+(R356*'Data - P&amp;L'!$D$39))*'Data - P&amp;L'!$C$54</f>
        <v>0</v>
      </c>
      <c r="S505" s="255">
        <f>((S343*'Data - P&amp;L'!$D$38)+(S356*'Data - P&amp;L'!$D$39))*'Data - P&amp;L'!$C$54</f>
        <v>2.51125</v>
      </c>
      <c r="T505" s="255">
        <f>((T343*'Data - P&amp;L'!$D$38)+(T356*'Data - P&amp;L'!$D$39))*'Data - P&amp;L'!$C$54</f>
        <v>0.35875</v>
      </c>
      <c r="U505" s="255">
        <f>((U343*'Data - P&amp;L'!$D$38)+(U356*'Data - P&amp;L'!$D$39))*'Data - P&amp;L'!$C$54</f>
        <v>1.435</v>
      </c>
      <c r="V505" s="255">
        <f>((V343*'Data - P&amp;L'!$D$38)+(V356*'Data - P&amp;L'!$D$39))*'Data - P&amp;L'!$C$54</f>
        <v>0</v>
      </c>
      <c r="W505" s="255">
        <f>((W343*'Data - P&amp;L'!$D$38)+(W356*'Data - P&amp;L'!$D$39))*'Data - P&amp;L'!$C$54</f>
        <v>0</v>
      </c>
      <c r="X505" s="255">
        <f>((X343*'Data - P&amp;L'!$D$38)+(X356*'Data - P&amp;L'!$D$39))*'Data - P&amp;L'!$C$54</f>
        <v>0</v>
      </c>
      <c r="Y505" s="255">
        <f>((Y343*'Data - P&amp;L'!$D$38)+(Y356*'Data - P&amp;L'!$D$39))*'Data - P&amp;L'!$C$54</f>
        <v>0</v>
      </c>
      <c r="Z505" s="255">
        <f>((Z343*'Data - P&amp;L'!$D$38)+(Z356*'Data - P&amp;L'!$D$39))*'Data - P&amp;L'!$C$54</f>
        <v>0</v>
      </c>
      <c r="AA505" s="255">
        <f>((AA343*'Data - P&amp;L'!$D$38)+(AA356*'Data - P&amp;L'!$D$39))*'Data - P&amp;L'!$C$54</f>
        <v>1.79375</v>
      </c>
      <c r="AB505" s="255">
        <f>((AB343*'Data - P&amp;L'!$D$38)+(AB356*'Data - P&amp;L'!$D$39))*'Data - P&amp;L'!$C$54</f>
        <v>2.87</v>
      </c>
      <c r="AC505" s="255">
        <f>((AC343*'Data - P&amp;L'!$D$38)+(AC356*'Data - P&amp;L'!$D$39))*'Data - P&amp;L'!$C$54</f>
        <v>4.66375</v>
      </c>
      <c r="AD505" s="255">
        <f>((AD343*'Data - P&amp;L'!$D$38)+(AD356*'Data - P&amp;L'!$D$39))*'Data - P&amp;L'!$C$54</f>
        <v>0</v>
      </c>
      <c r="AE505" s="255">
        <f>((AE343*'Data - P&amp;L'!$D$38)+(AE356*'Data - P&amp;L'!$D$39))*'Data - P&amp;L'!$C$54</f>
        <v>0</v>
      </c>
      <c r="AF505" s="255">
        <f>((AF343*'Data - P&amp;L'!$D$38)+(AF356*'Data - P&amp;L'!$D$39))*'Data - P&amp;L'!$C$54</f>
        <v>0</v>
      </c>
      <c r="AG505" s="95">
        <f t="shared" si="141"/>
        <v>37.67</v>
      </c>
    </row>
    <row r="506" outlineLevel="1">
      <c r="A506" s="272" t="s">
        <v>437</v>
      </c>
      <c r="B506" s="255">
        <f>(B358*'Data - P&amp;L'!$R$3)+(B359*'Data - P&amp;L'!$R$4)</f>
        <v>30</v>
      </c>
      <c r="C506" s="255">
        <f>(C358*'Data - P&amp;L'!$R$3)+(C359*'Data - P&amp;L'!$R$4)</f>
        <v>0</v>
      </c>
      <c r="D506" s="255">
        <f>(D358*'Data - P&amp;L'!$R$3)+(D359*'Data - P&amp;L'!$R$4)</f>
        <v>45</v>
      </c>
      <c r="E506" s="255">
        <f>(E358*'Data - P&amp;L'!$R$3)+(E359*'Data - P&amp;L'!$R$4)</f>
        <v>180</v>
      </c>
      <c r="F506" s="255">
        <f>(F358*'Data - P&amp;L'!$R$3)+(F359*'Data - P&amp;L'!$R$4)</f>
        <v>15</v>
      </c>
      <c r="G506" s="255">
        <f>(G358*'Data - P&amp;L'!$R$3)+(G359*'Data - P&amp;L'!$R$4)</f>
        <v>105</v>
      </c>
      <c r="H506" s="255">
        <f>(H358*'Data - P&amp;L'!$R$3)+(H359*'Data - P&amp;L'!$R$4)</f>
        <v>295</v>
      </c>
      <c r="I506" s="255">
        <f>(I358*'Data - P&amp;L'!$R$3)+(I359*'Data - P&amp;L'!$R$4)</f>
        <v>60</v>
      </c>
      <c r="J506" s="255">
        <f>(J358*'Data - P&amp;L'!$R$3)+(J359*'Data - P&amp;L'!$R$4)</f>
        <v>0</v>
      </c>
      <c r="K506" s="255">
        <f>(K358*'Data - P&amp;L'!$R$3)+(K359*'Data - P&amp;L'!$R$4)</f>
        <v>0</v>
      </c>
      <c r="L506" s="255">
        <f>(L358*'Data - P&amp;L'!$R$3)+(L359*'Data - P&amp;L'!$R$4)</f>
        <v>0</v>
      </c>
      <c r="M506" s="255">
        <f>(M358*'Data - P&amp;L'!$R$3)+(M359*'Data - P&amp;L'!$R$4)</f>
        <v>225</v>
      </c>
      <c r="N506" s="255">
        <f>(N358*'Data - P&amp;L'!$R$3)+(N359*'Data - P&amp;L'!$R$4)</f>
        <v>15</v>
      </c>
      <c r="O506" s="255">
        <f>(O358*'Data - P&amp;L'!$R$3)+(O359*'Data - P&amp;L'!$R$4)</f>
        <v>90</v>
      </c>
      <c r="P506" s="255">
        <f>(P358*'Data - P&amp;L'!$R$3)+(P359*'Data - P&amp;L'!$R$4)</f>
        <v>90</v>
      </c>
      <c r="Q506" s="255">
        <f>(Q358*'Data - P&amp;L'!$R$3)+(Q359*'Data - P&amp;L'!$R$4)</f>
        <v>30</v>
      </c>
      <c r="R506" s="255">
        <f>(R358*'Data - P&amp;L'!$R$3)+(R359*'Data - P&amp;L'!$R$4)</f>
        <v>0</v>
      </c>
      <c r="S506" s="255">
        <f>(S358*'Data - P&amp;L'!$R$3)+(S359*'Data - P&amp;L'!$R$4)</f>
        <v>60</v>
      </c>
      <c r="T506" s="255">
        <f>(T358*'Data - P&amp;L'!$R$3)+(T359*'Data - P&amp;L'!$R$4)</f>
        <v>15</v>
      </c>
      <c r="U506" s="255">
        <f>(U358*'Data - P&amp;L'!$R$3)+(U359*'Data - P&amp;L'!$R$4)</f>
        <v>45</v>
      </c>
      <c r="V506" s="255">
        <f>(V358*'Data - P&amp;L'!$R$3)+(V359*'Data - P&amp;L'!$R$4)</f>
        <v>0</v>
      </c>
      <c r="W506" s="255">
        <f>(W358*'Data - P&amp;L'!$R$3)+(W359*'Data - P&amp;L'!$R$4)</f>
        <v>0</v>
      </c>
      <c r="X506" s="255">
        <f>(X358*'Data - P&amp;L'!$R$3)+(X359*'Data - P&amp;L'!$R$4)</f>
        <v>0</v>
      </c>
      <c r="Y506" s="255">
        <f>(Y358*'Data - P&amp;L'!$R$3)+(Y359*'Data - P&amp;L'!$R$4)</f>
        <v>0</v>
      </c>
      <c r="Z506" s="255">
        <f>(Z358*'Data - P&amp;L'!$R$3)+(Z359*'Data - P&amp;L'!$R$4)</f>
        <v>0</v>
      </c>
      <c r="AA506" s="255">
        <f>(AA358*'Data - P&amp;L'!$R$3)+(AA359*'Data - P&amp;L'!$R$4)</f>
        <v>15</v>
      </c>
      <c r="AB506" s="255">
        <f>(AB358*'Data - P&amp;L'!$R$3)+(AB359*'Data - P&amp;L'!$R$4)</f>
        <v>105</v>
      </c>
      <c r="AC506" s="255">
        <f>(AC358*'Data - P&amp;L'!$R$3)+(AC359*'Data - P&amp;L'!$R$4)</f>
        <v>150</v>
      </c>
      <c r="AD506" s="255">
        <f>(AD358*'Data - P&amp;L'!$R$3)+(AD359*'Data - P&amp;L'!$R$4)</f>
        <v>0</v>
      </c>
      <c r="AE506" s="255">
        <f>(AE358*'Data - P&amp;L'!$R$3)+(AE359*'Data - P&amp;L'!$R$4)</f>
        <v>0</v>
      </c>
      <c r="AF506" s="255">
        <f>(AF358*'Data - P&amp;L'!$R$3)+(AF359*'Data - P&amp;L'!$R$4)</f>
        <v>15</v>
      </c>
      <c r="AG506" s="95">
        <f t="shared" si="141"/>
        <v>1585</v>
      </c>
    </row>
    <row r="507" outlineLevel="1">
      <c r="A507" s="272" t="s">
        <v>438</v>
      </c>
      <c r="B507" s="255">
        <f t="shared" ref="B507:AF507" si="144">B364+B369</f>
        <v>529.45</v>
      </c>
      <c r="C507" s="255">
        <f t="shared" si="144"/>
        <v>0</v>
      </c>
      <c r="D507" s="255">
        <f t="shared" si="144"/>
        <v>942.63</v>
      </c>
      <c r="E507" s="255">
        <f t="shared" si="144"/>
        <v>3346.86</v>
      </c>
      <c r="F507" s="255">
        <f t="shared" si="144"/>
        <v>268.03</v>
      </c>
      <c r="G507" s="255">
        <f t="shared" si="144"/>
        <v>1860.45</v>
      </c>
      <c r="H507" s="255">
        <f t="shared" si="144"/>
        <v>5103.5</v>
      </c>
      <c r="I507" s="255">
        <f t="shared" si="144"/>
        <v>863.05</v>
      </c>
      <c r="J507" s="255">
        <f t="shared" si="144"/>
        <v>0</v>
      </c>
      <c r="K507" s="255">
        <f t="shared" si="144"/>
        <v>0</v>
      </c>
      <c r="L507" s="255">
        <f t="shared" si="144"/>
        <v>0</v>
      </c>
      <c r="M507" s="255">
        <f t="shared" si="144"/>
        <v>4552</v>
      </c>
      <c r="N507" s="255">
        <f t="shared" si="144"/>
        <v>232.69</v>
      </c>
      <c r="O507" s="255">
        <f t="shared" si="144"/>
        <v>1012.79</v>
      </c>
      <c r="P507" s="255">
        <f t="shared" si="144"/>
        <v>1627.84</v>
      </c>
      <c r="Q507" s="255">
        <f t="shared" si="144"/>
        <v>305.17</v>
      </c>
      <c r="R507" s="255">
        <f t="shared" si="144"/>
        <v>0</v>
      </c>
      <c r="S507" s="255">
        <f t="shared" si="144"/>
        <v>635.98</v>
      </c>
      <c r="T507" s="255">
        <f t="shared" si="144"/>
        <v>40.74</v>
      </c>
      <c r="U507" s="255">
        <f t="shared" si="144"/>
        <v>687.6</v>
      </c>
      <c r="V507" s="255">
        <f t="shared" si="144"/>
        <v>0</v>
      </c>
      <c r="W507" s="255">
        <f t="shared" si="144"/>
        <v>0</v>
      </c>
      <c r="X507" s="255">
        <f t="shared" si="144"/>
        <v>0</v>
      </c>
      <c r="Y507" s="255">
        <f t="shared" si="144"/>
        <v>0</v>
      </c>
      <c r="Z507" s="255">
        <f t="shared" si="144"/>
        <v>0</v>
      </c>
      <c r="AA507" s="255">
        <f t="shared" si="144"/>
        <v>313.93</v>
      </c>
      <c r="AB507" s="255">
        <f t="shared" si="144"/>
        <v>1661.75</v>
      </c>
      <c r="AC507" s="255">
        <f t="shared" si="144"/>
        <v>2349.93</v>
      </c>
      <c r="AD507" s="255">
        <f t="shared" si="144"/>
        <v>0</v>
      </c>
      <c r="AE507" s="255">
        <f t="shared" si="144"/>
        <v>0</v>
      </c>
      <c r="AF507" s="255">
        <f t="shared" si="144"/>
        <v>226.97</v>
      </c>
      <c r="AG507" s="95">
        <f t="shared" si="141"/>
        <v>26561.36</v>
      </c>
    </row>
    <row r="508">
      <c r="A508" s="240" t="s">
        <v>439</v>
      </c>
      <c r="B508" s="269">
        <f t="shared" ref="B508:AF508" si="145">sum(B509:B523)-B526</f>
        <v>-449.475</v>
      </c>
      <c r="C508" s="269">
        <f t="shared" si="145"/>
        <v>0</v>
      </c>
      <c r="D508" s="269">
        <f t="shared" si="145"/>
        <v>0</v>
      </c>
      <c r="E508" s="269">
        <f t="shared" si="145"/>
        <v>-119.2125</v>
      </c>
      <c r="F508" s="269">
        <f t="shared" si="145"/>
        <v>-434.507</v>
      </c>
      <c r="G508" s="269">
        <f t="shared" si="145"/>
        <v>-150</v>
      </c>
      <c r="H508" s="269">
        <f t="shared" si="145"/>
        <v>-139.161</v>
      </c>
      <c r="I508" s="269">
        <f t="shared" si="145"/>
        <v>-139.4225</v>
      </c>
      <c r="J508" s="269">
        <f t="shared" si="145"/>
        <v>0</v>
      </c>
      <c r="K508" s="269">
        <f t="shared" si="145"/>
        <v>0</v>
      </c>
      <c r="L508" s="269">
        <f t="shared" si="145"/>
        <v>-656.2445</v>
      </c>
      <c r="M508" s="269">
        <f t="shared" si="145"/>
        <v>-66.6025</v>
      </c>
      <c r="N508" s="269">
        <f t="shared" si="145"/>
        <v>-642.789</v>
      </c>
      <c r="O508" s="269">
        <f t="shared" si="145"/>
        <v>-588.107</v>
      </c>
      <c r="P508" s="269">
        <f t="shared" si="145"/>
        <v>-570.287</v>
      </c>
      <c r="Q508" s="269">
        <f t="shared" si="145"/>
        <v>0</v>
      </c>
      <c r="R508" s="269">
        <f t="shared" si="145"/>
        <v>0</v>
      </c>
      <c r="S508" s="269">
        <f t="shared" si="145"/>
        <v>-476.9595</v>
      </c>
      <c r="T508" s="269">
        <f t="shared" si="145"/>
        <v>-76.8375</v>
      </c>
      <c r="U508" s="269">
        <f t="shared" si="145"/>
        <v>-101.7235</v>
      </c>
      <c r="V508" s="269">
        <f t="shared" si="145"/>
        <v>-118.927</v>
      </c>
      <c r="W508" s="269">
        <f t="shared" si="145"/>
        <v>0</v>
      </c>
      <c r="X508" s="269">
        <f t="shared" si="145"/>
        <v>0</v>
      </c>
      <c r="Y508" s="269">
        <f t="shared" si="145"/>
        <v>0</v>
      </c>
      <c r="Z508" s="269">
        <f t="shared" si="145"/>
        <v>0</v>
      </c>
      <c r="AA508" s="269">
        <f t="shared" si="145"/>
        <v>-181.194</v>
      </c>
      <c r="AB508" s="269">
        <f t="shared" si="145"/>
        <v>-854.509</v>
      </c>
      <c r="AC508" s="269">
        <f t="shared" si="145"/>
        <v>-582.178</v>
      </c>
      <c r="AD508" s="269">
        <f t="shared" si="145"/>
        <v>-343.5125</v>
      </c>
      <c r="AE508" s="269">
        <f t="shared" si="145"/>
        <v>0</v>
      </c>
      <c r="AF508" s="269">
        <f t="shared" si="145"/>
        <v>0</v>
      </c>
      <c r="AG508" s="95">
        <f t="shared" si="141"/>
        <v>-6691.649</v>
      </c>
    </row>
    <row r="509" outlineLevel="1">
      <c r="A509" s="151" t="s">
        <v>420</v>
      </c>
      <c r="B509" s="255">
        <f>B395*'Data - P&amp;L'!$C$3*'Data - P&amp;L'!$C$55</f>
        <v>0</v>
      </c>
      <c r="C509" s="255">
        <f>C395*'Data - P&amp;L'!$C$3*'Data - P&amp;L'!$C$55</f>
        <v>0</v>
      </c>
      <c r="D509" s="255">
        <f>D395*'Data - P&amp;L'!$C$3*'Data - P&amp;L'!$C$55</f>
        <v>0</v>
      </c>
      <c r="E509" s="255">
        <f>E395*'Data - P&amp;L'!$C$3*'Data - P&amp;L'!$C$55</f>
        <v>0</v>
      </c>
      <c r="F509" s="255">
        <f>F395*'Data - P&amp;L'!$C$3*'Data - P&amp;L'!$C$55</f>
        <v>34.76</v>
      </c>
      <c r="G509" s="255">
        <f>G395*'Data - P&amp;L'!$C$3*'Data - P&amp;L'!$C$55</f>
        <v>0</v>
      </c>
      <c r="H509" s="255">
        <f>H395*'Data - P&amp;L'!$C$3*'Data - P&amp;L'!$C$55</f>
        <v>8.69</v>
      </c>
      <c r="I509" s="255">
        <f>I395*'Data - P&amp;L'!$C$3*'Data - P&amp;L'!$C$55</f>
        <v>0</v>
      </c>
      <c r="J509" s="255">
        <f>J395*'Data - P&amp;L'!$C$3*'Data - P&amp;L'!$C$55</f>
        <v>0</v>
      </c>
      <c r="K509" s="255">
        <f>K395*'Data - P&amp;L'!$C$3*'Data - P&amp;L'!$C$55</f>
        <v>0</v>
      </c>
      <c r="L509" s="255">
        <f>L395*'Data - P&amp;L'!$C$3*'Data - P&amp;L'!$C$55</f>
        <v>8.69</v>
      </c>
      <c r="M509" s="255">
        <f>M395*'Data - P&amp;L'!$C$3*'Data - P&amp;L'!$C$55</f>
        <v>0</v>
      </c>
      <c r="N509" s="255">
        <f>N395*'Data - P&amp;L'!$C$3*'Data - P&amp;L'!$C$55</f>
        <v>17.38</v>
      </c>
      <c r="O509" s="255">
        <f>O395*'Data - P&amp;L'!$C$3*'Data - P&amp;L'!$C$55</f>
        <v>60.83</v>
      </c>
      <c r="P509" s="255">
        <f>P395*'Data - P&amp;L'!$C$3*'Data - P&amp;L'!$C$55</f>
        <v>17.38</v>
      </c>
      <c r="Q509" s="255">
        <f>Q395*'Data - P&amp;L'!$C$3*'Data - P&amp;L'!$C$55</f>
        <v>0</v>
      </c>
      <c r="R509" s="255">
        <f>R395*'Data - P&amp;L'!$C$3*'Data - P&amp;L'!$C$55</f>
        <v>0</v>
      </c>
      <c r="S509" s="255">
        <f>S395*'Data - P&amp;L'!$C$3*'Data - P&amp;L'!$C$55</f>
        <v>0</v>
      </c>
      <c r="T509" s="255">
        <f>T395*'Data - P&amp;L'!$C$3*'Data - P&amp;L'!$C$55</f>
        <v>52.14</v>
      </c>
      <c r="U509" s="255">
        <f>U395*'Data - P&amp;L'!$C$3*'Data - P&amp;L'!$C$55</f>
        <v>8.69</v>
      </c>
      <c r="V509" s="255">
        <f>V395*'Data - P&amp;L'!$C$3*'Data - P&amp;L'!$C$55</f>
        <v>0</v>
      </c>
      <c r="W509" s="255">
        <f>W395*'Data - P&amp;L'!$C$3*'Data - P&amp;L'!$C$55</f>
        <v>0</v>
      </c>
      <c r="X509" s="255">
        <f>X395*'Data - P&amp;L'!$C$3*'Data - P&amp;L'!$C$55</f>
        <v>0</v>
      </c>
      <c r="Y509" s="255">
        <f>Y395*'Data - P&amp;L'!$C$3*'Data - P&amp;L'!$C$55</f>
        <v>0</v>
      </c>
      <c r="Z509" s="255">
        <f>Z395*'Data - P&amp;L'!$C$3*'Data - P&amp;L'!$C$55</f>
        <v>0</v>
      </c>
      <c r="AA509" s="255">
        <f>AA395*'Data - P&amp;L'!$C$3*'Data - P&amp;L'!$C$55</f>
        <v>8.69</v>
      </c>
      <c r="AB509" s="255">
        <f>AB395*'Data - P&amp;L'!$C$3*'Data - P&amp;L'!$C$55</f>
        <v>34.76</v>
      </c>
      <c r="AC509" s="255">
        <f>AC395*'Data - P&amp;L'!$C$3*'Data - P&amp;L'!$C$55</f>
        <v>0</v>
      </c>
      <c r="AD509" s="255">
        <f>AD395*'Data - P&amp;L'!$C$3*'Data - P&amp;L'!$C$55</f>
        <v>0</v>
      </c>
      <c r="AE509" s="255">
        <f>AE395*'Data - P&amp;L'!$C$3*'Data - P&amp;L'!$C$55</f>
        <v>0</v>
      </c>
      <c r="AF509" s="255">
        <f>AF395*'Data - P&amp;L'!$C$3*'Data - P&amp;L'!$C$55</f>
        <v>0</v>
      </c>
      <c r="AG509" s="95">
        <f t="shared" si="141"/>
        <v>252.01</v>
      </c>
    </row>
    <row r="510" outlineLevel="1">
      <c r="A510" s="151" t="s">
        <v>421</v>
      </c>
      <c r="B510" s="255">
        <f>B396*'Data - P&amp;L'!$C$4*'Data - P&amp;L'!$C$55</f>
        <v>0</v>
      </c>
      <c r="C510" s="255">
        <f>C396*'Data - P&amp;L'!$C$4*'Data - P&amp;L'!$C$55</f>
        <v>0</v>
      </c>
      <c r="D510" s="255">
        <f>D396*'Data - P&amp;L'!$C$4*'Data - P&amp;L'!$C$55</f>
        <v>0</v>
      </c>
      <c r="E510" s="255">
        <f>E396*'Data - P&amp;L'!$C$4*'Data - P&amp;L'!$C$55</f>
        <v>0</v>
      </c>
      <c r="F510" s="255">
        <f>F396*'Data - P&amp;L'!$C$4*'Data - P&amp;L'!$C$55</f>
        <v>9.761</v>
      </c>
      <c r="G510" s="255">
        <f>G396*'Data - P&amp;L'!$C$4*'Data - P&amp;L'!$C$55</f>
        <v>0</v>
      </c>
      <c r="H510" s="255">
        <f>H396*'Data - P&amp;L'!$C$4*'Data - P&amp;L'!$C$55</f>
        <v>9.761</v>
      </c>
      <c r="I510" s="255">
        <f>I396*'Data - P&amp;L'!$C$4*'Data - P&amp;L'!$C$55</f>
        <v>19.522</v>
      </c>
      <c r="J510" s="255">
        <f>J396*'Data - P&amp;L'!$C$4*'Data - P&amp;L'!$C$55</f>
        <v>0</v>
      </c>
      <c r="K510" s="255">
        <f>K396*'Data - P&amp;L'!$C$4*'Data - P&amp;L'!$C$55</f>
        <v>0</v>
      </c>
      <c r="L510" s="255">
        <f>L396*'Data - P&amp;L'!$C$4*'Data - P&amp;L'!$C$55</f>
        <v>19.522</v>
      </c>
      <c r="M510" s="255">
        <f>M396*'Data - P&amp;L'!$C$4*'Data - P&amp;L'!$C$55</f>
        <v>19.522</v>
      </c>
      <c r="N510" s="255">
        <f>N396*'Data - P&amp;L'!$C$4*'Data - P&amp;L'!$C$55</f>
        <v>0</v>
      </c>
      <c r="O510" s="255">
        <f>O396*'Data - P&amp;L'!$C$4*'Data - P&amp;L'!$C$55</f>
        <v>0</v>
      </c>
      <c r="P510" s="255">
        <f>P396*'Data - P&amp;L'!$C$4*'Data - P&amp;L'!$C$55</f>
        <v>9.761</v>
      </c>
      <c r="Q510" s="255">
        <f>Q396*'Data - P&amp;L'!$C$4*'Data - P&amp;L'!$C$55</f>
        <v>0</v>
      </c>
      <c r="R510" s="255">
        <f>R396*'Data - P&amp;L'!$C$4*'Data - P&amp;L'!$C$55</f>
        <v>0</v>
      </c>
      <c r="S510" s="255">
        <f>S396*'Data - P&amp;L'!$C$4*'Data - P&amp;L'!$C$55</f>
        <v>0</v>
      </c>
      <c r="T510" s="255">
        <f>T396*'Data - P&amp;L'!$C$4*'Data - P&amp;L'!$C$55</f>
        <v>78.088</v>
      </c>
      <c r="U510" s="255">
        <f>U396*'Data - P&amp;L'!$C$4*'Data - P&amp;L'!$C$55</f>
        <v>9.761</v>
      </c>
      <c r="V510" s="255">
        <f>V396*'Data - P&amp;L'!$C$4*'Data - P&amp;L'!$C$55</f>
        <v>0</v>
      </c>
      <c r="W510" s="255">
        <f>W396*'Data - P&amp;L'!$C$4*'Data - P&amp;L'!$C$55</f>
        <v>0</v>
      </c>
      <c r="X510" s="255">
        <f>X396*'Data - P&amp;L'!$C$4*'Data - P&amp;L'!$C$55</f>
        <v>0</v>
      </c>
      <c r="Y510" s="255">
        <f>Y396*'Data - P&amp;L'!$C$4*'Data - P&amp;L'!$C$55</f>
        <v>0</v>
      </c>
      <c r="Z510" s="255">
        <f>Z396*'Data - P&amp;L'!$C$4*'Data - P&amp;L'!$C$55</f>
        <v>0</v>
      </c>
      <c r="AA510" s="255">
        <f>AA396*'Data - P&amp;L'!$C$4*'Data - P&amp;L'!$C$55</f>
        <v>0</v>
      </c>
      <c r="AB510" s="255">
        <f>AB396*'Data - P&amp;L'!$C$4*'Data - P&amp;L'!$C$55</f>
        <v>0</v>
      </c>
      <c r="AC510" s="255">
        <f>AC396*'Data - P&amp;L'!$C$4*'Data - P&amp;L'!$C$55</f>
        <v>0</v>
      </c>
      <c r="AD510" s="255">
        <f>AD396*'Data - P&amp;L'!$C$4*'Data - P&amp;L'!$C$55</f>
        <v>0</v>
      </c>
      <c r="AE510" s="255">
        <f>AE396*'Data - P&amp;L'!$C$4*'Data - P&amp;L'!$C$55</f>
        <v>0</v>
      </c>
      <c r="AF510" s="255">
        <f>AF396*'Data - P&amp;L'!$C$4*'Data - P&amp;L'!$C$55</f>
        <v>0</v>
      </c>
      <c r="AG510" s="95">
        <f t="shared" si="141"/>
        <v>175.698</v>
      </c>
    </row>
    <row r="511" outlineLevel="1">
      <c r="A511" s="151" t="s">
        <v>392</v>
      </c>
      <c r="B511" s="255">
        <f>(B378+B389)*'Data - P&amp;L'!$C$15*'Data - P&amp;L'!$C$55</f>
        <v>0</v>
      </c>
      <c r="C511" s="255">
        <f>(C378+C389)*'Data - P&amp;L'!$C$15*'Data - P&amp;L'!$C$55</f>
        <v>0</v>
      </c>
      <c r="D511" s="255">
        <f>(D378+D389)*'Data - P&amp;L'!$C$15*'Data - P&amp;L'!$C$55</f>
        <v>0</v>
      </c>
      <c r="E511" s="255">
        <f>(E378+E389)*'Data - P&amp;L'!$C$15*'Data - P&amp;L'!$C$55</f>
        <v>0</v>
      </c>
      <c r="F511" s="255">
        <f>(F378+F389)*'Data - P&amp;L'!$C$15*'Data - P&amp;L'!$C$55</f>
        <v>0</v>
      </c>
      <c r="G511" s="255">
        <f>(G378+G389)*'Data - P&amp;L'!$C$15*'Data - P&amp;L'!$C$55</f>
        <v>0</v>
      </c>
      <c r="H511" s="255">
        <f>(H378+H389)*'Data - P&amp;L'!$C$15*'Data - P&amp;L'!$C$55</f>
        <v>0</v>
      </c>
      <c r="I511" s="255">
        <f>(I378+I389)*'Data - P&amp;L'!$C$15*'Data - P&amp;L'!$C$55</f>
        <v>0</v>
      </c>
      <c r="J511" s="255">
        <f>(J378+J389)*'Data - P&amp;L'!$C$15*'Data - P&amp;L'!$C$55</f>
        <v>0</v>
      </c>
      <c r="K511" s="255">
        <f>(K378+K389)*'Data - P&amp;L'!$C$15*'Data - P&amp;L'!$C$55</f>
        <v>0</v>
      </c>
      <c r="L511" s="255">
        <f>(L378+L389)*'Data - P&amp;L'!$C$15*'Data - P&amp;L'!$C$55</f>
        <v>0</v>
      </c>
      <c r="M511" s="255">
        <f>(M378+M389)*'Data - P&amp;L'!$C$15*'Data - P&amp;L'!$C$55</f>
        <v>0</v>
      </c>
      <c r="N511" s="255">
        <f>(N378+N389)*'Data - P&amp;L'!$C$15*'Data - P&amp;L'!$C$55</f>
        <v>0</v>
      </c>
      <c r="O511" s="255">
        <f>(O378+O389)*'Data - P&amp;L'!$C$15*'Data - P&amp;L'!$C$55</f>
        <v>0</v>
      </c>
      <c r="P511" s="255">
        <f>(P378+P389)*'Data - P&amp;L'!$C$15*'Data - P&amp;L'!$C$55</f>
        <v>0</v>
      </c>
      <c r="Q511" s="255">
        <f>(Q378+Q389)*'Data - P&amp;L'!$C$15*'Data - P&amp;L'!$C$55</f>
        <v>0</v>
      </c>
      <c r="R511" s="255">
        <f>(R378+R389)*'Data - P&amp;L'!$C$15*'Data - P&amp;L'!$C$55</f>
        <v>0</v>
      </c>
      <c r="S511" s="255">
        <f>(S378+S389)*'Data - P&amp;L'!$C$15*'Data - P&amp;L'!$C$55</f>
        <v>0</v>
      </c>
      <c r="T511" s="255">
        <f>(T378+T389)*'Data - P&amp;L'!$C$15*'Data - P&amp;L'!$C$55</f>
        <v>0</v>
      </c>
      <c r="U511" s="255">
        <f>(U378+U389)*'Data - P&amp;L'!$C$15*'Data - P&amp;L'!$C$55</f>
        <v>0</v>
      </c>
      <c r="V511" s="255">
        <f>(V378+V389)*'Data - P&amp;L'!$C$15*'Data - P&amp;L'!$C$55</f>
        <v>0</v>
      </c>
      <c r="W511" s="255">
        <f>(W378+W389)*'Data - P&amp;L'!$C$15*'Data - P&amp;L'!$C$55</f>
        <v>0</v>
      </c>
      <c r="X511" s="255">
        <f>(X378+X389)*'Data - P&amp;L'!$C$15*'Data - P&amp;L'!$C$55</f>
        <v>0</v>
      </c>
      <c r="Y511" s="255">
        <f>(Y378+Y389)*'Data - P&amp;L'!$C$15*'Data - P&amp;L'!$C$55</f>
        <v>0</v>
      </c>
      <c r="Z511" s="255">
        <f>(Z378+Z389)*'Data - P&amp;L'!$C$15*'Data - P&amp;L'!$C$55</f>
        <v>0</v>
      </c>
      <c r="AA511" s="255">
        <f>(AA378+AA389)*'Data - P&amp;L'!$C$15*'Data - P&amp;L'!$C$55</f>
        <v>0</v>
      </c>
      <c r="AB511" s="255">
        <f>(AB378+AB389)*'Data - P&amp;L'!$C$15*'Data - P&amp;L'!$C$55</f>
        <v>0</v>
      </c>
      <c r="AC511" s="255">
        <f>(AC378+AC389)*'Data - P&amp;L'!$C$15*'Data - P&amp;L'!$C$55</f>
        <v>0</v>
      </c>
      <c r="AD511" s="255">
        <f>(AD378+AD389)*'Data - P&amp;L'!$C$15*'Data - P&amp;L'!$C$55</f>
        <v>0</v>
      </c>
      <c r="AE511" s="255">
        <f>(AE378+AE389)*'Data - P&amp;L'!$C$15*'Data - P&amp;L'!$C$55</f>
        <v>0</v>
      </c>
      <c r="AF511" s="255">
        <f>(AF378+AF389)*'Data - P&amp;L'!$C$15*'Data - P&amp;L'!$C$55</f>
        <v>0</v>
      </c>
      <c r="AG511" s="95">
        <f t="shared" si="141"/>
        <v>0</v>
      </c>
    </row>
    <row r="512" outlineLevel="1">
      <c r="A512" s="151" t="s">
        <v>393</v>
      </c>
      <c r="B512" s="255">
        <f>(B379+B390)*'Data - P&amp;L'!$C$16*'Data - P&amp;L'!$C$55</f>
        <v>0</v>
      </c>
      <c r="C512" s="255">
        <f>(C379+C390)*'Data - P&amp;L'!$C$16*'Data - P&amp;L'!$C$55</f>
        <v>0</v>
      </c>
      <c r="D512" s="255">
        <f>(D379+D390)*'Data - P&amp;L'!$C$16*'Data - P&amp;L'!$C$55</f>
        <v>0</v>
      </c>
      <c r="E512" s="255">
        <f>(E379+E390)*'Data - P&amp;L'!$C$16*'Data - P&amp;L'!$C$55</f>
        <v>0</v>
      </c>
      <c r="F512" s="255">
        <f>(F379+F390)*'Data - P&amp;L'!$C$16*'Data - P&amp;L'!$C$55</f>
        <v>0</v>
      </c>
      <c r="G512" s="255">
        <f>(G379+G390)*'Data - P&amp;L'!$C$16*'Data - P&amp;L'!$C$55</f>
        <v>0</v>
      </c>
      <c r="H512" s="255">
        <f>(H379+H390)*'Data - P&amp;L'!$C$16*'Data - P&amp;L'!$C$55</f>
        <v>0</v>
      </c>
      <c r="I512" s="255">
        <f>(I379+I390)*'Data - P&amp;L'!$C$16*'Data - P&amp;L'!$C$55</f>
        <v>0</v>
      </c>
      <c r="J512" s="255">
        <f>(J379+J390)*'Data - P&amp;L'!$C$16*'Data - P&amp;L'!$C$55</f>
        <v>0</v>
      </c>
      <c r="K512" s="255">
        <f>(K379+K390)*'Data - P&amp;L'!$C$16*'Data - P&amp;L'!$C$55</f>
        <v>0</v>
      </c>
      <c r="L512" s="255">
        <f>(L379+L390)*'Data - P&amp;L'!$C$16*'Data - P&amp;L'!$C$55</f>
        <v>0</v>
      </c>
      <c r="M512" s="255">
        <f>(M379+M390)*'Data - P&amp;L'!$C$16*'Data - P&amp;L'!$C$55</f>
        <v>0</v>
      </c>
      <c r="N512" s="255">
        <f>(N379+N390)*'Data - P&amp;L'!$C$16*'Data - P&amp;L'!$C$55</f>
        <v>0</v>
      </c>
      <c r="O512" s="255">
        <f>(O379+O390)*'Data - P&amp;L'!$C$16*'Data - P&amp;L'!$C$55</f>
        <v>0</v>
      </c>
      <c r="P512" s="255">
        <f>(P379+P390)*'Data - P&amp;L'!$C$16*'Data - P&amp;L'!$C$55</f>
        <v>0</v>
      </c>
      <c r="Q512" s="255">
        <f>(Q379+Q390)*'Data - P&amp;L'!$C$16*'Data - P&amp;L'!$C$55</f>
        <v>0</v>
      </c>
      <c r="R512" s="255">
        <f>(R379+R390)*'Data - P&amp;L'!$C$16*'Data - P&amp;L'!$C$55</f>
        <v>0</v>
      </c>
      <c r="S512" s="255">
        <f>(S379+S390)*'Data - P&amp;L'!$C$16*'Data - P&amp;L'!$C$55</f>
        <v>0</v>
      </c>
      <c r="T512" s="255">
        <f>(T379+T390)*'Data - P&amp;L'!$C$16*'Data - P&amp;L'!$C$55</f>
        <v>0</v>
      </c>
      <c r="U512" s="255">
        <f>(U379+U390)*'Data - P&amp;L'!$C$16*'Data - P&amp;L'!$C$55</f>
        <v>0</v>
      </c>
      <c r="V512" s="255">
        <f>(V379+V390)*'Data - P&amp;L'!$C$16*'Data - P&amp;L'!$C$55</f>
        <v>0</v>
      </c>
      <c r="W512" s="255">
        <f>(W379+W390)*'Data - P&amp;L'!$C$16*'Data - P&amp;L'!$C$55</f>
        <v>0</v>
      </c>
      <c r="X512" s="255">
        <f>(X379+X390)*'Data - P&amp;L'!$C$16*'Data - P&amp;L'!$C$55</f>
        <v>0</v>
      </c>
      <c r="Y512" s="255">
        <f>(Y379+Y390)*'Data - P&amp;L'!$C$16*'Data - P&amp;L'!$C$55</f>
        <v>0</v>
      </c>
      <c r="Z512" s="255">
        <f>(Z379+Z390)*'Data - P&amp;L'!$C$16*'Data - P&amp;L'!$C$55</f>
        <v>0</v>
      </c>
      <c r="AA512" s="255">
        <f>(AA379+AA390)*'Data - P&amp;L'!$C$16*'Data - P&amp;L'!$C$55</f>
        <v>0</v>
      </c>
      <c r="AB512" s="255">
        <f>(AB379+AB390)*'Data - P&amp;L'!$C$16*'Data - P&amp;L'!$C$55</f>
        <v>0</v>
      </c>
      <c r="AC512" s="255">
        <f>(AC379+AC390)*'Data - P&amp;L'!$C$16*'Data - P&amp;L'!$C$55</f>
        <v>0</v>
      </c>
      <c r="AD512" s="255">
        <f>(AD379+AD390)*'Data - P&amp;L'!$C$16*'Data - P&amp;L'!$C$55</f>
        <v>0</v>
      </c>
      <c r="AE512" s="255">
        <f>(AE379+AE390)*'Data - P&amp;L'!$C$16*'Data - P&amp;L'!$C$55</f>
        <v>0</v>
      </c>
      <c r="AF512" s="255">
        <f>(AF379+AF390)*'Data - P&amp;L'!$C$16*'Data - P&amp;L'!$C$55</f>
        <v>0</v>
      </c>
      <c r="AG512" s="95">
        <f t="shared" si="141"/>
        <v>0</v>
      </c>
    </row>
    <row r="513" outlineLevel="1">
      <c r="A513" s="151" t="s">
        <v>422</v>
      </c>
      <c r="B513" s="255">
        <f>(B399+B412)*'Data - P&amp;L'!$C$6*'Data - P&amp;L'!$C$55</f>
        <v>0</v>
      </c>
      <c r="C513" s="255">
        <f>(C399+C412)*'Data - P&amp;L'!$C$6*'Data - P&amp;L'!$C$55</f>
        <v>0</v>
      </c>
      <c r="D513" s="255">
        <f>(D399+D412)*'Data - P&amp;L'!$C$6*'Data - P&amp;L'!$C$55</f>
        <v>0</v>
      </c>
      <c r="E513" s="255">
        <f>(E399+E412)*'Data - P&amp;L'!$C$6*'Data - P&amp;L'!$C$55</f>
        <v>0</v>
      </c>
      <c r="F513" s="255">
        <f>(F399+F412)*'Data - P&amp;L'!$C$6*'Data - P&amp;L'!$C$55</f>
        <v>0.549</v>
      </c>
      <c r="G513" s="255">
        <f>(G399+G412)*'Data - P&amp;L'!$C$6*'Data - P&amp;L'!$C$55</f>
        <v>0</v>
      </c>
      <c r="H513" s="255">
        <f>(H399+H412)*'Data - P&amp;L'!$C$6*'Data - P&amp;L'!$C$55</f>
        <v>0</v>
      </c>
      <c r="I513" s="255">
        <f>(I399+I412)*'Data - P&amp;L'!$C$6*'Data - P&amp;L'!$C$55</f>
        <v>0.549</v>
      </c>
      <c r="J513" s="255">
        <f>(J399+J412)*'Data - P&amp;L'!$C$6*'Data - P&amp;L'!$C$55</f>
        <v>0</v>
      </c>
      <c r="K513" s="255">
        <f>(K399+K412)*'Data - P&amp;L'!$C$6*'Data - P&amp;L'!$C$55</f>
        <v>0</v>
      </c>
      <c r="L513" s="255">
        <f>(L399+L412)*'Data - P&amp;L'!$C$6*'Data - P&amp;L'!$C$55</f>
        <v>0.549</v>
      </c>
      <c r="M513" s="255">
        <f>(M399+M412)*'Data - P&amp;L'!$C$6*'Data - P&amp;L'!$C$55</f>
        <v>0</v>
      </c>
      <c r="N513" s="255">
        <f>(N399+N412)*'Data - P&amp;L'!$C$6*'Data - P&amp;L'!$C$55</f>
        <v>0.549</v>
      </c>
      <c r="O513" s="255">
        <f>(O399+O412)*'Data - P&amp;L'!$C$6*'Data - P&amp;L'!$C$55</f>
        <v>0.549</v>
      </c>
      <c r="P513" s="255">
        <f>(P399+P412)*'Data - P&amp;L'!$C$6*'Data - P&amp;L'!$C$55</f>
        <v>1.098</v>
      </c>
      <c r="Q513" s="255">
        <f>(Q399+Q412)*'Data - P&amp;L'!$C$6*'Data - P&amp;L'!$C$55</f>
        <v>0</v>
      </c>
      <c r="R513" s="255">
        <f>(R399+R412)*'Data - P&amp;L'!$C$6*'Data - P&amp;L'!$C$55</f>
        <v>0</v>
      </c>
      <c r="S513" s="255">
        <f>(S399+S412)*'Data - P&amp;L'!$C$6*'Data - P&amp;L'!$C$55</f>
        <v>0</v>
      </c>
      <c r="T513" s="255">
        <f>(T399+T412)*'Data - P&amp;L'!$C$6*'Data - P&amp;L'!$C$55</f>
        <v>2.745</v>
      </c>
      <c r="U513" s="255">
        <f>(U399+U412)*'Data - P&amp;L'!$C$6*'Data - P&amp;L'!$C$55</f>
        <v>0</v>
      </c>
      <c r="V513" s="255">
        <f>(V399+V412)*'Data - P&amp;L'!$C$6*'Data - P&amp;L'!$C$55</f>
        <v>0</v>
      </c>
      <c r="W513" s="255">
        <f>(W399+W412)*'Data - P&amp;L'!$C$6*'Data - P&amp;L'!$C$55</f>
        <v>0</v>
      </c>
      <c r="X513" s="255">
        <f>(X399+X412)*'Data - P&amp;L'!$C$6*'Data - P&amp;L'!$C$55</f>
        <v>0</v>
      </c>
      <c r="Y513" s="255">
        <f>(Y399+Y412)*'Data - P&amp;L'!$C$6*'Data - P&amp;L'!$C$55</f>
        <v>0</v>
      </c>
      <c r="Z513" s="255">
        <f>(Z399+Z412)*'Data - P&amp;L'!$C$6*'Data - P&amp;L'!$C$55</f>
        <v>0</v>
      </c>
      <c r="AA513" s="255">
        <f>(AA399+AA412)*'Data - P&amp;L'!$C$6*'Data - P&amp;L'!$C$55</f>
        <v>1.098</v>
      </c>
      <c r="AB513" s="255">
        <f>(AB399+AB412)*'Data - P&amp;L'!$C$6*'Data - P&amp;L'!$C$55</f>
        <v>0.549</v>
      </c>
      <c r="AC513" s="255">
        <f>(AC399+AC412)*'Data - P&amp;L'!$C$6*'Data - P&amp;L'!$C$55</f>
        <v>0</v>
      </c>
      <c r="AD513" s="255">
        <f>(AD399+AD412)*'Data - P&amp;L'!$C$6*'Data - P&amp;L'!$C$55</f>
        <v>0</v>
      </c>
      <c r="AE513" s="255">
        <f>(AE399+AE412)*'Data - P&amp;L'!$C$6*'Data - P&amp;L'!$C$55</f>
        <v>0</v>
      </c>
      <c r="AF513" s="255">
        <f>(AF399+AF412)*'Data - P&amp;L'!$C$6*'Data - P&amp;L'!$C$55</f>
        <v>0</v>
      </c>
      <c r="AG513" s="95">
        <f t="shared" si="141"/>
        <v>8.235</v>
      </c>
    </row>
    <row r="514" outlineLevel="1">
      <c r="A514" s="151" t="s">
        <v>423</v>
      </c>
      <c r="B514" s="255">
        <f>(B400+B413)*'Data - P&amp;L'!$C$8*'Data - P&amp;L'!$C$55</f>
        <v>0.238</v>
      </c>
      <c r="C514" s="255">
        <f>(C400+C413)*'Data - P&amp;L'!$C$8*'Data - P&amp;L'!$C$55</f>
        <v>0</v>
      </c>
      <c r="D514" s="255">
        <f>(D400+D413)*'Data - P&amp;L'!$C$8*'Data - P&amp;L'!$C$55</f>
        <v>0</v>
      </c>
      <c r="E514" s="255">
        <f>(E400+E413)*'Data - P&amp;L'!$C$8*'Data - P&amp;L'!$C$55</f>
        <v>0.357</v>
      </c>
      <c r="F514" s="255">
        <f>(F400+F413)*'Data - P&amp;L'!$C$8*'Data - P&amp;L'!$C$55</f>
        <v>0.238</v>
      </c>
      <c r="G514" s="255">
        <f>(G400+G413)*'Data - P&amp;L'!$C$8*'Data - P&amp;L'!$C$55</f>
        <v>0</v>
      </c>
      <c r="H514" s="255">
        <f>(H400+H413)*'Data - P&amp;L'!$C$8*'Data - P&amp;L'!$C$55</f>
        <v>0</v>
      </c>
      <c r="I514" s="255">
        <f>(I400+I413)*'Data - P&amp;L'!$C$8*'Data - P&amp;L'!$C$55</f>
        <v>0</v>
      </c>
      <c r="J514" s="255">
        <f>(J400+J413)*'Data - P&amp;L'!$C$8*'Data - P&amp;L'!$C$55</f>
        <v>0</v>
      </c>
      <c r="K514" s="255">
        <f>(K400+K413)*'Data - P&amp;L'!$C$8*'Data - P&amp;L'!$C$55</f>
        <v>0</v>
      </c>
      <c r="L514" s="255">
        <f>(L400+L413)*'Data - P&amp;L'!$C$8*'Data - P&amp;L'!$C$55</f>
        <v>0.238</v>
      </c>
      <c r="M514" s="255">
        <f>(M400+M413)*'Data - P&amp;L'!$C$8*'Data - P&amp;L'!$C$55</f>
        <v>0</v>
      </c>
      <c r="N514" s="255">
        <f>(N400+N413)*'Data - P&amp;L'!$C$8*'Data - P&amp;L'!$C$55</f>
        <v>0.119</v>
      </c>
      <c r="O514" s="255">
        <f>(O400+O413)*'Data - P&amp;L'!$C$8*'Data - P&amp;L'!$C$55</f>
        <v>0.238</v>
      </c>
      <c r="P514" s="255">
        <f>(P400+P413)*'Data - P&amp;L'!$C$8*'Data - P&amp;L'!$C$55</f>
        <v>0.476</v>
      </c>
      <c r="Q514" s="255">
        <f>(Q400+Q413)*'Data - P&amp;L'!$C$8*'Data - P&amp;L'!$C$55</f>
        <v>0</v>
      </c>
      <c r="R514" s="255">
        <f>(R400+R413)*'Data - P&amp;L'!$C$8*'Data - P&amp;L'!$C$55</f>
        <v>0</v>
      </c>
      <c r="S514" s="255">
        <f>(S400+S413)*'Data - P&amp;L'!$C$8*'Data - P&amp;L'!$C$55</f>
        <v>0</v>
      </c>
      <c r="T514" s="255">
        <f>(T400+T413)*'Data - P&amp;L'!$C$8*'Data - P&amp;L'!$C$55</f>
        <v>0.238</v>
      </c>
      <c r="U514" s="255">
        <f>(U400+U413)*'Data - P&amp;L'!$C$8*'Data - P&amp;L'!$C$55</f>
        <v>0</v>
      </c>
      <c r="V514" s="255">
        <f>(V400+V413)*'Data - P&amp;L'!$C$8*'Data - P&amp;L'!$C$55</f>
        <v>0.119</v>
      </c>
      <c r="W514" s="255">
        <f>(W400+W413)*'Data - P&amp;L'!$C$8*'Data - P&amp;L'!$C$55</f>
        <v>0</v>
      </c>
      <c r="X514" s="255">
        <f>(X400+X413)*'Data - P&amp;L'!$C$8*'Data - P&amp;L'!$C$55</f>
        <v>0</v>
      </c>
      <c r="Y514" s="255">
        <f>(Y400+Y413)*'Data - P&amp;L'!$C$8*'Data - P&amp;L'!$C$55</f>
        <v>0</v>
      </c>
      <c r="Z514" s="255">
        <f>(Z400+Z413)*'Data - P&amp;L'!$C$8*'Data - P&amp;L'!$C$55</f>
        <v>0</v>
      </c>
      <c r="AA514" s="255">
        <f>(AA400+AA413)*'Data - P&amp;L'!$C$8*'Data - P&amp;L'!$C$55</f>
        <v>0.476</v>
      </c>
      <c r="AB514" s="255">
        <f>(AB400+AB413)*'Data - P&amp;L'!$C$8*'Data - P&amp;L'!$C$55</f>
        <v>0.119</v>
      </c>
      <c r="AC514" s="255">
        <f>(AC400+AC413)*'Data - P&amp;L'!$C$8*'Data - P&amp;L'!$C$55</f>
        <v>0.238</v>
      </c>
      <c r="AD514" s="255">
        <f>(AD400+AD413)*'Data - P&amp;L'!$C$8*'Data - P&amp;L'!$C$55</f>
        <v>0</v>
      </c>
      <c r="AE514" s="255">
        <f>(AE400+AE413)*'Data - P&amp;L'!$C$8*'Data - P&amp;L'!$C$55</f>
        <v>0</v>
      </c>
      <c r="AF514" s="255">
        <f>(AF400+AF413)*'Data - P&amp;L'!$C$8*'Data - P&amp;L'!$C$55</f>
        <v>0</v>
      </c>
      <c r="AG514" s="95">
        <f t="shared" si="141"/>
        <v>3.094</v>
      </c>
    </row>
    <row r="515" outlineLevel="1">
      <c r="A515" s="151" t="s">
        <v>424</v>
      </c>
      <c r="B515" s="255">
        <f>(B401+B402+B414+B415)*'Data - P&amp;L'!$C$9*'Data - P&amp;L'!$C$55</f>
        <v>0</v>
      </c>
      <c r="C515" s="255">
        <f>(C401+C402+C414+C415)*'Data - P&amp;L'!$C$9*'Data - P&amp;L'!$C$55</f>
        <v>0</v>
      </c>
      <c r="D515" s="255">
        <f>(D401+D402+D414+D415)*'Data - P&amp;L'!$C$9*'Data - P&amp;L'!$C$55</f>
        <v>0</v>
      </c>
      <c r="E515" s="255">
        <f>(E401+E402+E414+E415)*'Data - P&amp;L'!$C$9*'Data - P&amp;L'!$C$55</f>
        <v>0</v>
      </c>
      <c r="F515" s="255">
        <f>(F401+F402+F414+F415)*'Data - P&amp;L'!$C$9*'Data - P&amp;L'!$C$55</f>
        <v>0.666</v>
      </c>
      <c r="G515" s="255">
        <f>(G401+G402+G414+G415)*'Data - P&amp;L'!$C$9*'Data - P&amp;L'!$C$55</f>
        <v>0</v>
      </c>
      <c r="H515" s="255">
        <f>(H401+H402+H414+H415)*'Data - P&amp;L'!$C$9*'Data - P&amp;L'!$C$55</f>
        <v>0</v>
      </c>
      <c r="I515" s="255">
        <f>(I401+I402+I414+I415)*'Data - P&amp;L'!$C$9*'Data - P&amp;L'!$C$55</f>
        <v>0</v>
      </c>
      <c r="J515" s="255">
        <f>(J401+J402+J414+J415)*'Data - P&amp;L'!$C$9*'Data - P&amp;L'!$C$55</f>
        <v>0</v>
      </c>
      <c r="K515" s="255">
        <f>(K401+K402+K414+K415)*'Data - P&amp;L'!$C$9*'Data - P&amp;L'!$C$55</f>
        <v>0</v>
      </c>
      <c r="L515" s="255">
        <f>(L401+L402+L414+L415)*'Data - P&amp;L'!$C$9*'Data - P&amp;L'!$C$55</f>
        <v>0</v>
      </c>
      <c r="M515" s="255">
        <f>(M401+M402+M414+M415)*'Data - P&amp;L'!$C$9*'Data - P&amp;L'!$C$55</f>
        <v>0</v>
      </c>
      <c r="N515" s="255">
        <f>(N401+N402+N414+N415)*'Data - P&amp;L'!$C$9*'Data - P&amp;L'!$C$55</f>
        <v>0</v>
      </c>
      <c r="O515" s="255">
        <f>(O401+O402+O414+O415)*'Data - P&amp;L'!$C$9*'Data - P&amp;L'!$C$55</f>
        <v>0</v>
      </c>
      <c r="P515" s="255">
        <f>(P401+P402+P414+P415)*'Data - P&amp;L'!$C$9*'Data - P&amp;L'!$C$55</f>
        <v>0.666</v>
      </c>
      <c r="Q515" s="255">
        <f>(Q401+Q402+Q414+Q415)*'Data - P&amp;L'!$C$9*'Data - P&amp;L'!$C$55</f>
        <v>0</v>
      </c>
      <c r="R515" s="255">
        <f>(R401+R402+R414+R415)*'Data - P&amp;L'!$C$9*'Data - P&amp;L'!$C$55</f>
        <v>0</v>
      </c>
      <c r="S515" s="255">
        <f>(S401+S402+S414+S415)*'Data - P&amp;L'!$C$9*'Data - P&amp;L'!$C$55</f>
        <v>0.666</v>
      </c>
      <c r="T515" s="255">
        <f>(T401+T402+T414+T415)*'Data - P&amp;L'!$C$9*'Data - P&amp;L'!$C$55</f>
        <v>0</v>
      </c>
      <c r="U515" s="255">
        <f>(U401+U402+U414+U415)*'Data - P&amp;L'!$C$9*'Data - P&amp;L'!$C$55</f>
        <v>0</v>
      </c>
      <c r="V515" s="255">
        <f>(V401+V402+V414+V415)*'Data - P&amp;L'!$C$9*'Data - P&amp;L'!$C$55</f>
        <v>0.666</v>
      </c>
      <c r="W515" s="255">
        <f>(W401+W402+W414+W415)*'Data - P&amp;L'!$C$9*'Data - P&amp;L'!$C$55</f>
        <v>0</v>
      </c>
      <c r="X515" s="255">
        <f>(X401+X402+X414+X415)*'Data - P&amp;L'!$C$9*'Data - P&amp;L'!$C$55</f>
        <v>0</v>
      </c>
      <c r="Y515" s="255">
        <f>(Y401+Y402+Y414+Y415)*'Data - P&amp;L'!$C$9*'Data - P&amp;L'!$C$55</f>
        <v>0</v>
      </c>
      <c r="Z515" s="255">
        <f>(Z401+Z402+Z414+Z415)*'Data - P&amp;L'!$C$9*'Data - P&amp;L'!$C$55</f>
        <v>0</v>
      </c>
      <c r="AA515" s="255">
        <f>(AA401+AA402+AA414+AA415)*'Data - P&amp;L'!$C$9*'Data - P&amp;L'!$C$55</f>
        <v>0</v>
      </c>
      <c r="AB515" s="255">
        <f>(AB401+AB402+AB414+AB415)*'Data - P&amp;L'!$C$9*'Data - P&amp;L'!$C$55</f>
        <v>0</v>
      </c>
      <c r="AC515" s="255">
        <f>(AC401+AC402+AC414+AC415)*'Data - P&amp;L'!$C$9*'Data - P&amp;L'!$C$55</f>
        <v>0.666</v>
      </c>
      <c r="AD515" s="255">
        <f>(AD401+AD402+AD414+AD415)*'Data - P&amp;L'!$C$9*'Data - P&amp;L'!$C$55</f>
        <v>0</v>
      </c>
      <c r="AE515" s="255">
        <f>(AE401+AE402+AE414+AE415)*'Data - P&amp;L'!$C$9*'Data - P&amp;L'!$C$55</f>
        <v>0</v>
      </c>
      <c r="AF515" s="255">
        <f>(AF401+AF402+AF414+AF415)*'Data - P&amp;L'!$C$9*'Data - P&amp;L'!$C$55</f>
        <v>0</v>
      </c>
      <c r="AG515" s="95">
        <f t="shared" si="141"/>
        <v>3.33</v>
      </c>
    </row>
    <row r="516" outlineLevel="1">
      <c r="A516" s="151" t="s">
        <v>425</v>
      </c>
      <c r="B516" s="255">
        <f>(B403+B404+B416+B417)*'Data - P&amp;L'!$C$5*'Data - P&amp;L'!$C$55</f>
        <v>0</v>
      </c>
      <c r="C516" s="255">
        <f>(C403+C404+C416+C417)*'Data - P&amp;L'!$C$5*'Data - P&amp;L'!$C$55</f>
        <v>0</v>
      </c>
      <c r="D516" s="255">
        <f>(D403+D404+D416+D417)*'Data - P&amp;L'!$C$5*'Data - P&amp;L'!$C$55</f>
        <v>0</v>
      </c>
      <c r="E516" s="255">
        <f>(E403+E404+E416+E417)*'Data - P&amp;L'!$C$5*'Data - P&amp;L'!$C$55</f>
        <v>0</v>
      </c>
      <c r="F516" s="255">
        <f>(F403+F404+F416+F417)*'Data - P&amp;L'!$C$5*'Data - P&amp;L'!$C$55</f>
        <v>2.688</v>
      </c>
      <c r="G516" s="255">
        <f>(G403+G404+G416+G417)*'Data - P&amp;L'!$C$5*'Data - P&amp;L'!$C$55</f>
        <v>0</v>
      </c>
      <c r="H516" s="255">
        <f>(H403+H404+H416+H417)*'Data - P&amp;L'!$C$5*'Data - P&amp;L'!$C$55</f>
        <v>0</v>
      </c>
      <c r="I516" s="255">
        <f>(I403+I404+I416+I417)*'Data - P&amp;L'!$C$5*'Data - P&amp;L'!$C$55</f>
        <v>2.688</v>
      </c>
      <c r="J516" s="255">
        <f>(J403+J404+J416+J417)*'Data - P&amp;L'!$C$5*'Data - P&amp;L'!$C$55</f>
        <v>0</v>
      </c>
      <c r="K516" s="255">
        <f>(K403+K404+K416+K417)*'Data - P&amp;L'!$C$5*'Data - P&amp;L'!$C$55</f>
        <v>0</v>
      </c>
      <c r="L516" s="255">
        <f>(L403+L404+L416+L417)*'Data - P&amp;L'!$C$5*'Data - P&amp;L'!$C$55</f>
        <v>0</v>
      </c>
      <c r="M516" s="255">
        <f>(M403+M404+M416+M417)*'Data - P&amp;L'!$C$5*'Data - P&amp;L'!$C$55</f>
        <v>1.344</v>
      </c>
      <c r="N516" s="255">
        <f>(N403+N404+N416+N417)*'Data - P&amp;L'!$C$5*'Data - P&amp;L'!$C$55</f>
        <v>1.344</v>
      </c>
      <c r="O516" s="255">
        <f>(O403+O404+O416+O417)*'Data - P&amp;L'!$C$5*'Data - P&amp;L'!$C$55</f>
        <v>1.344</v>
      </c>
      <c r="P516" s="255">
        <f>(P403+P404+P416+P417)*'Data - P&amp;L'!$C$5*'Data - P&amp;L'!$C$55</f>
        <v>0</v>
      </c>
      <c r="Q516" s="255">
        <f>(Q403+Q404+Q416+Q417)*'Data - P&amp;L'!$C$5*'Data - P&amp;L'!$C$55</f>
        <v>0</v>
      </c>
      <c r="R516" s="255">
        <f>(R403+R404+R416+R417)*'Data - P&amp;L'!$C$5*'Data - P&amp;L'!$C$55</f>
        <v>0</v>
      </c>
      <c r="S516" s="255">
        <f>(S403+S404+S416+S417)*'Data - P&amp;L'!$C$5*'Data - P&amp;L'!$C$55</f>
        <v>1.344</v>
      </c>
      <c r="T516" s="255">
        <f>(T403+T404+T416+T417)*'Data - P&amp;L'!$C$5*'Data - P&amp;L'!$C$55</f>
        <v>0</v>
      </c>
      <c r="U516" s="255">
        <f>(U403+U404+U416+U417)*'Data - P&amp;L'!$C$5*'Data - P&amp;L'!$C$55</f>
        <v>6.72</v>
      </c>
      <c r="V516" s="255">
        <f>(V403+V404+V416+V417)*'Data - P&amp;L'!$C$5*'Data - P&amp;L'!$C$55</f>
        <v>0</v>
      </c>
      <c r="W516" s="255">
        <f>(W403+W404+W416+W417)*'Data - P&amp;L'!$C$5*'Data - P&amp;L'!$C$55</f>
        <v>0</v>
      </c>
      <c r="X516" s="255">
        <f>(X403+X404+X416+X417)*'Data - P&amp;L'!$C$5*'Data - P&amp;L'!$C$55</f>
        <v>0</v>
      </c>
      <c r="Y516" s="255">
        <f>(Y403+Y404+Y416+Y417)*'Data - P&amp;L'!$C$5*'Data - P&amp;L'!$C$55</f>
        <v>0</v>
      </c>
      <c r="Z516" s="255">
        <f>(Z403+Z404+Z416+Z417)*'Data - P&amp;L'!$C$5*'Data - P&amp;L'!$C$55</f>
        <v>0</v>
      </c>
      <c r="AA516" s="255">
        <f>(AA403+AA404+AA416+AA417)*'Data - P&amp;L'!$C$5*'Data - P&amp;L'!$C$55</f>
        <v>0</v>
      </c>
      <c r="AB516" s="255">
        <f>(AB403+AB404+AB416+AB417)*'Data - P&amp;L'!$C$5*'Data - P&amp;L'!$C$55</f>
        <v>0</v>
      </c>
      <c r="AC516" s="255">
        <f>(AC403+AC404+AC416+AC417)*'Data - P&amp;L'!$C$5*'Data - P&amp;L'!$C$55</f>
        <v>1.344</v>
      </c>
      <c r="AD516" s="255">
        <f>(AD403+AD404+AD416+AD417)*'Data - P&amp;L'!$C$5*'Data - P&amp;L'!$C$55</f>
        <v>1.344</v>
      </c>
      <c r="AE516" s="255">
        <f>(AE403+AE404+AE416+AE417)*'Data - P&amp;L'!$C$5*'Data - P&amp;L'!$C$55</f>
        <v>0</v>
      </c>
      <c r="AF516" s="255">
        <f>(AF403+AF404+AF416+AF417)*'Data - P&amp;L'!$C$5*'Data - P&amp;L'!$C$55</f>
        <v>0</v>
      </c>
      <c r="AG516" s="95">
        <f t="shared" si="141"/>
        <v>20.16</v>
      </c>
    </row>
    <row r="517" outlineLevel="1">
      <c r="A517" s="151" t="s">
        <v>426</v>
      </c>
      <c r="B517" s="255">
        <f>(B405+B406+B418+B419)*'Data - P&amp;L'!$C$10*'Data - P&amp;L'!$C$55</f>
        <v>0</v>
      </c>
      <c r="C517" s="255">
        <f>(C405+C406+C418+C419)*'Data - P&amp;L'!$C$10*'Data - P&amp;L'!$C$55</f>
        <v>0</v>
      </c>
      <c r="D517" s="255">
        <f>(D405+D406+D418+D419)*'Data - P&amp;L'!$C$10*'Data - P&amp;L'!$C$55</f>
        <v>0</v>
      </c>
      <c r="E517" s="255">
        <f>(E405+E406+E418+E419)*'Data - P&amp;L'!$C$10*'Data - P&amp;L'!$C$55</f>
        <v>0</v>
      </c>
      <c r="F517" s="255">
        <f>(F405+F406+F418+F419)*'Data - P&amp;L'!$C$10*'Data - P&amp;L'!$C$55</f>
        <v>0</v>
      </c>
      <c r="G517" s="255">
        <f>(G405+G406+G418+G419)*'Data - P&amp;L'!$C$10*'Data - P&amp;L'!$C$55</f>
        <v>0</v>
      </c>
      <c r="H517" s="255">
        <f>(H405+H406+H418+H419)*'Data - P&amp;L'!$C$10*'Data - P&amp;L'!$C$55</f>
        <v>0</v>
      </c>
      <c r="I517" s="255">
        <f>(I405+I406+I418+I419)*'Data - P&amp;L'!$C$10*'Data - P&amp;L'!$C$55</f>
        <v>0</v>
      </c>
      <c r="J517" s="255">
        <f>(J405+J406+J418+J419)*'Data - P&amp;L'!$C$10*'Data - P&amp;L'!$C$55</f>
        <v>0</v>
      </c>
      <c r="K517" s="255">
        <f>(K405+K406+K418+K419)*'Data - P&amp;L'!$C$10*'Data - P&amp;L'!$C$55</f>
        <v>0</v>
      </c>
      <c r="L517" s="255">
        <f>(L405+L406+L418+L419)*'Data - P&amp;L'!$C$10*'Data - P&amp;L'!$C$55</f>
        <v>0.6</v>
      </c>
      <c r="M517" s="255">
        <f>(M405+M406+M418+M419)*'Data - P&amp;L'!$C$10*'Data - P&amp;L'!$C$55</f>
        <v>0</v>
      </c>
      <c r="N517" s="255">
        <f>(N405+N406+N418+N419)*'Data - P&amp;L'!$C$10*'Data - P&amp;L'!$C$55</f>
        <v>0</v>
      </c>
      <c r="O517" s="255">
        <f>(O405+O406+O418+O419)*'Data - P&amp;L'!$C$10*'Data - P&amp;L'!$C$55</f>
        <v>0</v>
      </c>
      <c r="P517" s="255">
        <f>(P405+P406+P418+P419)*'Data - P&amp;L'!$C$10*'Data - P&amp;L'!$C$55</f>
        <v>0.6</v>
      </c>
      <c r="Q517" s="255">
        <f>(Q405+Q406+Q418+Q419)*'Data - P&amp;L'!$C$10*'Data - P&amp;L'!$C$55</f>
        <v>0</v>
      </c>
      <c r="R517" s="255">
        <f>(R405+R406+R418+R419)*'Data - P&amp;L'!$C$10*'Data - P&amp;L'!$C$55</f>
        <v>0</v>
      </c>
      <c r="S517" s="255">
        <f>(S405+S406+S418+S419)*'Data - P&amp;L'!$C$10*'Data - P&amp;L'!$C$55</f>
        <v>0.6</v>
      </c>
      <c r="T517" s="255">
        <f>(T405+T406+T418+T419)*'Data - P&amp;L'!$C$10*'Data - P&amp;L'!$C$55</f>
        <v>1.8</v>
      </c>
      <c r="U517" s="255">
        <f>(U405+U406+U418+U419)*'Data - P&amp;L'!$C$10*'Data - P&amp;L'!$C$55</f>
        <v>0</v>
      </c>
      <c r="V517" s="255">
        <f>(V405+V406+V418+V419)*'Data - P&amp;L'!$C$10*'Data - P&amp;L'!$C$55</f>
        <v>0</v>
      </c>
      <c r="W517" s="255">
        <f>(W405+W406+W418+W419)*'Data - P&amp;L'!$C$10*'Data - P&amp;L'!$C$55</f>
        <v>0</v>
      </c>
      <c r="X517" s="255">
        <f>(X405+X406+X418+X419)*'Data - P&amp;L'!$C$10*'Data - P&amp;L'!$C$55</f>
        <v>0</v>
      </c>
      <c r="Y517" s="255">
        <f>(Y405+Y406+Y418+Y419)*'Data - P&amp;L'!$C$10*'Data - P&amp;L'!$C$55</f>
        <v>0</v>
      </c>
      <c r="Z517" s="255">
        <f>(Z405+Z406+Z418+Z419)*'Data - P&amp;L'!$C$10*'Data - P&amp;L'!$C$55</f>
        <v>0</v>
      </c>
      <c r="AA517" s="255">
        <f>(AA405+AA406+AA418+AA419)*'Data - P&amp;L'!$C$10*'Data - P&amp;L'!$C$55</f>
        <v>1.2</v>
      </c>
      <c r="AB517" s="255">
        <f>(AB405+AB406+AB418+AB419)*'Data - P&amp;L'!$C$10*'Data - P&amp;L'!$C$55</f>
        <v>0</v>
      </c>
      <c r="AC517" s="255">
        <f>(AC405+AC406+AC418+AC419)*'Data - P&amp;L'!$C$10*'Data - P&amp;L'!$C$55</f>
        <v>0</v>
      </c>
      <c r="AD517" s="255">
        <f>(AD405+AD406+AD418+AD419)*'Data - P&amp;L'!$C$10*'Data - P&amp;L'!$C$55</f>
        <v>0</v>
      </c>
      <c r="AE517" s="255">
        <f>(AE405+AE406+AE418+AE419)*'Data - P&amp;L'!$C$10*'Data - P&amp;L'!$C$55</f>
        <v>0</v>
      </c>
      <c r="AF517" s="255">
        <f>(AF405+AF406+AF418+AF419)*'Data - P&amp;L'!$C$10*'Data - P&amp;L'!$C$55</f>
        <v>0</v>
      </c>
      <c r="AG517" s="95">
        <f t="shared" si="141"/>
        <v>4.8</v>
      </c>
    </row>
    <row r="518" outlineLevel="1">
      <c r="A518" s="151" t="s">
        <v>440</v>
      </c>
      <c r="B518" s="255">
        <f>((B381+B382+B392+B393)*'Data - P&amp;L'!$C$13)*'Data - P&amp;L'!$C$55</f>
        <v>0</v>
      </c>
      <c r="C518" s="255">
        <f>((C381+C382+C392+C393)*'Data - P&amp;L'!$C$13)*'Data - P&amp;L'!$C$55</f>
        <v>0</v>
      </c>
      <c r="D518" s="255">
        <f>((D381+D382+D392+D393)*'Data - P&amp;L'!$C$13)*'Data - P&amp;L'!$C$55</f>
        <v>0</v>
      </c>
      <c r="E518" s="255">
        <f>((E381+E382+E392+E393)*'Data - P&amp;L'!$C$13)*'Data - P&amp;L'!$C$55</f>
        <v>0</v>
      </c>
      <c r="F518" s="255">
        <f>((F381+F382+F392+F393)*'Data - P&amp;L'!$C$13)*'Data - P&amp;L'!$C$55</f>
        <v>0</v>
      </c>
      <c r="G518" s="255">
        <f>((G381+G382+G392+G393)*'Data - P&amp;L'!$C$13)*'Data - P&amp;L'!$C$55</f>
        <v>0</v>
      </c>
      <c r="H518" s="255">
        <f>((H381+H382+H392+H393)*'Data - P&amp;L'!$C$13)*'Data - P&amp;L'!$C$55</f>
        <v>0</v>
      </c>
      <c r="I518" s="255">
        <f>((I381+I382+I392+I393)*'Data - P&amp;L'!$C$13)*'Data - P&amp;L'!$C$55</f>
        <v>0</v>
      </c>
      <c r="J518" s="255">
        <f>((J381+J382+J392+J393)*'Data - P&amp;L'!$C$13)*'Data - P&amp;L'!$C$55</f>
        <v>0</v>
      </c>
      <c r="K518" s="255">
        <f>((K381+K382+K392+K393)*'Data - P&amp;L'!$C$13)*'Data - P&amp;L'!$C$55</f>
        <v>0</v>
      </c>
      <c r="L518" s="255">
        <f>((L381+L382+L392+L393)*'Data - P&amp;L'!$C$13)*'Data - P&amp;L'!$C$55</f>
        <v>0</v>
      </c>
      <c r="M518" s="255">
        <f>((M381+M382+M392+M393)*'Data - P&amp;L'!$C$13)*'Data - P&amp;L'!$C$55</f>
        <v>0</v>
      </c>
      <c r="N518" s="255">
        <f>((N381+N382+N392+N393)*'Data - P&amp;L'!$C$13)*'Data - P&amp;L'!$C$55</f>
        <v>0</v>
      </c>
      <c r="O518" s="255">
        <f>((O381+O382+O392+O393)*'Data - P&amp;L'!$C$13)*'Data - P&amp;L'!$C$55</f>
        <v>0</v>
      </c>
      <c r="P518" s="255">
        <f>((P381+P382+P392+P393)*'Data - P&amp;L'!$C$13)*'Data - P&amp;L'!$C$55</f>
        <v>0</v>
      </c>
      <c r="Q518" s="255">
        <f>((Q381+Q382+Q392+Q393)*'Data - P&amp;L'!$C$13)*'Data - P&amp;L'!$C$55</f>
        <v>0</v>
      </c>
      <c r="R518" s="255">
        <f>((R381+R382+R392+R393)*'Data - P&amp;L'!$C$13)*'Data - P&amp;L'!$C$55</f>
        <v>0</v>
      </c>
      <c r="S518" s="255">
        <f>((S381+S382+S392+S393)*'Data - P&amp;L'!$C$13)*'Data - P&amp;L'!$C$55</f>
        <v>0</v>
      </c>
      <c r="T518" s="255">
        <f>((T381+T382+T392+T393)*'Data - P&amp;L'!$C$13)*'Data - P&amp;L'!$C$55</f>
        <v>0</v>
      </c>
      <c r="U518" s="255">
        <f>((U381+U382+U392+U393)*'Data - P&amp;L'!$C$13)*'Data - P&amp;L'!$C$55</f>
        <v>0</v>
      </c>
      <c r="V518" s="255">
        <f>((V381+V382+V392+V393)*'Data - P&amp;L'!$C$13)*'Data - P&amp;L'!$C$55</f>
        <v>0</v>
      </c>
      <c r="W518" s="255">
        <f>((W381+W382+W392+W393)*'Data - P&amp;L'!$C$13)*'Data - P&amp;L'!$C$55</f>
        <v>0</v>
      </c>
      <c r="X518" s="255">
        <f>((X381+X382+X392+X393)*'Data - P&amp;L'!$C$13)*'Data - P&amp;L'!$C$55</f>
        <v>0</v>
      </c>
      <c r="Y518" s="255">
        <f>((Y381+Y382+Y392+Y393)*'Data - P&amp;L'!$C$13)*'Data - P&amp;L'!$C$55</f>
        <v>0</v>
      </c>
      <c r="Z518" s="255">
        <f>((Z381+Z382+Z392+Z393)*'Data - P&amp;L'!$C$13)*'Data - P&amp;L'!$C$55</f>
        <v>0</v>
      </c>
      <c r="AA518" s="255">
        <f>((AA381+AA382+AA392+AA393)*'Data - P&amp;L'!$C$13)*'Data - P&amp;L'!$C$55</f>
        <v>0</v>
      </c>
      <c r="AB518" s="255">
        <f>((AB381+AB382+AB392+AB393)*'Data - P&amp;L'!$C$13)*'Data - P&amp;L'!$C$55</f>
        <v>0</v>
      </c>
      <c r="AC518" s="255">
        <f>((AC381+AC382+AC392+AC393)*'Data - P&amp;L'!$C$13)*'Data - P&amp;L'!$C$55</f>
        <v>0</v>
      </c>
      <c r="AD518" s="255">
        <f>((AD381+AD382+AD392+AD393)*'Data - P&amp;L'!$C$13)*'Data - P&amp;L'!$C$55</f>
        <v>0</v>
      </c>
      <c r="AE518" s="255">
        <f>((AE381+AE382+AE392+AE393)*'Data - P&amp;L'!$C$13)*'Data - P&amp;L'!$C$55</f>
        <v>0</v>
      </c>
      <c r="AF518" s="255">
        <f>((AF381+AF382+AF392+AF393)*'Data - P&amp;L'!$C$13)*'Data - P&amp;L'!$C$55</f>
        <v>0</v>
      </c>
      <c r="AG518" s="95">
        <f t="shared" si="141"/>
        <v>0</v>
      </c>
    </row>
    <row r="519" outlineLevel="1">
      <c r="A519" s="151" t="s">
        <v>441</v>
      </c>
      <c r="B519" s="255">
        <f>((B383+B394)*'Data - P&amp;L'!$C$14)*'Data - P&amp;L'!$C$55</f>
        <v>0</v>
      </c>
      <c r="C519" s="255">
        <f>((C383+C394)*'Data - P&amp;L'!$C$14)*'Data - P&amp;L'!$C$55</f>
        <v>0</v>
      </c>
      <c r="D519" s="255">
        <f>((D383+D394)*'Data - P&amp;L'!$C$14)*'Data - P&amp;L'!$C$55</f>
        <v>0</v>
      </c>
      <c r="E519" s="255">
        <f>((E383+E394)*'Data - P&amp;L'!$C$14)*'Data - P&amp;L'!$C$55</f>
        <v>0</v>
      </c>
      <c r="F519" s="255">
        <f>((F383+F394)*'Data - P&amp;L'!$C$14)*'Data - P&amp;L'!$C$55</f>
        <v>0</v>
      </c>
      <c r="G519" s="255">
        <f>((G383+G394)*'Data - P&amp;L'!$C$14)*'Data - P&amp;L'!$C$55</f>
        <v>0</v>
      </c>
      <c r="H519" s="255">
        <f>((H383+H394)*'Data - P&amp;L'!$C$14)*'Data - P&amp;L'!$C$55</f>
        <v>0</v>
      </c>
      <c r="I519" s="255">
        <f>((I383+I394)*'Data - P&amp;L'!$C$14)*'Data - P&amp;L'!$C$55</f>
        <v>0</v>
      </c>
      <c r="J519" s="255">
        <f>((J383+J394)*'Data - P&amp;L'!$C$14)*'Data - P&amp;L'!$C$55</f>
        <v>0</v>
      </c>
      <c r="K519" s="255">
        <f>((K383+K394)*'Data - P&amp;L'!$C$14)*'Data - P&amp;L'!$C$55</f>
        <v>0</v>
      </c>
      <c r="L519" s="255">
        <f>((L383+L394)*'Data - P&amp;L'!$C$14)*'Data - P&amp;L'!$C$55</f>
        <v>0</v>
      </c>
      <c r="M519" s="255">
        <f>((M383+M394)*'Data - P&amp;L'!$C$14)*'Data - P&amp;L'!$C$55</f>
        <v>0</v>
      </c>
      <c r="N519" s="255">
        <f>((N383+N394)*'Data - P&amp;L'!$C$14)*'Data - P&amp;L'!$C$55</f>
        <v>0</v>
      </c>
      <c r="O519" s="255">
        <f>((O383+O394)*'Data - P&amp;L'!$C$14)*'Data - P&amp;L'!$C$55</f>
        <v>0</v>
      </c>
      <c r="P519" s="255">
        <f>((P383+P394)*'Data - P&amp;L'!$C$14)*'Data - P&amp;L'!$C$55</f>
        <v>0</v>
      </c>
      <c r="Q519" s="255">
        <f>((Q383+Q394)*'Data - P&amp;L'!$C$14)*'Data - P&amp;L'!$C$55</f>
        <v>0</v>
      </c>
      <c r="R519" s="255">
        <f>((R383+R394)*'Data - P&amp;L'!$C$14)*'Data - P&amp;L'!$C$55</f>
        <v>0</v>
      </c>
      <c r="S519" s="255">
        <f>((S383+S394)*'Data - P&amp;L'!$C$14)*'Data - P&amp;L'!$C$55</f>
        <v>0</v>
      </c>
      <c r="T519" s="255">
        <f>((T383+T394)*'Data - P&amp;L'!$C$14)*'Data - P&amp;L'!$C$55</f>
        <v>0</v>
      </c>
      <c r="U519" s="255">
        <f>((U383+U394)*'Data - P&amp;L'!$C$14)*'Data - P&amp;L'!$C$55</f>
        <v>0</v>
      </c>
      <c r="V519" s="255">
        <f>((V383+V394)*'Data - P&amp;L'!$C$14)*'Data - P&amp;L'!$C$55</f>
        <v>0</v>
      </c>
      <c r="W519" s="255">
        <f>((W383+W394)*'Data - P&amp;L'!$C$14)*'Data - P&amp;L'!$C$55</f>
        <v>0</v>
      </c>
      <c r="X519" s="255">
        <f>((X383+X394)*'Data - P&amp;L'!$C$14)*'Data - P&amp;L'!$C$55</f>
        <v>0</v>
      </c>
      <c r="Y519" s="255">
        <f>((Y383+Y394)*'Data - P&amp;L'!$C$14)*'Data - P&amp;L'!$C$55</f>
        <v>0</v>
      </c>
      <c r="Z519" s="255">
        <f>((Z383+Z394)*'Data - P&amp;L'!$C$14)*'Data - P&amp;L'!$C$55</f>
        <v>0</v>
      </c>
      <c r="AA519" s="255">
        <f>((AA383+AA394)*'Data - P&amp;L'!$C$14)*'Data - P&amp;L'!$C$55</f>
        <v>0</v>
      </c>
      <c r="AB519" s="255">
        <f>((AB383+AB394)*'Data - P&amp;L'!$C$14)*'Data - P&amp;L'!$C$55</f>
        <v>0</v>
      </c>
      <c r="AC519" s="255">
        <f>((AC383+AC394)*'Data - P&amp;L'!$C$14)*'Data - P&amp;L'!$C$55</f>
        <v>0</v>
      </c>
      <c r="AD519" s="255">
        <f>((AD383+AD394)*'Data - P&amp;L'!$C$14)*'Data - P&amp;L'!$C$55</f>
        <v>0</v>
      </c>
      <c r="AE519" s="255">
        <f>((AE383+AE394)*'Data - P&amp;L'!$C$14)*'Data - P&amp;L'!$C$55</f>
        <v>0</v>
      </c>
      <c r="AF519" s="255">
        <f>((AF383+AF394)*'Data - P&amp;L'!$C$14)*'Data - P&amp;L'!$C$55</f>
        <v>0</v>
      </c>
      <c r="AG519" s="95">
        <f t="shared" si="141"/>
        <v>0</v>
      </c>
    </row>
    <row r="520" outlineLevel="1">
      <c r="A520" s="151" t="s">
        <v>399</v>
      </c>
      <c r="B520" s="255">
        <f>(B407+B420)*'Data - P&amp;L'!$C$17*'Data - P&amp;L'!$C$55</f>
        <v>0</v>
      </c>
      <c r="C520" s="255">
        <f>(C407+C420)*'Data - P&amp;L'!$C$17*'Data - P&amp;L'!$C$55</f>
        <v>0</v>
      </c>
      <c r="D520" s="255">
        <f>(D407+D420)*'Data - P&amp;L'!$C$17*'Data - P&amp;L'!$C$55</f>
        <v>0</v>
      </c>
      <c r="E520" s="255">
        <f>(E407+E420)*'Data - P&amp;L'!$C$17*'Data - P&amp;L'!$C$55</f>
        <v>0</v>
      </c>
      <c r="F520" s="255">
        <f>(F407+F420)*'Data - P&amp;L'!$C$17*'Data - P&amp;L'!$C$55</f>
        <v>0</v>
      </c>
      <c r="G520" s="255">
        <f>(G407+G420)*'Data - P&amp;L'!$C$17*'Data - P&amp;L'!$C$55</f>
        <v>0</v>
      </c>
      <c r="H520" s="255">
        <f>(H407+H420)*'Data - P&amp;L'!$C$17*'Data - P&amp;L'!$C$55</f>
        <v>0</v>
      </c>
      <c r="I520" s="255">
        <f>(I407+I420)*'Data - P&amp;L'!$C$17*'Data - P&amp;L'!$C$55</f>
        <v>0</v>
      </c>
      <c r="J520" s="255">
        <f>(J407+J420)*'Data - P&amp;L'!$C$17*'Data - P&amp;L'!$C$55</f>
        <v>0</v>
      </c>
      <c r="K520" s="255">
        <f>(K407+K420)*'Data - P&amp;L'!$C$17*'Data - P&amp;L'!$C$55</f>
        <v>0</v>
      </c>
      <c r="L520" s="255">
        <f>(L407+L420)*'Data - P&amp;L'!$C$17*'Data - P&amp;L'!$C$55</f>
        <v>0</v>
      </c>
      <c r="M520" s="255">
        <f>(M407+M420)*'Data - P&amp;L'!$C$17*'Data - P&amp;L'!$C$55</f>
        <v>0</v>
      </c>
      <c r="N520" s="255">
        <f>(N407+N420)*'Data - P&amp;L'!$C$17*'Data - P&amp;L'!$C$55</f>
        <v>0</v>
      </c>
      <c r="O520" s="255">
        <f>(O407+O420)*'Data - P&amp;L'!$C$17*'Data - P&amp;L'!$C$55</f>
        <v>0</v>
      </c>
      <c r="P520" s="255">
        <f>(P407+P420)*'Data - P&amp;L'!$C$17*'Data - P&amp;L'!$C$55</f>
        <v>0</v>
      </c>
      <c r="Q520" s="255">
        <f>(Q407+Q420)*'Data - P&amp;L'!$C$17*'Data - P&amp;L'!$C$55</f>
        <v>0</v>
      </c>
      <c r="R520" s="255">
        <f>(R407+R420)*'Data - P&amp;L'!$C$17*'Data - P&amp;L'!$C$55</f>
        <v>0</v>
      </c>
      <c r="S520" s="255">
        <f>(S407+S420)*'Data - P&amp;L'!$C$17*'Data - P&amp;L'!$C$55</f>
        <v>0</v>
      </c>
      <c r="T520" s="255">
        <f>(T407+T420)*'Data - P&amp;L'!$C$17*'Data - P&amp;L'!$C$55</f>
        <v>0</v>
      </c>
      <c r="U520" s="255">
        <f>(U407+U420)*'Data - P&amp;L'!$C$17*'Data - P&amp;L'!$C$55</f>
        <v>0</v>
      </c>
      <c r="V520" s="255">
        <f>(V407+V420)*'Data - P&amp;L'!$C$17*'Data - P&amp;L'!$C$55</f>
        <v>0</v>
      </c>
      <c r="W520" s="255">
        <f>(W407+W420)*'Data - P&amp;L'!$C$17*'Data - P&amp;L'!$C$55</f>
        <v>0</v>
      </c>
      <c r="X520" s="255">
        <f>(X407+X420)*'Data - P&amp;L'!$C$17*'Data - P&amp;L'!$C$55</f>
        <v>0</v>
      </c>
      <c r="Y520" s="255">
        <f>(Y407+Y420)*'Data - P&amp;L'!$C$17*'Data - P&amp;L'!$C$55</f>
        <v>0</v>
      </c>
      <c r="Z520" s="255">
        <f>(Z407+Z420)*'Data - P&amp;L'!$C$17*'Data - P&amp;L'!$C$55</f>
        <v>0</v>
      </c>
      <c r="AA520" s="255">
        <f>(AA407+AA420)*'Data - P&amp;L'!$C$17*'Data - P&amp;L'!$C$55</f>
        <v>0</v>
      </c>
      <c r="AB520" s="255">
        <f>(AB407+AB420)*'Data - P&amp;L'!$C$17*'Data - P&amp;L'!$C$55</f>
        <v>0</v>
      </c>
      <c r="AC520" s="255">
        <f>(AC407+AC420)*'Data - P&amp;L'!$C$17*'Data - P&amp;L'!$C$55</f>
        <v>0</v>
      </c>
      <c r="AD520" s="255">
        <f>(AD407+AD420)*'Data - P&amp;L'!$C$17*'Data - P&amp;L'!$C$55</f>
        <v>0</v>
      </c>
      <c r="AE520" s="255">
        <f>(AE407+AE420)*'Data - P&amp;L'!$C$17*'Data - P&amp;L'!$C$55</f>
        <v>0</v>
      </c>
      <c r="AF520" s="255">
        <f>(AF407+AF420)*'Data - P&amp;L'!$C$17*'Data - P&amp;L'!$C$55</f>
        <v>0</v>
      </c>
      <c r="AG520" s="95">
        <f t="shared" si="141"/>
        <v>0</v>
      </c>
    </row>
    <row r="521" outlineLevel="1">
      <c r="A521" s="151" t="s">
        <v>400</v>
      </c>
      <c r="B521" s="255">
        <f>(B408+B421)*'Data - P&amp;L'!$C$18*'Data - P&amp;L'!$C$55</f>
        <v>0</v>
      </c>
      <c r="C521" s="255">
        <f>(C408+C421)*'Data - P&amp;L'!$C$18*'Data - P&amp;L'!$C$55</f>
        <v>0</v>
      </c>
      <c r="D521" s="255">
        <f>(D408+D421)*'Data - P&amp;L'!$C$18*'Data - P&amp;L'!$C$55</f>
        <v>0</v>
      </c>
      <c r="E521" s="255">
        <f>(E408+E421)*'Data - P&amp;L'!$C$18*'Data - P&amp;L'!$C$55</f>
        <v>0</v>
      </c>
      <c r="F521" s="255">
        <f>(F408+F421)*'Data - P&amp;L'!$C$18*'Data - P&amp;L'!$C$55</f>
        <v>0</v>
      </c>
      <c r="G521" s="255">
        <f>(G408+G421)*'Data - P&amp;L'!$C$18*'Data - P&amp;L'!$C$55</f>
        <v>0</v>
      </c>
      <c r="H521" s="255">
        <f>(H408+H421)*'Data - P&amp;L'!$C$18*'Data - P&amp;L'!$C$55</f>
        <v>0</v>
      </c>
      <c r="I521" s="255">
        <f>(I408+I421)*'Data - P&amp;L'!$C$18*'Data - P&amp;L'!$C$55</f>
        <v>0</v>
      </c>
      <c r="J521" s="255">
        <f>(J408+J421)*'Data - P&amp;L'!$C$18*'Data - P&amp;L'!$C$55</f>
        <v>0</v>
      </c>
      <c r="K521" s="255">
        <f>(K408+K421)*'Data - P&amp;L'!$C$18*'Data - P&amp;L'!$C$55</f>
        <v>0</v>
      </c>
      <c r="L521" s="255">
        <f>(L408+L421)*'Data - P&amp;L'!$C$18*'Data - P&amp;L'!$C$55</f>
        <v>0</v>
      </c>
      <c r="M521" s="255">
        <f>(M408+M421)*'Data - P&amp;L'!$C$18*'Data - P&amp;L'!$C$55</f>
        <v>0</v>
      </c>
      <c r="N521" s="255">
        <f>(N408+N421)*'Data - P&amp;L'!$C$18*'Data - P&amp;L'!$C$55</f>
        <v>0</v>
      </c>
      <c r="O521" s="255">
        <f>(O408+O421)*'Data - P&amp;L'!$C$18*'Data - P&amp;L'!$C$55</f>
        <v>0</v>
      </c>
      <c r="P521" s="255">
        <f>(P408+P421)*'Data - P&amp;L'!$C$18*'Data - P&amp;L'!$C$55</f>
        <v>0</v>
      </c>
      <c r="Q521" s="255">
        <f>(Q408+Q421)*'Data - P&amp;L'!$C$18*'Data - P&amp;L'!$C$55</f>
        <v>0</v>
      </c>
      <c r="R521" s="255">
        <f>(R408+R421)*'Data - P&amp;L'!$C$18*'Data - P&amp;L'!$C$55</f>
        <v>0</v>
      </c>
      <c r="S521" s="255">
        <f>(S408+S421)*'Data - P&amp;L'!$C$18*'Data - P&amp;L'!$C$55</f>
        <v>0</v>
      </c>
      <c r="T521" s="255">
        <f>(T408+T421)*'Data - P&amp;L'!$C$18*'Data - P&amp;L'!$C$55</f>
        <v>0</v>
      </c>
      <c r="U521" s="255">
        <f>(U408+U421)*'Data - P&amp;L'!$C$18*'Data - P&amp;L'!$C$55</f>
        <v>0</v>
      </c>
      <c r="V521" s="255">
        <f>(V408+V421)*'Data - P&amp;L'!$C$18*'Data - P&amp;L'!$C$55</f>
        <v>0</v>
      </c>
      <c r="W521" s="255">
        <f>(W408+W421)*'Data - P&amp;L'!$C$18*'Data - P&amp;L'!$C$55</f>
        <v>0</v>
      </c>
      <c r="X521" s="255">
        <f>(X408+X421)*'Data - P&amp;L'!$C$18*'Data - P&amp;L'!$C$55</f>
        <v>0</v>
      </c>
      <c r="Y521" s="255">
        <f>(Y408+Y421)*'Data - P&amp;L'!$C$18*'Data - P&amp;L'!$C$55</f>
        <v>0</v>
      </c>
      <c r="Z521" s="255">
        <f>(Z408+Z421)*'Data - P&amp;L'!$C$18*'Data - P&amp;L'!$C$55</f>
        <v>0</v>
      </c>
      <c r="AA521" s="255">
        <f>(AA408+AA421)*'Data - P&amp;L'!$C$18*'Data - P&amp;L'!$C$55</f>
        <v>0</v>
      </c>
      <c r="AB521" s="255">
        <f>(AB408+AB421)*'Data - P&amp;L'!$C$18*'Data - P&amp;L'!$C$55</f>
        <v>0</v>
      </c>
      <c r="AC521" s="255">
        <f>(AC408+AC421)*'Data - P&amp;L'!$C$18*'Data - P&amp;L'!$C$55</f>
        <v>0</v>
      </c>
      <c r="AD521" s="255">
        <f>(AD408+AD421)*'Data - P&amp;L'!$C$18*'Data - P&amp;L'!$C$55</f>
        <v>0</v>
      </c>
      <c r="AE521" s="255">
        <f>(AE408+AE421)*'Data - P&amp;L'!$C$18*'Data - P&amp;L'!$C$55</f>
        <v>0</v>
      </c>
      <c r="AF521" s="255">
        <f>(AF408+AF421)*'Data - P&amp;L'!$C$18*'Data - P&amp;L'!$C$55</f>
        <v>0</v>
      </c>
      <c r="AG521" s="95">
        <f t="shared" si="141"/>
        <v>0</v>
      </c>
    </row>
    <row r="522" outlineLevel="1">
      <c r="A522" s="271" t="s">
        <v>427</v>
      </c>
      <c r="B522" s="255">
        <f>((B395*'Data - P&amp;L'!$C$38)+(B396*'Data - P&amp;L'!$C$39))*'Data - P&amp;L'!$C$55</f>
        <v>0</v>
      </c>
      <c r="C522" s="255">
        <f>((C395*'Data - P&amp;L'!$C$38)+(C396*'Data - P&amp;L'!$C$39))*'Data - P&amp;L'!$C$55</f>
        <v>0</v>
      </c>
      <c r="D522" s="255">
        <f>((D395*'Data - P&amp;L'!$C$38)+(D396*'Data - P&amp;L'!$C$39))*'Data - P&amp;L'!$C$55</f>
        <v>0</v>
      </c>
      <c r="E522" s="255">
        <f>((E395*'Data - P&amp;L'!$C$38)+(E396*'Data - P&amp;L'!$C$39))*'Data - P&amp;L'!$C$55</f>
        <v>0</v>
      </c>
      <c r="F522" s="255">
        <f>((F395*'Data - P&amp;L'!$C$38)+(F396*'Data - P&amp;L'!$C$39))*'Data - P&amp;L'!$C$55</f>
        <v>5.97</v>
      </c>
      <c r="G522" s="255">
        <f>((G395*'Data - P&amp;L'!$C$38)+(G396*'Data - P&amp;L'!$C$39))*'Data - P&amp;L'!$C$55</f>
        <v>0</v>
      </c>
      <c r="H522" s="255">
        <f>((H395*'Data - P&amp;L'!$C$38)+(H396*'Data - P&amp;L'!$C$39))*'Data - P&amp;L'!$C$55</f>
        <v>2.388</v>
      </c>
      <c r="I522" s="255">
        <f>((I395*'Data - P&amp;L'!$C$38)+(I396*'Data - P&amp;L'!$C$39))*'Data - P&amp;L'!$C$55</f>
        <v>2.388</v>
      </c>
      <c r="J522" s="255">
        <f>((J395*'Data - P&amp;L'!$C$38)+(J396*'Data - P&amp;L'!$C$39))*'Data - P&amp;L'!$C$55</f>
        <v>0</v>
      </c>
      <c r="K522" s="255">
        <f>((K395*'Data - P&amp;L'!$C$38)+(K396*'Data - P&amp;L'!$C$39))*'Data - P&amp;L'!$C$55</f>
        <v>0</v>
      </c>
      <c r="L522" s="255">
        <f>((L395*'Data - P&amp;L'!$C$38)+(L396*'Data - P&amp;L'!$C$39))*'Data - P&amp;L'!$C$55</f>
        <v>3.582</v>
      </c>
      <c r="M522" s="255">
        <f>((M395*'Data - P&amp;L'!$C$38)+(M396*'Data - P&amp;L'!$C$39))*'Data - P&amp;L'!$C$55</f>
        <v>2.388</v>
      </c>
      <c r="N522" s="255">
        <f>((N395*'Data - P&amp;L'!$C$38)+(N396*'Data - P&amp;L'!$C$39))*'Data - P&amp;L'!$C$55</f>
        <v>2.388</v>
      </c>
      <c r="O522" s="255">
        <f>((O395*'Data - P&amp;L'!$C$38)+(O396*'Data - P&amp;L'!$C$39))*'Data - P&amp;L'!$C$55</f>
        <v>8.358</v>
      </c>
      <c r="P522" s="255">
        <f>((P395*'Data - P&amp;L'!$C$38)+(P396*'Data - P&amp;L'!$C$39))*'Data - P&amp;L'!$C$55</f>
        <v>3.582</v>
      </c>
      <c r="Q522" s="255">
        <f>((Q395*'Data - P&amp;L'!$C$38)+(Q396*'Data - P&amp;L'!$C$39))*'Data - P&amp;L'!$C$55</f>
        <v>0</v>
      </c>
      <c r="R522" s="255">
        <f>((R395*'Data - P&amp;L'!$C$38)+(R396*'Data - P&amp;L'!$C$39))*'Data - P&amp;L'!$C$55</f>
        <v>0</v>
      </c>
      <c r="S522" s="255">
        <f>((S395*'Data - P&amp;L'!$C$38)+(S396*'Data - P&amp;L'!$C$39))*'Data - P&amp;L'!$C$55</f>
        <v>0</v>
      </c>
      <c r="T522" s="255">
        <f>((T395*'Data - P&amp;L'!$C$38)+(T396*'Data - P&amp;L'!$C$39))*'Data - P&amp;L'!$C$55</f>
        <v>16.716</v>
      </c>
      <c r="U522" s="255">
        <f>((U395*'Data - P&amp;L'!$C$38)+(U396*'Data - P&amp;L'!$C$39))*'Data - P&amp;L'!$C$55</f>
        <v>2.388</v>
      </c>
      <c r="V522" s="255">
        <f>((V395*'Data - P&amp;L'!$C$38)+(V396*'Data - P&amp;L'!$C$39))*'Data - P&amp;L'!$C$55</f>
        <v>0</v>
      </c>
      <c r="W522" s="255">
        <f>((W395*'Data - P&amp;L'!$C$38)+(W396*'Data - P&amp;L'!$C$39))*'Data - P&amp;L'!$C$55</f>
        <v>0</v>
      </c>
      <c r="X522" s="255">
        <f>((X395*'Data - P&amp;L'!$C$38)+(X396*'Data - P&amp;L'!$C$39))*'Data - P&amp;L'!$C$55</f>
        <v>0</v>
      </c>
      <c r="Y522" s="255">
        <f>((Y395*'Data - P&amp;L'!$C$38)+(Y396*'Data - P&amp;L'!$C$39))*'Data - P&amp;L'!$C$55</f>
        <v>0</v>
      </c>
      <c r="Z522" s="255">
        <f>((Z395*'Data - P&amp;L'!$C$38)+(Z396*'Data - P&amp;L'!$C$39))*'Data - P&amp;L'!$C$55</f>
        <v>0</v>
      </c>
      <c r="AA522" s="255">
        <f>((AA395*'Data - P&amp;L'!$C$38)+(AA396*'Data - P&amp;L'!$C$39))*'Data - P&amp;L'!$C$55</f>
        <v>1.194</v>
      </c>
      <c r="AB522" s="255">
        <f>((AB395*'Data - P&amp;L'!$C$38)+(AB396*'Data - P&amp;L'!$C$39))*'Data - P&amp;L'!$C$55</f>
        <v>4.776</v>
      </c>
      <c r="AC522" s="255">
        <f>((AC395*'Data - P&amp;L'!$C$38)+(AC396*'Data - P&amp;L'!$C$39))*'Data - P&amp;L'!$C$55</f>
        <v>0</v>
      </c>
      <c r="AD522" s="255">
        <f>((AD395*'Data - P&amp;L'!$C$38)+(AD396*'Data - P&amp;L'!$C$39))*'Data - P&amp;L'!$C$55</f>
        <v>0</v>
      </c>
      <c r="AE522" s="255">
        <f>((AE395*'Data - P&amp;L'!$C$38)+(AE396*'Data - P&amp;L'!$C$39))*'Data - P&amp;L'!$C$55</f>
        <v>0</v>
      </c>
      <c r="AF522" s="255">
        <f>((AF395*'Data - P&amp;L'!$C$38)+(AF396*'Data - P&amp;L'!$C$39))*'Data - P&amp;L'!$C$55</f>
        <v>0</v>
      </c>
      <c r="AG522" s="95">
        <f t="shared" si="141"/>
        <v>56.118</v>
      </c>
    </row>
    <row r="523" outlineLevel="1">
      <c r="A523" s="271" t="s">
        <v>429</v>
      </c>
      <c r="B523" s="255">
        <f>((B409*'Data - P&amp;L'!$D$38)+(B422*'Data - P&amp;L'!$D$39))*'Data - P&amp;L'!$C$55</f>
        <v>0.287</v>
      </c>
      <c r="C523" s="255">
        <f>((C409*'Data - P&amp;L'!$D$38)+(C422*'Data - P&amp;L'!$D$39))*'Data - P&amp;L'!$C$55</f>
        <v>0</v>
      </c>
      <c r="D523" s="255">
        <f>((D409*'Data - P&amp;L'!$D$38)+(D422*'Data - P&amp;L'!$D$39))*'Data - P&amp;L'!$C$55</f>
        <v>0</v>
      </c>
      <c r="E523" s="255">
        <f>((E409*'Data - P&amp;L'!$D$38)+(E422*'Data - P&amp;L'!$D$39))*'Data - P&amp;L'!$C$55</f>
        <v>0.4305</v>
      </c>
      <c r="F523" s="255">
        <f>((F409*'Data - P&amp;L'!$D$38)+(F422*'Data - P&amp;L'!$D$39))*'Data - P&amp;L'!$C$55</f>
        <v>0.861</v>
      </c>
      <c r="G523" s="255">
        <f>((G409*'Data - P&amp;L'!$D$38)+(G422*'Data - P&amp;L'!$D$39))*'Data - P&amp;L'!$C$55</f>
        <v>0</v>
      </c>
      <c r="H523" s="255">
        <f>((H409*'Data - P&amp;L'!$D$38)+(H422*'Data - P&amp;L'!$D$39))*'Data - P&amp;L'!$C$55</f>
        <v>0</v>
      </c>
      <c r="I523" s="255">
        <f>((I409*'Data - P&amp;L'!$D$38)+(I422*'Data - P&amp;L'!$D$39))*'Data - P&amp;L'!$C$55</f>
        <v>0.4305</v>
      </c>
      <c r="J523" s="255">
        <f>((J409*'Data - P&amp;L'!$D$38)+(J422*'Data - P&amp;L'!$D$39))*'Data - P&amp;L'!$C$55</f>
        <v>0</v>
      </c>
      <c r="K523" s="255">
        <f>((K409*'Data - P&amp;L'!$D$38)+(K422*'Data - P&amp;L'!$D$39))*'Data - P&amp;L'!$C$55</f>
        <v>0</v>
      </c>
      <c r="L523" s="255">
        <f>((L409*'Data - P&amp;L'!$D$38)+(L422*'Data - P&amp;L'!$D$39))*'Data - P&amp;L'!$C$55</f>
        <v>0.5745</v>
      </c>
      <c r="M523" s="255">
        <f>((M409*'Data - P&amp;L'!$D$38)+(M422*'Data - P&amp;L'!$D$39))*'Data - P&amp;L'!$C$55</f>
        <v>0.1435</v>
      </c>
      <c r="N523" s="255">
        <f>((N409*'Data - P&amp;L'!$D$38)+(N422*'Data - P&amp;L'!$D$39))*'Data - P&amp;L'!$C$55</f>
        <v>0.431</v>
      </c>
      <c r="O523" s="255">
        <f>((O409*'Data - P&amp;L'!$D$38)+(O422*'Data - P&amp;L'!$D$39))*'Data - P&amp;L'!$C$55</f>
        <v>0.574</v>
      </c>
      <c r="P523" s="255">
        <f>((P409*'Data - P&amp;L'!$D$38)+(P422*'Data - P&amp;L'!$D$39))*'Data - P&amp;L'!$C$55</f>
        <v>1.15</v>
      </c>
      <c r="Q523" s="255">
        <f>((Q409*'Data - P&amp;L'!$D$38)+(Q422*'Data - P&amp;L'!$D$39))*'Data - P&amp;L'!$C$55</f>
        <v>0</v>
      </c>
      <c r="R523" s="255">
        <f>((R409*'Data - P&amp;L'!$D$38)+(R422*'Data - P&amp;L'!$D$39))*'Data - P&amp;L'!$C$55</f>
        <v>0</v>
      </c>
      <c r="S523" s="255">
        <f>((S409*'Data - P&amp;L'!$D$38)+(S422*'Data - P&amp;L'!$D$39))*'Data - P&amp;L'!$C$55</f>
        <v>0.4305</v>
      </c>
      <c r="T523" s="255">
        <f>((T409*'Data - P&amp;L'!$D$38)+(T422*'Data - P&amp;L'!$D$39))*'Data - P&amp;L'!$C$55</f>
        <v>1.4355</v>
      </c>
      <c r="U523" s="255">
        <f>((U409*'Data - P&amp;L'!$D$38)+(U422*'Data - P&amp;L'!$D$39))*'Data - P&amp;L'!$C$55</f>
        <v>0.7175</v>
      </c>
      <c r="V523" s="255">
        <f>((V409*'Data - P&amp;L'!$D$38)+(V422*'Data - P&amp;L'!$D$39))*'Data - P&amp;L'!$C$55</f>
        <v>0.288</v>
      </c>
      <c r="W523" s="255">
        <f>((W409*'Data - P&amp;L'!$D$38)+(W422*'Data - P&amp;L'!$D$39))*'Data - P&amp;L'!$C$55</f>
        <v>0</v>
      </c>
      <c r="X523" s="255">
        <f>((X409*'Data - P&amp;L'!$D$38)+(X422*'Data - P&amp;L'!$D$39))*'Data - P&amp;L'!$C$55</f>
        <v>0</v>
      </c>
      <c r="Y523" s="255">
        <f>((Y409*'Data - P&amp;L'!$D$38)+(Y422*'Data - P&amp;L'!$D$39))*'Data - P&amp;L'!$C$55</f>
        <v>0</v>
      </c>
      <c r="Z523" s="255">
        <f>((Z409*'Data - P&amp;L'!$D$38)+(Z422*'Data - P&amp;L'!$D$39))*'Data - P&amp;L'!$C$55</f>
        <v>0</v>
      </c>
      <c r="AA523" s="255">
        <f>((AA409*'Data - P&amp;L'!$D$38)+(AA422*'Data - P&amp;L'!$D$39))*'Data - P&amp;L'!$C$55</f>
        <v>1.148</v>
      </c>
      <c r="AB523" s="255">
        <f>((AB409*'Data - P&amp;L'!$D$38)+(AB422*'Data - P&amp;L'!$D$39))*'Data - P&amp;L'!$C$55</f>
        <v>0.287</v>
      </c>
      <c r="AC523" s="255">
        <f>((AC409*'Data - P&amp;L'!$D$38)+(AC422*'Data - P&amp;L'!$D$39))*'Data - P&amp;L'!$C$55</f>
        <v>0.574</v>
      </c>
      <c r="AD523" s="255">
        <f>((AD409*'Data - P&amp;L'!$D$38)+(AD422*'Data - P&amp;L'!$D$39))*'Data - P&amp;L'!$C$55</f>
        <v>0.1435</v>
      </c>
      <c r="AE523" s="255">
        <f>((AE409*'Data - P&amp;L'!$D$38)+(AE422*'Data - P&amp;L'!$D$39))*'Data - P&amp;L'!$C$55</f>
        <v>0</v>
      </c>
      <c r="AF523" s="255">
        <f>((AF409*'Data - P&amp;L'!$D$38)+(AF422*'Data - P&amp;L'!$D$39))*'Data - P&amp;L'!$C$55</f>
        <v>0</v>
      </c>
      <c r="AG523" s="95">
        <f t="shared" si="141"/>
        <v>9.906</v>
      </c>
    </row>
    <row r="524" outlineLevel="1">
      <c r="A524" s="151" t="s">
        <v>442</v>
      </c>
      <c r="B524" s="273"/>
      <c r="C524" s="273"/>
      <c r="D524" s="273"/>
      <c r="E524" s="273"/>
      <c r="F524" s="273"/>
      <c r="G524" s="273"/>
      <c r="H524" s="273"/>
      <c r="I524" s="273"/>
      <c r="J524" s="273"/>
      <c r="K524" s="273"/>
      <c r="L524" s="273"/>
      <c r="M524" s="273"/>
      <c r="N524" s="273"/>
      <c r="O524" s="273"/>
      <c r="P524" s="273"/>
      <c r="Q524" s="273"/>
      <c r="R524" s="273"/>
      <c r="S524" s="273"/>
      <c r="T524" s="273"/>
      <c r="U524" s="273"/>
      <c r="V524" s="273"/>
      <c r="W524" s="273"/>
      <c r="X524" s="273"/>
      <c r="Y524" s="273"/>
      <c r="Z524" s="273"/>
      <c r="AA524" s="273"/>
      <c r="AB524" s="273"/>
      <c r="AC524" s="273"/>
      <c r="AD524" s="273"/>
      <c r="AE524" s="273"/>
      <c r="AF524" s="273"/>
      <c r="AG524" s="95"/>
    </row>
    <row r="525" outlineLevel="1">
      <c r="A525" s="151" t="s">
        <v>443</v>
      </c>
      <c r="B525" s="273"/>
      <c r="C525" s="273"/>
      <c r="D525" s="273"/>
      <c r="E525" s="273"/>
      <c r="F525" s="273"/>
      <c r="G525" s="273"/>
      <c r="H525" s="273"/>
      <c r="I525" s="273"/>
      <c r="J525" s="273"/>
      <c r="K525" s="273"/>
      <c r="L525" s="273"/>
      <c r="M525" s="273"/>
      <c r="N525" s="273"/>
      <c r="O525" s="273"/>
      <c r="P525" s="273"/>
      <c r="Q525" s="273"/>
      <c r="R525" s="273"/>
      <c r="S525" s="273"/>
      <c r="T525" s="273"/>
      <c r="U525" s="273"/>
      <c r="V525" s="273"/>
      <c r="W525" s="273"/>
      <c r="X525" s="273"/>
      <c r="Y525" s="273"/>
      <c r="Z525" s="273"/>
      <c r="AA525" s="273"/>
      <c r="AB525" s="273"/>
      <c r="AC525" s="273"/>
      <c r="AD525" s="273"/>
      <c r="AE525" s="273"/>
      <c r="AF525" s="273"/>
      <c r="AG525" s="95"/>
    </row>
    <row r="526" outlineLevel="1">
      <c r="A526" s="151" t="s">
        <v>444</v>
      </c>
      <c r="B526" s="255">
        <f>(B424*'Data - P&amp;L'!$R$3)+('Data - P&amp;L'!$R$4*B425)</f>
        <v>450</v>
      </c>
      <c r="C526" s="255">
        <f>(C424*'Data - P&amp;L'!$R$3)+('Data - P&amp;L'!$R$4*C425)</f>
        <v>0</v>
      </c>
      <c r="D526" s="255">
        <f>(D424*'Data - P&amp;L'!$R$3)+('Data - P&amp;L'!$R$4*D425)</f>
        <v>0</v>
      </c>
      <c r="E526" s="255">
        <f>(E424*'Data - P&amp;L'!$R$3)+('Data - P&amp;L'!$R$4*E425)</f>
        <v>120</v>
      </c>
      <c r="F526" s="255">
        <f>(F424*'Data - P&amp;L'!$R$3)+('Data - P&amp;L'!$R$4*F425)</f>
        <v>490</v>
      </c>
      <c r="G526" s="255">
        <f>(G424*'Data - P&amp;L'!$R$3)+('Data - P&amp;L'!$R$4*G425)</f>
        <v>150</v>
      </c>
      <c r="H526" s="255">
        <f>(H424*'Data - P&amp;L'!$R$3)+('Data - P&amp;L'!$R$4*H425)</f>
        <v>160</v>
      </c>
      <c r="I526" s="255">
        <f>(I424*'Data - P&amp;L'!$R$3)+('Data - P&amp;L'!$R$4*I425)</f>
        <v>165</v>
      </c>
      <c r="J526" s="255">
        <f>(J424*'Data - P&amp;L'!$R$3)+('Data - P&amp;L'!$R$4*J425)</f>
        <v>0</v>
      </c>
      <c r="K526" s="255">
        <f>(K424*'Data - P&amp;L'!$R$3)+('Data - P&amp;L'!$R$4*K425)</f>
        <v>0</v>
      </c>
      <c r="L526" s="255">
        <f>(L424*'Data - P&amp;L'!$R$3)+('Data - P&amp;L'!$R$4*L425)</f>
        <v>690</v>
      </c>
      <c r="M526" s="255">
        <f>(M424*'Data - P&amp;L'!$R$3)+('Data - P&amp;L'!$R$4*M425)</f>
        <v>90</v>
      </c>
      <c r="N526" s="255">
        <f>(N424*'Data - P&amp;L'!$R$3)+('Data - P&amp;L'!$R$4*N425)</f>
        <v>665</v>
      </c>
      <c r="O526" s="255">
        <f>(O424*'Data - P&amp;L'!$R$3)+('Data - P&amp;L'!$R$4*O425)</f>
        <v>660</v>
      </c>
      <c r="P526" s="255">
        <f>(P424*'Data - P&amp;L'!$R$3)+('Data - P&amp;L'!$R$4*P425)</f>
        <v>605</v>
      </c>
      <c r="Q526" s="255">
        <f>(Q424*'Data - P&amp;L'!$R$3)+('Data - P&amp;L'!$R$4*Q425)</f>
        <v>0</v>
      </c>
      <c r="R526" s="255">
        <f>(R424*'Data - P&amp;L'!$R$3)+('Data - P&amp;L'!$R$4*R425)</f>
        <v>0</v>
      </c>
      <c r="S526" s="255">
        <f>(S424*'Data - P&amp;L'!$R$3)+('Data - P&amp;L'!$R$4*S425)</f>
        <v>480</v>
      </c>
      <c r="T526" s="255">
        <f>(T424*'Data - P&amp;L'!$R$3)+('Data - P&amp;L'!$R$4*T425)</f>
        <v>230</v>
      </c>
      <c r="U526" s="255">
        <f>(U424*'Data - P&amp;L'!$R$3)+('Data - P&amp;L'!$R$4*U425)</f>
        <v>130</v>
      </c>
      <c r="V526" s="255">
        <f>(V424*'Data - P&amp;L'!$R$3)+('Data - P&amp;L'!$R$4*V425)</f>
        <v>120</v>
      </c>
      <c r="W526" s="255">
        <f>(W424*'Data - P&amp;L'!$R$3)+('Data - P&amp;L'!$R$4*W425)</f>
        <v>0</v>
      </c>
      <c r="X526" s="255">
        <f>(X424*'Data - P&amp;L'!$R$3)+('Data - P&amp;L'!$R$4*X425)</f>
        <v>0</v>
      </c>
      <c r="Y526" s="255">
        <f>(Y424*'Data - P&amp;L'!$R$3)+('Data - P&amp;L'!$R$4*Y425)</f>
        <v>0</v>
      </c>
      <c r="Z526" s="255">
        <f>(Z424*'Data - P&amp;L'!$R$3)+('Data - P&amp;L'!$R$4*Z425)</f>
        <v>0</v>
      </c>
      <c r="AA526" s="255">
        <f>(AA424*'Data - P&amp;L'!$R$3)+('Data - P&amp;L'!$R$4*AA425)</f>
        <v>195</v>
      </c>
      <c r="AB526" s="255">
        <f>(AB424*'Data - P&amp;L'!$R$3)+('Data - P&amp;L'!$R$4*AB425)</f>
        <v>895</v>
      </c>
      <c r="AC526" s="255">
        <f>(AC424*'Data - P&amp;L'!$R$3)+('Data - P&amp;L'!$R$4*AC425)</f>
        <v>585</v>
      </c>
      <c r="AD526" s="255">
        <f>(AD424*'Data - P&amp;L'!$R$3)+('Data - P&amp;L'!$R$4*AD425)</f>
        <v>345</v>
      </c>
      <c r="AE526" s="255">
        <f>(AE424*'Data - P&amp;L'!$R$3)+('Data - P&amp;L'!$R$4*AE425)</f>
        <v>0</v>
      </c>
      <c r="AF526" s="255">
        <f>(AF424*'Data - P&amp;L'!$R$3)+('Data - P&amp;L'!$R$4*AF425)</f>
        <v>0</v>
      </c>
      <c r="AG526" s="95">
        <f t="shared" ref="AG526:AG544" si="147">SUM(B526:AF526)</f>
        <v>7225</v>
      </c>
    </row>
    <row r="527" outlineLevel="1">
      <c r="A527" s="240" t="s">
        <v>445</v>
      </c>
      <c r="B527" s="269">
        <f t="shared" ref="B527:AF527" si="146">sum(B528:B544)</f>
        <v>21.727</v>
      </c>
      <c r="C527" s="269">
        <f t="shared" si="146"/>
        <v>0</v>
      </c>
      <c r="D527" s="269">
        <f t="shared" si="146"/>
        <v>0</v>
      </c>
      <c r="E527" s="269">
        <f t="shared" si="146"/>
        <v>32.5905</v>
      </c>
      <c r="F527" s="269">
        <f t="shared" si="146"/>
        <v>640.951</v>
      </c>
      <c r="G527" s="269">
        <f t="shared" si="146"/>
        <v>0</v>
      </c>
      <c r="H527" s="269">
        <f t="shared" si="146"/>
        <v>247.058</v>
      </c>
      <c r="I527" s="269">
        <f t="shared" si="146"/>
        <v>319.1585</v>
      </c>
      <c r="J527" s="269">
        <f t="shared" si="146"/>
        <v>0</v>
      </c>
      <c r="K527" s="269">
        <f t="shared" si="146"/>
        <v>0</v>
      </c>
      <c r="L527" s="269">
        <f t="shared" si="146"/>
        <v>425.1365</v>
      </c>
      <c r="M527" s="269">
        <f t="shared" si="146"/>
        <v>280.8815</v>
      </c>
      <c r="N527" s="269">
        <f t="shared" si="146"/>
        <v>267.099</v>
      </c>
      <c r="O527" s="269">
        <f t="shared" si="146"/>
        <v>782.082</v>
      </c>
      <c r="P527" s="269">
        <f t="shared" si="146"/>
        <v>412.482</v>
      </c>
      <c r="Q527" s="269">
        <f t="shared" si="146"/>
        <v>0</v>
      </c>
      <c r="R527" s="269">
        <f t="shared" si="146"/>
        <v>0</v>
      </c>
      <c r="S527" s="269">
        <f t="shared" si="146"/>
        <v>55.1205</v>
      </c>
      <c r="T527" s="269">
        <f t="shared" si="146"/>
        <v>1806.2115</v>
      </c>
      <c r="U527" s="269">
        <f t="shared" si="146"/>
        <v>347.6055</v>
      </c>
      <c r="V527" s="269">
        <f t="shared" si="146"/>
        <v>20.458</v>
      </c>
      <c r="W527" s="269">
        <f t="shared" si="146"/>
        <v>0</v>
      </c>
      <c r="X527" s="269">
        <f t="shared" si="146"/>
        <v>0</v>
      </c>
      <c r="Y527" s="269">
        <f t="shared" si="146"/>
        <v>0</v>
      </c>
      <c r="Z527" s="269">
        <f t="shared" si="146"/>
        <v>0</v>
      </c>
      <c r="AA527" s="269">
        <f t="shared" si="146"/>
        <v>223.302</v>
      </c>
      <c r="AB527" s="269">
        <f t="shared" si="146"/>
        <v>438.643</v>
      </c>
      <c r="AC527" s="269">
        <f t="shared" si="146"/>
        <v>61.174</v>
      </c>
      <c r="AD527" s="269">
        <f t="shared" si="146"/>
        <v>23.1135</v>
      </c>
      <c r="AE527" s="269">
        <f t="shared" si="146"/>
        <v>0</v>
      </c>
      <c r="AF527" s="269">
        <f t="shared" si="146"/>
        <v>0</v>
      </c>
      <c r="AG527" s="95">
        <f t="shared" si="147"/>
        <v>6404.794</v>
      </c>
    </row>
    <row r="528" outlineLevel="1">
      <c r="A528" s="151" t="s">
        <v>446</v>
      </c>
      <c r="B528" s="255">
        <f>B395*'Data - P&amp;L'!$C$3</f>
        <v>0</v>
      </c>
      <c r="C528" s="255">
        <f>C395*'Data - P&amp;L'!$C$3</f>
        <v>0</v>
      </c>
      <c r="D528" s="255">
        <f>D395*'Data - P&amp;L'!$C$3</f>
        <v>0</v>
      </c>
      <c r="E528" s="255">
        <f>E395*'Data - P&amp;L'!$C$3</f>
        <v>0</v>
      </c>
      <c r="F528" s="255">
        <f>F395*'Data - P&amp;L'!$C$3</f>
        <v>347.6</v>
      </c>
      <c r="G528" s="255">
        <f>G395*'Data - P&amp;L'!$C$3</f>
        <v>0</v>
      </c>
      <c r="H528" s="255">
        <f>H395*'Data - P&amp;L'!$C$3</f>
        <v>86.9</v>
      </c>
      <c r="I528" s="255">
        <f>I395*'Data - P&amp;L'!$C$3</f>
        <v>0</v>
      </c>
      <c r="J528" s="255">
        <f>J395*'Data - P&amp;L'!$C$3</f>
        <v>0</v>
      </c>
      <c r="K528" s="255">
        <f>K395*'Data - P&amp;L'!$C$3</f>
        <v>0</v>
      </c>
      <c r="L528" s="255">
        <f>L395*'Data - P&amp;L'!$C$3</f>
        <v>86.9</v>
      </c>
      <c r="M528" s="255">
        <f>M395*'Data - P&amp;L'!$C$3</f>
        <v>0</v>
      </c>
      <c r="N528" s="255">
        <f>N395*'Data - P&amp;L'!$C$3</f>
        <v>173.8</v>
      </c>
      <c r="O528" s="255">
        <f>O395*'Data - P&amp;L'!$C$3</f>
        <v>608.3</v>
      </c>
      <c r="P528" s="255">
        <f>P395*'Data - P&amp;L'!$C$3</f>
        <v>173.8</v>
      </c>
      <c r="Q528" s="255">
        <f>Q395*'Data - P&amp;L'!$C$3</f>
        <v>0</v>
      </c>
      <c r="R528" s="255">
        <f>R395*'Data - P&amp;L'!$C$3</f>
        <v>0</v>
      </c>
      <c r="S528" s="255">
        <f>S395*'Data - P&amp;L'!$C$3</f>
        <v>0</v>
      </c>
      <c r="T528" s="255">
        <f>T395*'Data - P&amp;L'!$C$3</f>
        <v>521.4</v>
      </c>
      <c r="U528" s="255">
        <f>U395*'Data - P&amp;L'!$C$3</f>
        <v>86.9</v>
      </c>
      <c r="V528" s="255">
        <f>V395*'Data - P&amp;L'!$C$3</f>
        <v>0</v>
      </c>
      <c r="W528" s="255">
        <f>W395*'Data - P&amp;L'!$C$3</f>
        <v>0</v>
      </c>
      <c r="X528" s="255">
        <f>X395*'Data - P&amp;L'!$C$3</f>
        <v>0</v>
      </c>
      <c r="Y528" s="255">
        <f>Y395*'Data - P&amp;L'!$C$3</f>
        <v>0</v>
      </c>
      <c r="Z528" s="255">
        <f>Z395*'Data - P&amp;L'!$C$3</f>
        <v>0</v>
      </c>
      <c r="AA528" s="255">
        <f>AA395*'Data - P&amp;L'!$C$3</f>
        <v>86.9</v>
      </c>
      <c r="AB528" s="255">
        <f>AB395*'Data - P&amp;L'!$C$3</f>
        <v>347.6</v>
      </c>
      <c r="AC528" s="255">
        <f>AC395*'Data - P&amp;L'!$C$3</f>
        <v>0</v>
      </c>
      <c r="AD528" s="255">
        <f>AD395*'Data - P&amp;L'!$C$3</f>
        <v>0</v>
      </c>
      <c r="AE528" s="255">
        <f>AE395*'Data - P&amp;L'!$C$3</f>
        <v>0</v>
      </c>
      <c r="AF528" s="255">
        <f>AF395*'Data - P&amp;L'!$C$3</f>
        <v>0</v>
      </c>
      <c r="AG528" s="95">
        <f t="shared" si="147"/>
        <v>2520.1</v>
      </c>
    </row>
    <row r="529" outlineLevel="1">
      <c r="A529" s="151" t="s">
        <v>447</v>
      </c>
      <c r="B529" s="255">
        <f>B396*'Data - P&amp;L'!$C$4</f>
        <v>0</v>
      </c>
      <c r="C529" s="255">
        <f>C396*'Data - P&amp;L'!$C$4</f>
        <v>0</v>
      </c>
      <c r="D529" s="255">
        <f>D396*'Data - P&amp;L'!$C$4</f>
        <v>0</v>
      </c>
      <c r="E529" s="255">
        <f>E396*'Data - P&amp;L'!$C$4</f>
        <v>0</v>
      </c>
      <c r="F529" s="255">
        <f>F396*'Data - P&amp;L'!$C$4</f>
        <v>97.61</v>
      </c>
      <c r="G529" s="255">
        <f>G396*'Data - P&amp;L'!$C$4</f>
        <v>0</v>
      </c>
      <c r="H529" s="255">
        <f>H396*'Data - P&amp;L'!$C$4</f>
        <v>97.61</v>
      </c>
      <c r="I529" s="255">
        <f>I396*'Data - P&amp;L'!$C$4</f>
        <v>195.22</v>
      </c>
      <c r="J529" s="255">
        <f>J396*'Data - P&amp;L'!$C$4</f>
        <v>0</v>
      </c>
      <c r="K529" s="255">
        <f>K396*'Data - P&amp;L'!$C$4</f>
        <v>0</v>
      </c>
      <c r="L529" s="255">
        <f>L396*'Data - P&amp;L'!$C$4</f>
        <v>195.22</v>
      </c>
      <c r="M529" s="255">
        <f>M396*'Data - P&amp;L'!$C$4</f>
        <v>195.22</v>
      </c>
      <c r="N529" s="255">
        <f>N396*'Data - P&amp;L'!$C$4</f>
        <v>0</v>
      </c>
      <c r="O529" s="255">
        <f>O396*'Data - P&amp;L'!$C$4</f>
        <v>0</v>
      </c>
      <c r="P529" s="255">
        <f>P396*'Data - P&amp;L'!$C$4</f>
        <v>97.61</v>
      </c>
      <c r="Q529" s="255">
        <f>Q396*'Data - P&amp;L'!$C$4</f>
        <v>0</v>
      </c>
      <c r="R529" s="255">
        <f>R396*'Data - P&amp;L'!$C$4</f>
        <v>0</v>
      </c>
      <c r="S529" s="255">
        <f>S396*'Data - P&amp;L'!$C$4</f>
        <v>0</v>
      </c>
      <c r="T529" s="255">
        <f>T396*'Data - P&amp;L'!$C$4</f>
        <v>780.88</v>
      </c>
      <c r="U529" s="255">
        <f>U396*'Data - P&amp;L'!$C$4</f>
        <v>97.61</v>
      </c>
      <c r="V529" s="255">
        <f>V396*'Data - P&amp;L'!$C$4</f>
        <v>0</v>
      </c>
      <c r="W529" s="255">
        <f>W396*'Data - P&amp;L'!$C$4</f>
        <v>0</v>
      </c>
      <c r="X529" s="255">
        <f>X396*'Data - P&amp;L'!$C$4</f>
        <v>0</v>
      </c>
      <c r="Y529" s="255">
        <f>Y396*'Data - P&amp;L'!$C$4</f>
        <v>0</v>
      </c>
      <c r="Z529" s="255">
        <f>Z396*'Data - P&amp;L'!$C$4</f>
        <v>0</v>
      </c>
      <c r="AA529" s="255">
        <f>AA396*'Data - P&amp;L'!$C$4</f>
        <v>0</v>
      </c>
      <c r="AB529" s="255">
        <f>AB396*'Data - P&amp;L'!$C$4</f>
        <v>0</v>
      </c>
      <c r="AC529" s="255">
        <f>AC396*'Data - P&amp;L'!$C$4</f>
        <v>0</v>
      </c>
      <c r="AD529" s="255">
        <f>AD396*'Data - P&amp;L'!$C$4</f>
        <v>0</v>
      </c>
      <c r="AE529" s="255">
        <f>AE396*'Data - P&amp;L'!$C$4</f>
        <v>0</v>
      </c>
      <c r="AF529" s="255">
        <f>AF396*'Data - P&amp;L'!$C$4</f>
        <v>0</v>
      </c>
      <c r="AG529" s="95">
        <f t="shared" si="147"/>
        <v>1756.98</v>
      </c>
    </row>
    <row r="530" ht="18.0" customHeight="1" outlineLevel="1">
      <c r="A530" s="151" t="s">
        <v>448</v>
      </c>
      <c r="B530" s="255">
        <f>(B378+B389)*'Data - P&amp;L'!$C$15</f>
        <v>0</v>
      </c>
      <c r="C530" s="255">
        <f>(C378+C389)*'Data - P&amp;L'!$C$15</f>
        <v>0</v>
      </c>
      <c r="D530" s="255">
        <f>(D378+D389)*'Data - P&amp;L'!$C$15</f>
        <v>0</v>
      </c>
      <c r="E530" s="255">
        <f>(E378+E389)*'Data - P&amp;L'!$C$15</f>
        <v>0</v>
      </c>
      <c r="F530" s="255">
        <f>(F378+F389)*'Data - P&amp;L'!$C$15</f>
        <v>0</v>
      </c>
      <c r="G530" s="255">
        <f>(G378+G389)*'Data - P&amp;L'!$C$15</f>
        <v>0</v>
      </c>
      <c r="H530" s="255">
        <f>(H378+H389)*'Data - P&amp;L'!$C$15</f>
        <v>0</v>
      </c>
      <c r="I530" s="255">
        <f>(I378+I389)*'Data - P&amp;L'!$C$15</f>
        <v>0</v>
      </c>
      <c r="J530" s="255">
        <f>(J378+J389)*'Data - P&amp;L'!$C$15</f>
        <v>0</v>
      </c>
      <c r="K530" s="255">
        <f>(K378+K389)*'Data - P&amp;L'!$C$15</f>
        <v>0</v>
      </c>
      <c r="L530" s="255">
        <f>(L378+L389)*'Data - P&amp;L'!$C$15</f>
        <v>0</v>
      </c>
      <c r="M530" s="255">
        <f>(M378+M389)*'Data - P&amp;L'!$C$15</f>
        <v>0</v>
      </c>
      <c r="N530" s="255">
        <f>(N378+N389)*'Data - P&amp;L'!$C$15</f>
        <v>0</v>
      </c>
      <c r="O530" s="255">
        <f>(O378+O389)*'Data - P&amp;L'!$C$15</f>
        <v>0</v>
      </c>
      <c r="P530" s="255">
        <f>(P378+P389)*'Data - P&amp;L'!$C$15</f>
        <v>0</v>
      </c>
      <c r="Q530" s="255">
        <f>(Q378+Q389)*'Data - P&amp;L'!$C$15</f>
        <v>0</v>
      </c>
      <c r="R530" s="255">
        <f>(R378+R389)*'Data - P&amp;L'!$C$15</f>
        <v>0</v>
      </c>
      <c r="S530" s="255">
        <f>(S378+S389)*'Data - P&amp;L'!$C$15</f>
        <v>0</v>
      </c>
      <c r="T530" s="255">
        <f>(T378+T389)*'Data - P&amp;L'!$C$15</f>
        <v>0</v>
      </c>
      <c r="U530" s="255">
        <f>(U378+U389)*'Data - P&amp;L'!$C$15</f>
        <v>0</v>
      </c>
      <c r="V530" s="255">
        <f>(V378+V389)*'Data - P&amp;L'!$C$15</f>
        <v>0</v>
      </c>
      <c r="W530" s="255">
        <f>(W378+W389)*'Data - P&amp;L'!$C$15</f>
        <v>0</v>
      </c>
      <c r="X530" s="255">
        <f>(X378+X389)*'Data - P&amp;L'!$C$15</f>
        <v>0</v>
      </c>
      <c r="Y530" s="255">
        <f>(Y378+Y389)*'Data - P&amp;L'!$C$15</f>
        <v>0</v>
      </c>
      <c r="Z530" s="255">
        <f>(Z378+Z389)*'Data - P&amp;L'!$C$15</f>
        <v>0</v>
      </c>
      <c r="AA530" s="255">
        <f>(AA378+AA389)*'Data - P&amp;L'!$C$15</f>
        <v>0</v>
      </c>
      <c r="AB530" s="255">
        <f>(AB378+AB389)*'Data - P&amp;L'!$C$15</f>
        <v>0</v>
      </c>
      <c r="AC530" s="255">
        <f>(AC378+AC389)*'Data - P&amp;L'!$C$15</f>
        <v>0</v>
      </c>
      <c r="AD530" s="255">
        <f>(AD378+AD389)*'Data - P&amp;L'!$C$15</f>
        <v>0</v>
      </c>
      <c r="AE530" s="255">
        <f>(AE378+AE389)*'Data - P&amp;L'!$C$15</f>
        <v>0</v>
      </c>
      <c r="AF530" s="255">
        <f>(AF378+AF389)*'Data - P&amp;L'!$C$15</f>
        <v>0</v>
      </c>
      <c r="AG530" s="95">
        <f t="shared" si="147"/>
        <v>0</v>
      </c>
    </row>
    <row r="531" ht="18.0" customHeight="1" outlineLevel="1">
      <c r="A531" s="151" t="s">
        <v>449</v>
      </c>
      <c r="B531" s="255">
        <f>(B379+B390)*'Data - P&amp;L'!$C$16</f>
        <v>0</v>
      </c>
      <c r="C531" s="255">
        <f>(C379+C390)*'Data - P&amp;L'!$C$16</f>
        <v>0</v>
      </c>
      <c r="D531" s="255">
        <f>(D379+D390)*'Data - P&amp;L'!$C$16</f>
        <v>0</v>
      </c>
      <c r="E531" s="255">
        <f>(E379+E390)*'Data - P&amp;L'!$C$16</f>
        <v>0</v>
      </c>
      <c r="F531" s="255">
        <f>(F379+F390)*'Data - P&amp;L'!$C$16</f>
        <v>0</v>
      </c>
      <c r="G531" s="255">
        <f>(G379+G390)*'Data - P&amp;L'!$C$16</f>
        <v>0</v>
      </c>
      <c r="H531" s="255">
        <f>(H379+H390)*'Data - P&amp;L'!$C$16</f>
        <v>0</v>
      </c>
      <c r="I531" s="255">
        <f>(I379+I390)*'Data - P&amp;L'!$C$16</f>
        <v>0</v>
      </c>
      <c r="J531" s="255">
        <f>(J379+J390)*'Data - P&amp;L'!$C$16</f>
        <v>0</v>
      </c>
      <c r="K531" s="255">
        <f>(K379+K390)*'Data - P&amp;L'!$C$16</f>
        <v>0</v>
      </c>
      <c r="L531" s="255">
        <f>(L379+L390)*'Data - P&amp;L'!$C$16</f>
        <v>0</v>
      </c>
      <c r="M531" s="255">
        <f>(M379+M390)*'Data - P&amp;L'!$C$16</f>
        <v>0</v>
      </c>
      <c r="N531" s="255">
        <f>(N379+N390)*'Data - P&amp;L'!$C$16</f>
        <v>0</v>
      </c>
      <c r="O531" s="255">
        <f>(O379+O390)*'Data - P&amp;L'!$C$16</f>
        <v>0</v>
      </c>
      <c r="P531" s="255">
        <f>(P379+P390)*'Data - P&amp;L'!$C$16</f>
        <v>0</v>
      </c>
      <c r="Q531" s="255">
        <f>(Q379+Q390)*'Data - P&amp;L'!$C$16</f>
        <v>0</v>
      </c>
      <c r="R531" s="255">
        <f>(R379+R390)*'Data - P&amp;L'!$C$16</f>
        <v>0</v>
      </c>
      <c r="S531" s="255">
        <f>(S379+S390)*'Data - P&amp;L'!$C$16</f>
        <v>0</v>
      </c>
      <c r="T531" s="255">
        <f>(T379+T390)*'Data - P&amp;L'!$C$16</f>
        <v>0</v>
      </c>
      <c r="U531" s="255">
        <f>(U379+U390)*'Data - P&amp;L'!$C$16</f>
        <v>0</v>
      </c>
      <c r="V531" s="255">
        <f>(V379+V390)*'Data - P&amp;L'!$C$16</f>
        <v>0</v>
      </c>
      <c r="W531" s="255">
        <f>(W379+W390)*'Data - P&amp;L'!$C$16</f>
        <v>0</v>
      </c>
      <c r="X531" s="255">
        <f>(X379+X390)*'Data - P&amp;L'!$C$16</f>
        <v>0</v>
      </c>
      <c r="Y531" s="255">
        <f>(Y379+Y390)*'Data - P&amp;L'!$C$16</f>
        <v>0</v>
      </c>
      <c r="Z531" s="255">
        <f>(Z379+Z390)*'Data - P&amp;L'!$C$16</f>
        <v>0</v>
      </c>
      <c r="AA531" s="255">
        <f>(AA379+AA390)*'Data - P&amp;L'!$C$16</f>
        <v>0</v>
      </c>
      <c r="AB531" s="255">
        <f>(AB379+AB390)*'Data - P&amp;L'!$C$16</f>
        <v>0</v>
      </c>
      <c r="AC531" s="255">
        <f>(AC379+AC390)*'Data - P&amp;L'!$C$16</f>
        <v>0</v>
      </c>
      <c r="AD531" s="255">
        <f>(AD379+AD390)*'Data - P&amp;L'!$C$16</f>
        <v>0</v>
      </c>
      <c r="AE531" s="255">
        <f>(AE379+AE390)*'Data - P&amp;L'!$C$16</f>
        <v>0</v>
      </c>
      <c r="AF531" s="255">
        <f>(AF379+AF390)*'Data - P&amp;L'!$C$16</f>
        <v>0</v>
      </c>
      <c r="AG531" s="95">
        <f t="shared" si="147"/>
        <v>0</v>
      </c>
    </row>
    <row r="532" outlineLevel="1">
      <c r="A532" s="151" t="s">
        <v>450</v>
      </c>
      <c r="B532" s="255">
        <f>(B399+B412)*'Data - P&amp;L'!$C$6</f>
        <v>0</v>
      </c>
      <c r="C532" s="255">
        <f>(C399+C412)*'Data - P&amp;L'!$C$6</f>
        <v>0</v>
      </c>
      <c r="D532" s="255">
        <f>(D399+D412)*'Data - P&amp;L'!$C$6</f>
        <v>0</v>
      </c>
      <c r="E532" s="255">
        <f>(E399+E412)*'Data - P&amp;L'!$C$6</f>
        <v>0</v>
      </c>
      <c r="F532" s="255">
        <f>(F399+F412)*'Data - P&amp;L'!$C$6</f>
        <v>5.49</v>
      </c>
      <c r="G532" s="255">
        <f>(G399+G412)*'Data - P&amp;L'!$C$6</f>
        <v>0</v>
      </c>
      <c r="H532" s="255">
        <f>(H399+H412)*'Data - P&amp;L'!$C$6</f>
        <v>0</v>
      </c>
      <c r="I532" s="255">
        <f>(I399+I412)*'Data - P&amp;L'!$C$6</f>
        <v>5.49</v>
      </c>
      <c r="J532" s="255">
        <f>(J399+J412)*'Data - P&amp;L'!$C$6</f>
        <v>0</v>
      </c>
      <c r="K532" s="255">
        <f>(K399+K412)*'Data - P&amp;L'!$C$6</f>
        <v>0</v>
      </c>
      <c r="L532" s="255">
        <f>(L399+L412)*'Data - P&amp;L'!$C$6</f>
        <v>5.49</v>
      </c>
      <c r="M532" s="255">
        <f>(M399+M412)*'Data - P&amp;L'!$C$6</f>
        <v>0</v>
      </c>
      <c r="N532" s="255">
        <f>(N399+N412)*'Data - P&amp;L'!$C$6</f>
        <v>5.49</v>
      </c>
      <c r="O532" s="255">
        <f>(O399+O412)*'Data - P&amp;L'!$C$6</f>
        <v>5.49</v>
      </c>
      <c r="P532" s="255">
        <f>(P399+P412)*'Data - P&amp;L'!$C$6</f>
        <v>10.98</v>
      </c>
      <c r="Q532" s="255">
        <f>(Q399+Q412)*'Data - P&amp;L'!$C$6</f>
        <v>0</v>
      </c>
      <c r="R532" s="255">
        <f>(R399+R412)*'Data - P&amp;L'!$C$6</f>
        <v>0</v>
      </c>
      <c r="S532" s="255">
        <f>(S399+S412)*'Data - P&amp;L'!$C$6</f>
        <v>0</v>
      </c>
      <c r="T532" s="255">
        <f>(T399+T412)*'Data - P&amp;L'!$C$6</f>
        <v>27.45</v>
      </c>
      <c r="U532" s="255">
        <f>(U399+U412)*'Data - P&amp;L'!$C$6</f>
        <v>0</v>
      </c>
      <c r="V532" s="255">
        <f>(V399+V412)*'Data - P&amp;L'!$C$6</f>
        <v>0</v>
      </c>
      <c r="W532" s="255">
        <f>(W399+W412)*'Data - P&amp;L'!$C$6</f>
        <v>0</v>
      </c>
      <c r="X532" s="255">
        <f>(X399+X412)*'Data - P&amp;L'!$C$6</f>
        <v>0</v>
      </c>
      <c r="Y532" s="255">
        <f>(Y399+Y412)*'Data - P&amp;L'!$C$6</f>
        <v>0</v>
      </c>
      <c r="Z532" s="255">
        <f>(Z399+Z412)*'Data - P&amp;L'!$C$6</f>
        <v>0</v>
      </c>
      <c r="AA532" s="255">
        <f>(AA399+AA412)*'Data - P&amp;L'!$C$6</f>
        <v>10.98</v>
      </c>
      <c r="AB532" s="255">
        <f>(AB399+AB412)*'Data - P&amp;L'!$C$6</f>
        <v>5.49</v>
      </c>
      <c r="AC532" s="255">
        <f>(AC399+AC412)*'Data - P&amp;L'!$C$6</f>
        <v>0</v>
      </c>
      <c r="AD532" s="255">
        <f>(AD399+AD412)*'Data - P&amp;L'!$C$6</f>
        <v>0</v>
      </c>
      <c r="AE532" s="255">
        <f>(AE399+AE412)*'Data - P&amp;L'!$C$6</f>
        <v>0</v>
      </c>
      <c r="AF532" s="255">
        <f>(AF399+AF412)*'Data - P&amp;L'!$C$6</f>
        <v>0</v>
      </c>
      <c r="AG532" s="95">
        <f t="shared" si="147"/>
        <v>82.35</v>
      </c>
    </row>
    <row r="533" outlineLevel="1">
      <c r="A533" s="151" t="s">
        <v>451</v>
      </c>
      <c r="B533" s="255">
        <f>(B400+B413)*'Data - P&amp;L'!$C$8</f>
        <v>2.38</v>
      </c>
      <c r="C533" s="255">
        <f>(C400+C413)*'Data - P&amp;L'!$C$8</f>
        <v>0</v>
      </c>
      <c r="D533" s="255">
        <f>(D400+D413)*'Data - P&amp;L'!$C$8</f>
        <v>0</v>
      </c>
      <c r="E533" s="255">
        <f>(E400+E413)*'Data - P&amp;L'!$C$8</f>
        <v>3.57</v>
      </c>
      <c r="F533" s="255">
        <f>(F400+F413)*'Data - P&amp;L'!$C$8</f>
        <v>2.38</v>
      </c>
      <c r="G533" s="255">
        <f>(G400+G413)*'Data - P&amp;L'!$C$8</f>
        <v>0</v>
      </c>
      <c r="H533" s="255">
        <f>(H400+H413)*'Data - P&amp;L'!$C$8</f>
        <v>0</v>
      </c>
      <c r="I533" s="255">
        <f>(I400+I413)*'Data - P&amp;L'!$C$8</f>
        <v>0</v>
      </c>
      <c r="J533" s="255">
        <f>(J400+J413)*'Data - P&amp;L'!$C$8</f>
        <v>0</v>
      </c>
      <c r="K533" s="255">
        <f>(K400+K413)*'Data - P&amp;L'!$C$8</f>
        <v>0</v>
      </c>
      <c r="L533" s="255">
        <f>(L400+L413)*'Data - P&amp;L'!$C$8</f>
        <v>2.38</v>
      </c>
      <c r="M533" s="255">
        <f>(M400+M413)*'Data - P&amp;L'!$C$8</f>
        <v>0</v>
      </c>
      <c r="N533" s="255">
        <f>(N400+N413)*'Data - P&amp;L'!$C$8</f>
        <v>1.19</v>
      </c>
      <c r="O533" s="255">
        <f>(O400+O413)*'Data - P&amp;L'!$C$8</f>
        <v>2.38</v>
      </c>
      <c r="P533" s="255">
        <f>(P400+P413)*'Data - P&amp;L'!$C$8</f>
        <v>4.76</v>
      </c>
      <c r="Q533" s="255">
        <f>(Q400+Q413)*'Data - P&amp;L'!$C$8</f>
        <v>0</v>
      </c>
      <c r="R533" s="255">
        <f>(R400+R413)*'Data - P&amp;L'!$C$8</f>
        <v>0</v>
      </c>
      <c r="S533" s="255">
        <f>(S400+S413)*'Data - P&amp;L'!$C$8</f>
        <v>0</v>
      </c>
      <c r="T533" s="255">
        <f>(T400+T413)*'Data - P&amp;L'!$C$8</f>
        <v>2.38</v>
      </c>
      <c r="U533" s="255">
        <f>(U400+U413)*'Data - P&amp;L'!$C$8</f>
        <v>0</v>
      </c>
      <c r="V533" s="255">
        <f>(V400+V413)*'Data - P&amp;L'!$C$8</f>
        <v>1.19</v>
      </c>
      <c r="W533" s="255">
        <f>(W400+W413)*'Data - P&amp;L'!$C$8</f>
        <v>0</v>
      </c>
      <c r="X533" s="255">
        <f>(X400+X413)*'Data - P&amp;L'!$C$8</f>
        <v>0</v>
      </c>
      <c r="Y533" s="255">
        <f>(Y400+Y413)*'Data - P&amp;L'!$C$8</f>
        <v>0</v>
      </c>
      <c r="Z533" s="255">
        <f>(Z400+Z413)*'Data - P&amp;L'!$C$8</f>
        <v>0</v>
      </c>
      <c r="AA533" s="255">
        <f>(AA400+AA413)*'Data - P&amp;L'!$C$8</f>
        <v>4.76</v>
      </c>
      <c r="AB533" s="255">
        <f>(AB400+AB413)*'Data - P&amp;L'!$C$8</f>
        <v>1.19</v>
      </c>
      <c r="AC533" s="255">
        <f>(AC400+AC413)*'Data - P&amp;L'!$C$8</f>
        <v>2.38</v>
      </c>
      <c r="AD533" s="255">
        <f>(AD400+AD413)*'Data - P&amp;L'!$C$8</f>
        <v>0</v>
      </c>
      <c r="AE533" s="255">
        <f>(AE400+AE413)*'Data - P&amp;L'!$C$8</f>
        <v>0</v>
      </c>
      <c r="AF533" s="255">
        <f>(AF400+AF413)*'Data - P&amp;L'!$C$8</f>
        <v>0</v>
      </c>
      <c r="AG533" s="95">
        <f t="shared" si="147"/>
        <v>30.94</v>
      </c>
    </row>
    <row r="534" outlineLevel="1">
      <c r="A534" s="151" t="s">
        <v>452</v>
      </c>
      <c r="B534" s="255">
        <f>(B401+B402+B414+B415)*'Data - P&amp;L'!$C$9</f>
        <v>0</v>
      </c>
      <c r="C534" s="255">
        <f>(C401+C402+C414+C415)*'Data - P&amp;L'!$C$9</f>
        <v>0</v>
      </c>
      <c r="D534" s="255">
        <f>(D401+D402+D414+D415)*'Data - P&amp;L'!$C$9</f>
        <v>0</v>
      </c>
      <c r="E534" s="255">
        <f>(E401+E402+E414+E415)*'Data - P&amp;L'!$C$9</f>
        <v>0</v>
      </c>
      <c r="F534" s="255">
        <f>(F401+F402+F414+F415)*'Data - P&amp;L'!$C$9</f>
        <v>6.66</v>
      </c>
      <c r="G534" s="255">
        <f>(G401+G402+G414+G415)*'Data - P&amp;L'!$C$9</f>
        <v>0</v>
      </c>
      <c r="H534" s="255">
        <f>(H401+H402+H414+H415)*'Data - P&amp;L'!$C$9</f>
        <v>0</v>
      </c>
      <c r="I534" s="255">
        <f>(I401+I402+I414+I415)*'Data - P&amp;L'!$C$9</f>
        <v>0</v>
      </c>
      <c r="J534" s="255">
        <f>(J401+J402+J414+J415)*'Data - P&amp;L'!$C$9</f>
        <v>0</v>
      </c>
      <c r="K534" s="255">
        <f>(K401+K402+K414+K415)*'Data - P&amp;L'!$C$9</f>
        <v>0</v>
      </c>
      <c r="L534" s="255">
        <f>(L401+L402+L414+L415)*'Data - P&amp;L'!$C$9</f>
        <v>0</v>
      </c>
      <c r="M534" s="255">
        <f>(M401+M402+M414+M415)*'Data - P&amp;L'!$C$9</f>
        <v>0</v>
      </c>
      <c r="N534" s="255">
        <f>(N401+N402+N414+N415)*'Data - P&amp;L'!$C$9</f>
        <v>0</v>
      </c>
      <c r="O534" s="255">
        <f>(O401+O402+O414+O415)*'Data - P&amp;L'!$C$9</f>
        <v>0</v>
      </c>
      <c r="P534" s="255">
        <f>(P401+P402+P414+P415)*'Data - P&amp;L'!$C$9</f>
        <v>6.66</v>
      </c>
      <c r="Q534" s="255">
        <f>(Q401+Q402+Q414+Q415)*'Data - P&amp;L'!$C$9</f>
        <v>0</v>
      </c>
      <c r="R534" s="255">
        <f>(R401+R402+R414+R415)*'Data - P&amp;L'!$C$9</f>
        <v>0</v>
      </c>
      <c r="S534" s="255">
        <f>(S401+S402+S414+S415)*'Data - P&amp;L'!$C$9</f>
        <v>6.66</v>
      </c>
      <c r="T534" s="255">
        <f>(T401+T402+T414+T415)*'Data - P&amp;L'!$C$9</f>
        <v>0</v>
      </c>
      <c r="U534" s="255">
        <f>(U401+U402+U414+U415)*'Data - P&amp;L'!$C$9</f>
        <v>0</v>
      </c>
      <c r="V534" s="255">
        <f>(V401+V402+V414+V415)*'Data - P&amp;L'!$C$9</f>
        <v>6.66</v>
      </c>
      <c r="W534" s="255">
        <f>(W401+W402+W414+W415)*'Data - P&amp;L'!$C$9</f>
        <v>0</v>
      </c>
      <c r="X534" s="255">
        <f>(X401+X402+X414+X415)*'Data - P&amp;L'!$C$9</f>
        <v>0</v>
      </c>
      <c r="Y534" s="255">
        <f>(Y401+Y402+Y414+Y415)*'Data - P&amp;L'!$C$9</f>
        <v>0</v>
      </c>
      <c r="Z534" s="255">
        <f>(Z401+Z402+Z414+Z415)*'Data - P&amp;L'!$C$9</f>
        <v>0</v>
      </c>
      <c r="AA534" s="255">
        <f>(AA401+AA402+AA414+AA415)*'Data - P&amp;L'!$C$9</f>
        <v>0</v>
      </c>
      <c r="AB534" s="255">
        <f>(AB401+AB402+AB414+AB415)*'Data - P&amp;L'!$C$9</f>
        <v>0</v>
      </c>
      <c r="AC534" s="255">
        <f>(AC401+AC402+AC414+AC415)*'Data - P&amp;L'!$C$9</f>
        <v>6.66</v>
      </c>
      <c r="AD534" s="255">
        <f>(AD401+AD402+AD414+AD415)*'Data - P&amp;L'!$C$9</f>
        <v>0</v>
      </c>
      <c r="AE534" s="255">
        <f>(AE401+AE402+AE414+AE415)*'Data - P&amp;L'!$C$9</f>
        <v>0</v>
      </c>
      <c r="AF534" s="255">
        <f>(AF401+AF402+AF414+AF415)*'Data - P&amp;L'!$C$9</f>
        <v>0</v>
      </c>
      <c r="AG534" s="95">
        <f t="shared" si="147"/>
        <v>33.3</v>
      </c>
    </row>
    <row r="535" outlineLevel="1">
      <c r="A535" s="151" t="s">
        <v>453</v>
      </c>
      <c r="B535" s="255">
        <f>(B403+B404+B416+B417)*'Data - P&amp;L'!$C$5</f>
        <v>0</v>
      </c>
      <c r="C535" s="255">
        <f>(C403+C404+C416+C417)*'Data - P&amp;L'!$C$5</f>
        <v>0</v>
      </c>
      <c r="D535" s="255">
        <f>(D403+D404+D416+D417)*'Data - P&amp;L'!$C$5</f>
        <v>0</v>
      </c>
      <c r="E535" s="255">
        <f>(E403+E404+E416+E417)*'Data - P&amp;L'!$C$5</f>
        <v>0</v>
      </c>
      <c r="F535" s="255">
        <f>(F403+F404+F416+F417)*'Data - P&amp;L'!$C$5</f>
        <v>26.88</v>
      </c>
      <c r="G535" s="255">
        <f>(G403+G404+G416+G417)*'Data - P&amp;L'!$C$5</f>
        <v>0</v>
      </c>
      <c r="H535" s="255">
        <f>(H403+H404+H416+H417)*'Data - P&amp;L'!$C$5</f>
        <v>0</v>
      </c>
      <c r="I535" s="255">
        <f>(I403+I404+I416+I417)*'Data - P&amp;L'!$C$5</f>
        <v>26.88</v>
      </c>
      <c r="J535" s="255">
        <f>(J403+J404+J416+J417)*'Data - P&amp;L'!$C$5</f>
        <v>0</v>
      </c>
      <c r="K535" s="255">
        <f>(K403+K404+K416+K417)*'Data - P&amp;L'!$C$5</f>
        <v>0</v>
      </c>
      <c r="L535" s="255">
        <f>(L403+L404+L416+L417)*'Data - P&amp;L'!$C$5</f>
        <v>0</v>
      </c>
      <c r="M535" s="255">
        <f>(M403+M404+M416+M417)*'Data - P&amp;L'!$C$5</f>
        <v>13.44</v>
      </c>
      <c r="N535" s="255">
        <f>(N403+N404+N416+N417)*'Data - P&amp;L'!$C$5</f>
        <v>13.44</v>
      </c>
      <c r="O535" s="255">
        <f>(O403+O404+O416+O417)*'Data - P&amp;L'!$C$5</f>
        <v>13.44</v>
      </c>
      <c r="P535" s="255">
        <f>(P403+P404+P416+P417)*'Data - P&amp;L'!$C$5</f>
        <v>0</v>
      </c>
      <c r="Q535" s="255">
        <f>(Q403+Q404+Q416+Q417)*'Data - P&amp;L'!$C$5</f>
        <v>0</v>
      </c>
      <c r="R535" s="255">
        <f>(R403+R404+R416+R417)*'Data - P&amp;L'!$C$5</f>
        <v>0</v>
      </c>
      <c r="S535" s="255">
        <f>(S403+S404+S416+S417)*'Data - P&amp;L'!$C$5</f>
        <v>13.44</v>
      </c>
      <c r="T535" s="255">
        <f>(T403+T404+T416+T417)*'Data - P&amp;L'!$C$5</f>
        <v>0</v>
      </c>
      <c r="U535" s="255">
        <f>(U403+U404+U416+U417)*'Data - P&amp;L'!$C$5</f>
        <v>67.2</v>
      </c>
      <c r="V535" s="255">
        <f>(V403+V404+V416+V417)*'Data - P&amp;L'!$C$5</f>
        <v>0</v>
      </c>
      <c r="W535" s="255">
        <f>(W403+W404+W416+W417)*'Data - P&amp;L'!$C$5</f>
        <v>0</v>
      </c>
      <c r="X535" s="255">
        <f>(X403+X404+X416+X417)*'Data - P&amp;L'!$C$5</f>
        <v>0</v>
      </c>
      <c r="Y535" s="255">
        <f>(Y403+Y404+Y416+Y417)*'Data - P&amp;L'!$C$5</f>
        <v>0</v>
      </c>
      <c r="Z535" s="255">
        <f>(Z403+Z404+Z416+Z417)*'Data - P&amp;L'!$C$5</f>
        <v>0</v>
      </c>
      <c r="AA535" s="255">
        <f>(AA403+AA404+AA416+AA417)*'Data - P&amp;L'!$C$5</f>
        <v>0</v>
      </c>
      <c r="AB535" s="255">
        <f>(AB403+AB404+AB416+AB417)*'Data - P&amp;L'!$C$5</f>
        <v>0</v>
      </c>
      <c r="AC535" s="255">
        <f>(AC403+AC404+AC416+AC417)*'Data - P&amp;L'!$C$5</f>
        <v>13.44</v>
      </c>
      <c r="AD535" s="255">
        <f>(AD403+AD404+AD416+AD417)*'Data - P&amp;L'!$C$5</f>
        <v>13.44</v>
      </c>
      <c r="AE535" s="255">
        <f>(AE403+AE404+AE416+AE417)*'Data - P&amp;L'!$C$5</f>
        <v>0</v>
      </c>
      <c r="AF535" s="255">
        <f>(AF403+AF404+AF416+AF417)*'Data - P&amp;L'!$C$5</f>
        <v>0</v>
      </c>
      <c r="AG535" s="95">
        <f t="shared" si="147"/>
        <v>201.6</v>
      </c>
    </row>
    <row r="536" outlineLevel="1">
      <c r="A536" s="151" t="s">
        <v>454</v>
      </c>
      <c r="B536" s="255">
        <f>(B405+B406+B418+B419)*'Data - P&amp;L'!$C$10</f>
        <v>0</v>
      </c>
      <c r="C536" s="255">
        <f>(C405+C406+C418+C419)*'Data - P&amp;L'!$C$10</f>
        <v>0</v>
      </c>
      <c r="D536" s="255">
        <f>(D405+D406+D418+D419)*'Data - P&amp;L'!$C$10</f>
        <v>0</v>
      </c>
      <c r="E536" s="255">
        <f>(E405+E406+E418+E419)*'Data - P&amp;L'!$C$10</f>
        <v>0</v>
      </c>
      <c r="F536" s="255">
        <f>(F405+F406+F418+F419)*'Data - P&amp;L'!$C$10</f>
        <v>0</v>
      </c>
      <c r="G536" s="255">
        <f>(G405+G406+G418+G419)*'Data - P&amp;L'!$C$10</f>
        <v>0</v>
      </c>
      <c r="H536" s="255">
        <f>(H405+H406+H418+H419)*'Data - P&amp;L'!$C$10</f>
        <v>0</v>
      </c>
      <c r="I536" s="255">
        <f>(I405+I406+I418+I419)*'Data - P&amp;L'!$C$10</f>
        <v>0</v>
      </c>
      <c r="J536" s="255">
        <f>(J405+J406+J418+J419)*'Data - P&amp;L'!$C$10</f>
        <v>0</v>
      </c>
      <c r="K536" s="255">
        <f>(K405+K406+K418+K419)*'Data - P&amp;L'!$C$10</f>
        <v>0</v>
      </c>
      <c r="L536" s="255">
        <f>(L405+L406+L418+L419)*'Data - P&amp;L'!$C$10</f>
        <v>6</v>
      </c>
      <c r="M536" s="255">
        <f>(M405+M406+M418+M419)*'Data - P&amp;L'!$C$10</f>
        <v>0</v>
      </c>
      <c r="N536" s="255">
        <f>(N405+N406+N418+N419)*'Data - P&amp;L'!$C$10</f>
        <v>0</v>
      </c>
      <c r="O536" s="255">
        <f>(O405+O406+O418+O419)*'Data - P&amp;L'!$C$10</f>
        <v>0</v>
      </c>
      <c r="P536" s="255">
        <f>(P405+P406+P418+P419)*'Data - P&amp;L'!$C$10</f>
        <v>6</v>
      </c>
      <c r="Q536" s="255">
        <f>(Q405+Q406+Q418+Q419)*'Data - P&amp;L'!$C$10</f>
        <v>0</v>
      </c>
      <c r="R536" s="255">
        <f>(R405+R406+R418+R419)*'Data - P&amp;L'!$C$10</f>
        <v>0</v>
      </c>
      <c r="S536" s="255">
        <f>(S405+S406+S418+S419)*'Data - P&amp;L'!$C$10</f>
        <v>6</v>
      </c>
      <c r="T536" s="255">
        <f>(T405+T406+T418+T419)*'Data - P&amp;L'!$C$10</f>
        <v>18</v>
      </c>
      <c r="U536" s="255">
        <f>(U405+U406+U418+U419)*'Data - P&amp;L'!$C$10</f>
        <v>0</v>
      </c>
      <c r="V536" s="255">
        <f>(V405+V406+V418+V419)*'Data - P&amp;L'!$C$10</f>
        <v>0</v>
      </c>
      <c r="W536" s="255">
        <f>(W405+W406+W418+W419)*'Data - P&amp;L'!$C$10</f>
        <v>0</v>
      </c>
      <c r="X536" s="255">
        <f>(X405+X406+X418+X419)*'Data - P&amp;L'!$C$10</f>
        <v>0</v>
      </c>
      <c r="Y536" s="255">
        <f>(Y405+Y406+Y418+Y419)*'Data - P&amp;L'!$C$10</f>
        <v>0</v>
      </c>
      <c r="Z536" s="255">
        <f>(Z405+Z406+Z418+Z419)*'Data - P&amp;L'!$C$10</f>
        <v>0</v>
      </c>
      <c r="AA536" s="255">
        <f>(AA405+AA406+AA418+AA419)*'Data - P&amp;L'!$C$10</f>
        <v>12</v>
      </c>
      <c r="AB536" s="255">
        <f>(AB405+AB406+AB418+AB419)*'Data - P&amp;L'!$C$10</f>
        <v>0</v>
      </c>
      <c r="AC536" s="255">
        <f>(AC405+AC406+AC418+AC419)*'Data - P&amp;L'!$C$10</f>
        <v>0</v>
      </c>
      <c r="AD536" s="255">
        <f>(AD405+AD406+AD418+AD419)*'Data - P&amp;L'!$C$10</f>
        <v>0</v>
      </c>
      <c r="AE536" s="255">
        <f>(AE405+AE406+AE418+AE419)*'Data - P&amp;L'!$C$10</f>
        <v>0</v>
      </c>
      <c r="AF536" s="255">
        <f>(AF405+AF406+AF418+AF419)*'Data - P&amp;L'!$C$10</f>
        <v>0</v>
      </c>
      <c r="AG536" s="95">
        <f t="shared" si="147"/>
        <v>48</v>
      </c>
    </row>
    <row r="537" outlineLevel="1">
      <c r="A537" s="151" t="s">
        <v>455</v>
      </c>
      <c r="B537" s="255">
        <v>0.0</v>
      </c>
      <c r="C537" s="255">
        <f>(C381+C382+C392+C393)*'Data - P&amp;L'!$C$13</f>
        <v>0</v>
      </c>
      <c r="D537" s="255">
        <f>(D381+D382+D392+D393)*'Data - P&amp;L'!$C$13</f>
        <v>0</v>
      </c>
      <c r="E537" s="255">
        <f>(E381+E382+E392+E393)*'Data - P&amp;L'!$C$13</f>
        <v>0</v>
      </c>
      <c r="F537" s="255">
        <f>(F381+F382+F392+F393)*'Data - P&amp;L'!$C$13</f>
        <v>0</v>
      </c>
      <c r="G537" s="255">
        <f>(G381+G382+G392+G393)*'Data - P&amp;L'!$C$13</f>
        <v>0</v>
      </c>
      <c r="H537" s="255">
        <f>(H381+H382+H392+H393)*'Data - P&amp;L'!$C$13</f>
        <v>0</v>
      </c>
      <c r="I537" s="255">
        <f>(I381+I382+I392+I393)*'Data - P&amp;L'!$C$13</f>
        <v>0</v>
      </c>
      <c r="J537" s="255">
        <f>(J381+J382+J392+J393)*'Data - P&amp;L'!$C$13</f>
        <v>0</v>
      </c>
      <c r="K537" s="255">
        <f>(K381+K382+K392+K393)*'Data - P&amp;L'!$C$13</f>
        <v>0</v>
      </c>
      <c r="L537" s="255">
        <f>(L381+L382+L392+L393)*'Data - P&amp;L'!$C$13</f>
        <v>0</v>
      </c>
      <c r="M537" s="255">
        <f>(M381+M382+M392+M393)*'Data - P&amp;L'!$C$13</f>
        <v>0</v>
      </c>
      <c r="N537" s="255">
        <f>(N381+N382+N392+N393)*'Data - P&amp;L'!$C$13</f>
        <v>0</v>
      </c>
      <c r="O537" s="255">
        <f>(O381+O382+O392+O393)*'Data - P&amp;L'!$C$13</f>
        <v>0</v>
      </c>
      <c r="P537" s="255">
        <f>(P381+P382+P392+P393)*'Data - P&amp;L'!$C$13</f>
        <v>0</v>
      </c>
      <c r="Q537" s="255">
        <f>(Q381+Q382+Q392+Q393)*'Data - P&amp;L'!$C$13</f>
        <v>0</v>
      </c>
      <c r="R537" s="255">
        <f>(R381+R382+R392+R393)*'Data - P&amp;L'!$C$13</f>
        <v>0</v>
      </c>
      <c r="S537" s="255">
        <f>(S381+S382+S392+S393)*'Data - P&amp;L'!$C$13</f>
        <v>0</v>
      </c>
      <c r="T537" s="255">
        <f>(T381+T382+T392+T393)*'Data - P&amp;L'!$C$13</f>
        <v>0</v>
      </c>
      <c r="U537" s="255">
        <f>(U381+U382+U392+U393)*'Data - P&amp;L'!$C$13</f>
        <v>0</v>
      </c>
      <c r="V537" s="255">
        <f>(V381+V382+V392+V393)*'Data - P&amp;L'!$C$13</f>
        <v>0</v>
      </c>
      <c r="W537" s="255">
        <f>(W381+W382+W392+W393)*'Data - P&amp;L'!$C$13</f>
        <v>0</v>
      </c>
      <c r="X537" s="255">
        <f>(X381+X382+X392+X393)*'Data - P&amp;L'!$C$13</f>
        <v>0</v>
      </c>
      <c r="Y537" s="255">
        <f>(Y381+Y382+Y392+Y393)*'Data - P&amp;L'!$C$13</f>
        <v>0</v>
      </c>
      <c r="Z537" s="255">
        <f>(Z381+Z382+Z392+Z393)*'Data - P&amp;L'!$C$13</f>
        <v>0</v>
      </c>
      <c r="AA537" s="255">
        <f>(AA381+AA382+AA392+AA393)*'Data - P&amp;L'!$C$13</f>
        <v>0</v>
      </c>
      <c r="AB537" s="255">
        <f>(AB381+AB382+AB392+AB393)*'Data - P&amp;L'!$C$13</f>
        <v>0</v>
      </c>
      <c r="AC537" s="255">
        <f>(AC381+AC382+AC392+AC393)*'Data - P&amp;L'!$C$13</f>
        <v>0</v>
      </c>
      <c r="AD537" s="255">
        <f>(AD381+AD382+AD392+AD393)*'Data - P&amp;L'!$C$13</f>
        <v>0</v>
      </c>
      <c r="AE537" s="255">
        <f>(AE381+AE382+AE392+AE393)*'Data - P&amp;L'!$C$13</f>
        <v>0</v>
      </c>
      <c r="AF537" s="255">
        <f>(AF381+AF382+AF392+AF393)*'Data - P&amp;L'!$C$13</f>
        <v>0</v>
      </c>
      <c r="AG537" s="95">
        <f t="shared" si="147"/>
        <v>0</v>
      </c>
    </row>
    <row r="538" outlineLevel="1">
      <c r="A538" s="151" t="s">
        <v>456</v>
      </c>
      <c r="B538" s="255">
        <f>(B383+B394)*'Data - P&amp;L'!$C$14</f>
        <v>0</v>
      </c>
      <c r="C538" s="255">
        <f>(C383+C394)*'Data - P&amp;L'!$C$14</f>
        <v>0</v>
      </c>
      <c r="D538" s="255">
        <f>(D383+D394)*'Data - P&amp;L'!$C$14</f>
        <v>0</v>
      </c>
      <c r="E538" s="255">
        <f>(E383+E394)*'Data - P&amp;L'!$C$14</f>
        <v>0</v>
      </c>
      <c r="F538" s="255">
        <f>(F383+F394)*'Data - P&amp;L'!$C$14</f>
        <v>0</v>
      </c>
      <c r="G538" s="255">
        <f>(G383+G394)*'Data - P&amp;L'!$C$14</f>
        <v>0</v>
      </c>
      <c r="H538" s="255">
        <f>(H383+H394)*'Data - P&amp;L'!$C$14</f>
        <v>0</v>
      </c>
      <c r="I538" s="255">
        <f>(I383+I394)*'Data - P&amp;L'!$C$14</f>
        <v>0</v>
      </c>
      <c r="J538" s="255">
        <f>(J383+J394)*'Data - P&amp;L'!$C$14</f>
        <v>0</v>
      </c>
      <c r="K538" s="255">
        <f>(K383+K394)*'Data - P&amp;L'!$C$14</f>
        <v>0</v>
      </c>
      <c r="L538" s="255">
        <f>(L383+L394)*'Data - P&amp;L'!$C$14</f>
        <v>0</v>
      </c>
      <c r="M538" s="255">
        <f>(M383+M394)*'Data - P&amp;L'!$C$14</f>
        <v>0</v>
      </c>
      <c r="N538" s="255">
        <f>(N383+N394)*'Data - P&amp;L'!$C$14</f>
        <v>0</v>
      </c>
      <c r="O538" s="255">
        <f>(O383+O394)*'Data - P&amp;L'!$C$14</f>
        <v>0</v>
      </c>
      <c r="P538" s="255">
        <f>(P383+P394)*'Data - P&amp;L'!$C$14</f>
        <v>0</v>
      </c>
      <c r="Q538" s="255">
        <f>(Q383+Q394)*'Data - P&amp;L'!$C$14</f>
        <v>0</v>
      </c>
      <c r="R538" s="255">
        <f>(R383+R394)*'Data - P&amp;L'!$C$14</f>
        <v>0</v>
      </c>
      <c r="S538" s="255">
        <f>(S383+S394)*'Data - P&amp;L'!$C$14</f>
        <v>0</v>
      </c>
      <c r="T538" s="255">
        <f>(T383+T394)*'Data - P&amp;L'!$C$14</f>
        <v>0</v>
      </c>
      <c r="U538" s="255">
        <f>(U383+U394)*'Data - P&amp;L'!$C$14</f>
        <v>0</v>
      </c>
      <c r="V538" s="255">
        <f>(V383+V394)*'Data - P&amp;L'!$C$14</f>
        <v>0</v>
      </c>
      <c r="W538" s="255">
        <f>(W383+W394)*'Data - P&amp;L'!$C$14</f>
        <v>0</v>
      </c>
      <c r="X538" s="255">
        <f>(X383+X394)*'Data - P&amp;L'!$C$14</f>
        <v>0</v>
      </c>
      <c r="Y538" s="255">
        <f>(Y383+Y394)*'Data - P&amp;L'!$C$14</f>
        <v>0</v>
      </c>
      <c r="Z538" s="255">
        <f>(Z383+Z394)*'Data - P&amp;L'!$C$14</f>
        <v>0</v>
      </c>
      <c r="AA538" s="255">
        <f>(AA383+AA394)*'Data - P&amp;L'!$C$14</f>
        <v>0</v>
      </c>
      <c r="AB538" s="255">
        <f>(AB383+AB394)*'Data - P&amp;L'!$C$14</f>
        <v>0</v>
      </c>
      <c r="AC538" s="255">
        <f>(AC383+AC394)*'Data - P&amp;L'!$C$14</f>
        <v>0</v>
      </c>
      <c r="AD538" s="255">
        <f>(AD383+AD394)*'Data - P&amp;L'!$C$14</f>
        <v>0</v>
      </c>
      <c r="AE538" s="255">
        <f>(AE383+AE394)*'Data - P&amp;L'!$C$14</f>
        <v>0</v>
      </c>
      <c r="AF538" s="255">
        <f>(AF383+AF394)*'Data - P&amp;L'!$C$14</f>
        <v>0</v>
      </c>
      <c r="AG538" s="95">
        <f t="shared" si="147"/>
        <v>0</v>
      </c>
    </row>
    <row r="539" outlineLevel="1">
      <c r="A539" s="151" t="s">
        <v>457</v>
      </c>
      <c r="B539" s="255">
        <f>(B407+B420)*'Data - P&amp;L'!$C$17</f>
        <v>0</v>
      </c>
      <c r="C539" s="255">
        <f>(C407+C420)*'Data - P&amp;L'!$C$17</f>
        <v>0</v>
      </c>
      <c r="D539" s="255">
        <f>(D407+D420)*'Data - P&amp;L'!$C$17</f>
        <v>0</v>
      </c>
      <c r="E539" s="255">
        <f>(E407+E420)*'Data - P&amp;L'!$C$17</f>
        <v>0</v>
      </c>
      <c r="F539" s="255">
        <f>(F407+F420)*'Data - P&amp;L'!$C$17</f>
        <v>0</v>
      </c>
      <c r="G539" s="255">
        <f>(G407+G420)*'Data - P&amp;L'!$C$17</f>
        <v>0</v>
      </c>
      <c r="H539" s="255">
        <f>(H407+H420)*'Data - P&amp;L'!$C$17</f>
        <v>0</v>
      </c>
      <c r="I539" s="255">
        <f>(I407+I420)*'Data - P&amp;L'!$C$17</f>
        <v>0</v>
      </c>
      <c r="J539" s="255">
        <f>(J407+J420)*'Data - P&amp;L'!$C$17</f>
        <v>0</v>
      </c>
      <c r="K539" s="255">
        <f>(K407+K420)*'Data - P&amp;L'!$C$17</f>
        <v>0</v>
      </c>
      <c r="L539" s="255">
        <f>(L407+L420)*'Data - P&amp;L'!$C$17</f>
        <v>0</v>
      </c>
      <c r="M539" s="255">
        <f>(M407+M420)*'Data - P&amp;L'!$C$17</f>
        <v>0</v>
      </c>
      <c r="N539" s="255">
        <f>(N407+N420)*'Data - P&amp;L'!$C$17</f>
        <v>0</v>
      </c>
      <c r="O539" s="255">
        <f>(O407+O420)*'Data - P&amp;L'!$C$17</f>
        <v>0</v>
      </c>
      <c r="P539" s="255">
        <f>(P407+P420)*'Data - P&amp;L'!$C$17</f>
        <v>0</v>
      </c>
      <c r="Q539" s="255">
        <f>(Q407+Q420)*'Data - P&amp;L'!$C$17</f>
        <v>0</v>
      </c>
      <c r="R539" s="255">
        <f>(R407+R420)*'Data - P&amp;L'!$C$17</f>
        <v>0</v>
      </c>
      <c r="S539" s="255">
        <f>(S407+S420)*'Data - P&amp;L'!$C$17</f>
        <v>0</v>
      </c>
      <c r="T539" s="255">
        <f>(T407+T420)*'Data - P&amp;L'!$C$17</f>
        <v>0</v>
      </c>
      <c r="U539" s="255">
        <f>(U407+U420)*'Data - P&amp;L'!$C$17</f>
        <v>0</v>
      </c>
      <c r="V539" s="255">
        <f>(V407+V420)*'Data - P&amp;L'!$C$17</f>
        <v>0</v>
      </c>
      <c r="W539" s="255">
        <f>(W407+W420)*'Data - P&amp;L'!$C$17</f>
        <v>0</v>
      </c>
      <c r="X539" s="255">
        <f>(X407+X420)*'Data - P&amp;L'!$C$17</f>
        <v>0</v>
      </c>
      <c r="Y539" s="255">
        <f>(Y407+Y420)*'Data - P&amp;L'!$C$17</f>
        <v>0</v>
      </c>
      <c r="Z539" s="255">
        <f>(Z407+Z420)*'Data - P&amp;L'!$C$17</f>
        <v>0</v>
      </c>
      <c r="AA539" s="255">
        <f>(AA407+AA420)*'Data - P&amp;L'!$C$17</f>
        <v>0</v>
      </c>
      <c r="AB539" s="255">
        <f>(AB407+AB420)*'Data - P&amp;L'!$C$17</f>
        <v>0</v>
      </c>
      <c r="AC539" s="255">
        <f>(AC407+AC420)*'Data - P&amp;L'!$C$17</f>
        <v>0</v>
      </c>
      <c r="AD539" s="255">
        <f>(AD407+AD420)*'Data - P&amp;L'!$C$17</f>
        <v>0</v>
      </c>
      <c r="AE539" s="255">
        <f>(AE407+AE420)*'Data - P&amp;L'!$C$17</f>
        <v>0</v>
      </c>
      <c r="AF539" s="255">
        <f>(AF407+AF420)*'Data - P&amp;L'!$C$17</f>
        <v>0</v>
      </c>
      <c r="AG539" s="95">
        <f t="shared" si="147"/>
        <v>0</v>
      </c>
    </row>
    <row r="540" outlineLevel="1">
      <c r="A540" s="151" t="s">
        <v>458</v>
      </c>
      <c r="B540" s="255">
        <f>(B408+B421)*'Data - P&amp;L'!$C$18</f>
        <v>0</v>
      </c>
      <c r="C540" s="255">
        <f>(C408+C421)*'Data - P&amp;L'!$C$18</f>
        <v>0</v>
      </c>
      <c r="D540" s="255">
        <f>(D408+D421)*'Data - P&amp;L'!$C$18</f>
        <v>0</v>
      </c>
      <c r="E540" s="255">
        <f>(E408+E421)*'Data - P&amp;L'!$C$18</f>
        <v>0</v>
      </c>
      <c r="F540" s="255">
        <f>(F408+F421)*'Data - P&amp;L'!$C$18</f>
        <v>0</v>
      </c>
      <c r="G540" s="255">
        <f>(G408+G421)*'Data - P&amp;L'!$C$18</f>
        <v>0</v>
      </c>
      <c r="H540" s="255">
        <f>(H408+H421)*'Data - P&amp;L'!$C$18</f>
        <v>0</v>
      </c>
      <c r="I540" s="255">
        <f>(I408+I421)*'Data - P&amp;L'!$C$18</f>
        <v>0</v>
      </c>
      <c r="J540" s="255">
        <f>(J408+J421)*'Data - P&amp;L'!$C$18</f>
        <v>0</v>
      </c>
      <c r="K540" s="255">
        <f>(K408+K421)*'Data - P&amp;L'!$C$18</f>
        <v>0</v>
      </c>
      <c r="L540" s="255">
        <f>(L408+L421)*'Data - P&amp;L'!$C$18</f>
        <v>0</v>
      </c>
      <c r="M540" s="255">
        <f>(M408+M421)*'Data - P&amp;L'!$C$18</f>
        <v>0</v>
      </c>
      <c r="N540" s="255">
        <f>(N408+N421)*'Data - P&amp;L'!$C$18</f>
        <v>0</v>
      </c>
      <c r="O540" s="255">
        <f>(O408+O421)*'Data - P&amp;L'!$C$18</f>
        <v>0</v>
      </c>
      <c r="P540" s="255">
        <f>(P408+P421)*'Data - P&amp;L'!$C$18</f>
        <v>0</v>
      </c>
      <c r="Q540" s="255">
        <f>(Q408+Q421)*'Data - P&amp;L'!$C$18</f>
        <v>0</v>
      </c>
      <c r="R540" s="255">
        <f>(R408+R421)*'Data - P&amp;L'!$C$18</f>
        <v>0</v>
      </c>
      <c r="S540" s="255">
        <f>(S408+S421)*'Data - P&amp;L'!$C$18</f>
        <v>0</v>
      </c>
      <c r="T540" s="255">
        <f>(T408+T421)*'Data - P&amp;L'!$C$18</f>
        <v>0</v>
      </c>
      <c r="U540" s="255">
        <f>(U408+U421)*'Data - P&amp;L'!$C$18</f>
        <v>0</v>
      </c>
      <c r="V540" s="255">
        <f>(V408+V421)*'Data - P&amp;L'!$C$18</f>
        <v>0</v>
      </c>
      <c r="W540" s="255">
        <f>(W408+W421)*'Data - P&amp;L'!$C$18</f>
        <v>0</v>
      </c>
      <c r="X540" s="255">
        <f>(X408+X421)*'Data - P&amp;L'!$C$18</f>
        <v>0</v>
      </c>
      <c r="Y540" s="255">
        <f>(Y408+Y421)*'Data - P&amp;L'!$C$18</f>
        <v>0</v>
      </c>
      <c r="Z540" s="255">
        <f>(Z408+Z421)*'Data - P&amp;L'!$C$18</f>
        <v>0</v>
      </c>
      <c r="AA540" s="255">
        <f>(AA408+AA421)*'Data - P&amp;L'!$C$18</f>
        <v>0</v>
      </c>
      <c r="AB540" s="255">
        <f>(AB408+AB421)*'Data - P&amp;L'!$C$18</f>
        <v>0</v>
      </c>
      <c r="AC540" s="255">
        <f>(AC408+AC421)*'Data - P&amp;L'!$C$18</f>
        <v>0</v>
      </c>
      <c r="AD540" s="255">
        <f>(AD408+AD421)*'Data - P&amp;L'!$C$18</f>
        <v>0</v>
      </c>
      <c r="AE540" s="255">
        <f>(AE408+AE421)*'Data - P&amp;L'!$C$18</f>
        <v>0</v>
      </c>
      <c r="AF540" s="255">
        <f>(AF408+AF421)*'Data - P&amp;L'!$C$18</f>
        <v>0</v>
      </c>
      <c r="AG540" s="95">
        <f t="shared" si="147"/>
        <v>0</v>
      </c>
    </row>
    <row r="541" outlineLevel="1">
      <c r="A541" s="151" t="s">
        <v>459</v>
      </c>
      <c r="B541" s="255">
        <f>((B395*'Data - P&amp;L'!$C$38)+(B396*'Data - P&amp;L'!$C$39))*'Data - P&amp;L'!$C$55</f>
        <v>0</v>
      </c>
      <c r="C541" s="255">
        <f>((C395*'Data - P&amp;L'!$C$38)+(C396*'Data - P&amp;L'!$C$39))*'Data - P&amp;L'!$C$55</f>
        <v>0</v>
      </c>
      <c r="D541" s="255">
        <f>((D395*'Data - P&amp;L'!$C$38)+(D396*'Data - P&amp;L'!$C$39))*'Data - P&amp;L'!$C$55</f>
        <v>0</v>
      </c>
      <c r="E541" s="255">
        <f>((E395*'Data - P&amp;L'!$C$38)+(E396*'Data - P&amp;L'!$C$39))*'Data - P&amp;L'!$C$55</f>
        <v>0</v>
      </c>
      <c r="F541" s="255">
        <f>((F395*'Data - P&amp;L'!$C$38)+(F396*'Data - P&amp;L'!$C$39))*'Data - P&amp;L'!$C$55</f>
        <v>5.97</v>
      </c>
      <c r="G541" s="255">
        <f>((G395*'Data - P&amp;L'!$C$38)+(G396*'Data - P&amp;L'!$C$39))*'Data - P&amp;L'!$C$55</f>
        <v>0</v>
      </c>
      <c r="H541" s="255">
        <f>((H395*'Data - P&amp;L'!$C$38)+(H396*'Data - P&amp;L'!$C$39))*'Data - P&amp;L'!$C$55</f>
        <v>2.388</v>
      </c>
      <c r="I541" s="255">
        <f>((I395*'Data - P&amp;L'!$C$38)+(I396*'Data - P&amp;L'!$C$39))*'Data - P&amp;L'!$C$55</f>
        <v>2.388</v>
      </c>
      <c r="J541" s="255">
        <f>((J395*'Data - P&amp;L'!$C$38)+(J396*'Data - P&amp;L'!$C$39))*'Data - P&amp;L'!$C$55</f>
        <v>0</v>
      </c>
      <c r="K541" s="255">
        <f>((K395*'Data - P&amp;L'!$C$38)+(K396*'Data - P&amp;L'!$C$39))*'Data - P&amp;L'!$C$55</f>
        <v>0</v>
      </c>
      <c r="L541" s="255">
        <f>((L395*'Data - P&amp;L'!$C$38)+(L396*'Data - P&amp;L'!$C$39))*'Data - P&amp;L'!$C$55</f>
        <v>3.582</v>
      </c>
      <c r="M541" s="255">
        <f>((M395*'Data - P&amp;L'!$C$38)+(M396*'Data - P&amp;L'!$C$39))*'Data - P&amp;L'!$C$55</f>
        <v>2.388</v>
      </c>
      <c r="N541" s="255">
        <f>((N395*'Data - P&amp;L'!$C$38)+(N396*'Data - P&amp;L'!$C$39))*'Data - P&amp;L'!$C$55</f>
        <v>2.388</v>
      </c>
      <c r="O541" s="255">
        <f>((O395*'Data - P&amp;L'!$C$38)+(O396*'Data - P&amp;L'!$C$39))*'Data - P&amp;L'!$C$55</f>
        <v>8.358</v>
      </c>
      <c r="P541" s="255">
        <f>((P395*'Data - P&amp;L'!$C$38)+(P396*'Data - P&amp;L'!$C$39))*'Data - P&amp;L'!$C$55</f>
        <v>3.582</v>
      </c>
      <c r="Q541" s="255">
        <f>((Q395*'Data - P&amp;L'!$C$38)+(Q396*'Data - P&amp;L'!$C$39))*'Data - P&amp;L'!$C$55</f>
        <v>0</v>
      </c>
      <c r="R541" s="255">
        <f>((R395*'Data - P&amp;L'!$C$38)+(R396*'Data - P&amp;L'!$C$39))*'Data - P&amp;L'!$C$55</f>
        <v>0</v>
      </c>
      <c r="S541" s="255">
        <f>((S395*'Data - P&amp;L'!$C$38)+(S396*'Data - P&amp;L'!$C$39))*'Data - P&amp;L'!$C$55</f>
        <v>0</v>
      </c>
      <c r="T541" s="255">
        <f>((T395*'Data - P&amp;L'!$C$38)+(T396*'Data - P&amp;L'!$C$39))*'Data - P&amp;L'!$C$55</f>
        <v>16.716</v>
      </c>
      <c r="U541" s="255">
        <f>((U395*'Data - P&amp;L'!$C$38)+(U396*'Data - P&amp;L'!$C$39))*'Data - P&amp;L'!$C$55</f>
        <v>2.388</v>
      </c>
      <c r="V541" s="255">
        <f>((V395*'Data - P&amp;L'!$C$38)+(V396*'Data - P&amp;L'!$C$39))*'Data - P&amp;L'!$C$55</f>
        <v>0</v>
      </c>
      <c r="W541" s="255">
        <f>((W395*'Data - P&amp;L'!$C$38)+(W396*'Data - P&amp;L'!$C$39))*'Data - P&amp;L'!$C$55</f>
        <v>0</v>
      </c>
      <c r="X541" s="255">
        <f>((X395*'Data - P&amp;L'!$C$38)+(X396*'Data - P&amp;L'!$C$39))*'Data - P&amp;L'!$C$55</f>
        <v>0</v>
      </c>
      <c r="Y541" s="255">
        <f>((Y395*'Data - P&amp;L'!$C$38)+(Y396*'Data - P&amp;L'!$C$39))*'Data - P&amp;L'!$C$55</f>
        <v>0</v>
      </c>
      <c r="Z541" s="255">
        <f>((Z395*'Data - P&amp;L'!$C$38)+(Z396*'Data - P&amp;L'!$C$39))*'Data - P&amp;L'!$C$55</f>
        <v>0</v>
      </c>
      <c r="AA541" s="255">
        <f>((AA395*'Data - P&amp;L'!$C$38)+(AA396*'Data - P&amp;L'!$C$39))*'Data - P&amp;L'!$C$55</f>
        <v>1.194</v>
      </c>
      <c r="AB541" s="255">
        <f>((AB395*'Data - P&amp;L'!$C$38)+(AB396*'Data - P&amp;L'!$C$39))*'Data - P&amp;L'!$C$55</f>
        <v>4.776</v>
      </c>
      <c r="AC541" s="255">
        <f>((AC395*'Data - P&amp;L'!$C$38)+(AC396*'Data - P&amp;L'!$C$39))*'Data - P&amp;L'!$C$55</f>
        <v>0</v>
      </c>
      <c r="AD541" s="255">
        <f>((AD395*'Data - P&amp;L'!$C$38)+(AD396*'Data - P&amp;L'!$C$39))*'Data - P&amp;L'!$C$55</f>
        <v>0</v>
      </c>
      <c r="AE541" s="255">
        <f>((AE395*'Data - P&amp;L'!$C$38)+(AE396*'Data - P&amp;L'!$C$39))*'Data - P&amp;L'!$C$55</f>
        <v>0</v>
      </c>
      <c r="AF541" s="255">
        <f>((AF395*'Data - P&amp;L'!$C$38)+(AF396*'Data - P&amp;L'!$C$39))*'Data - P&amp;L'!$C$55</f>
        <v>0</v>
      </c>
      <c r="AG541" s="95">
        <f t="shared" si="147"/>
        <v>56.118</v>
      </c>
    </row>
    <row r="542" outlineLevel="1">
      <c r="A542" s="151" t="s">
        <v>460</v>
      </c>
      <c r="B542" s="255">
        <f>((B374+B375+B376+B377)*'Data - P&amp;L'!$C$34)+((B385+B386+B387+B388)*'Data - P&amp;L'!$C$35)</f>
        <v>0</v>
      </c>
      <c r="C542" s="255">
        <f>((C374+C375+C376+C377)*'Data - P&amp;L'!$C$34)+((C385+C386+C387+C388)*'Data - P&amp;L'!$C$35)</f>
        <v>0</v>
      </c>
      <c r="D542" s="255">
        <f>((D374+D375+D376+D377)*'Data - P&amp;L'!$C$34)+((D385+D386+D387+D388)*'Data - P&amp;L'!$C$35)</f>
        <v>0</v>
      </c>
      <c r="E542" s="255">
        <f>((E374+E375+E376+E377)*'Data - P&amp;L'!$C$34)+((E385+E386+E387+E388)*'Data - P&amp;L'!$C$35)</f>
        <v>0</v>
      </c>
      <c r="F542" s="255">
        <f>((F374+F375+F376+F377)*'Data - P&amp;L'!$C$34)+((F385+F386+F387+F388)*'Data - P&amp;L'!$C$35)</f>
        <v>90.32</v>
      </c>
      <c r="G542" s="255">
        <f>((G374+G375+G376+G377)*'Data - P&amp;L'!$C$34)+((G385+G386+G387+G388)*'Data - P&amp;L'!$C$35)</f>
        <v>0</v>
      </c>
      <c r="H542" s="255">
        <f>((H374+H375+H376+H377)*'Data - P&amp;L'!$C$34)+((H385+H386+H387+H388)*'Data - P&amp;L'!$C$35)</f>
        <v>60.16</v>
      </c>
      <c r="I542" s="255">
        <f>((I374+I375+I376+I377)*'Data - P&amp;L'!$C$34)+((I385+I386+I387+I388)*'Data - P&amp;L'!$C$35)</f>
        <v>60.16</v>
      </c>
      <c r="J542" s="255">
        <f>((J374+J375+J376+J377)*'Data - P&amp;L'!$C$34)+((J385+J386+J387+J388)*'Data - P&amp;L'!$C$35)</f>
        <v>0</v>
      </c>
      <c r="K542" s="255">
        <f>((K374+K375+K376+K377)*'Data - P&amp;L'!$C$34)+((K385+K386+K387+K388)*'Data - P&amp;L'!$C$35)</f>
        <v>0</v>
      </c>
      <c r="L542" s="255">
        <f>((L374+L375+L376+L377)*'Data - P&amp;L'!$C$34)+((L385+L386+L387+L388)*'Data - P&amp;L'!$C$35)</f>
        <v>90.24</v>
      </c>
      <c r="M542" s="255">
        <f>((M374+M375+M376+M377)*'Data - P&amp;L'!$C$34)+((M385+M386+M387+M388)*'Data - P&amp;L'!$C$35)</f>
        <v>60.16</v>
      </c>
      <c r="N542" s="255">
        <f>((N374+N375+N376+N377)*'Data - P&amp;L'!$C$34)+((N385+N386+N387+N388)*'Data - P&amp;L'!$C$35)</f>
        <v>45.14</v>
      </c>
      <c r="O542" s="255">
        <f>((O374+O375+O376+O377)*'Data - P&amp;L'!$C$34)+((O385+O386+O387+O388)*'Data - P&amp;L'!$C$35)</f>
        <v>105.42</v>
      </c>
      <c r="P542" s="255">
        <f>((P374+P375+P376+P377)*'Data - P&amp;L'!$C$34)+((P385+P386+P387+P388)*'Data - P&amp;L'!$C$35)</f>
        <v>45.18</v>
      </c>
      <c r="Q542" s="255">
        <f>((Q374+Q375+Q376+Q377)*'Data - P&amp;L'!$C$34)+((Q385+Q386+Q387+Q388)*'Data - P&amp;L'!$C$35)</f>
        <v>0</v>
      </c>
      <c r="R542" s="255">
        <f>((R374+R375+R376+R377)*'Data - P&amp;L'!$C$34)+((R385+R386+R387+R388)*'Data - P&amp;L'!$C$35)</f>
        <v>0</v>
      </c>
      <c r="S542" s="255">
        <f>((S374+S375+S376+S377)*'Data - P&amp;L'!$C$34)+((S385+S386+S387+S388)*'Data - P&amp;L'!$C$35)</f>
        <v>0</v>
      </c>
      <c r="T542" s="255">
        <f>((T374+T375+T376+T377)*'Data - P&amp;L'!$C$34)+((T385+T386+T387+T388)*'Data - P&amp;L'!$C$35)</f>
        <v>346.02</v>
      </c>
      <c r="U542" s="255">
        <f>((U374+U375+U376+U377)*'Data - P&amp;L'!$C$34)+((U385+U386+U387+U388)*'Data - P&amp;L'!$C$35)</f>
        <v>45.14</v>
      </c>
      <c r="V542" s="255">
        <f>((V374+V375+V376+V377)*'Data - P&amp;L'!$C$34)+((V385+V386+V387+V388)*'Data - P&amp;L'!$C$35)</f>
        <v>0</v>
      </c>
      <c r="W542" s="255">
        <f>((W374+W375+W376+W377)*'Data - P&amp;L'!$C$34)+((W385+W386+W387+W388)*'Data - P&amp;L'!$C$35)</f>
        <v>0</v>
      </c>
      <c r="X542" s="255">
        <f>((X374+X375+X376+X377)*'Data - P&amp;L'!$C$34)+((X385+X386+X387+X388)*'Data - P&amp;L'!$C$35)</f>
        <v>0</v>
      </c>
      <c r="Y542" s="255">
        <f>((Y374+Y375+Y376+Y377)*'Data - P&amp;L'!$C$34)+((Y385+Y386+Y387+Y388)*'Data - P&amp;L'!$C$35)</f>
        <v>0</v>
      </c>
      <c r="Z542" s="255">
        <f>((Z374+Z375+Z376+Z377)*'Data - P&amp;L'!$C$34)+((Z385+Z386+Z387+Z388)*'Data - P&amp;L'!$C$35)</f>
        <v>0</v>
      </c>
      <c r="AA542" s="255">
        <f>((AA374+AA375+AA376+AA377)*'Data - P&amp;L'!$C$34)+((AA385+AA386+AA387+AA388)*'Data - P&amp;L'!$C$35)</f>
        <v>30.08</v>
      </c>
      <c r="AB542" s="255">
        <f>((AB374+AB375+AB376+AB377)*'Data - P&amp;L'!$C$34)+((AB385+AB386+AB387+AB388)*'Data - P&amp;L'!$C$35)</f>
        <v>60.24</v>
      </c>
      <c r="AC542" s="255">
        <f>((AC374+AC375+AC376+AC377)*'Data - P&amp;L'!$C$34)+((AC385+AC386+AC387+AC388)*'Data - P&amp;L'!$C$35)</f>
        <v>0</v>
      </c>
      <c r="AD542" s="255">
        <f>((AD374+AD375+AD376+AD377)*'Data - P&amp;L'!$C$34)+((AD385+AD386+AD387+AD388)*'Data - P&amp;L'!$C$35)</f>
        <v>0</v>
      </c>
      <c r="AE542" s="255">
        <f>((AE374+AE375+AE376+AE377)*'Data - P&amp;L'!$C$34)+((AE385+AE386+AE387+AE388)*'Data - P&amp;L'!$C$35)</f>
        <v>0</v>
      </c>
      <c r="AF542" s="255">
        <f>((AF374+AF375+AF376+AF377)*'Data - P&amp;L'!$C$34)+((AF385+AF386+AF387+AF388)*'Data - P&amp;L'!$C$35)</f>
        <v>0</v>
      </c>
      <c r="AG542" s="95">
        <f t="shared" si="147"/>
        <v>1038.26</v>
      </c>
    </row>
    <row r="543" outlineLevel="1">
      <c r="A543" s="151" t="s">
        <v>461</v>
      </c>
      <c r="B543" s="255">
        <f>((B409*'Data - P&amp;L'!$D$38)+(B422*'Data - P&amp;L'!$D$39))*'Data - P&amp;L'!$C$55</f>
        <v>0.287</v>
      </c>
      <c r="C543" s="255">
        <f>((C409*'Data - P&amp;L'!$D$38)+(C422*'Data - P&amp;L'!$D$39))*'Data - P&amp;L'!$C$55</f>
        <v>0</v>
      </c>
      <c r="D543" s="255">
        <f>((D409*'Data - P&amp;L'!$D$38)+(D422*'Data - P&amp;L'!$D$39))*'Data - P&amp;L'!$C$55</f>
        <v>0</v>
      </c>
      <c r="E543" s="255">
        <f>((E409*'Data - P&amp;L'!$D$38)+(E422*'Data - P&amp;L'!$D$39))*'Data - P&amp;L'!$C$55</f>
        <v>0.4305</v>
      </c>
      <c r="F543" s="255">
        <f>((F409*'Data - P&amp;L'!$D$38)+(F422*'Data - P&amp;L'!$D$39))*'Data - P&amp;L'!$C$55</f>
        <v>0.861</v>
      </c>
      <c r="G543" s="255">
        <f>((G409*'Data - P&amp;L'!$D$38)+(G422*'Data - P&amp;L'!$D$39))*'Data - P&amp;L'!$C$55</f>
        <v>0</v>
      </c>
      <c r="H543" s="255">
        <f>((H409*'Data - P&amp;L'!$D$38)+(H422*'Data - P&amp;L'!$D$39))*'Data - P&amp;L'!$C$55</f>
        <v>0</v>
      </c>
      <c r="I543" s="255">
        <f>((I409*'Data - P&amp;L'!$D$38)+(I422*'Data - P&amp;L'!$D$39))*'Data - P&amp;L'!$C$55</f>
        <v>0.4305</v>
      </c>
      <c r="J543" s="255">
        <f>((J409*'Data - P&amp;L'!$D$38)+(J422*'Data - P&amp;L'!$D$39))*'Data - P&amp;L'!$C$55</f>
        <v>0</v>
      </c>
      <c r="K543" s="255">
        <f>((K409*'Data - P&amp;L'!$D$38)+(K422*'Data - P&amp;L'!$D$39))*'Data - P&amp;L'!$C$55</f>
        <v>0</v>
      </c>
      <c r="L543" s="255">
        <f>((L409*'Data - P&amp;L'!$D$38)+(L422*'Data - P&amp;L'!$D$39))*'Data - P&amp;L'!$C$55</f>
        <v>0.5745</v>
      </c>
      <c r="M543" s="255">
        <f>((M409*'Data - P&amp;L'!$D$38)+(M422*'Data - P&amp;L'!$D$39))*'Data - P&amp;L'!$C$55</f>
        <v>0.1435</v>
      </c>
      <c r="N543" s="255">
        <f>((N409*'Data - P&amp;L'!$D$38)+(N422*'Data - P&amp;L'!$D$39))*'Data - P&amp;L'!$C$55</f>
        <v>0.431</v>
      </c>
      <c r="O543" s="255">
        <f>((O409*'Data - P&amp;L'!$D$38)+(O422*'Data - P&amp;L'!$D$39))*'Data - P&amp;L'!$C$55</f>
        <v>0.574</v>
      </c>
      <c r="P543" s="255">
        <f>((P409*'Data - P&amp;L'!$D$38)+(P422*'Data - P&amp;L'!$D$39))*'Data - P&amp;L'!$C$55</f>
        <v>1.15</v>
      </c>
      <c r="Q543" s="255">
        <f>((Q409*'Data - P&amp;L'!$D$38)+(Q422*'Data - P&amp;L'!$D$39))*'Data - P&amp;L'!$C$55</f>
        <v>0</v>
      </c>
      <c r="R543" s="255">
        <f>((R409*'Data - P&amp;L'!$D$38)+(R422*'Data - P&amp;L'!$D$39))*'Data - P&amp;L'!$C$55</f>
        <v>0</v>
      </c>
      <c r="S543" s="255">
        <f>((S409*'Data - P&amp;L'!$D$38)+(S422*'Data - P&amp;L'!$D$39))*'Data - P&amp;L'!$C$55</f>
        <v>0.4305</v>
      </c>
      <c r="T543" s="255">
        <f>((T409*'Data - P&amp;L'!$D$38)+(T422*'Data - P&amp;L'!$D$39))*'Data - P&amp;L'!$C$55</f>
        <v>1.4355</v>
      </c>
      <c r="U543" s="255">
        <f>((U409*'Data - P&amp;L'!$D$38)+(U422*'Data - P&amp;L'!$D$39))*'Data - P&amp;L'!$C$55</f>
        <v>0.7175</v>
      </c>
      <c r="V543" s="255">
        <f>((V409*'Data - P&amp;L'!$D$38)+(V422*'Data - P&amp;L'!$D$39))*'Data - P&amp;L'!$C$55</f>
        <v>0.288</v>
      </c>
      <c r="W543" s="255">
        <f>((W409*'Data - P&amp;L'!$D$38)+(W422*'Data - P&amp;L'!$D$39))*'Data - P&amp;L'!$C$55</f>
        <v>0</v>
      </c>
      <c r="X543" s="255">
        <f>((X409*'Data - P&amp;L'!$D$38)+(X422*'Data - P&amp;L'!$D$39))*'Data - P&amp;L'!$C$55</f>
        <v>0</v>
      </c>
      <c r="Y543" s="255">
        <f>((Y409*'Data - P&amp;L'!$D$38)+(Y422*'Data - P&amp;L'!$D$39))*'Data - P&amp;L'!$C$55</f>
        <v>0</v>
      </c>
      <c r="Z543" s="255">
        <f>((Z409*'Data - P&amp;L'!$D$38)+(Z422*'Data - P&amp;L'!$D$39))*'Data - P&amp;L'!$C$55</f>
        <v>0</v>
      </c>
      <c r="AA543" s="255">
        <f>((AA409*'Data - P&amp;L'!$D$38)+(AA422*'Data - P&amp;L'!$D$39))*'Data - P&amp;L'!$C$55</f>
        <v>1.148</v>
      </c>
      <c r="AB543" s="255">
        <f>((AB409*'Data - P&amp;L'!$D$38)+(AB422*'Data - P&amp;L'!$D$39))*'Data - P&amp;L'!$C$55</f>
        <v>0.287</v>
      </c>
      <c r="AC543" s="255">
        <f>((AC409*'Data - P&amp;L'!$D$38)+(AC422*'Data - P&amp;L'!$D$39))*'Data - P&amp;L'!$C$55</f>
        <v>0.574</v>
      </c>
      <c r="AD543" s="255">
        <f>((AD409*'Data - P&amp;L'!$D$38)+(AD422*'Data - P&amp;L'!$D$39))*'Data - P&amp;L'!$C$55</f>
        <v>0.1435</v>
      </c>
      <c r="AE543" s="255">
        <f>((AE409*'Data - P&amp;L'!$D$38)+(AE422*'Data - P&amp;L'!$D$39))*'Data - P&amp;L'!$C$55</f>
        <v>0</v>
      </c>
      <c r="AF543" s="255">
        <f>((AF409*'Data - P&amp;L'!$D$38)+(AF422*'Data - P&amp;L'!$D$39))*'Data - P&amp;L'!$C$55</f>
        <v>0</v>
      </c>
      <c r="AG543" s="95">
        <f t="shared" si="147"/>
        <v>9.906</v>
      </c>
    </row>
    <row r="544" outlineLevel="1">
      <c r="A544" s="151" t="s">
        <v>462</v>
      </c>
      <c r="B544" s="255">
        <f>(B409*'Data - P&amp;L'!$D$34)+('Data - P&amp;L'!$D$35*B422)</f>
        <v>19.06</v>
      </c>
      <c r="C544" s="255">
        <f>(C409*'Data - P&amp;L'!$D$34)+('Data - P&amp;L'!$D$35*C422)</f>
        <v>0</v>
      </c>
      <c r="D544" s="255">
        <f>(D409*'Data - P&amp;L'!$D$34)+('Data - P&amp;L'!$D$35*D422)</f>
        <v>0</v>
      </c>
      <c r="E544" s="255">
        <f>(E409*'Data - P&amp;L'!$D$34)+('Data - P&amp;L'!$D$35*E422)</f>
        <v>28.59</v>
      </c>
      <c r="F544" s="255">
        <f>(F409*'Data - P&amp;L'!$D$34)+('Data - P&amp;L'!$D$35*F422)</f>
        <v>57.18</v>
      </c>
      <c r="G544" s="255">
        <f>(G409*'Data - P&amp;L'!$D$34)+('Data - P&amp;L'!$D$35*G422)</f>
        <v>0</v>
      </c>
      <c r="H544" s="255">
        <f>(H409*'Data - P&amp;L'!$D$34)+('Data - P&amp;L'!$D$35*H422)</f>
        <v>0</v>
      </c>
      <c r="I544" s="255">
        <f>(I409*'Data - P&amp;L'!$D$34)+('Data - P&amp;L'!$D$35*I422)</f>
        <v>28.59</v>
      </c>
      <c r="J544" s="255">
        <f>(J409*'Data - P&amp;L'!$D$34)+('Data - P&amp;L'!$D$35*J422)</f>
        <v>0</v>
      </c>
      <c r="K544" s="255">
        <f>(K409*'Data - P&amp;L'!$D$34)+('Data - P&amp;L'!$D$35*K422)</f>
        <v>0</v>
      </c>
      <c r="L544" s="255">
        <f>(L409*'Data - P&amp;L'!$D$34)+('Data - P&amp;L'!$D$35*L422)</f>
        <v>34.75</v>
      </c>
      <c r="M544" s="255">
        <f>(M409*'Data - P&amp;L'!$D$34)+('Data - P&amp;L'!$D$35*M422)</f>
        <v>9.53</v>
      </c>
      <c r="N544" s="255">
        <f>(N409*'Data - P&amp;L'!$D$34)+('Data - P&amp;L'!$D$35*N422)</f>
        <v>25.22</v>
      </c>
      <c r="O544" s="255">
        <f>(O409*'Data - P&amp;L'!$D$34)+('Data - P&amp;L'!$D$35*O422)</f>
        <v>38.12</v>
      </c>
      <c r="P544" s="255">
        <f>(P409*'Data - P&amp;L'!$D$34)+('Data - P&amp;L'!$D$35*P422)</f>
        <v>62.76</v>
      </c>
      <c r="Q544" s="255">
        <f>(Q409*'Data - P&amp;L'!$D$34)+('Data - P&amp;L'!$D$35*Q422)</f>
        <v>0</v>
      </c>
      <c r="R544" s="255">
        <f>(R409*'Data - P&amp;L'!$D$34)+('Data - P&amp;L'!$D$35*R422)</f>
        <v>0</v>
      </c>
      <c r="S544" s="255">
        <f>(S409*'Data - P&amp;L'!$D$34)+('Data - P&amp;L'!$D$35*S422)</f>
        <v>28.59</v>
      </c>
      <c r="T544" s="255">
        <f>(T409*'Data - P&amp;L'!$D$34)+('Data - P&amp;L'!$D$35*T422)</f>
        <v>91.93</v>
      </c>
      <c r="U544" s="255">
        <f>(U409*'Data - P&amp;L'!$D$34)+('Data - P&amp;L'!$D$35*U422)</f>
        <v>47.65</v>
      </c>
      <c r="V544" s="255">
        <f>(V409*'Data - P&amp;L'!$D$34)+('Data - P&amp;L'!$D$35*V422)</f>
        <v>12.32</v>
      </c>
      <c r="W544" s="255">
        <f>(W409*'Data - P&amp;L'!$D$34)+('Data - P&amp;L'!$D$35*W422)</f>
        <v>0</v>
      </c>
      <c r="X544" s="255">
        <f>(X409*'Data - P&amp;L'!$D$34)+('Data - P&amp;L'!$D$35*X422)</f>
        <v>0</v>
      </c>
      <c r="Y544" s="255">
        <f>(Y409*'Data - P&amp;L'!$D$34)+('Data - P&amp;L'!$D$35*Y422)</f>
        <v>0</v>
      </c>
      <c r="Z544" s="255">
        <f>(Z409*'Data - P&amp;L'!$D$34)+('Data - P&amp;L'!$D$35*Z422)</f>
        <v>0</v>
      </c>
      <c r="AA544" s="255">
        <f>(AA409*'Data - P&amp;L'!$D$34)+('Data - P&amp;L'!$D$35*AA422)</f>
        <v>76.24</v>
      </c>
      <c r="AB544" s="255">
        <f>(AB409*'Data - P&amp;L'!$D$34)+('Data - P&amp;L'!$D$35*AB422)</f>
        <v>19.06</v>
      </c>
      <c r="AC544" s="255">
        <f>(AC409*'Data - P&amp;L'!$D$34)+('Data - P&amp;L'!$D$35*AC422)</f>
        <v>38.12</v>
      </c>
      <c r="AD544" s="255">
        <f>(AD409*'Data - P&amp;L'!$D$34)+('Data - P&amp;L'!$D$35*AD422)</f>
        <v>9.53</v>
      </c>
      <c r="AE544" s="255">
        <f>(AE409*'Data - P&amp;L'!$D$34)+('Data - P&amp;L'!$D$35*AE422)</f>
        <v>0</v>
      </c>
      <c r="AF544" s="255">
        <f>(AF409*'Data - P&amp;L'!$D$34)+('Data - P&amp;L'!$D$35*AF422)</f>
        <v>0</v>
      </c>
      <c r="AG544" s="95">
        <f t="shared" si="147"/>
        <v>627.24</v>
      </c>
    </row>
    <row r="545" outlineLevel="1">
      <c r="A545" s="151" t="s">
        <v>463</v>
      </c>
      <c r="B545" s="273"/>
      <c r="C545" s="273"/>
      <c r="D545" s="273"/>
      <c r="E545" s="273"/>
      <c r="F545" s="273"/>
      <c r="G545" s="273"/>
      <c r="H545" s="273"/>
      <c r="I545" s="273"/>
      <c r="J545" s="273"/>
      <c r="K545" s="273"/>
      <c r="L545" s="273"/>
      <c r="M545" s="273"/>
      <c r="N545" s="273"/>
      <c r="O545" s="273"/>
      <c r="P545" s="273"/>
      <c r="Q545" s="273"/>
      <c r="R545" s="273"/>
      <c r="S545" s="273"/>
      <c r="T545" s="273"/>
      <c r="U545" s="273"/>
      <c r="V545" s="273"/>
      <c r="W545" s="273"/>
      <c r="X545" s="273"/>
      <c r="Y545" s="273"/>
      <c r="Z545" s="273"/>
      <c r="AA545" s="273"/>
      <c r="AB545" s="273"/>
      <c r="AC545" s="273"/>
      <c r="AD545" s="273"/>
      <c r="AE545" s="273"/>
      <c r="AF545" s="273"/>
      <c r="AG545" s="95"/>
    </row>
    <row r="546" outlineLevel="1">
      <c r="A546" s="151" t="s">
        <v>464</v>
      </c>
      <c r="B546" s="273"/>
      <c r="C546" s="273"/>
      <c r="D546" s="273"/>
      <c r="E546" s="273"/>
      <c r="F546" s="273"/>
      <c r="G546" s="273"/>
      <c r="H546" s="273"/>
      <c r="I546" s="273"/>
      <c r="J546" s="273"/>
      <c r="K546" s="273"/>
      <c r="L546" s="273"/>
      <c r="M546" s="273"/>
      <c r="N546" s="273"/>
      <c r="O546" s="273"/>
      <c r="P546" s="273"/>
      <c r="Q546" s="273"/>
      <c r="R546" s="273"/>
      <c r="S546" s="273"/>
      <c r="T546" s="273"/>
      <c r="U546" s="273"/>
      <c r="V546" s="273"/>
      <c r="W546" s="273"/>
      <c r="X546" s="273"/>
      <c r="Y546" s="273"/>
      <c r="Z546" s="273"/>
      <c r="AA546" s="273"/>
      <c r="AB546" s="273"/>
      <c r="AC546" s="273"/>
      <c r="AD546" s="273"/>
      <c r="AE546" s="273"/>
      <c r="AF546" s="273"/>
      <c r="AG546" s="95"/>
    </row>
    <row r="547" outlineLevel="1">
      <c r="A547" s="151" t="s">
        <v>465</v>
      </c>
      <c r="B547" s="273"/>
      <c r="C547" s="273"/>
      <c r="D547" s="273"/>
      <c r="E547" s="273"/>
      <c r="F547" s="273"/>
      <c r="G547" s="273"/>
      <c r="H547" s="273"/>
      <c r="I547" s="273"/>
      <c r="J547" s="273"/>
      <c r="K547" s="273"/>
      <c r="L547" s="273"/>
      <c r="M547" s="273"/>
      <c r="N547" s="273"/>
      <c r="O547" s="273"/>
      <c r="P547" s="273"/>
      <c r="Q547" s="273"/>
      <c r="R547" s="273"/>
      <c r="S547" s="273"/>
      <c r="T547" s="273"/>
      <c r="U547" s="273"/>
      <c r="V547" s="273"/>
      <c r="W547" s="273"/>
      <c r="X547" s="273"/>
      <c r="Y547" s="273"/>
      <c r="Z547" s="273"/>
      <c r="AA547" s="273"/>
      <c r="AB547" s="273"/>
      <c r="AC547" s="273"/>
      <c r="AD547" s="273"/>
      <c r="AE547" s="273"/>
      <c r="AF547" s="273"/>
      <c r="AG547" s="95"/>
    </row>
    <row r="548" outlineLevel="1">
      <c r="A548" s="151" t="s">
        <v>466</v>
      </c>
      <c r="B548" s="273"/>
      <c r="C548" s="273"/>
      <c r="D548" s="273"/>
      <c r="E548" s="273"/>
      <c r="F548" s="273"/>
      <c r="G548" s="273"/>
      <c r="H548" s="273"/>
      <c r="I548" s="273"/>
      <c r="J548" s="273"/>
      <c r="K548" s="273"/>
      <c r="L548" s="273"/>
      <c r="M548" s="273"/>
      <c r="N548" s="273"/>
      <c r="O548" s="273"/>
      <c r="P548" s="273"/>
      <c r="Q548" s="273"/>
      <c r="R548" s="273"/>
      <c r="S548" s="273"/>
      <c r="T548" s="273"/>
      <c r="U548" s="273"/>
      <c r="V548" s="273"/>
      <c r="W548" s="273"/>
      <c r="X548" s="273"/>
      <c r="Y548" s="273"/>
      <c r="Z548" s="273"/>
      <c r="AA548" s="273"/>
      <c r="AB548" s="273"/>
      <c r="AC548" s="273"/>
      <c r="AD548" s="273"/>
      <c r="AE548" s="273"/>
      <c r="AF548" s="273"/>
      <c r="AG548" s="95"/>
    </row>
    <row r="549">
      <c r="A549" s="238" t="s">
        <v>382</v>
      </c>
      <c r="B549" s="270"/>
      <c r="C549" s="270"/>
      <c r="D549" s="270"/>
      <c r="E549" s="270"/>
      <c r="F549" s="270"/>
      <c r="G549" s="270"/>
      <c r="H549" s="270"/>
      <c r="I549" s="270"/>
      <c r="J549" s="270"/>
      <c r="K549" s="270"/>
      <c r="L549" s="270"/>
      <c r="M549" s="270"/>
      <c r="N549" s="270"/>
      <c r="O549" s="270"/>
      <c r="P549" s="270"/>
      <c r="Q549" s="270"/>
      <c r="R549" s="270"/>
      <c r="S549" s="270"/>
      <c r="T549" s="270"/>
      <c r="U549" s="270"/>
      <c r="V549" s="270"/>
      <c r="W549" s="270"/>
      <c r="X549" s="270"/>
      <c r="Y549" s="270"/>
      <c r="Z549" s="270"/>
      <c r="AA549" s="270"/>
      <c r="AB549" s="270"/>
      <c r="AC549" s="270"/>
      <c r="AD549" s="270"/>
      <c r="AE549" s="270"/>
      <c r="AF549" s="270"/>
      <c r="AG549" s="242"/>
    </row>
    <row r="550">
      <c r="A550" s="240" t="s">
        <v>467</v>
      </c>
      <c r="B550" s="255">
        <f>(B428*'Data - P&amp;L'!$C$34)+('Data - P&amp;L'!$C$35*B429)</f>
        <v>0</v>
      </c>
      <c r="C550" s="255">
        <f>(C428*'Data - P&amp;L'!$C$34)+('Data - P&amp;L'!$C$35*C429)</f>
        <v>0</v>
      </c>
      <c r="D550" s="255">
        <f>(D428*'Data - P&amp;L'!$C$34)+('Data - P&amp;L'!$C$35*D429)</f>
        <v>0</v>
      </c>
      <c r="E550" s="255">
        <f>(E428*'Data - P&amp;L'!$C$34)+('Data - P&amp;L'!$C$35*E429)</f>
        <v>0</v>
      </c>
      <c r="F550" s="255">
        <f>(F428*'Data - P&amp;L'!$C$34)+('Data - P&amp;L'!$C$35*F429)</f>
        <v>210.56</v>
      </c>
      <c r="G550" s="255">
        <f>(G428*'Data - P&amp;L'!$C$34)+('Data - P&amp;L'!$C$35*G429)</f>
        <v>30.08</v>
      </c>
      <c r="H550" s="255">
        <f>(H428*'Data - P&amp;L'!$C$34)+('Data - P&amp;L'!$C$35*H429)</f>
        <v>30.08</v>
      </c>
      <c r="I550" s="255">
        <f>(I428*'Data - P&amp;L'!$C$34)+('Data - P&amp;L'!$C$35*I429)</f>
        <v>0</v>
      </c>
      <c r="J550" s="255">
        <f>(J428*'Data - P&amp;L'!$C$34)+('Data - P&amp;L'!$C$35*J429)</f>
        <v>0</v>
      </c>
      <c r="K550" s="255">
        <f>(K428*'Data - P&amp;L'!$C$34)+('Data - P&amp;L'!$C$35*K429)</f>
        <v>0</v>
      </c>
      <c r="L550" s="255">
        <f>(L428*'Data - P&amp;L'!$C$34)+('Data - P&amp;L'!$C$35*L429)</f>
        <v>90.24</v>
      </c>
      <c r="M550" s="255">
        <f>(M428*'Data - P&amp;L'!$C$34)+('Data - P&amp;L'!$C$35*M429)</f>
        <v>15.06</v>
      </c>
      <c r="N550" s="255">
        <f>(N428*'Data - P&amp;L'!$C$34)+('Data - P&amp;L'!$C$35*N429)</f>
        <v>30.08</v>
      </c>
      <c r="O550" s="255">
        <f>(O428*'Data - P&amp;L'!$C$34)+('Data - P&amp;L'!$C$35*O429)</f>
        <v>0</v>
      </c>
      <c r="P550" s="255">
        <f>(P428*'Data - P&amp;L'!$C$34)+('Data - P&amp;L'!$C$35*P429)</f>
        <v>30.12</v>
      </c>
      <c r="Q550" s="255">
        <f>(Q428*'Data - P&amp;L'!$C$34)+('Data - P&amp;L'!$C$35*Q429)</f>
        <v>0</v>
      </c>
      <c r="R550" s="255">
        <f>(R428*'Data - P&amp;L'!$C$34)+('Data - P&amp;L'!$C$35*R429)</f>
        <v>0</v>
      </c>
      <c r="S550" s="255">
        <f>(S428*'Data - P&amp;L'!$C$34)+('Data - P&amp;L'!$C$35*S429)</f>
        <v>0</v>
      </c>
      <c r="T550" s="255">
        <f>(T428*'Data - P&amp;L'!$C$34)+('Data - P&amp;L'!$C$35*T429)</f>
        <v>90.24</v>
      </c>
      <c r="U550" s="255">
        <f>(U428*'Data - P&amp;L'!$C$34)+('Data - P&amp;L'!$C$35*U429)</f>
        <v>0</v>
      </c>
      <c r="V550" s="255">
        <f>(V428*'Data - P&amp;L'!$C$34)+('Data - P&amp;L'!$C$35*V429)</f>
        <v>30.08</v>
      </c>
      <c r="W550" s="255">
        <f>(W428*'Data - P&amp;L'!$C$34)+('Data - P&amp;L'!$C$35*W429)</f>
        <v>0</v>
      </c>
      <c r="X550" s="255">
        <f>(X428*'Data - P&amp;L'!$C$34)+('Data - P&amp;L'!$C$35*X429)</f>
        <v>0</v>
      </c>
      <c r="Y550" s="255">
        <f>(Y428*'Data - P&amp;L'!$C$34)+('Data - P&amp;L'!$C$35*Y429)</f>
        <v>0</v>
      </c>
      <c r="Z550" s="255">
        <f>(Z428*'Data - P&amp;L'!$C$34)+('Data - P&amp;L'!$C$35*Z429)</f>
        <v>0</v>
      </c>
      <c r="AA550" s="255">
        <f>(AA428*'Data - P&amp;L'!$C$34)+('Data - P&amp;L'!$C$35*AA429)</f>
        <v>0</v>
      </c>
      <c r="AB550" s="255">
        <f>(AB428*'Data - P&amp;L'!$C$34)+('Data - P&amp;L'!$C$35*AB429)</f>
        <v>30.08</v>
      </c>
      <c r="AC550" s="255">
        <f>(AC428*'Data - P&amp;L'!$C$34)+('Data - P&amp;L'!$C$35*AC429)</f>
        <v>0</v>
      </c>
      <c r="AD550" s="255">
        <f>(AD428*'Data - P&amp;L'!$C$34)+('Data - P&amp;L'!$C$35*AD429)</f>
        <v>0</v>
      </c>
      <c r="AE550" s="255">
        <f>(AE428*'Data - P&amp;L'!$C$34)+('Data - P&amp;L'!$C$35*AE429)</f>
        <v>0</v>
      </c>
      <c r="AF550" s="255">
        <f>(AF428*'Data - P&amp;L'!$C$34)+('Data - P&amp;L'!$C$35*AF429)</f>
        <v>0</v>
      </c>
      <c r="AG550" s="95">
        <f t="shared" ref="AG550:AG553" si="148">SUM(B550:AF550)</f>
        <v>586.62</v>
      </c>
    </row>
    <row r="551">
      <c r="A551" s="240" t="s">
        <v>385</v>
      </c>
      <c r="B551" s="274">
        <v>0.0</v>
      </c>
      <c r="C551" s="274">
        <v>0.0</v>
      </c>
      <c r="D551" s="274">
        <v>0.0</v>
      </c>
      <c r="E551" s="274">
        <v>0.0</v>
      </c>
      <c r="F551" s="274">
        <v>0.0</v>
      </c>
      <c r="G551" s="274">
        <v>0.0</v>
      </c>
      <c r="H551" s="274">
        <v>0.0</v>
      </c>
      <c r="I551" s="274">
        <v>0.0</v>
      </c>
      <c r="J551" s="274">
        <v>0.0</v>
      </c>
      <c r="K551" s="274">
        <v>0.0</v>
      </c>
      <c r="L551" s="274">
        <v>0.0</v>
      </c>
      <c r="M551" s="274">
        <v>0.0</v>
      </c>
      <c r="N551" s="274">
        <v>0.0</v>
      </c>
      <c r="O551" s="274">
        <v>0.0</v>
      </c>
      <c r="P551" s="274">
        <v>0.0</v>
      </c>
      <c r="Q551" s="274">
        <v>0.0</v>
      </c>
      <c r="R551" s="274">
        <v>0.0</v>
      </c>
      <c r="S551" s="274">
        <v>0.0</v>
      </c>
      <c r="T551" s="274">
        <v>0.0</v>
      </c>
      <c r="U551" s="274">
        <v>0.0</v>
      </c>
      <c r="V551" s="274">
        <v>0.0</v>
      </c>
      <c r="W551" s="274">
        <v>0.0</v>
      </c>
      <c r="X551" s="274">
        <v>0.0</v>
      </c>
      <c r="Y551" s="274">
        <v>0.0</v>
      </c>
      <c r="Z551" s="274">
        <v>0.0</v>
      </c>
      <c r="AA551" s="274">
        <v>0.0</v>
      </c>
      <c r="AB551" s="274">
        <v>0.0</v>
      </c>
      <c r="AC551" s="274">
        <v>0.0</v>
      </c>
      <c r="AD551" s="274">
        <v>0.0</v>
      </c>
      <c r="AE551" s="274">
        <v>0.0</v>
      </c>
      <c r="AF551" s="274">
        <v>0.0</v>
      </c>
      <c r="AG551" s="95">
        <f t="shared" si="148"/>
        <v>0</v>
      </c>
    </row>
    <row r="552">
      <c r="A552" s="240" t="s">
        <v>468</v>
      </c>
      <c r="B552" s="255">
        <f t="shared" ref="B552:AF552" si="149">B432*15</f>
        <v>0</v>
      </c>
      <c r="C552" s="255">
        <f t="shared" si="149"/>
        <v>0</v>
      </c>
      <c r="D552" s="255">
        <f t="shared" si="149"/>
        <v>0</v>
      </c>
      <c r="E552" s="255">
        <f t="shared" si="149"/>
        <v>0</v>
      </c>
      <c r="F552" s="255">
        <f t="shared" si="149"/>
        <v>0</v>
      </c>
      <c r="G552" s="255">
        <f t="shared" si="149"/>
        <v>0</v>
      </c>
      <c r="H552" s="255">
        <f t="shared" si="149"/>
        <v>0</v>
      </c>
      <c r="I552" s="255">
        <f t="shared" si="149"/>
        <v>0</v>
      </c>
      <c r="J552" s="255">
        <f t="shared" si="149"/>
        <v>0</v>
      </c>
      <c r="K552" s="255">
        <f t="shared" si="149"/>
        <v>0</v>
      </c>
      <c r="L552" s="255">
        <f t="shared" si="149"/>
        <v>0</v>
      </c>
      <c r="M552" s="255">
        <f t="shared" si="149"/>
        <v>0</v>
      </c>
      <c r="N552" s="255">
        <f t="shared" si="149"/>
        <v>0</v>
      </c>
      <c r="O552" s="255">
        <f t="shared" si="149"/>
        <v>0</v>
      </c>
      <c r="P552" s="255">
        <f t="shared" si="149"/>
        <v>0</v>
      </c>
      <c r="Q552" s="255">
        <f t="shared" si="149"/>
        <v>0</v>
      </c>
      <c r="R552" s="255">
        <f t="shared" si="149"/>
        <v>0</v>
      </c>
      <c r="S552" s="255">
        <f t="shared" si="149"/>
        <v>0</v>
      </c>
      <c r="T552" s="255">
        <f t="shared" si="149"/>
        <v>0</v>
      </c>
      <c r="U552" s="255">
        <f t="shared" si="149"/>
        <v>0</v>
      </c>
      <c r="V552" s="255">
        <f t="shared" si="149"/>
        <v>0</v>
      </c>
      <c r="W552" s="255">
        <f t="shared" si="149"/>
        <v>0</v>
      </c>
      <c r="X552" s="255">
        <f t="shared" si="149"/>
        <v>0</v>
      </c>
      <c r="Y552" s="255">
        <f t="shared" si="149"/>
        <v>0</v>
      </c>
      <c r="Z552" s="255">
        <f t="shared" si="149"/>
        <v>0</v>
      </c>
      <c r="AA552" s="255">
        <f t="shared" si="149"/>
        <v>0</v>
      </c>
      <c r="AB552" s="255">
        <f t="shared" si="149"/>
        <v>0</v>
      </c>
      <c r="AC552" s="255">
        <f t="shared" si="149"/>
        <v>0</v>
      </c>
      <c r="AD552" s="255">
        <f t="shared" si="149"/>
        <v>0</v>
      </c>
      <c r="AE552" s="255">
        <f t="shared" si="149"/>
        <v>0</v>
      </c>
      <c r="AF552" s="255">
        <f t="shared" si="149"/>
        <v>0</v>
      </c>
      <c r="AG552" s="95">
        <f t="shared" si="148"/>
        <v>0</v>
      </c>
    </row>
    <row r="553">
      <c r="A553" s="246" t="s">
        <v>469</v>
      </c>
      <c r="B553" s="275">
        <v>0.0</v>
      </c>
      <c r="C553" s="275">
        <v>0.0</v>
      </c>
      <c r="D553" s="275">
        <v>0.0</v>
      </c>
      <c r="E553" s="275">
        <v>0.0</v>
      </c>
      <c r="F553" s="275">
        <v>0.0</v>
      </c>
      <c r="G553" s="275">
        <v>0.0</v>
      </c>
      <c r="H553" s="275">
        <v>0.0</v>
      </c>
      <c r="I553" s="275">
        <v>0.0</v>
      </c>
      <c r="J553" s="275">
        <v>0.0</v>
      </c>
      <c r="K553" s="275">
        <v>0.0</v>
      </c>
      <c r="L553" s="275">
        <v>0.0</v>
      </c>
      <c r="M553" s="275">
        <v>0.0</v>
      </c>
      <c r="N553" s="275">
        <v>0.0</v>
      </c>
      <c r="O553" s="275">
        <v>0.0</v>
      </c>
      <c r="P553" s="275">
        <v>0.0</v>
      </c>
      <c r="Q553" s="275">
        <v>0.0</v>
      </c>
      <c r="R553" s="275">
        <v>0.0</v>
      </c>
      <c r="S553" s="275">
        <v>0.0</v>
      </c>
      <c r="T553" s="275">
        <v>18.0</v>
      </c>
      <c r="U553" s="275">
        <v>39.3</v>
      </c>
      <c r="V553" s="275">
        <v>0.0</v>
      </c>
      <c r="W553" s="275">
        <v>0.0</v>
      </c>
      <c r="X553" s="275">
        <v>0.0</v>
      </c>
      <c r="Y553" s="275">
        <v>0.0</v>
      </c>
      <c r="Z553" s="275">
        <v>0.0</v>
      </c>
      <c r="AA553" s="275">
        <v>0.0</v>
      </c>
      <c r="AB553" s="275">
        <v>40.0</v>
      </c>
      <c r="AC553" s="275">
        <v>0.0</v>
      </c>
      <c r="AD553" s="275">
        <v>0.0</v>
      </c>
      <c r="AE553" s="275">
        <v>0.0</v>
      </c>
      <c r="AF553" s="275">
        <v>0.0</v>
      </c>
      <c r="AG553" s="248">
        <f t="shared" si="148"/>
        <v>97.3</v>
      </c>
    </row>
    <row r="554">
      <c r="A554" s="172"/>
      <c r="AG554" s="257"/>
    </row>
    <row r="555">
      <c r="A555" s="276" t="s">
        <v>470</v>
      </c>
      <c r="B555" s="277">
        <f t="shared" ref="B555:AF555" si="150">B491+B507+B551+B552+B553</f>
        <v>17762.54</v>
      </c>
      <c r="C555" s="277">
        <f t="shared" si="150"/>
        <v>2743.22</v>
      </c>
      <c r="D555" s="277">
        <f t="shared" si="150"/>
        <v>4462.56</v>
      </c>
      <c r="E555" s="277">
        <f t="shared" si="150"/>
        <v>12054.79</v>
      </c>
      <c r="F555" s="277">
        <f t="shared" si="150"/>
        <v>5913.48</v>
      </c>
      <c r="G555" s="277">
        <f t="shared" si="150"/>
        <v>2382.59</v>
      </c>
      <c r="H555" s="277">
        <f t="shared" si="150"/>
        <v>6384.67</v>
      </c>
      <c r="I555" s="277">
        <f t="shared" si="150"/>
        <v>2798.72</v>
      </c>
      <c r="J555" s="277">
        <f t="shared" si="150"/>
        <v>609.86</v>
      </c>
      <c r="K555" s="277">
        <f t="shared" si="150"/>
        <v>1298.92</v>
      </c>
      <c r="L555" s="277">
        <f t="shared" si="150"/>
        <v>3886.5</v>
      </c>
      <c r="M555" s="277">
        <f t="shared" si="150"/>
        <v>11631.69</v>
      </c>
      <c r="N555" s="277">
        <f t="shared" si="150"/>
        <v>1812.15</v>
      </c>
      <c r="O555" s="277">
        <f t="shared" si="150"/>
        <v>4438.53</v>
      </c>
      <c r="P555" s="277">
        <f t="shared" si="150"/>
        <v>2180.66</v>
      </c>
      <c r="Q555" s="277">
        <f t="shared" si="150"/>
        <v>2132.32</v>
      </c>
      <c r="R555" s="277">
        <f t="shared" si="150"/>
        <v>0</v>
      </c>
      <c r="S555" s="277">
        <f t="shared" si="150"/>
        <v>1583.05</v>
      </c>
      <c r="T555" s="277">
        <f t="shared" si="150"/>
        <v>58.74</v>
      </c>
      <c r="U555" s="277">
        <f t="shared" si="150"/>
        <v>1305.32</v>
      </c>
      <c r="V555" s="277">
        <f t="shared" si="150"/>
        <v>1042.06</v>
      </c>
      <c r="W555" s="277">
        <f t="shared" si="150"/>
        <v>0</v>
      </c>
      <c r="X555" s="277">
        <f t="shared" si="150"/>
        <v>1080.45</v>
      </c>
      <c r="Y555" s="277">
        <f t="shared" si="150"/>
        <v>0</v>
      </c>
      <c r="Z555" s="277">
        <f t="shared" si="150"/>
        <v>254</v>
      </c>
      <c r="AA555" s="277">
        <f t="shared" si="150"/>
        <v>1216.41</v>
      </c>
      <c r="AB555" s="277">
        <f t="shared" si="150"/>
        <v>3350.65</v>
      </c>
      <c r="AC555" s="277">
        <f t="shared" si="150"/>
        <v>2727.93</v>
      </c>
      <c r="AD555" s="277">
        <f t="shared" si="150"/>
        <v>829.44</v>
      </c>
      <c r="AE555" s="277">
        <f t="shared" si="150"/>
        <v>1428.55</v>
      </c>
      <c r="AF555" s="277">
        <f t="shared" si="150"/>
        <v>1655.52</v>
      </c>
      <c r="AG555" s="95">
        <f>SUM(B555:AF555)</f>
        <v>99025.32</v>
      </c>
    </row>
    <row r="556">
      <c r="A556" s="172"/>
      <c r="AG556" s="257"/>
    </row>
    <row r="557">
      <c r="A557" s="215" t="s">
        <v>413</v>
      </c>
      <c r="B557" s="278">
        <f t="shared" ref="B557:AF557" si="151">B475+B492+B508-B527-B550-B551-B552-B553</f>
        <v>-12729.9295</v>
      </c>
      <c r="C557" s="278">
        <f t="shared" si="151"/>
        <v>-1812.105</v>
      </c>
      <c r="D557" s="278">
        <f t="shared" si="151"/>
        <v>-3365.1675</v>
      </c>
      <c r="E557" s="278">
        <f t="shared" si="151"/>
        <v>-9559.22925</v>
      </c>
      <c r="F557" s="278">
        <f t="shared" si="151"/>
        <v>-5234.6255</v>
      </c>
      <c r="G557" s="278">
        <f t="shared" si="151"/>
        <v>-2254.26875</v>
      </c>
      <c r="H557" s="278">
        <f t="shared" si="151"/>
        <v>-6184.53525</v>
      </c>
      <c r="I557" s="278">
        <f t="shared" si="151"/>
        <v>-2476.16725</v>
      </c>
      <c r="J557" s="278">
        <f t="shared" si="151"/>
        <v>-424.75</v>
      </c>
      <c r="K557" s="278">
        <f t="shared" si="151"/>
        <v>-900.365</v>
      </c>
      <c r="L557" s="278">
        <f t="shared" si="151"/>
        <v>-3768.116</v>
      </c>
      <c r="M557" s="278">
        <f t="shared" si="151"/>
        <v>-9526.79775</v>
      </c>
      <c r="N557" s="278">
        <f t="shared" si="151"/>
        <v>-2220.51425</v>
      </c>
      <c r="O557" s="278">
        <f t="shared" si="151"/>
        <v>-4702.81525</v>
      </c>
      <c r="P557" s="278">
        <f t="shared" si="151"/>
        <v>-2943.33025</v>
      </c>
      <c r="Q557" s="278">
        <f t="shared" si="151"/>
        <v>-1498.6375</v>
      </c>
      <c r="R557" s="278">
        <f t="shared" si="151"/>
        <v>0</v>
      </c>
      <c r="S557" s="278">
        <f t="shared" si="151"/>
        <v>-1826.27875</v>
      </c>
      <c r="T557" s="278">
        <f t="shared" si="151"/>
        <v>-2045.29775</v>
      </c>
      <c r="U557" s="278">
        <f t="shared" si="151"/>
        <v>-1450.244</v>
      </c>
      <c r="V557" s="278">
        <f t="shared" si="151"/>
        <v>-938.515</v>
      </c>
      <c r="W557" s="278">
        <f t="shared" si="151"/>
        <v>0</v>
      </c>
      <c r="X557" s="278">
        <f t="shared" si="151"/>
        <v>-814.49</v>
      </c>
      <c r="Y557" s="278">
        <f t="shared" si="151"/>
        <v>0</v>
      </c>
      <c r="Z557" s="278">
        <f t="shared" si="151"/>
        <v>-166.1</v>
      </c>
      <c r="AA557" s="278">
        <f t="shared" si="151"/>
        <v>-1208.00225</v>
      </c>
      <c r="AB557" s="278">
        <f t="shared" si="151"/>
        <v>-4191.907</v>
      </c>
      <c r="AC557" s="278">
        <f t="shared" si="151"/>
        <v>-3226.75325</v>
      </c>
      <c r="AD557" s="278">
        <f t="shared" si="151"/>
        <v>-1196.066</v>
      </c>
      <c r="AE557" s="278">
        <f t="shared" si="151"/>
        <v>-1136.92</v>
      </c>
      <c r="AF557" s="278">
        <f t="shared" si="151"/>
        <v>-1643.1325</v>
      </c>
      <c r="AG557" s="95">
        <f>SUM(B557:AF557)</f>
        <v>-89445.0605</v>
      </c>
    </row>
    <row r="558">
      <c r="A558" s="172"/>
      <c r="AG558" s="257"/>
    </row>
    <row r="559">
      <c r="A559" s="172"/>
      <c r="AG559" s="257"/>
    </row>
    <row r="560">
      <c r="A560" s="100"/>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95"/>
    </row>
    <row r="561">
      <c r="A561" s="258" t="s">
        <v>414</v>
      </c>
      <c r="B561" s="279"/>
      <c r="C561" s="280"/>
      <c r="D561" s="280"/>
      <c r="E561" s="280"/>
      <c r="F561" s="280"/>
      <c r="G561" s="280"/>
      <c r="H561" s="280"/>
      <c r="I561" s="280"/>
      <c r="J561" s="280"/>
      <c r="K561" s="280"/>
      <c r="L561" s="280"/>
      <c r="M561" s="280"/>
      <c r="N561" s="280"/>
      <c r="O561" s="280"/>
      <c r="P561" s="280"/>
      <c r="Q561" s="280"/>
      <c r="R561" s="280"/>
      <c r="S561" s="280"/>
      <c r="T561" s="280"/>
      <c r="U561" s="281"/>
      <c r="V561" s="281"/>
      <c r="W561" s="281"/>
      <c r="X561" s="281"/>
      <c r="Y561" s="281"/>
      <c r="Z561" s="281"/>
      <c r="AA561" s="281"/>
      <c r="AB561" s="281"/>
      <c r="AC561" s="281"/>
      <c r="AD561" s="281"/>
      <c r="AE561" s="281"/>
      <c r="AF561" s="281"/>
      <c r="AG561" s="282"/>
    </row>
    <row r="562">
      <c r="A562" s="261">
        <f>A466</f>
        <v>1787869.33</v>
      </c>
      <c r="B562" s="283"/>
      <c r="C562" s="283"/>
      <c r="D562" s="283"/>
      <c r="E562" s="283"/>
      <c r="F562" s="283"/>
      <c r="G562" s="283"/>
      <c r="H562" s="283"/>
      <c r="I562" s="283"/>
      <c r="J562" s="283"/>
      <c r="K562" s="283"/>
      <c r="L562" s="283"/>
      <c r="M562" s="283"/>
      <c r="N562" s="283"/>
      <c r="O562" s="283"/>
      <c r="P562" s="283"/>
      <c r="Q562" s="283"/>
      <c r="R562" s="283"/>
      <c r="S562" s="283"/>
      <c r="T562" s="283"/>
      <c r="U562" s="284"/>
      <c r="V562" s="284"/>
      <c r="W562" s="284"/>
      <c r="X562" s="284"/>
      <c r="Y562" s="284"/>
      <c r="Z562" s="284"/>
      <c r="AA562" s="284"/>
      <c r="AB562" s="284"/>
      <c r="AC562" s="284"/>
      <c r="AD562" s="284"/>
      <c r="AE562" s="284"/>
      <c r="AF562" s="284"/>
      <c r="AG562" s="81"/>
    </row>
    <row r="563">
      <c r="A563" s="276" t="s">
        <v>471</v>
      </c>
      <c r="B563" s="255">
        <f t="shared" ref="B563:AF563" si="152">B467+B557</f>
        <v>322833.335</v>
      </c>
      <c r="C563" s="255">
        <f t="shared" si="152"/>
        <v>32801.65867</v>
      </c>
      <c r="D563" s="255">
        <f t="shared" si="152"/>
        <v>20641.26866</v>
      </c>
      <c r="E563" s="255">
        <f t="shared" si="152"/>
        <v>10208.72674</v>
      </c>
      <c r="F563" s="255">
        <f t="shared" si="152"/>
        <v>6935.926376</v>
      </c>
      <c r="G563" s="255">
        <f t="shared" si="152"/>
        <v>7863.789384</v>
      </c>
      <c r="H563" s="255">
        <f t="shared" si="152"/>
        <v>5667.555876</v>
      </c>
      <c r="I563" s="255">
        <f t="shared" si="152"/>
        <v>8726.82668</v>
      </c>
      <c r="J563" s="255">
        <f t="shared" si="152"/>
        <v>14325.91646</v>
      </c>
      <c r="K563" s="255">
        <f t="shared" si="152"/>
        <v>11069.86362</v>
      </c>
      <c r="L563" s="255">
        <f t="shared" si="152"/>
        <v>10326.32328</v>
      </c>
      <c r="M563" s="255">
        <f t="shared" si="152"/>
        <v>40.56255965</v>
      </c>
      <c r="N563" s="255">
        <f t="shared" si="152"/>
        <v>1779.157069</v>
      </c>
      <c r="O563" s="255">
        <f t="shared" si="152"/>
        <v>3159.73143</v>
      </c>
      <c r="P563" s="255">
        <f t="shared" si="152"/>
        <v>4219.238831</v>
      </c>
      <c r="Q563" s="255">
        <f t="shared" si="152"/>
        <v>12184.4869</v>
      </c>
      <c r="R563" s="255">
        <f t="shared" si="152"/>
        <v>10261.00844</v>
      </c>
      <c r="S563" s="255">
        <f t="shared" si="152"/>
        <v>7133.245417</v>
      </c>
      <c r="T563" s="255">
        <f t="shared" si="152"/>
        <v>5419.201632</v>
      </c>
      <c r="U563" s="255">
        <f t="shared" si="152"/>
        <v>7190.850891</v>
      </c>
      <c r="V563" s="255">
        <f t="shared" si="152"/>
        <v>7920.9763</v>
      </c>
      <c r="W563" s="255">
        <f t="shared" si="152"/>
        <v>17066.50204</v>
      </c>
      <c r="X563" s="255">
        <f t="shared" si="152"/>
        <v>11542.3988</v>
      </c>
      <c r="Y563" s="255">
        <f t="shared" si="152"/>
        <v>16604.24156</v>
      </c>
      <c r="Z563" s="255">
        <f t="shared" si="152"/>
        <v>12474.51884</v>
      </c>
      <c r="AA563" s="255">
        <f t="shared" si="152"/>
        <v>7205.187858</v>
      </c>
      <c r="AB563" s="255">
        <f t="shared" si="152"/>
        <v>3891.75206</v>
      </c>
      <c r="AC563" s="255">
        <f t="shared" si="152"/>
        <v>7098.939921</v>
      </c>
      <c r="AD563" s="255">
        <f t="shared" si="152"/>
        <v>5506.712255</v>
      </c>
      <c r="AE563" s="255">
        <f t="shared" si="152"/>
        <v>8248.44237</v>
      </c>
      <c r="AF563" s="255">
        <f t="shared" si="152"/>
        <v>6027.964509</v>
      </c>
      <c r="AG563" s="95">
        <f>SUM(B563:AF563)</f>
        <v>606376.3104</v>
      </c>
    </row>
    <row r="564">
      <c r="A564" s="285">
        <f>SUM(B563:AF563)</f>
        <v>606376.3104</v>
      </c>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95"/>
    </row>
    <row r="565">
      <c r="A565" s="276" t="s">
        <v>472</v>
      </c>
      <c r="B565" s="264">
        <f t="shared" ref="B565:AF565" si="153">B563/B52</f>
        <v>0.5292387841</v>
      </c>
      <c r="C565" s="264">
        <f t="shared" si="153"/>
        <v>0.3038959686</v>
      </c>
      <c r="D565" s="264">
        <f t="shared" si="153"/>
        <v>0.2236678323</v>
      </c>
      <c r="E565" s="264">
        <f t="shared" si="153"/>
        <v>0.1281392766</v>
      </c>
      <c r="F565" s="264">
        <f t="shared" si="153"/>
        <v>0.115596461</v>
      </c>
      <c r="G565" s="264">
        <f t="shared" si="153"/>
        <v>0.149362616</v>
      </c>
      <c r="H565" s="264">
        <f t="shared" si="153"/>
        <v>0.1057372134</v>
      </c>
      <c r="I565" s="264">
        <f t="shared" si="153"/>
        <v>0.1637334958</v>
      </c>
      <c r="J565" s="264">
        <f t="shared" si="153"/>
        <v>0.2186913744</v>
      </c>
      <c r="K565" s="264">
        <f t="shared" si="153"/>
        <v>0.1897301039</v>
      </c>
      <c r="L565" s="264">
        <f t="shared" si="153"/>
        <v>0.2060875814</v>
      </c>
      <c r="M565" s="264">
        <f t="shared" si="153"/>
        <v>0.001171291416</v>
      </c>
      <c r="N565" s="264">
        <f t="shared" si="153"/>
        <v>0.07250155848</v>
      </c>
      <c r="O565" s="264">
        <f t="shared" si="153"/>
        <v>0.1024577498</v>
      </c>
      <c r="P565" s="264">
        <f t="shared" si="153"/>
        <v>0.1796843727</v>
      </c>
      <c r="Q565" s="264">
        <f t="shared" si="153"/>
        <v>0.3879993421</v>
      </c>
      <c r="R565" s="264">
        <f t="shared" si="153"/>
        <v>0.4211320378</v>
      </c>
      <c r="S565" s="264">
        <f t="shared" si="153"/>
        <v>0.3237281148</v>
      </c>
      <c r="T565" s="264">
        <f t="shared" si="153"/>
        <v>0.2914070977</v>
      </c>
      <c r="U565" s="264">
        <f t="shared" si="153"/>
        <v>0.3636816049</v>
      </c>
      <c r="V565" s="264">
        <f t="shared" si="153"/>
        <v>0.371387044</v>
      </c>
      <c r="W565" s="264">
        <f t="shared" si="153"/>
        <v>0.4503259408</v>
      </c>
      <c r="X565" s="264">
        <f t="shared" si="153"/>
        <v>0.3745673835</v>
      </c>
      <c r="Y565" s="264">
        <f t="shared" si="153"/>
        <v>0.450469469</v>
      </c>
      <c r="Z565" s="264">
        <f t="shared" si="153"/>
        <v>0.4553654833</v>
      </c>
      <c r="AA565" s="264">
        <f t="shared" si="153"/>
        <v>0.3675698049</v>
      </c>
      <c r="AB565" s="264">
        <f t="shared" si="153"/>
        <v>0.2002267903</v>
      </c>
      <c r="AC565" s="264">
        <f t="shared" si="153"/>
        <v>0.2944072892</v>
      </c>
      <c r="AD565" s="264">
        <f t="shared" si="153"/>
        <v>0.3239137707</v>
      </c>
      <c r="AE565" s="264">
        <f t="shared" si="153"/>
        <v>0.3768024205</v>
      </c>
      <c r="AF565" s="264">
        <f t="shared" si="153"/>
        <v>0.3263397174</v>
      </c>
      <c r="AG565" s="95"/>
    </row>
    <row r="566">
      <c r="A566" s="286">
        <f>A564/A466</f>
        <v>0.3391614254</v>
      </c>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95"/>
    </row>
    <row r="567">
      <c r="A567" s="266" t="s">
        <v>417</v>
      </c>
      <c r="B567" s="267">
        <f>Summary!B97</f>
        <v>32.31478191</v>
      </c>
      <c r="C567" s="267">
        <f>Summary!C97</f>
        <v>5.802040424</v>
      </c>
      <c r="D567" s="267">
        <f>Summary!D97</f>
        <v>4.926748576</v>
      </c>
      <c r="E567" s="267">
        <f>Summary!E97</f>
        <v>5.120665739</v>
      </c>
      <c r="F567" s="267">
        <f>Summary!F97</f>
        <v>4.672045842</v>
      </c>
      <c r="G567" s="267">
        <f>Summary!G97</f>
        <v>4.579917134</v>
      </c>
      <c r="H567" s="267">
        <f>Summary!H97</f>
        <v>4.679532085</v>
      </c>
      <c r="I567" s="267">
        <f>Summary!I97</f>
        <v>4.330446799</v>
      </c>
      <c r="J567" s="267">
        <f>Summary!J97</f>
        <v>4.692400565</v>
      </c>
      <c r="K567" s="267">
        <f>Summary!K97</f>
        <v>4.117841654</v>
      </c>
      <c r="L567" s="267">
        <f>Summary!L97</f>
        <v>4.133086676</v>
      </c>
      <c r="M567" s="267">
        <f>Summary!M97</f>
        <v>3.437675027</v>
      </c>
      <c r="N567" s="267">
        <f>Summary!N97</f>
        <v>2.569745499</v>
      </c>
      <c r="O567" s="267">
        <f>Summary!O97</f>
        <v>3.346975107</v>
      </c>
      <c r="P567" s="267">
        <f>Summary!P97</f>
        <v>6.997589134</v>
      </c>
      <c r="Q567" s="267">
        <f>Summary!Q97</f>
        <v>9.483526406</v>
      </c>
      <c r="R567" s="267">
        <f>Summary!R97</f>
        <v>8.171366864</v>
      </c>
      <c r="S567" s="267">
        <f>Summary!S97</f>
        <v>7.343179925</v>
      </c>
      <c r="T567" s="267">
        <f>Summary!T97</f>
        <v>7.061686906</v>
      </c>
      <c r="U567" s="267">
        <f>Summary!U97</f>
        <v>8.535675433</v>
      </c>
      <c r="V567" s="267">
        <f>Summary!V97</f>
        <v>8.02429325</v>
      </c>
      <c r="W567" s="267">
        <f>Summary!W97</f>
        <v>14.73098481</v>
      </c>
      <c r="X567" s="267">
        <f>Summary!X97</f>
        <v>7.580261734</v>
      </c>
      <c r="Y567" s="267">
        <f>Summary!Y97</f>
        <v>10.99123024</v>
      </c>
      <c r="Z567" s="267">
        <f>Summary!Z97</f>
        <v>10.48834948</v>
      </c>
      <c r="AA567" s="267">
        <f>Summary!AA97</f>
        <v>9.529569906</v>
      </c>
      <c r="AB567" s="267">
        <f>Summary!AB97</f>
        <v>8.324754477</v>
      </c>
      <c r="AC567" s="267">
        <f>Summary!AC97</f>
        <v>9.919839556</v>
      </c>
      <c r="AD567" s="267">
        <f>Summary!AD97</f>
        <v>7.71882151</v>
      </c>
      <c r="AE567" s="267">
        <f>Summary!AE97</f>
        <v>10.64439787</v>
      </c>
      <c r="AF567" s="267">
        <f>Summary!AF97</f>
        <v>8.727269291</v>
      </c>
      <c r="AG567" s="268"/>
    </row>
    <row r="568">
      <c r="A568" s="10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87"/>
    </row>
    <row r="569">
      <c r="A569" s="100"/>
      <c r="B569" s="288"/>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1"/>
    </row>
    <row r="570">
      <c r="A570" s="172"/>
      <c r="AG570" s="257"/>
    </row>
    <row r="571">
      <c r="A571" s="88" t="s">
        <v>473</v>
      </c>
      <c r="B571" s="204">
        <f t="shared" ref="B571:AF571" si="154">B467/B42</f>
        <v>171.1184418</v>
      </c>
      <c r="C571" s="204">
        <f t="shared" si="154"/>
        <v>83.20616266</v>
      </c>
      <c r="D571" s="204">
        <f t="shared" si="154"/>
        <v>69.18281315</v>
      </c>
      <c r="E571" s="204">
        <f t="shared" si="154"/>
        <v>63.35883332</v>
      </c>
      <c r="F571" s="204">
        <f t="shared" si="154"/>
        <v>49.27348938</v>
      </c>
      <c r="G571" s="204">
        <f t="shared" si="154"/>
        <v>47.28064549</v>
      </c>
      <c r="H571" s="204">
        <f t="shared" si="154"/>
        <v>56.98120734</v>
      </c>
      <c r="I571" s="204">
        <f t="shared" si="154"/>
        <v>56.01496965</v>
      </c>
      <c r="J571" s="204">
        <f t="shared" si="154"/>
        <v>54.8351913</v>
      </c>
      <c r="K571" s="204">
        <f t="shared" si="154"/>
        <v>50.50729377</v>
      </c>
      <c r="L571" s="204">
        <f t="shared" si="154"/>
        <v>77.01879386</v>
      </c>
      <c r="M571" s="204">
        <f t="shared" si="154"/>
        <v>76.53888248</v>
      </c>
      <c r="N571" s="204">
        <f t="shared" si="154"/>
        <v>43.00721849</v>
      </c>
      <c r="O571" s="204">
        <f t="shared" si="154"/>
        <v>73.48174467</v>
      </c>
      <c r="P571" s="204">
        <f t="shared" si="154"/>
        <v>79.58410091</v>
      </c>
      <c r="Q571" s="204">
        <f t="shared" si="154"/>
        <v>115.9586814</v>
      </c>
      <c r="R571" s="204">
        <f t="shared" si="154"/>
        <v>112.7583345</v>
      </c>
      <c r="S571" s="204">
        <f t="shared" si="154"/>
        <v>96.33896954</v>
      </c>
      <c r="T571" s="204">
        <f t="shared" si="154"/>
        <v>105.1337941</v>
      </c>
      <c r="U571" s="204">
        <f t="shared" si="154"/>
        <v>105.379206</v>
      </c>
      <c r="V571" s="204">
        <f t="shared" si="154"/>
        <v>108.0425768</v>
      </c>
      <c r="W571" s="204">
        <f t="shared" si="154"/>
        <v>170.6650204</v>
      </c>
      <c r="X571" s="204">
        <f t="shared" si="154"/>
        <v>105.6144342</v>
      </c>
      <c r="Y571" s="204">
        <f t="shared" si="154"/>
        <v>121.1988435</v>
      </c>
      <c r="Z571" s="204">
        <f t="shared" si="154"/>
        <v>112.8626682</v>
      </c>
      <c r="AA571" s="204">
        <f t="shared" si="154"/>
        <v>106.4960773</v>
      </c>
      <c r="AB571" s="204">
        <f t="shared" si="154"/>
        <v>102.3247982</v>
      </c>
      <c r="AC571" s="204">
        <f t="shared" si="154"/>
        <v>111.0289588</v>
      </c>
      <c r="AD571" s="204">
        <f t="shared" si="154"/>
        <v>117.592601</v>
      </c>
      <c r="AE571" s="204">
        <f t="shared" si="154"/>
        <v>107.8777284</v>
      </c>
      <c r="AF571" s="204">
        <f t="shared" si="154"/>
        <v>95.88871262</v>
      </c>
      <c r="AG571" s="81"/>
    </row>
    <row r="572">
      <c r="A572" s="88" t="s">
        <v>474</v>
      </c>
      <c r="B572" s="204">
        <f t="shared" ref="B572:AF572" si="155">B563/B42</f>
        <v>164.6268919</v>
      </c>
      <c r="C572" s="204">
        <f t="shared" si="155"/>
        <v>78.85014103</v>
      </c>
      <c r="D572" s="204">
        <f t="shared" si="155"/>
        <v>59.4849241</v>
      </c>
      <c r="E572" s="204">
        <f t="shared" si="155"/>
        <v>32.72027803</v>
      </c>
      <c r="F572" s="204">
        <f t="shared" si="155"/>
        <v>28.08067359</v>
      </c>
      <c r="G572" s="204">
        <f t="shared" si="155"/>
        <v>36.74667936</v>
      </c>
      <c r="H572" s="204">
        <f t="shared" si="155"/>
        <v>27.24786479</v>
      </c>
      <c r="I572" s="204">
        <f t="shared" si="155"/>
        <v>43.6341334</v>
      </c>
      <c r="J572" s="204">
        <f t="shared" si="155"/>
        <v>53.25619502</v>
      </c>
      <c r="K572" s="204">
        <f t="shared" si="155"/>
        <v>46.70828534</v>
      </c>
      <c r="L572" s="204">
        <f t="shared" si="155"/>
        <v>56.42799605</v>
      </c>
      <c r="M572" s="204">
        <f t="shared" si="155"/>
        <v>0.3245004772</v>
      </c>
      <c r="N572" s="204">
        <f t="shared" si="155"/>
        <v>19.13072118</v>
      </c>
      <c r="O572" s="204">
        <f t="shared" si="155"/>
        <v>29.53020028</v>
      </c>
      <c r="P572" s="204">
        <f t="shared" si="155"/>
        <v>46.88043146</v>
      </c>
      <c r="Q572" s="204">
        <f t="shared" si="155"/>
        <v>103.2583636</v>
      </c>
      <c r="R572" s="204">
        <f t="shared" si="155"/>
        <v>112.7583345</v>
      </c>
      <c r="S572" s="204">
        <f t="shared" si="155"/>
        <v>76.70156363</v>
      </c>
      <c r="T572" s="204">
        <f t="shared" si="155"/>
        <v>76.32678355</v>
      </c>
      <c r="U572" s="204">
        <f t="shared" si="155"/>
        <v>87.69330355</v>
      </c>
      <c r="V572" s="204">
        <f t="shared" si="155"/>
        <v>96.59727195</v>
      </c>
      <c r="W572" s="204">
        <f t="shared" si="155"/>
        <v>170.6650204</v>
      </c>
      <c r="X572" s="204">
        <f t="shared" si="155"/>
        <v>98.6529812</v>
      </c>
      <c r="Y572" s="204">
        <f t="shared" si="155"/>
        <v>121.1988435</v>
      </c>
      <c r="Z572" s="204">
        <f t="shared" si="155"/>
        <v>111.3796325</v>
      </c>
      <c r="AA572" s="204">
        <f t="shared" si="155"/>
        <v>91.20490959</v>
      </c>
      <c r="AB572" s="204">
        <f t="shared" si="155"/>
        <v>49.2626843</v>
      </c>
      <c r="AC572" s="204">
        <f t="shared" si="155"/>
        <v>76.33268732</v>
      </c>
      <c r="AD572" s="204">
        <f t="shared" si="155"/>
        <v>96.60898693</v>
      </c>
      <c r="AE572" s="204">
        <f t="shared" si="155"/>
        <v>94.80968241</v>
      </c>
      <c r="AF572" s="204">
        <f t="shared" si="155"/>
        <v>75.34955637</v>
      </c>
      <c r="AG572" s="95"/>
    </row>
    <row r="573">
      <c r="A573" s="172"/>
      <c r="AG573" s="257"/>
    </row>
    <row r="574">
      <c r="A574" s="88" t="s">
        <v>475</v>
      </c>
      <c r="B574" s="204">
        <f t="shared" ref="B574:AF574" si="156">B467/B59</f>
        <v>2033.716754</v>
      </c>
      <c r="C574" s="204">
        <f t="shared" si="156"/>
        <v>254.5129681</v>
      </c>
      <c r="D574" s="204">
        <f t="shared" si="156"/>
        <v>158.9830209</v>
      </c>
      <c r="E574" s="204">
        <f t="shared" si="156"/>
        <v>130.9136159</v>
      </c>
      <c r="F574" s="204">
        <f t="shared" si="156"/>
        <v>89.48935203</v>
      </c>
      <c r="G574" s="204">
        <f t="shared" si="156"/>
        <v>83.62031516</v>
      </c>
      <c r="H574" s="204">
        <f t="shared" si="156"/>
        <v>107.746283</v>
      </c>
      <c r="I574" s="204">
        <f t="shared" si="156"/>
        <v>107.7210955</v>
      </c>
      <c r="J574" s="204">
        <f t="shared" si="156"/>
        <v>117.0687814</v>
      </c>
      <c r="K574" s="204">
        <f t="shared" si="156"/>
        <v>116.2158119</v>
      </c>
      <c r="L574" s="204">
        <f t="shared" si="156"/>
        <v>193.0745106</v>
      </c>
      <c r="M574" s="204">
        <f t="shared" si="156"/>
        <v>203.5608577</v>
      </c>
      <c r="N574" s="204">
        <f t="shared" si="156"/>
        <v>111.1019811</v>
      </c>
      <c r="O574" s="204">
        <f t="shared" si="156"/>
        <v>187.2034924</v>
      </c>
      <c r="P574" s="204">
        <f t="shared" si="156"/>
        <v>170.5373591</v>
      </c>
      <c r="Q574" s="204">
        <f t="shared" si="156"/>
        <v>273.662488</v>
      </c>
      <c r="R574" s="204">
        <f t="shared" si="156"/>
        <v>270.0265379</v>
      </c>
      <c r="S574" s="204">
        <f t="shared" si="156"/>
        <v>235.7769518</v>
      </c>
      <c r="T574" s="204">
        <f t="shared" si="156"/>
        <v>257.3965304</v>
      </c>
      <c r="U574" s="204">
        <f t="shared" si="156"/>
        <v>345.6437956</v>
      </c>
      <c r="V574" s="204">
        <f t="shared" si="156"/>
        <v>233.1445079</v>
      </c>
      <c r="W574" s="204">
        <f t="shared" si="156"/>
        <v>227.5533605</v>
      </c>
      <c r="X574" s="204">
        <f t="shared" si="156"/>
        <v>233.1488453</v>
      </c>
      <c r="Y574" s="204">
        <f t="shared" si="156"/>
        <v>247.8245009</v>
      </c>
      <c r="Z574" s="204">
        <f t="shared" si="156"/>
        <v>293.96788</v>
      </c>
      <c r="AA574" s="204">
        <f t="shared" si="156"/>
        <v>233.6997252</v>
      </c>
      <c r="AB574" s="204">
        <f t="shared" si="156"/>
        <v>230.9616874</v>
      </c>
      <c r="AC574" s="204">
        <f t="shared" si="156"/>
        <v>215.1186077</v>
      </c>
      <c r="AD574" s="204">
        <f t="shared" si="156"/>
        <v>203.1144926</v>
      </c>
      <c r="AE574" s="204">
        <f t="shared" si="156"/>
        <v>204.0296167</v>
      </c>
      <c r="AF574" s="204">
        <f t="shared" si="156"/>
        <v>191.7774252</v>
      </c>
      <c r="AG574" s="95"/>
    </row>
    <row r="575">
      <c r="A575" s="88" t="s">
        <v>476</v>
      </c>
      <c r="B575" s="204">
        <f t="shared" ref="B575:AF575" si="157">B563/B59</f>
        <v>1956.565666</v>
      </c>
      <c r="C575" s="204">
        <f t="shared" si="157"/>
        <v>241.1886667</v>
      </c>
      <c r="D575" s="204">
        <f t="shared" si="157"/>
        <v>136.6971435</v>
      </c>
      <c r="E575" s="204">
        <f t="shared" si="157"/>
        <v>67.60746188</v>
      </c>
      <c r="F575" s="204">
        <f t="shared" si="157"/>
        <v>50.99945865</v>
      </c>
      <c r="G575" s="204">
        <f t="shared" si="157"/>
        <v>64.98999491</v>
      </c>
      <c r="H575" s="204">
        <f t="shared" si="157"/>
        <v>51.52323524</v>
      </c>
      <c r="I575" s="204">
        <f t="shared" si="157"/>
        <v>83.911795</v>
      </c>
      <c r="J575" s="204">
        <f t="shared" si="157"/>
        <v>113.6977497</v>
      </c>
      <c r="K575" s="204">
        <f t="shared" si="157"/>
        <v>107.4744041</v>
      </c>
      <c r="L575" s="204">
        <f t="shared" si="157"/>
        <v>141.4564832</v>
      </c>
      <c r="M575" s="204">
        <f t="shared" si="157"/>
        <v>0.863033184</v>
      </c>
      <c r="N575" s="204">
        <f t="shared" si="157"/>
        <v>49.4210297</v>
      </c>
      <c r="O575" s="204">
        <f t="shared" si="157"/>
        <v>75.23170071</v>
      </c>
      <c r="P575" s="204">
        <f t="shared" si="157"/>
        <v>100.4580674</v>
      </c>
      <c r="Q575" s="204">
        <f t="shared" si="157"/>
        <v>243.689738</v>
      </c>
      <c r="R575" s="204">
        <f t="shared" si="157"/>
        <v>270.0265379</v>
      </c>
      <c r="S575" s="204">
        <f t="shared" si="157"/>
        <v>187.7169847</v>
      </c>
      <c r="T575" s="204">
        <f t="shared" si="157"/>
        <v>186.8690218</v>
      </c>
      <c r="U575" s="204">
        <f t="shared" si="157"/>
        <v>287.6340356</v>
      </c>
      <c r="V575" s="204">
        <f t="shared" si="157"/>
        <v>208.4467447</v>
      </c>
      <c r="W575" s="204">
        <f t="shared" si="157"/>
        <v>227.5533605</v>
      </c>
      <c r="X575" s="204">
        <f t="shared" si="157"/>
        <v>217.7811094</v>
      </c>
      <c r="Y575" s="204">
        <f t="shared" si="157"/>
        <v>247.8245009</v>
      </c>
      <c r="Z575" s="204">
        <f t="shared" si="157"/>
        <v>290.1050893</v>
      </c>
      <c r="AA575" s="204">
        <f t="shared" si="157"/>
        <v>200.1441072</v>
      </c>
      <c r="AB575" s="204">
        <f t="shared" si="157"/>
        <v>111.192916</v>
      </c>
      <c r="AC575" s="204">
        <f t="shared" si="157"/>
        <v>147.8945817</v>
      </c>
      <c r="AD575" s="204">
        <f t="shared" si="157"/>
        <v>166.8700683</v>
      </c>
      <c r="AE575" s="204">
        <f t="shared" si="157"/>
        <v>179.3139646</v>
      </c>
      <c r="AF575" s="204">
        <f t="shared" si="157"/>
        <v>150.6991127</v>
      </c>
      <c r="AG575" s="257"/>
    </row>
    <row r="576">
      <c r="A576" s="172"/>
      <c r="AG576" s="257"/>
    </row>
    <row r="577">
      <c r="A577" s="172"/>
      <c r="AG577" s="257"/>
    </row>
    <row r="578">
      <c r="A578" s="289"/>
      <c r="B578" s="283"/>
      <c r="C578" s="283"/>
      <c r="D578" s="283"/>
      <c r="E578" s="283"/>
      <c r="F578" s="283"/>
      <c r="G578" s="283"/>
      <c r="H578" s="283"/>
      <c r="I578" s="283"/>
      <c r="J578" s="283"/>
      <c r="K578" s="283"/>
      <c r="L578" s="283"/>
      <c r="M578" s="283"/>
      <c r="N578" s="283"/>
      <c r="O578" s="283"/>
      <c r="P578" s="283"/>
      <c r="Q578" s="283"/>
      <c r="R578" s="283"/>
      <c r="S578" s="283"/>
      <c r="T578" s="283"/>
      <c r="U578" s="284"/>
      <c r="V578" s="284"/>
      <c r="W578" s="284"/>
      <c r="X578" s="284"/>
      <c r="Y578" s="284"/>
      <c r="Z578" s="284"/>
      <c r="AA578" s="284"/>
      <c r="AB578" s="284"/>
      <c r="AC578" s="284"/>
      <c r="AD578" s="284"/>
      <c r="AE578" s="284"/>
      <c r="AF578" s="284"/>
      <c r="AG578" s="81"/>
    </row>
    <row r="579">
      <c r="A579" s="172"/>
      <c r="AG579" s="257"/>
    </row>
    <row r="580">
      <c r="A580" s="172"/>
      <c r="AG580" s="257"/>
    </row>
    <row r="581">
      <c r="A581" s="172"/>
      <c r="AG581" s="257"/>
    </row>
    <row r="582">
      <c r="A582" s="172"/>
      <c r="AG582" s="257"/>
    </row>
    <row r="583">
      <c r="A583" s="172"/>
      <c r="AG583" s="257"/>
    </row>
    <row r="584">
      <c r="A584" s="172"/>
      <c r="AG584" s="257"/>
    </row>
    <row r="585">
      <c r="A585" s="172"/>
      <c r="AG585" s="257"/>
    </row>
    <row r="586">
      <c r="A586" s="172"/>
      <c r="AG586" s="257"/>
    </row>
    <row r="587">
      <c r="A587" s="172"/>
      <c r="AG587" s="257"/>
    </row>
    <row r="588">
      <c r="A588" s="172"/>
      <c r="AG588" s="257"/>
    </row>
    <row r="589">
      <c r="A589" s="172"/>
      <c r="AG589" s="257"/>
    </row>
    <row r="590">
      <c r="A590" s="172"/>
      <c r="AG590" s="257"/>
    </row>
    <row r="591">
      <c r="A591" s="172"/>
      <c r="AG591" s="257"/>
    </row>
    <row r="592">
      <c r="A592" s="172"/>
      <c r="AG592" s="257"/>
    </row>
    <row r="593">
      <c r="A593" s="172"/>
      <c r="AG593" s="257"/>
    </row>
    <row r="594">
      <c r="A594" s="172"/>
      <c r="AG594" s="257"/>
    </row>
    <row r="595">
      <c r="A595" s="172"/>
      <c r="AG595" s="257"/>
    </row>
    <row r="596">
      <c r="A596" s="172"/>
      <c r="AG596" s="257"/>
    </row>
    <row r="597">
      <c r="A597" s="172"/>
      <c r="AG597" s="257"/>
    </row>
    <row r="598">
      <c r="A598" s="172"/>
      <c r="AG598" s="257"/>
    </row>
    <row r="599">
      <c r="A599" s="172"/>
      <c r="AG599" s="257"/>
    </row>
    <row r="600">
      <c r="A600" s="172"/>
      <c r="AG600" s="257"/>
    </row>
    <row r="601">
      <c r="A601" s="172"/>
      <c r="AG601" s="257"/>
    </row>
    <row r="602">
      <c r="A602" s="172"/>
      <c r="AG602" s="257"/>
    </row>
    <row r="603">
      <c r="A603" s="172"/>
      <c r="AG603" s="257"/>
    </row>
    <row r="604">
      <c r="A604" s="172"/>
      <c r="AG604" s="257"/>
    </row>
    <row r="605">
      <c r="A605" s="172"/>
      <c r="AG605" s="257"/>
    </row>
    <row r="606">
      <c r="A606" s="172"/>
      <c r="AG606" s="257"/>
    </row>
    <row r="607">
      <c r="A607" s="172"/>
      <c r="AG607" s="257"/>
    </row>
    <row r="608">
      <c r="A608" s="172"/>
      <c r="AG608" s="257"/>
    </row>
    <row r="609">
      <c r="A609" s="172"/>
      <c r="AG609" s="257"/>
    </row>
    <row r="610">
      <c r="A610" s="172"/>
      <c r="AG610" s="257"/>
    </row>
    <row r="611">
      <c r="A611" s="172"/>
      <c r="AG611" s="257"/>
    </row>
    <row r="612">
      <c r="A612" s="172"/>
      <c r="AG612" s="257"/>
    </row>
    <row r="613">
      <c r="A613" s="172"/>
      <c r="AG613" s="257"/>
    </row>
    <row r="614">
      <c r="A614" s="172"/>
      <c r="AG614" s="257"/>
    </row>
    <row r="615">
      <c r="A615" s="172"/>
      <c r="AG615" s="257"/>
    </row>
    <row r="616">
      <c r="A616" s="172"/>
      <c r="AG616" s="257"/>
    </row>
    <row r="617">
      <c r="A617" s="172"/>
      <c r="AG617" s="257"/>
    </row>
    <row r="618">
      <c r="A618" s="172"/>
      <c r="AG618" s="257"/>
    </row>
    <row r="619">
      <c r="A619" s="172"/>
      <c r="AG619" s="257"/>
    </row>
    <row r="620">
      <c r="A620" s="172"/>
      <c r="AG620" s="257"/>
    </row>
    <row r="621">
      <c r="A621" s="172"/>
      <c r="AG621" s="257"/>
    </row>
    <row r="622">
      <c r="A622" s="172"/>
      <c r="AG622" s="257"/>
    </row>
    <row r="623">
      <c r="A623" s="172"/>
      <c r="AG623" s="257"/>
    </row>
    <row r="624">
      <c r="A624" s="172"/>
      <c r="AG624" s="257"/>
    </row>
    <row r="625">
      <c r="A625" s="172"/>
      <c r="AG625" s="257"/>
    </row>
    <row r="626">
      <c r="A626" s="172"/>
      <c r="AG626" s="257"/>
    </row>
    <row r="627">
      <c r="A627" s="172"/>
      <c r="AG627" s="257"/>
    </row>
    <row r="628">
      <c r="A628" s="172"/>
      <c r="AG628" s="257"/>
    </row>
    <row r="629">
      <c r="A629" s="172"/>
      <c r="AG629" s="257"/>
    </row>
    <row r="630">
      <c r="A630" s="172"/>
      <c r="AG630" s="257"/>
    </row>
    <row r="631">
      <c r="A631" s="172"/>
      <c r="AG631" s="257"/>
    </row>
    <row r="632">
      <c r="A632" s="172"/>
      <c r="AG632" s="257"/>
    </row>
    <row r="633">
      <c r="A633" s="172"/>
      <c r="AG633" s="257"/>
    </row>
    <row r="634">
      <c r="A634" s="172"/>
      <c r="AG634" s="257"/>
    </row>
    <row r="635">
      <c r="A635" s="172"/>
      <c r="AG635" s="257"/>
    </row>
    <row r="636">
      <c r="A636" s="172"/>
      <c r="AG636" s="257"/>
    </row>
    <row r="637">
      <c r="A637" s="172"/>
      <c r="AG637" s="257"/>
    </row>
    <row r="638">
      <c r="A638" s="172"/>
      <c r="AG638" s="257"/>
    </row>
    <row r="639">
      <c r="A639" s="172"/>
      <c r="AG639" s="257"/>
    </row>
    <row r="640">
      <c r="A640" s="172"/>
      <c r="AG640" s="257"/>
    </row>
    <row r="641">
      <c r="A641" s="172"/>
      <c r="AG641" s="257"/>
    </row>
    <row r="642">
      <c r="A642" s="172"/>
      <c r="AG642" s="257"/>
    </row>
    <row r="643">
      <c r="A643" s="172"/>
      <c r="AG643" s="257"/>
    </row>
    <row r="644">
      <c r="A644" s="172"/>
      <c r="AG644" s="257"/>
    </row>
    <row r="645">
      <c r="A645" s="172"/>
      <c r="AG645" s="257"/>
    </row>
    <row r="646">
      <c r="A646" s="172"/>
      <c r="AG646" s="257"/>
    </row>
    <row r="647">
      <c r="A647" s="172"/>
      <c r="AG647" s="257"/>
    </row>
    <row r="648">
      <c r="A648" s="172"/>
      <c r="AG648" s="257"/>
    </row>
    <row r="649">
      <c r="A649" s="172"/>
      <c r="AG649" s="257"/>
    </row>
    <row r="650">
      <c r="A650" s="172"/>
      <c r="AG650" s="257"/>
    </row>
    <row r="651">
      <c r="A651" s="172"/>
      <c r="AG651" s="257"/>
    </row>
    <row r="652">
      <c r="A652" s="172"/>
      <c r="AG652" s="257"/>
    </row>
    <row r="653">
      <c r="A653" s="172"/>
      <c r="AG653" s="257"/>
    </row>
    <row r="654">
      <c r="A654" s="172"/>
      <c r="AG654" s="257"/>
    </row>
    <row r="655">
      <c r="A655" s="172"/>
      <c r="AG655" s="257"/>
    </row>
    <row r="656">
      <c r="A656" s="172"/>
      <c r="AG656" s="257"/>
    </row>
    <row r="657">
      <c r="A657" s="172"/>
      <c r="AG657" s="257"/>
    </row>
    <row r="658">
      <c r="A658" s="172"/>
      <c r="AG658" s="257"/>
    </row>
    <row r="659">
      <c r="A659" s="172"/>
      <c r="AG659" s="257"/>
    </row>
    <row r="660">
      <c r="A660" s="172"/>
      <c r="AG660" s="257"/>
    </row>
    <row r="661">
      <c r="A661" s="172"/>
      <c r="AG661" s="257"/>
    </row>
    <row r="662">
      <c r="A662" s="172"/>
      <c r="AG662" s="257"/>
    </row>
    <row r="663">
      <c r="A663" s="172"/>
      <c r="AG663" s="257"/>
    </row>
    <row r="664">
      <c r="A664" s="172"/>
      <c r="AG664" s="257"/>
    </row>
    <row r="665">
      <c r="A665" s="172"/>
      <c r="AG665" s="257"/>
    </row>
    <row r="666">
      <c r="A666" s="172"/>
      <c r="AG666" s="257"/>
    </row>
    <row r="667">
      <c r="A667" s="172"/>
      <c r="AG667" s="257"/>
    </row>
    <row r="668">
      <c r="A668" s="172"/>
      <c r="AG668" s="257"/>
    </row>
    <row r="669">
      <c r="A669" s="172"/>
      <c r="AG669" s="257"/>
    </row>
    <row r="670">
      <c r="A670" s="172"/>
      <c r="AG670" s="257"/>
    </row>
    <row r="671">
      <c r="A671" s="172"/>
      <c r="AG671" s="257"/>
    </row>
    <row r="672">
      <c r="A672" s="172"/>
      <c r="AG672" s="257"/>
    </row>
    <row r="673">
      <c r="A673" s="172"/>
      <c r="AG673" s="257"/>
    </row>
    <row r="674">
      <c r="A674" s="172"/>
      <c r="AG674" s="257"/>
    </row>
    <row r="675">
      <c r="A675" s="172"/>
      <c r="AG675" s="257"/>
    </row>
    <row r="676">
      <c r="A676" s="172"/>
      <c r="AG676" s="257"/>
    </row>
    <row r="677">
      <c r="A677" s="172"/>
      <c r="AG677" s="257"/>
    </row>
    <row r="678">
      <c r="A678" s="172"/>
      <c r="AG678" s="257"/>
    </row>
    <row r="679">
      <c r="A679" s="172"/>
      <c r="AG679" s="257"/>
    </row>
    <row r="680">
      <c r="A680" s="172"/>
      <c r="AG680" s="257"/>
    </row>
    <row r="681">
      <c r="A681" s="172"/>
      <c r="AG681" s="257"/>
    </row>
    <row r="682">
      <c r="A682" s="172"/>
      <c r="AG682" s="257"/>
    </row>
    <row r="683">
      <c r="A683" s="172"/>
      <c r="AG683" s="257"/>
    </row>
    <row r="684">
      <c r="A684" s="172"/>
      <c r="AG684" s="257"/>
    </row>
    <row r="685">
      <c r="A685" s="172"/>
      <c r="AG685" s="257"/>
    </row>
    <row r="686">
      <c r="A686" s="172"/>
      <c r="AG686" s="257"/>
    </row>
    <row r="687">
      <c r="A687" s="172"/>
      <c r="AG687" s="257"/>
    </row>
    <row r="688">
      <c r="A688" s="172"/>
      <c r="AG688" s="257"/>
    </row>
    <row r="689">
      <c r="A689" s="172"/>
      <c r="AG689" s="257"/>
    </row>
    <row r="690">
      <c r="A690" s="172"/>
      <c r="AG690" s="257"/>
    </row>
    <row r="691">
      <c r="A691" s="172"/>
      <c r="AG691" s="257"/>
    </row>
    <row r="692">
      <c r="A692" s="172"/>
      <c r="AG692" s="257"/>
    </row>
    <row r="693">
      <c r="A693" s="172"/>
      <c r="AG693" s="257"/>
    </row>
    <row r="694">
      <c r="A694" s="172"/>
      <c r="AG694" s="257"/>
    </row>
    <row r="695">
      <c r="A695" s="172"/>
      <c r="AG695" s="257"/>
    </row>
    <row r="696">
      <c r="A696" s="172"/>
      <c r="AG696" s="257"/>
    </row>
    <row r="697">
      <c r="A697" s="172"/>
      <c r="AG697" s="257"/>
    </row>
    <row r="698">
      <c r="A698" s="172"/>
      <c r="AG698" s="257"/>
    </row>
    <row r="699">
      <c r="A699" s="172"/>
      <c r="AG699" s="257"/>
    </row>
    <row r="700">
      <c r="A700" s="172"/>
      <c r="AG700" s="257"/>
    </row>
    <row r="701">
      <c r="A701" s="172"/>
      <c r="AG701" s="257"/>
    </row>
    <row r="702">
      <c r="A702" s="172"/>
      <c r="AG702" s="257"/>
    </row>
    <row r="703">
      <c r="A703" s="172"/>
      <c r="AG703" s="257"/>
    </row>
    <row r="704">
      <c r="A704" s="172"/>
      <c r="AG704" s="257"/>
    </row>
    <row r="705">
      <c r="A705" s="172"/>
      <c r="AG705" s="257"/>
    </row>
    <row r="706">
      <c r="A706" s="172"/>
      <c r="AG706" s="257"/>
    </row>
    <row r="707">
      <c r="A707" s="172"/>
      <c r="AG707" s="257"/>
    </row>
    <row r="708">
      <c r="A708" s="172"/>
      <c r="AG708" s="257"/>
    </row>
    <row r="709">
      <c r="A709" s="172"/>
      <c r="AG709" s="257"/>
    </row>
    <row r="710">
      <c r="A710" s="172"/>
      <c r="AG710" s="257"/>
    </row>
    <row r="711">
      <c r="A711" s="172"/>
      <c r="AG711" s="257"/>
    </row>
    <row r="712">
      <c r="A712" s="172"/>
      <c r="AG712" s="257"/>
    </row>
    <row r="713">
      <c r="A713" s="172"/>
      <c r="AG713" s="257"/>
    </row>
    <row r="714">
      <c r="A714" s="172"/>
      <c r="AG714" s="257"/>
    </row>
    <row r="715">
      <c r="A715" s="172"/>
      <c r="AG715" s="257"/>
    </row>
    <row r="716">
      <c r="A716" s="172"/>
      <c r="AG716" s="257"/>
    </row>
    <row r="717">
      <c r="A717" s="172"/>
      <c r="AG717" s="257"/>
    </row>
    <row r="718">
      <c r="A718" s="172"/>
      <c r="AG718" s="257"/>
    </row>
    <row r="719">
      <c r="A719" s="172"/>
      <c r="AG719" s="257"/>
    </row>
    <row r="720">
      <c r="A720" s="172"/>
      <c r="AG720" s="257"/>
    </row>
    <row r="721">
      <c r="A721" s="172"/>
      <c r="AG721" s="257"/>
    </row>
    <row r="722">
      <c r="A722" s="172"/>
      <c r="AG722" s="257"/>
    </row>
    <row r="723">
      <c r="A723" s="172"/>
      <c r="AG723" s="257"/>
    </row>
    <row r="724">
      <c r="A724" s="172"/>
      <c r="AG724" s="257"/>
    </row>
    <row r="725">
      <c r="A725" s="172"/>
      <c r="AG725" s="257"/>
    </row>
    <row r="726">
      <c r="A726" s="172"/>
      <c r="AG726" s="257"/>
    </row>
    <row r="727">
      <c r="A727" s="172"/>
      <c r="AG727" s="257"/>
    </row>
    <row r="728">
      <c r="A728" s="172"/>
      <c r="AG728" s="257"/>
    </row>
    <row r="729">
      <c r="A729" s="172"/>
      <c r="AG729" s="257"/>
    </row>
    <row r="730">
      <c r="A730" s="172"/>
      <c r="AG730" s="257"/>
    </row>
    <row r="731">
      <c r="A731" s="172"/>
      <c r="AG731" s="257"/>
    </row>
    <row r="732">
      <c r="A732" s="172"/>
      <c r="AG732" s="257"/>
    </row>
    <row r="733">
      <c r="A733" s="172"/>
      <c r="AG733" s="257"/>
    </row>
    <row r="734">
      <c r="A734" s="172"/>
      <c r="AG734" s="257"/>
    </row>
    <row r="735">
      <c r="A735" s="172"/>
      <c r="AG735" s="257"/>
    </row>
    <row r="736">
      <c r="A736" s="172"/>
      <c r="AG736" s="257"/>
    </row>
    <row r="737">
      <c r="A737" s="172"/>
      <c r="AG737" s="257"/>
    </row>
    <row r="738">
      <c r="A738" s="172"/>
      <c r="AG738" s="257"/>
    </row>
    <row r="739">
      <c r="A739" s="172"/>
      <c r="AG739" s="257"/>
    </row>
    <row r="740">
      <c r="A740" s="172"/>
      <c r="AG740" s="257"/>
    </row>
    <row r="741">
      <c r="A741" s="172"/>
      <c r="AG741" s="257"/>
    </row>
    <row r="742">
      <c r="A742" s="172"/>
      <c r="AG742" s="257"/>
    </row>
    <row r="743">
      <c r="A743" s="172"/>
      <c r="AG743" s="257"/>
    </row>
    <row r="744">
      <c r="A744" s="172"/>
      <c r="AG744" s="257"/>
    </row>
    <row r="745">
      <c r="A745" s="172"/>
      <c r="AG745" s="257"/>
    </row>
    <row r="746">
      <c r="A746" s="172"/>
      <c r="AG746" s="257"/>
    </row>
    <row r="747">
      <c r="A747" s="172"/>
      <c r="AG747" s="257"/>
    </row>
    <row r="748">
      <c r="A748" s="172"/>
      <c r="AG748" s="257"/>
    </row>
    <row r="749">
      <c r="A749" s="172"/>
      <c r="AG749" s="257"/>
    </row>
    <row r="750">
      <c r="A750" s="172"/>
      <c r="AG750" s="257"/>
    </row>
    <row r="751">
      <c r="A751" s="172"/>
      <c r="AG751" s="257"/>
    </row>
    <row r="752">
      <c r="A752" s="172"/>
      <c r="AG752" s="257"/>
    </row>
    <row r="753">
      <c r="A753" s="172"/>
      <c r="AG753" s="257"/>
    </row>
    <row r="754">
      <c r="A754" s="172"/>
      <c r="AG754" s="257"/>
    </row>
    <row r="755">
      <c r="A755" s="172"/>
      <c r="AG755" s="257"/>
    </row>
    <row r="756">
      <c r="A756" s="172"/>
      <c r="AG756" s="257"/>
    </row>
    <row r="757">
      <c r="A757" s="172"/>
      <c r="AG757" s="257"/>
    </row>
    <row r="758">
      <c r="A758" s="172"/>
      <c r="AG758" s="257"/>
    </row>
    <row r="759">
      <c r="A759" s="172"/>
      <c r="AG759" s="257"/>
    </row>
    <row r="760">
      <c r="A760" s="172"/>
      <c r="AG760" s="257"/>
    </row>
    <row r="761">
      <c r="A761" s="172"/>
      <c r="AG761" s="257"/>
    </row>
    <row r="762">
      <c r="A762" s="172"/>
      <c r="AG762" s="257"/>
    </row>
    <row r="763">
      <c r="A763" s="172"/>
      <c r="AG763" s="257"/>
    </row>
    <row r="764">
      <c r="A764" s="172"/>
      <c r="AG764" s="257"/>
    </row>
    <row r="765">
      <c r="A765" s="172"/>
      <c r="AG765" s="257"/>
    </row>
    <row r="766">
      <c r="A766" s="172"/>
      <c r="AG766" s="257"/>
    </row>
    <row r="767">
      <c r="A767" s="172"/>
      <c r="AG767" s="257"/>
    </row>
    <row r="768">
      <c r="A768" s="172"/>
      <c r="AG768" s="257"/>
    </row>
    <row r="769">
      <c r="A769" s="172"/>
      <c r="AG769" s="257"/>
    </row>
    <row r="770">
      <c r="A770" s="172"/>
      <c r="AG770" s="257"/>
    </row>
    <row r="771">
      <c r="A771" s="172"/>
      <c r="AG771" s="257"/>
    </row>
    <row r="772">
      <c r="A772" s="172"/>
      <c r="AG772" s="257"/>
    </row>
    <row r="773">
      <c r="A773" s="172"/>
      <c r="AG773" s="257"/>
    </row>
    <row r="774">
      <c r="A774" s="172"/>
      <c r="AG774" s="257"/>
    </row>
    <row r="775">
      <c r="A775" s="172"/>
      <c r="AG775" s="257"/>
    </row>
    <row r="776">
      <c r="A776" s="172"/>
      <c r="AG776" s="257"/>
    </row>
    <row r="777">
      <c r="A777" s="172"/>
      <c r="AG777" s="257"/>
    </row>
    <row r="778">
      <c r="A778" s="172"/>
      <c r="AG778" s="257"/>
    </row>
    <row r="779">
      <c r="A779" s="172"/>
      <c r="AG779" s="257"/>
    </row>
    <row r="780">
      <c r="A780" s="172"/>
      <c r="AG780" s="257"/>
    </row>
    <row r="781">
      <c r="A781" s="172"/>
      <c r="AG781" s="257"/>
    </row>
    <row r="782">
      <c r="A782" s="172"/>
      <c r="AG782" s="257"/>
    </row>
    <row r="783">
      <c r="A783" s="172"/>
      <c r="AG783" s="257"/>
    </row>
    <row r="784">
      <c r="A784" s="172"/>
      <c r="AG784" s="257"/>
    </row>
    <row r="785">
      <c r="A785" s="172"/>
      <c r="AG785" s="257"/>
    </row>
    <row r="786">
      <c r="A786" s="172"/>
      <c r="AG786" s="257"/>
    </row>
    <row r="787">
      <c r="A787" s="172"/>
      <c r="AG787" s="257"/>
    </row>
    <row r="788">
      <c r="A788" s="172"/>
      <c r="AG788" s="257"/>
    </row>
    <row r="789">
      <c r="A789" s="172"/>
      <c r="AG789" s="257"/>
    </row>
    <row r="790">
      <c r="A790" s="172"/>
      <c r="AG790" s="257"/>
    </row>
    <row r="791">
      <c r="A791" s="172"/>
      <c r="AG791" s="257"/>
    </row>
    <row r="792">
      <c r="A792" s="172"/>
      <c r="AG792" s="257"/>
    </row>
    <row r="793">
      <c r="A793" s="172"/>
      <c r="AG793" s="257"/>
    </row>
    <row r="794">
      <c r="A794" s="172"/>
      <c r="AG794" s="257"/>
    </row>
    <row r="795">
      <c r="A795" s="172"/>
      <c r="AG795" s="257"/>
    </row>
    <row r="796">
      <c r="A796" s="172"/>
      <c r="AG796" s="257"/>
    </row>
    <row r="797">
      <c r="A797" s="172"/>
      <c r="AG797" s="257"/>
    </row>
    <row r="798">
      <c r="A798" s="172"/>
      <c r="AG798" s="257"/>
    </row>
    <row r="799">
      <c r="A799" s="172"/>
      <c r="AG799" s="257"/>
    </row>
    <row r="800">
      <c r="A800" s="172"/>
      <c r="AG800" s="257"/>
    </row>
    <row r="801">
      <c r="A801" s="172"/>
      <c r="AG801" s="257"/>
    </row>
    <row r="802">
      <c r="A802" s="172"/>
      <c r="AG802" s="257"/>
    </row>
    <row r="803">
      <c r="A803" s="172"/>
      <c r="AG803" s="257"/>
    </row>
    <row r="804">
      <c r="A804" s="172"/>
      <c r="AG804" s="257"/>
    </row>
    <row r="805">
      <c r="A805" s="172"/>
      <c r="AG805" s="257"/>
    </row>
    <row r="806">
      <c r="A806" s="172"/>
      <c r="AG806" s="257"/>
    </row>
    <row r="807">
      <c r="A807" s="172"/>
      <c r="AG807" s="257"/>
    </row>
    <row r="808">
      <c r="A808" s="172"/>
      <c r="AG808" s="257"/>
    </row>
    <row r="809">
      <c r="A809" s="172"/>
      <c r="AG809" s="257"/>
    </row>
    <row r="810">
      <c r="A810" s="172"/>
      <c r="AG810" s="257"/>
    </row>
    <row r="811">
      <c r="A811" s="172"/>
      <c r="AG811" s="257"/>
    </row>
    <row r="812">
      <c r="A812" s="172"/>
      <c r="AG812" s="257"/>
    </row>
    <row r="813">
      <c r="A813" s="172"/>
      <c r="AG813" s="257"/>
    </row>
    <row r="814">
      <c r="A814" s="172"/>
      <c r="AG814" s="257"/>
    </row>
    <row r="815">
      <c r="A815" s="172"/>
      <c r="AG815" s="257"/>
    </row>
    <row r="816">
      <c r="A816" s="172"/>
      <c r="AG816" s="257"/>
    </row>
    <row r="817">
      <c r="A817" s="172"/>
      <c r="AG817" s="257"/>
    </row>
    <row r="818">
      <c r="A818" s="172"/>
      <c r="AG818" s="257"/>
    </row>
    <row r="819">
      <c r="A819" s="172"/>
      <c r="AG819" s="257"/>
    </row>
    <row r="820">
      <c r="A820" s="172"/>
      <c r="AG820" s="257"/>
    </row>
    <row r="821">
      <c r="A821" s="172"/>
      <c r="AG821" s="257"/>
    </row>
    <row r="822">
      <c r="A822" s="172"/>
      <c r="AG822" s="257"/>
    </row>
    <row r="823">
      <c r="A823" s="172"/>
      <c r="AG823" s="257"/>
    </row>
    <row r="824">
      <c r="A824" s="172"/>
      <c r="AG824" s="257"/>
    </row>
    <row r="825">
      <c r="A825" s="172"/>
      <c r="AG825" s="257"/>
    </row>
    <row r="826">
      <c r="A826" s="172"/>
      <c r="AG826" s="257"/>
    </row>
    <row r="827">
      <c r="A827" s="172"/>
      <c r="AG827" s="257"/>
    </row>
    <row r="828">
      <c r="A828" s="172"/>
      <c r="AG828" s="257"/>
    </row>
    <row r="829">
      <c r="A829" s="172"/>
      <c r="AG829" s="257"/>
    </row>
    <row r="830">
      <c r="A830" s="172"/>
      <c r="AG830" s="257"/>
    </row>
    <row r="831">
      <c r="A831" s="172"/>
      <c r="AG831" s="257"/>
    </row>
    <row r="832">
      <c r="A832" s="172"/>
      <c r="AG832" s="257"/>
    </row>
    <row r="833">
      <c r="A833" s="172"/>
      <c r="AG833" s="257"/>
    </row>
    <row r="834">
      <c r="A834" s="172"/>
      <c r="AG834" s="257"/>
    </row>
    <row r="835">
      <c r="A835" s="172"/>
      <c r="AG835" s="257"/>
    </row>
    <row r="836">
      <c r="A836" s="172"/>
      <c r="AG836" s="257"/>
    </row>
    <row r="837">
      <c r="A837" s="172"/>
      <c r="AG837" s="257"/>
    </row>
    <row r="838">
      <c r="A838" s="172"/>
      <c r="AG838" s="257"/>
    </row>
    <row r="839">
      <c r="A839" s="172"/>
      <c r="AG839" s="257"/>
    </row>
    <row r="840">
      <c r="A840" s="172"/>
      <c r="AG840" s="257"/>
    </row>
    <row r="841">
      <c r="A841" s="172"/>
      <c r="AG841" s="257"/>
    </row>
    <row r="842">
      <c r="A842" s="172"/>
      <c r="AG842" s="257"/>
    </row>
    <row r="843">
      <c r="A843" s="172"/>
      <c r="AG843" s="257"/>
    </row>
    <row r="844">
      <c r="A844" s="172"/>
      <c r="AG844" s="257"/>
    </row>
    <row r="845">
      <c r="A845" s="172"/>
      <c r="AG845" s="257"/>
    </row>
    <row r="846">
      <c r="A846" s="172"/>
      <c r="AG846" s="257"/>
    </row>
    <row r="847">
      <c r="A847" s="172"/>
      <c r="AG847" s="257"/>
    </row>
    <row r="848">
      <c r="A848" s="172"/>
      <c r="AG848" s="257"/>
    </row>
    <row r="849">
      <c r="A849" s="172"/>
      <c r="AG849" s="257"/>
    </row>
    <row r="850">
      <c r="A850" s="172"/>
      <c r="AG850" s="257"/>
    </row>
    <row r="851">
      <c r="A851" s="172"/>
      <c r="AG851" s="257"/>
    </row>
    <row r="852">
      <c r="A852" s="172"/>
      <c r="AG852" s="257"/>
    </row>
    <row r="853">
      <c r="A853" s="172"/>
      <c r="AG853" s="257"/>
    </row>
    <row r="854">
      <c r="A854" s="172"/>
      <c r="AG854" s="257"/>
    </row>
    <row r="855">
      <c r="A855" s="172"/>
      <c r="AG855" s="257"/>
    </row>
    <row r="856">
      <c r="A856" s="172"/>
      <c r="AG856" s="257"/>
    </row>
    <row r="857">
      <c r="A857" s="172"/>
      <c r="AG857" s="257"/>
    </row>
    <row r="858">
      <c r="A858" s="172"/>
      <c r="AG858" s="257"/>
    </row>
    <row r="859">
      <c r="A859" s="172"/>
      <c r="AG859" s="257"/>
    </row>
    <row r="860">
      <c r="A860" s="172"/>
      <c r="AG860" s="257"/>
    </row>
    <row r="861">
      <c r="A861" s="172"/>
      <c r="AG861" s="257"/>
    </row>
    <row r="862">
      <c r="A862" s="172"/>
      <c r="AG862" s="257"/>
    </row>
    <row r="863">
      <c r="A863" s="172"/>
      <c r="AG863" s="257"/>
    </row>
    <row r="864">
      <c r="A864" s="172"/>
      <c r="AG864" s="257"/>
    </row>
    <row r="865">
      <c r="A865" s="172"/>
      <c r="AG865" s="257"/>
    </row>
    <row r="866">
      <c r="A866" s="172"/>
      <c r="AG866" s="257"/>
    </row>
    <row r="867">
      <c r="A867" s="172"/>
      <c r="AG867" s="257"/>
    </row>
    <row r="868">
      <c r="A868" s="172"/>
      <c r="AG868" s="257"/>
    </row>
    <row r="869">
      <c r="A869" s="172"/>
      <c r="AG869" s="257"/>
    </row>
    <row r="870">
      <c r="A870" s="172"/>
      <c r="AG870" s="257"/>
    </row>
    <row r="871">
      <c r="A871" s="172"/>
      <c r="AG871" s="257"/>
    </row>
    <row r="872">
      <c r="A872" s="172"/>
      <c r="AG872" s="257"/>
    </row>
    <row r="873">
      <c r="A873" s="172"/>
      <c r="AG873" s="257"/>
    </row>
    <row r="874">
      <c r="A874" s="172"/>
      <c r="AG874" s="257"/>
    </row>
    <row r="875">
      <c r="A875" s="172"/>
      <c r="AG875" s="257"/>
    </row>
    <row r="876">
      <c r="A876" s="172"/>
      <c r="AG876" s="257"/>
    </row>
    <row r="877">
      <c r="A877" s="172"/>
      <c r="AG877" s="257"/>
    </row>
    <row r="878">
      <c r="A878" s="172"/>
      <c r="AG878" s="257"/>
    </row>
    <row r="879">
      <c r="A879" s="172"/>
      <c r="AG879" s="257"/>
    </row>
    <row r="880">
      <c r="A880" s="172"/>
      <c r="AG880" s="257"/>
    </row>
    <row r="881">
      <c r="A881" s="172"/>
      <c r="AG881" s="257"/>
    </row>
    <row r="882">
      <c r="A882" s="172"/>
      <c r="AG882" s="257"/>
    </row>
    <row r="883">
      <c r="A883" s="172"/>
      <c r="AG883" s="257"/>
    </row>
    <row r="884">
      <c r="A884" s="172"/>
      <c r="AG884" s="257"/>
    </row>
    <row r="885">
      <c r="A885" s="172"/>
      <c r="AG885" s="257"/>
    </row>
    <row r="886">
      <c r="A886" s="172"/>
      <c r="AG886" s="257"/>
    </row>
    <row r="887">
      <c r="A887" s="172"/>
      <c r="AG887" s="257"/>
    </row>
    <row r="888">
      <c r="A888" s="172"/>
      <c r="AG888" s="257"/>
    </row>
    <row r="889">
      <c r="A889" s="172"/>
      <c r="AG889" s="257"/>
    </row>
    <row r="890">
      <c r="A890" s="172"/>
      <c r="AG890" s="257"/>
    </row>
    <row r="891">
      <c r="A891" s="172"/>
      <c r="AG891" s="257"/>
    </row>
    <row r="892">
      <c r="A892" s="172"/>
      <c r="AG892" s="257"/>
    </row>
    <row r="893">
      <c r="A893" s="172"/>
      <c r="AG893" s="257"/>
    </row>
    <row r="894">
      <c r="A894" s="172"/>
      <c r="AG894" s="257"/>
    </row>
    <row r="895">
      <c r="A895" s="172"/>
      <c r="AG895" s="257"/>
    </row>
    <row r="896">
      <c r="A896" s="172"/>
      <c r="AG896" s="257"/>
    </row>
    <row r="897">
      <c r="A897" s="172"/>
      <c r="AG897" s="257"/>
    </row>
    <row r="898">
      <c r="A898" s="172"/>
      <c r="AG898" s="257"/>
    </row>
    <row r="899">
      <c r="A899" s="172"/>
      <c r="AG899" s="257"/>
    </row>
    <row r="900">
      <c r="A900" s="172"/>
      <c r="AG900" s="257"/>
    </row>
    <row r="901">
      <c r="A901" s="172"/>
      <c r="AG901" s="257"/>
    </row>
    <row r="902">
      <c r="A902" s="172"/>
      <c r="AG902" s="257"/>
    </row>
    <row r="903">
      <c r="A903" s="172"/>
      <c r="AG903" s="257"/>
    </row>
    <row r="904">
      <c r="A904" s="172"/>
      <c r="AG904" s="257"/>
    </row>
    <row r="905">
      <c r="A905" s="172"/>
      <c r="AG905" s="257"/>
    </row>
    <row r="906">
      <c r="A906" s="172"/>
      <c r="AG906" s="257"/>
    </row>
    <row r="907">
      <c r="A907" s="172"/>
      <c r="AG907" s="257"/>
    </row>
    <row r="908">
      <c r="A908" s="172"/>
      <c r="AG908" s="257"/>
    </row>
    <row r="909">
      <c r="A909" s="172"/>
      <c r="AG909" s="257"/>
    </row>
    <row r="910">
      <c r="A910" s="172"/>
      <c r="AG910" s="257"/>
    </row>
    <row r="911">
      <c r="A911" s="172"/>
      <c r="AG911" s="257"/>
    </row>
    <row r="912">
      <c r="A912" s="172"/>
      <c r="AG912" s="257"/>
    </row>
    <row r="913">
      <c r="A913" s="172"/>
      <c r="AG913" s="257"/>
    </row>
    <row r="914">
      <c r="A914" s="172"/>
      <c r="AG914" s="257"/>
    </row>
    <row r="915">
      <c r="A915" s="172"/>
      <c r="AG915" s="257"/>
    </row>
    <row r="916">
      <c r="A916" s="172"/>
      <c r="AG916" s="257"/>
    </row>
    <row r="917">
      <c r="A917" s="172"/>
      <c r="AG917" s="257"/>
    </row>
    <row r="918">
      <c r="A918" s="172"/>
      <c r="AG918" s="257"/>
    </row>
    <row r="919">
      <c r="A919" s="172"/>
      <c r="AG919" s="257"/>
    </row>
    <row r="920">
      <c r="A920" s="172"/>
      <c r="AG920" s="257"/>
    </row>
    <row r="921">
      <c r="A921" s="172"/>
      <c r="AG921" s="257"/>
    </row>
    <row r="922">
      <c r="A922" s="172"/>
      <c r="AG922" s="257"/>
    </row>
    <row r="923">
      <c r="A923" s="172"/>
      <c r="AG923" s="257"/>
    </row>
    <row r="924">
      <c r="A924" s="172"/>
      <c r="AG924" s="257"/>
    </row>
    <row r="925">
      <c r="A925" s="172"/>
      <c r="AG925" s="257"/>
    </row>
    <row r="926">
      <c r="A926" s="172"/>
      <c r="AG926" s="257"/>
    </row>
    <row r="927">
      <c r="A927" s="172"/>
      <c r="AG927" s="257"/>
    </row>
    <row r="928">
      <c r="A928" s="172"/>
      <c r="AG928" s="257"/>
    </row>
    <row r="929">
      <c r="A929" s="172"/>
      <c r="AG929" s="257"/>
    </row>
    <row r="930">
      <c r="A930" s="172"/>
      <c r="AG930" s="257"/>
    </row>
    <row r="931">
      <c r="A931" s="172"/>
      <c r="AG931" s="257"/>
    </row>
    <row r="932">
      <c r="A932" s="172"/>
      <c r="AG932" s="257"/>
    </row>
    <row r="933">
      <c r="A933" s="172"/>
      <c r="AG933" s="257"/>
    </row>
    <row r="934">
      <c r="A934" s="172"/>
      <c r="AG934" s="257"/>
    </row>
    <row r="935">
      <c r="A935" s="172"/>
      <c r="AG935" s="257"/>
    </row>
    <row r="936">
      <c r="A936" s="172"/>
      <c r="AG936" s="257"/>
    </row>
    <row r="937">
      <c r="A937" s="172"/>
      <c r="AG937" s="257"/>
    </row>
    <row r="938">
      <c r="A938" s="172"/>
      <c r="AG938" s="257"/>
    </row>
    <row r="939">
      <c r="A939" s="172"/>
      <c r="AG939" s="257"/>
    </row>
    <row r="940">
      <c r="A940" s="172"/>
      <c r="AG940" s="257"/>
    </row>
    <row r="941">
      <c r="A941" s="172"/>
      <c r="AG941" s="257"/>
    </row>
    <row r="942">
      <c r="A942" s="172"/>
      <c r="AG942" s="257"/>
    </row>
    <row r="943">
      <c r="A943" s="172"/>
      <c r="AG943" s="257"/>
    </row>
    <row r="944">
      <c r="A944" s="172"/>
      <c r="AG944" s="257"/>
    </row>
    <row r="945">
      <c r="A945" s="172"/>
      <c r="AG945" s="257"/>
    </row>
    <row r="946">
      <c r="A946" s="172"/>
      <c r="AG946" s="257"/>
    </row>
    <row r="947">
      <c r="A947" s="172"/>
      <c r="AG947" s="257"/>
    </row>
    <row r="948">
      <c r="A948" s="172"/>
      <c r="AG948" s="257"/>
    </row>
    <row r="949">
      <c r="A949" s="172"/>
      <c r="AG949" s="257"/>
    </row>
    <row r="950">
      <c r="A950" s="172"/>
      <c r="AG950" s="257"/>
    </row>
    <row r="951">
      <c r="A951" s="172"/>
      <c r="AG951" s="257"/>
    </row>
    <row r="952">
      <c r="A952" s="172"/>
      <c r="AG952" s="257"/>
    </row>
    <row r="953">
      <c r="A953" s="172"/>
      <c r="AG953" s="257"/>
    </row>
    <row r="954">
      <c r="A954" s="172"/>
      <c r="AG954" s="257"/>
    </row>
    <row r="955">
      <c r="A955" s="172"/>
      <c r="AG955" s="257"/>
    </row>
    <row r="956">
      <c r="A956" s="172"/>
      <c r="AG956" s="257"/>
    </row>
    <row r="957">
      <c r="A957" s="172"/>
      <c r="AG957" s="257"/>
    </row>
    <row r="958">
      <c r="A958" s="172"/>
      <c r="AG958" s="257"/>
    </row>
    <row r="959">
      <c r="A959" s="172"/>
      <c r="AG959" s="257"/>
    </row>
    <row r="960">
      <c r="A960" s="172"/>
      <c r="AG960" s="257"/>
    </row>
    <row r="961">
      <c r="A961" s="172"/>
      <c r="AG961" s="257"/>
    </row>
    <row r="962">
      <c r="A962" s="172"/>
      <c r="AG962" s="257"/>
    </row>
    <row r="963">
      <c r="A963" s="172"/>
      <c r="AG963" s="257"/>
    </row>
    <row r="964">
      <c r="A964" s="172"/>
      <c r="AG964" s="257"/>
    </row>
    <row r="965">
      <c r="A965" s="172"/>
      <c r="AG965" s="257"/>
    </row>
    <row r="966">
      <c r="A966" s="172"/>
      <c r="AG966" s="257"/>
    </row>
    <row r="967">
      <c r="A967" s="172"/>
      <c r="AG967" s="257"/>
    </row>
    <row r="968">
      <c r="A968" s="172"/>
      <c r="AG968" s="257"/>
    </row>
    <row r="969">
      <c r="A969" s="172"/>
      <c r="AG969" s="257"/>
    </row>
    <row r="970">
      <c r="A970" s="172"/>
      <c r="AG970" s="257"/>
    </row>
    <row r="971">
      <c r="A971" s="172"/>
      <c r="AG971" s="257"/>
    </row>
    <row r="972">
      <c r="A972" s="172"/>
      <c r="AG972" s="257"/>
    </row>
    <row r="973">
      <c r="A973" s="172"/>
      <c r="AG973" s="257"/>
    </row>
    <row r="974">
      <c r="A974" s="172"/>
      <c r="AG974" s="257"/>
    </row>
    <row r="975">
      <c r="A975" s="172"/>
      <c r="AG975" s="257"/>
    </row>
    <row r="976">
      <c r="A976" s="172"/>
      <c r="AG976" s="257"/>
    </row>
    <row r="977">
      <c r="A977" s="172"/>
      <c r="AG977" s="257"/>
    </row>
    <row r="978">
      <c r="A978" s="172"/>
      <c r="AG978" s="257"/>
    </row>
    <row r="979">
      <c r="A979" s="172"/>
      <c r="AG979" s="257"/>
    </row>
    <row r="980">
      <c r="A980" s="172"/>
      <c r="AG980" s="257"/>
    </row>
    <row r="981">
      <c r="A981" s="172"/>
      <c r="AG981" s="257"/>
    </row>
    <row r="982">
      <c r="A982" s="172"/>
      <c r="AG982" s="257"/>
    </row>
    <row r="983">
      <c r="A983" s="172"/>
      <c r="AG983" s="257"/>
    </row>
    <row r="984">
      <c r="A984" s="172"/>
      <c r="AG984" s="257"/>
    </row>
    <row r="985">
      <c r="A985" s="172"/>
      <c r="AG985" s="257"/>
    </row>
    <row r="986">
      <c r="A986" s="172"/>
      <c r="AG986" s="257"/>
    </row>
    <row r="987">
      <c r="A987" s="172"/>
      <c r="AG987" s="257"/>
    </row>
    <row r="988">
      <c r="A988" s="172"/>
      <c r="AG988" s="257"/>
    </row>
    <row r="989">
      <c r="A989" s="172"/>
      <c r="AG989" s="257"/>
    </row>
    <row r="990">
      <c r="A990" s="172"/>
      <c r="AG990" s="257"/>
    </row>
    <row r="991">
      <c r="A991" s="172"/>
      <c r="AG991" s="257"/>
    </row>
    <row r="992">
      <c r="A992" s="172"/>
      <c r="AG992" s="257"/>
    </row>
    <row r="993">
      <c r="A993" s="172"/>
      <c r="AG993" s="257"/>
    </row>
    <row r="994">
      <c r="A994" s="172"/>
      <c r="AG994" s="257"/>
    </row>
    <row r="995">
      <c r="A995" s="172"/>
      <c r="AG995" s="257"/>
    </row>
    <row r="996">
      <c r="A996" s="172"/>
      <c r="AG996" s="257"/>
    </row>
    <row r="997">
      <c r="A997" s="172"/>
      <c r="AG997" s="257"/>
    </row>
    <row r="998">
      <c r="A998" s="172"/>
      <c r="AG998" s="257"/>
    </row>
    <row r="999">
      <c r="A999" s="172"/>
      <c r="AG999" s="257"/>
    </row>
    <row r="1000">
      <c r="A1000" s="172"/>
      <c r="AG1000" s="257"/>
    </row>
    <row r="1001">
      <c r="A1001" s="172"/>
      <c r="AG1001" s="257"/>
    </row>
    <row r="1002">
      <c r="A1002" s="172"/>
      <c r="AG1002" s="257"/>
    </row>
    <row r="1003">
      <c r="A1003" s="172"/>
      <c r="AG1003" s="257"/>
    </row>
    <row r="1004">
      <c r="A1004" s="172"/>
      <c r="AG1004" s="257"/>
    </row>
    <row r="1005">
      <c r="A1005" s="172"/>
      <c r="AG1005" s="257"/>
    </row>
    <row r="1006">
      <c r="A1006" s="172"/>
      <c r="AG1006" s="257"/>
    </row>
    <row r="1007">
      <c r="A1007" s="172"/>
      <c r="AG1007" s="257"/>
    </row>
    <row r="1008">
      <c r="A1008" s="172"/>
      <c r="AG1008" s="257"/>
    </row>
    <row r="1009">
      <c r="A1009" s="172"/>
      <c r="AG1009" s="257"/>
    </row>
    <row r="1010">
      <c r="A1010" s="172"/>
      <c r="AG1010" s="257"/>
    </row>
    <row r="1011">
      <c r="A1011" s="172"/>
      <c r="AG1011" s="257"/>
    </row>
    <row r="1012">
      <c r="A1012" s="172"/>
      <c r="AG1012" s="257"/>
    </row>
    <row r="1013">
      <c r="A1013" s="172"/>
      <c r="AG1013" s="257"/>
    </row>
    <row r="1014">
      <c r="A1014" s="172"/>
      <c r="AG1014" s="257"/>
    </row>
    <row r="1015">
      <c r="A1015" s="172"/>
      <c r="AG1015" s="257"/>
    </row>
    <row r="1016">
      <c r="A1016" s="172"/>
      <c r="AG1016" s="257"/>
    </row>
    <row r="1017">
      <c r="A1017" s="172"/>
      <c r="AG1017" s="257"/>
    </row>
    <row r="1018">
      <c r="A1018" s="172"/>
      <c r="AG1018" s="257"/>
    </row>
    <row r="1019">
      <c r="A1019" s="172"/>
      <c r="AG1019" s="257"/>
    </row>
    <row r="1020">
      <c r="A1020" s="172"/>
      <c r="AG1020" s="257"/>
    </row>
    <row r="1021">
      <c r="A1021" s="172"/>
      <c r="AG1021" s="257"/>
    </row>
    <row r="1022">
      <c r="A1022" s="172"/>
      <c r="AG1022" s="257"/>
    </row>
    <row r="1023">
      <c r="A1023" s="172"/>
      <c r="AG1023" s="257"/>
    </row>
    <row r="1024">
      <c r="A1024" s="172"/>
      <c r="AG1024" s="257"/>
    </row>
    <row r="1025">
      <c r="A1025" s="172"/>
      <c r="AG1025" s="257"/>
    </row>
    <row r="1026">
      <c r="A1026" s="172"/>
      <c r="AG1026" s="257"/>
    </row>
    <row r="1027">
      <c r="A1027" s="172"/>
      <c r="AG1027" s="257"/>
    </row>
    <row r="1028">
      <c r="A1028" s="172"/>
      <c r="AG1028" s="257"/>
    </row>
    <row r="1029">
      <c r="A1029" s="172"/>
      <c r="AG1029" s="257"/>
    </row>
    <row r="1030">
      <c r="A1030" s="172"/>
      <c r="AG1030" s="257"/>
    </row>
    <row r="1031">
      <c r="A1031" s="172"/>
      <c r="AG1031" s="257"/>
    </row>
    <row r="1032">
      <c r="A1032" s="172"/>
      <c r="AG1032" s="257"/>
    </row>
    <row r="1033">
      <c r="A1033" s="172"/>
      <c r="AG1033" s="257"/>
    </row>
    <row r="1034">
      <c r="A1034" s="172"/>
      <c r="AG1034" s="257"/>
    </row>
    <row r="1035">
      <c r="A1035" s="172"/>
      <c r="AG1035" s="257"/>
    </row>
    <row r="1036">
      <c r="A1036" s="172"/>
      <c r="AG1036" s="257"/>
    </row>
    <row r="1037">
      <c r="A1037" s="172"/>
      <c r="AG1037" s="257"/>
    </row>
    <row r="1038">
      <c r="A1038" s="172"/>
      <c r="AG1038" s="257"/>
    </row>
    <row r="1039">
      <c r="A1039" s="172"/>
      <c r="AG1039" s="257"/>
    </row>
    <row r="1040">
      <c r="A1040" s="172"/>
      <c r="AG1040" s="257"/>
    </row>
    <row r="1041">
      <c r="A1041" s="172"/>
      <c r="AG1041" s="257"/>
    </row>
    <row r="1042">
      <c r="A1042" s="172"/>
      <c r="AG1042" s="257"/>
    </row>
    <row r="1043">
      <c r="A1043" s="172"/>
      <c r="AG1043" s="257"/>
    </row>
    <row r="1044">
      <c r="A1044" s="172"/>
      <c r="AG1044" s="257"/>
    </row>
    <row r="1045">
      <c r="A1045" s="172"/>
      <c r="AG1045" s="257"/>
    </row>
    <row r="1046">
      <c r="A1046" s="172"/>
      <c r="AG1046" s="257"/>
    </row>
    <row r="1047">
      <c r="A1047" s="172"/>
      <c r="AG1047" s="257"/>
    </row>
    <row r="1048">
      <c r="A1048" s="172"/>
      <c r="AG1048" s="257"/>
    </row>
    <row r="1049">
      <c r="A1049" s="172"/>
      <c r="AG1049" s="257"/>
    </row>
    <row r="1050">
      <c r="A1050" s="172"/>
      <c r="AG1050" s="257"/>
    </row>
    <row r="1051">
      <c r="A1051" s="172"/>
      <c r="AG1051" s="257"/>
    </row>
    <row r="1052">
      <c r="A1052" s="172"/>
      <c r="AG1052" s="257"/>
    </row>
    <row r="1053">
      <c r="A1053" s="172"/>
      <c r="AG1053" s="257"/>
    </row>
    <row r="1054">
      <c r="A1054" s="172"/>
      <c r="AG1054" s="257"/>
    </row>
    <row r="1055">
      <c r="A1055" s="172"/>
      <c r="AG1055" s="257"/>
    </row>
    <row r="1056">
      <c r="A1056" s="172"/>
      <c r="AG1056" s="257"/>
    </row>
    <row r="1057">
      <c r="A1057" s="172"/>
      <c r="AG1057" s="257"/>
    </row>
    <row r="1058">
      <c r="A1058" s="172"/>
      <c r="AG1058" s="257"/>
    </row>
    <row r="1059">
      <c r="A1059" s="172"/>
      <c r="AG1059" s="257"/>
    </row>
    <row r="1060">
      <c r="A1060" s="172"/>
      <c r="AG1060" s="257"/>
    </row>
    <row r="1061">
      <c r="A1061" s="172"/>
      <c r="AG1061" s="257"/>
    </row>
    <row r="1062">
      <c r="A1062" s="172"/>
      <c r="AG1062" s="257"/>
    </row>
    <row r="1063">
      <c r="A1063" s="172"/>
      <c r="AG1063" s="257"/>
    </row>
    <row r="1064">
      <c r="A1064" s="172"/>
      <c r="AG1064" s="257"/>
    </row>
    <row r="1065">
      <c r="A1065" s="172"/>
      <c r="AG1065" s="257"/>
    </row>
    <row r="1066">
      <c r="A1066" s="172"/>
      <c r="AG1066" s="257"/>
    </row>
    <row r="1067">
      <c r="A1067" s="172"/>
      <c r="AG1067" s="257"/>
    </row>
    <row r="1068">
      <c r="A1068" s="172"/>
      <c r="AG1068" s="257"/>
    </row>
    <row r="1069">
      <c r="A1069" s="172"/>
      <c r="AG1069" s="257"/>
    </row>
    <row r="1070">
      <c r="A1070" s="172"/>
      <c r="AG1070" s="257"/>
    </row>
    <row r="1071">
      <c r="A1071" s="172"/>
      <c r="AG1071" s="257"/>
    </row>
    <row r="1072">
      <c r="A1072" s="172"/>
      <c r="AG1072" s="257"/>
    </row>
    <row r="1073">
      <c r="A1073" s="172"/>
      <c r="AG1073" s="257"/>
    </row>
    <row r="1074">
      <c r="A1074" s="172"/>
      <c r="AG1074" s="257"/>
    </row>
    <row r="1075">
      <c r="A1075" s="172"/>
      <c r="AG1075" s="257"/>
    </row>
    <row r="1076">
      <c r="A1076" s="172"/>
      <c r="AG1076" s="257"/>
    </row>
    <row r="1077">
      <c r="A1077" s="172"/>
      <c r="AG1077" s="257"/>
    </row>
    <row r="1078">
      <c r="A1078" s="172"/>
      <c r="AG1078" s="257"/>
    </row>
    <row r="1079">
      <c r="A1079" s="172"/>
      <c r="AG1079" s="257"/>
    </row>
    <row r="1080">
      <c r="A1080" s="172"/>
      <c r="AG1080" s="257"/>
    </row>
    <row r="1081">
      <c r="A1081" s="172"/>
      <c r="AG1081" s="257"/>
    </row>
    <row r="1082">
      <c r="A1082" s="172"/>
      <c r="AG1082" s="257"/>
    </row>
    <row r="1083">
      <c r="A1083" s="172"/>
      <c r="AG1083" s="257"/>
    </row>
    <row r="1084">
      <c r="A1084" s="172"/>
      <c r="AG1084" s="257"/>
    </row>
    <row r="1085">
      <c r="A1085" s="172"/>
      <c r="AG1085" s="257"/>
    </row>
    <row r="1086">
      <c r="A1086" s="172"/>
      <c r="AG1086" s="257"/>
    </row>
    <row r="1087">
      <c r="A1087" s="172"/>
      <c r="AG1087" s="257"/>
    </row>
    <row r="1088">
      <c r="A1088" s="172"/>
      <c r="AG1088" s="257"/>
    </row>
    <row r="1089">
      <c r="A1089" s="172"/>
      <c r="AG1089" s="257"/>
    </row>
    <row r="1090">
      <c r="A1090" s="172"/>
      <c r="AG1090" s="257"/>
    </row>
    <row r="1091">
      <c r="A1091" s="172"/>
      <c r="AG1091" s="257"/>
    </row>
    <row r="1092">
      <c r="A1092" s="172"/>
      <c r="AG1092" s="257"/>
    </row>
    <row r="1093">
      <c r="A1093" s="172"/>
      <c r="AG1093" s="257"/>
    </row>
    <row r="1094">
      <c r="A1094" s="172"/>
      <c r="AG1094" s="257"/>
    </row>
    <row r="1095">
      <c r="A1095" s="172"/>
      <c r="AG1095" s="257"/>
    </row>
    <row r="1096">
      <c r="A1096" s="172"/>
      <c r="AG1096" s="257"/>
    </row>
    <row r="1097">
      <c r="A1097" s="172"/>
      <c r="AG1097" s="257"/>
    </row>
    <row r="1098">
      <c r="A1098" s="172"/>
      <c r="AG1098" s="257"/>
    </row>
    <row r="1099">
      <c r="A1099" s="172"/>
      <c r="AG1099" s="257"/>
    </row>
    <row r="1100">
      <c r="A1100" s="172"/>
      <c r="AG1100" s="257"/>
    </row>
    <row r="1101">
      <c r="A1101" s="172"/>
      <c r="AG1101" s="257"/>
    </row>
    <row r="1102">
      <c r="A1102" s="172"/>
      <c r="AG1102" s="257"/>
    </row>
    <row r="1103">
      <c r="A1103" s="172"/>
      <c r="AG1103" s="257"/>
    </row>
    <row r="1104">
      <c r="A1104" s="172"/>
      <c r="AG1104" s="257"/>
    </row>
    <row r="1105">
      <c r="A1105" s="172"/>
      <c r="AG1105" s="257"/>
    </row>
    <row r="1106">
      <c r="A1106" s="172"/>
      <c r="AG1106" s="257"/>
    </row>
    <row r="1107">
      <c r="A1107" s="172"/>
      <c r="AG1107" s="257"/>
    </row>
    <row r="1108">
      <c r="A1108" s="172"/>
      <c r="AG1108" s="257"/>
    </row>
    <row r="1109">
      <c r="A1109" s="172"/>
      <c r="AG1109" s="257"/>
    </row>
    <row r="1110">
      <c r="A1110" s="172"/>
      <c r="AG1110" s="257"/>
    </row>
    <row r="1111">
      <c r="A1111" s="172"/>
      <c r="AG1111" s="257"/>
    </row>
    <row r="1112">
      <c r="A1112" s="172"/>
      <c r="AG1112" s="257"/>
    </row>
    <row r="1113">
      <c r="A1113" s="172"/>
      <c r="AG1113" s="257"/>
    </row>
    <row r="1114">
      <c r="A1114" s="172"/>
      <c r="AG1114" s="257"/>
    </row>
    <row r="1115">
      <c r="A1115" s="172"/>
      <c r="AG1115" s="257"/>
    </row>
    <row r="1116">
      <c r="A1116" s="172"/>
      <c r="AG1116" s="257"/>
    </row>
    <row r="1117">
      <c r="A1117" s="172"/>
      <c r="AG1117" s="257"/>
    </row>
    <row r="1118">
      <c r="A1118" s="172"/>
      <c r="AG1118" s="257"/>
    </row>
    <row r="1119">
      <c r="A1119" s="172"/>
      <c r="AG1119" s="257"/>
    </row>
    <row r="1120">
      <c r="A1120" s="172"/>
      <c r="AG1120" s="257"/>
    </row>
    <row r="1121">
      <c r="A1121" s="172"/>
      <c r="AG1121" s="257"/>
    </row>
    <row r="1122">
      <c r="A1122" s="172"/>
      <c r="AG1122" s="257"/>
    </row>
    <row r="1123">
      <c r="A1123" s="172"/>
      <c r="AG1123" s="257"/>
    </row>
    <row r="1124">
      <c r="A1124" s="172"/>
      <c r="AG1124" s="257"/>
    </row>
    <row r="1125">
      <c r="A1125" s="172"/>
      <c r="AG1125" s="257"/>
    </row>
  </sheetData>
  <conditionalFormatting sqref="B435:AF435">
    <cfRule type="colorScale" priority="1">
      <colorScale>
        <cfvo type="min"/>
        <cfvo type="max"/>
        <color rgb="FFFFFFFF"/>
        <color rgb="FFE67C73"/>
      </colorScale>
    </cfRule>
  </conditionalFormatting>
  <conditionalFormatting sqref="B471:AF471 B567:AF567">
    <cfRule type="colorScale" priority="2">
      <colorScale>
        <cfvo type="min"/>
        <cfvo type="max"/>
        <color rgb="FFFFFFFF"/>
        <color rgb="FF57BB8A"/>
      </colorScale>
    </cfRule>
  </conditionalFormatting>
  <conditionalFormatting sqref="B565:AF565">
    <cfRule type="cellIs" dxfId="0" priority="3" operator="greaterThan">
      <formula>0</formula>
    </cfRule>
  </conditionalFormatting>
  <conditionalFormatting sqref="B565:AF565">
    <cfRule type="cellIs" dxfId="1" priority="4" operator="lessThan">
      <formula>0</formula>
    </cfRule>
  </conditionalFormatting>
  <conditionalFormatting sqref="B563:AF563">
    <cfRule type="cellIs" dxfId="0" priority="5" operator="greaterThan">
      <formula>0</formula>
    </cfRule>
  </conditionalFormatting>
  <conditionalFormatting sqref="B563:AF563">
    <cfRule type="cellIs" dxfId="1" priority="6" operator="lessThan">
      <formula>0</formula>
    </cfRule>
  </conditionalFormatting>
  <conditionalFormatting sqref="B467:AF467">
    <cfRule type="cellIs" dxfId="0" priority="7" operator="greaterThan">
      <formula>0</formula>
    </cfRule>
  </conditionalFormatting>
  <conditionalFormatting sqref="B467:AF467">
    <cfRule type="cellIs" dxfId="1" priority="8" operator="lessThan">
      <formula>0</formula>
    </cfRule>
  </conditionalFormatting>
  <conditionalFormatting sqref="B469:AF469">
    <cfRule type="cellIs" dxfId="0" priority="9" operator="greaterThan">
      <formula>0</formula>
    </cfRule>
  </conditionalFormatting>
  <conditionalFormatting sqref="B469:AF469">
    <cfRule type="cellIs" dxfId="1" priority="10" operator="lessThan">
      <formula>0</formula>
    </cfRule>
  </conditionalFormatting>
  <conditionalFormatting sqref="B555:AF555">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79" t="s">
        <v>104</v>
      </c>
      <c r="B1" s="80">
        <v>45352.0</v>
      </c>
      <c r="C1" s="80">
        <v>45353.0</v>
      </c>
      <c r="D1" s="80">
        <v>45354.0</v>
      </c>
      <c r="E1" s="80">
        <v>45355.0</v>
      </c>
      <c r="F1" s="80">
        <v>45356.0</v>
      </c>
      <c r="G1" s="80">
        <v>45357.0</v>
      </c>
      <c r="H1" s="80">
        <v>45358.0</v>
      </c>
      <c r="I1" s="80">
        <v>45359.0</v>
      </c>
      <c r="J1" s="80">
        <v>45360.0</v>
      </c>
      <c r="K1" s="80">
        <v>45361.0</v>
      </c>
      <c r="L1" s="80">
        <v>45362.0</v>
      </c>
      <c r="M1" s="80">
        <v>45363.0</v>
      </c>
      <c r="N1" s="80">
        <v>45364.0</v>
      </c>
      <c r="O1" s="80">
        <v>45365.0</v>
      </c>
      <c r="P1" s="80">
        <v>45366.0</v>
      </c>
      <c r="Q1" s="80">
        <v>45367.0</v>
      </c>
      <c r="R1" s="80">
        <v>45368.0</v>
      </c>
      <c r="S1" s="80">
        <v>45369.0</v>
      </c>
      <c r="T1" s="80">
        <v>45370.0</v>
      </c>
      <c r="U1" s="80">
        <v>45371.0</v>
      </c>
      <c r="V1" s="80">
        <v>45372.0</v>
      </c>
      <c r="W1" s="80">
        <v>45373.0</v>
      </c>
      <c r="X1" s="80">
        <v>45374.0</v>
      </c>
      <c r="Y1" s="80">
        <v>45375.0</v>
      </c>
      <c r="Z1" s="80">
        <v>45376.0</v>
      </c>
      <c r="AA1" s="80">
        <v>45377.0</v>
      </c>
      <c r="AB1" s="80">
        <v>45378.0</v>
      </c>
      <c r="AC1" s="80">
        <v>45379.0</v>
      </c>
      <c r="AD1" s="80">
        <v>45380.0</v>
      </c>
      <c r="AE1" s="80">
        <v>45381.0</v>
      </c>
      <c r="AF1" s="80">
        <v>45382.0</v>
      </c>
      <c r="AG1" s="81"/>
    </row>
    <row r="2">
      <c r="A2" s="82" t="s">
        <v>105</v>
      </c>
      <c r="B2" s="83" t="s">
        <v>0</v>
      </c>
      <c r="C2" s="83" t="s">
        <v>1</v>
      </c>
      <c r="D2" s="83" t="s">
        <v>2</v>
      </c>
      <c r="E2" s="83" t="s">
        <v>3</v>
      </c>
      <c r="F2" s="83" t="s">
        <v>4</v>
      </c>
      <c r="G2" s="83" t="s">
        <v>5</v>
      </c>
      <c r="H2" s="83" t="s">
        <v>6</v>
      </c>
      <c r="I2" s="83" t="s">
        <v>0</v>
      </c>
      <c r="J2" s="83" t="s">
        <v>1</v>
      </c>
      <c r="K2" s="83" t="s">
        <v>2</v>
      </c>
      <c r="L2" s="83" t="s">
        <v>3</v>
      </c>
      <c r="M2" s="83" t="s">
        <v>4</v>
      </c>
      <c r="N2" s="83" t="s">
        <v>5</v>
      </c>
      <c r="O2" s="83" t="s">
        <v>6</v>
      </c>
      <c r="P2" s="83" t="s">
        <v>0</v>
      </c>
      <c r="Q2" s="83" t="s">
        <v>1</v>
      </c>
      <c r="R2" s="83" t="s">
        <v>2</v>
      </c>
      <c r="S2" s="83" t="s">
        <v>3</v>
      </c>
      <c r="T2" s="83" t="s">
        <v>4</v>
      </c>
      <c r="U2" s="83" t="s">
        <v>5</v>
      </c>
      <c r="V2" s="83" t="s">
        <v>6</v>
      </c>
      <c r="W2" s="83" t="s">
        <v>0</v>
      </c>
      <c r="X2" s="83" t="s">
        <v>1</v>
      </c>
      <c r="Y2" s="83" t="s">
        <v>2</v>
      </c>
      <c r="Z2" s="83" t="s">
        <v>3</v>
      </c>
      <c r="AA2" s="83" t="s">
        <v>4</v>
      </c>
      <c r="AB2" s="83" t="s">
        <v>5</v>
      </c>
      <c r="AC2" s="83" t="s">
        <v>6</v>
      </c>
      <c r="AD2" s="83" t="s">
        <v>0</v>
      </c>
      <c r="AE2" s="83" t="s">
        <v>1</v>
      </c>
      <c r="AF2" s="83" t="s">
        <v>2</v>
      </c>
      <c r="AG2" s="81"/>
    </row>
    <row r="3">
      <c r="A3" s="84" t="s">
        <v>106</v>
      </c>
      <c r="B3" s="85"/>
      <c r="C3" s="85"/>
      <c r="D3" s="85"/>
      <c r="E3" s="85"/>
      <c r="F3" s="85"/>
      <c r="G3" s="85"/>
      <c r="H3" s="85"/>
      <c r="I3" s="85"/>
      <c r="J3" s="85"/>
      <c r="K3" s="85"/>
      <c r="L3" s="85"/>
      <c r="M3" s="85"/>
      <c r="N3" s="85"/>
      <c r="O3" s="85"/>
      <c r="P3" s="85"/>
      <c r="Q3" s="85"/>
      <c r="R3" s="85"/>
      <c r="S3" s="85"/>
      <c r="T3" s="85"/>
      <c r="U3" s="85"/>
      <c r="V3" s="85"/>
      <c r="W3" s="85"/>
      <c r="X3" s="85"/>
      <c r="Y3" s="85"/>
      <c r="Z3" s="85"/>
      <c r="AA3" s="85"/>
      <c r="AB3" s="86"/>
      <c r="AC3" s="85"/>
      <c r="AD3" s="85"/>
      <c r="AE3" s="85"/>
      <c r="AF3" s="85"/>
      <c r="AG3" s="81"/>
    </row>
    <row r="4">
      <c r="A4" s="87" t="s">
        <v>97</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1"/>
    </row>
    <row r="5">
      <c r="A5" s="117" t="s">
        <v>477</v>
      </c>
      <c r="B5" s="290">
        <f>Summary!B58</f>
        <v>153</v>
      </c>
      <c r="C5" s="290">
        <f>Summary!C58</f>
        <v>171</v>
      </c>
      <c r="D5" s="290">
        <f>Summary!D58</f>
        <v>147</v>
      </c>
      <c r="E5" s="291">
        <f>Summary!E58</f>
        <v>97</v>
      </c>
      <c r="F5" s="291">
        <f>Summary!F58</f>
        <v>60</v>
      </c>
      <c r="G5" s="291">
        <f>Summary!G58</f>
        <v>114</v>
      </c>
      <c r="H5" s="291">
        <f>Summary!H58</f>
        <v>121</v>
      </c>
      <c r="I5" s="291">
        <f>Summary!I58</f>
        <v>110</v>
      </c>
      <c r="J5" s="291">
        <f>Summary!J58</f>
        <v>184</v>
      </c>
      <c r="K5" s="291">
        <f>Summary!K58</f>
        <v>175</v>
      </c>
      <c r="L5" s="291">
        <f>Summary!L58</f>
        <v>41</v>
      </c>
      <c r="M5" s="291">
        <f>Summary!M58</f>
        <v>69</v>
      </c>
      <c r="N5" s="291">
        <f>Summary!N58</f>
        <v>66</v>
      </c>
      <c r="O5" s="291">
        <f>Summary!O58</f>
        <v>53</v>
      </c>
      <c r="P5" s="291">
        <f>Summary!P58</f>
        <v>78</v>
      </c>
      <c r="Q5" s="291">
        <f>Summary!Q58</f>
        <v>75</v>
      </c>
      <c r="R5" s="291">
        <f>Summary!R58</f>
        <v>84</v>
      </c>
      <c r="S5" s="291">
        <f>Summary!S58</f>
        <v>53</v>
      </c>
      <c r="T5" s="291">
        <f>Summary!T58</f>
        <v>75</v>
      </c>
      <c r="U5" s="291">
        <f>Summary!U58</f>
        <v>76</v>
      </c>
      <c r="V5" s="291">
        <f>Summary!V58</f>
        <v>62</v>
      </c>
      <c r="W5" s="291">
        <f>Summary!W58</f>
        <v>61</v>
      </c>
      <c r="X5" s="291">
        <f>Summary!X58</f>
        <v>88</v>
      </c>
      <c r="Y5" s="292">
        <f>Summary!Y58</f>
        <v>75</v>
      </c>
      <c r="Z5" s="292">
        <f>Summary!Z58</f>
        <v>56</v>
      </c>
      <c r="AA5" s="292">
        <f>Summary!AA58</f>
        <v>60</v>
      </c>
      <c r="AB5" s="291">
        <f>Summary!AB58</f>
        <v>46</v>
      </c>
      <c r="AC5" s="291">
        <f>Summary!AC58</f>
        <v>54</v>
      </c>
      <c r="AD5" s="291">
        <f>Summary!AD58</f>
        <v>63</v>
      </c>
      <c r="AE5" s="291">
        <f>Summary!AE58</f>
        <v>77</v>
      </c>
      <c r="AF5" s="291">
        <f>Summary!AF58</f>
        <v>56</v>
      </c>
      <c r="AG5" s="293"/>
    </row>
    <row r="6">
      <c r="A6" s="107" t="s">
        <v>115</v>
      </c>
      <c r="B6" s="108">
        <f t="shared" ref="B6:AF6" si="1">SUM(B5)</f>
        <v>153</v>
      </c>
      <c r="C6" s="108">
        <f t="shared" si="1"/>
        <v>171</v>
      </c>
      <c r="D6" s="108">
        <f t="shared" si="1"/>
        <v>147</v>
      </c>
      <c r="E6" s="108">
        <f t="shared" si="1"/>
        <v>97</v>
      </c>
      <c r="F6" s="108">
        <f t="shared" si="1"/>
        <v>60</v>
      </c>
      <c r="G6" s="108">
        <f t="shared" si="1"/>
        <v>114</v>
      </c>
      <c r="H6" s="108">
        <f t="shared" si="1"/>
        <v>121</v>
      </c>
      <c r="I6" s="108">
        <f t="shared" si="1"/>
        <v>110</v>
      </c>
      <c r="J6" s="108">
        <f t="shared" si="1"/>
        <v>184</v>
      </c>
      <c r="K6" s="108">
        <f t="shared" si="1"/>
        <v>175</v>
      </c>
      <c r="L6" s="108">
        <f t="shared" si="1"/>
        <v>41</v>
      </c>
      <c r="M6" s="108">
        <f t="shared" si="1"/>
        <v>69</v>
      </c>
      <c r="N6" s="108">
        <f t="shared" si="1"/>
        <v>66</v>
      </c>
      <c r="O6" s="108">
        <f t="shared" si="1"/>
        <v>53</v>
      </c>
      <c r="P6" s="108">
        <f t="shared" si="1"/>
        <v>78</v>
      </c>
      <c r="Q6" s="108">
        <f t="shared" si="1"/>
        <v>75</v>
      </c>
      <c r="R6" s="108">
        <f t="shared" si="1"/>
        <v>84</v>
      </c>
      <c r="S6" s="108">
        <f t="shared" si="1"/>
        <v>53</v>
      </c>
      <c r="T6" s="108">
        <f t="shared" si="1"/>
        <v>75</v>
      </c>
      <c r="U6" s="108">
        <f t="shared" si="1"/>
        <v>76</v>
      </c>
      <c r="V6" s="108">
        <f t="shared" si="1"/>
        <v>62</v>
      </c>
      <c r="W6" s="108">
        <f t="shared" si="1"/>
        <v>61</v>
      </c>
      <c r="X6" s="108">
        <f t="shared" si="1"/>
        <v>88</v>
      </c>
      <c r="Y6" s="108">
        <f t="shared" si="1"/>
        <v>75</v>
      </c>
      <c r="Z6" s="108">
        <f t="shared" si="1"/>
        <v>56</v>
      </c>
      <c r="AA6" s="108">
        <f t="shared" si="1"/>
        <v>60</v>
      </c>
      <c r="AB6" s="108">
        <f t="shared" si="1"/>
        <v>46</v>
      </c>
      <c r="AC6" s="108">
        <f t="shared" si="1"/>
        <v>54</v>
      </c>
      <c r="AD6" s="108">
        <f t="shared" si="1"/>
        <v>63</v>
      </c>
      <c r="AE6" s="108">
        <f t="shared" si="1"/>
        <v>77</v>
      </c>
      <c r="AF6" s="108">
        <f t="shared" si="1"/>
        <v>56</v>
      </c>
      <c r="AG6" s="95">
        <f>SUM(B6:AF6)</f>
        <v>2700</v>
      </c>
    </row>
    <row r="7">
      <c r="A7" s="100"/>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123"/>
    </row>
    <row r="8">
      <c r="A8" s="110" t="s">
        <v>90</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123"/>
    </row>
    <row r="9">
      <c r="A9" s="117" t="s">
        <v>477</v>
      </c>
      <c r="B9" s="294">
        <f>Summary!B16</f>
        <v>19348.49</v>
      </c>
      <c r="C9" s="294">
        <f>Summary!C16</f>
        <v>22322.39</v>
      </c>
      <c r="D9" s="294">
        <f>Summary!D16</f>
        <v>16109.48</v>
      </c>
      <c r="E9" s="295">
        <f>Summary!E16</f>
        <v>9416.58</v>
      </c>
      <c r="F9" s="295">
        <f>Summary!F16</f>
        <v>6365.8</v>
      </c>
      <c r="G9" s="295">
        <f>Summary!G16</f>
        <v>11506.81</v>
      </c>
      <c r="H9" s="295">
        <f>Summary!H16</f>
        <v>17570.37</v>
      </c>
      <c r="I9" s="295">
        <f>Summary!I16</f>
        <v>16642.54</v>
      </c>
      <c r="J9" s="295">
        <f>Summary!J16</f>
        <v>21343.47</v>
      </c>
      <c r="K9" s="295">
        <f>Summary!K16</f>
        <v>22258.69</v>
      </c>
      <c r="L9" s="295">
        <f>Summary!L16</f>
        <v>9253.85</v>
      </c>
      <c r="M9" s="295">
        <f>Summary!M16</f>
        <v>9130.35</v>
      </c>
      <c r="N9" s="295">
        <f>Summary!N16</f>
        <v>10453.74</v>
      </c>
      <c r="O9" s="295">
        <f>Summary!O16</f>
        <v>11895.08</v>
      </c>
      <c r="P9" s="295">
        <f>Summary!P16</f>
        <v>13269.9</v>
      </c>
      <c r="Q9" s="295">
        <f>Summary!Q16</f>
        <v>12414.95</v>
      </c>
      <c r="R9" s="295">
        <f>Summary!R16</f>
        <v>14317.82</v>
      </c>
      <c r="S9" s="295">
        <f>Summary!S16</f>
        <v>6864.62</v>
      </c>
      <c r="T9" s="295">
        <f>Summary!T16</f>
        <v>12108.13</v>
      </c>
      <c r="U9" s="295">
        <f>Summary!U16</f>
        <v>14234.66</v>
      </c>
      <c r="V9" s="295">
        <f>Summary!V16</f>
        <v>10905.79</v>
      </c>
      <c r="W9" s="295">
        <f>Summary!W16</f>
        <v>9266.85</v>
      </c>
      <c r="X9" s="295">
        <f>Summary!X16</f>
        <v>11009.35</v>
      </c>
      <c r="Y9" s="295">
        <f>Summary!Y16</f>
        <v>11513.68</v>
      </c>
      <c r="Z9" s="295">
        <f>Summary!Z16</f>
        <v>8350.69</v>
      </c>
      <c r="AA9" s="295">
        <f>Summary!AA16</f>
        <v>9183.44</v>
      </c>
      <c r="AB9" s="295">
        <f>Summary!AB16</f>
        <v>7992.33</v>
      </c>
      <c r="AC9" s="295">
        <f>Summary!AC16</f>
        <v>7570.74</v>
      </c>
      <c r="AD9" s="295">
        <f>Summary!AD16</f>
        <v>7060.85</v>
      </c>
      <c r="AE9" s="295">
        <f>Summary!AE16</f>
        <v>7665.47</v>
      </c>
      <c r="AF9" s="295">
        <f>Summary!AF16</f>
        <v>4451.22</v>
      </c>
      <c r="AG9" s="293"/>
    </row>
    <row r="10">
      <c r="A10" s="107" t="s">
        <v>115</v>
      </c>
      <c r="B10" s="122">
        <f t="shared" ref="B10:AF10" si="2">SUM(B9)</f>
        <v>19348.49</v>
      </c>
      <c r="C10" s="122">
        <f t="shared" si="2"/>
        <v>22322.39</v>
      </c>
      <c r="D10" s="122">
        <f t="shared" si="2"/>
        <v>16109.48</v>
      </c>
      <c r="E10" s="122">
        <f t="shared" si="2"/>
        <v>9416.58</v>
      </c>
      <c r="F10" s="122">
        <f t="shared" si="2"/>
        <v>6365.8</v>
      </c>
      <c r="G10" s="122">
        <f t="shared" si="2"/>
        <v>11506.81</v>
      </c>
      <c r="H10" s="122">
        <f t="shared" si="2"/>
        <v>17570.37</v>
      </c>
      <c r="I10" s="122">
        <f t="shared" si="2"/>
        <v>16642.54</v>
      </c>
      <c r="J10" s="122">
        <f t="shared" si="2"/>
        <v>21343.47</v>
      </c>
      <c r="K10" s="122">
        <f t="shared" si="2"/>
        <v>22258.69</v>
      </c>
      <c r="L10" s="122">
        <f t="shared" si="2"/>
        <v>9253.85</v>
      </c>
      <c r="M10" s="122">
        <f t="shared" si="2"/>
        <v>9130.35</v>
      </c>
      <c r="N10" s="122">
        <f t="shared" si="2"/>
        <v>10453.74</v>
      </c>
      <c r="O10" s="122">
        <f t="shared" si="2"/>
        <v>11895.08</v>
      </c>
      <c r="P10" s="122">
        <f t="shared" si="2"/>
        <v>13269.9</v>
      </c>
      <c r="Q10" s="122">
        <f t="shared" si="2"/>
        <v>12414.95</v>
      </c>
      <c r="R10" s="122">
        <f t="shared" si="2"/>
        <v>14317.82</v>
      </c>
      <c r="S10" s="122">
        <f t="shared" si="2"/>
        <v>6864.62</v>
      </c>
      <c r="T10" s="122">
        <f t="shared" si="2"/>
        <v>12108.13</v>
      </c>
      <c r="U10" s="122">
        <f t="shared" si="2"/>
        <v>14234.66</v>
      </c>
      <c r="V10" s="122">
        <f t="shared" si="2"/>
        <v>10905.79</v>
      </c>
      <c r="W10" s="122">
        <f t="shared" si="2"/>
        <v>9266.85</v>
      </c>
      <c r="X10" s="122">
        <f t="shared" si="2"/>
        <v>11009.35</v>
      </c>
      <c r="Y10" s="122">
        <f t="shared" si="2"/>
        <v>11513.68</v>
      </c>
      <c r="Z10" s="122">
        <f t="shared" si="2"/>
        <v>8350.69</v>
      </c>
      <c r="AA10" s="122">
        <f t="shared" si="2"/>
        <v>9183.44</v>
      </c>
      <c r="AB10" s="122">
        <f t="shared" si="2"/>
        <v>7992.33</v>
      </c>
      <c r="AC10" s="122">
        <f t="shared" si="2"/>
        <v>7570.74</v>
      </c>
      <c r="AD10" s="122">
        <f t="shared" si="2"/>
        <v>7060.85</v>
      </c>
      <c r="AE10" s="122">
        <f t="shared" si="2"/>
        <v>7665.47</v>
      </c>
      <c r="AF10" s="122">
        <f t="shared" si="2"/>
        <v>4451.22</v>
      </c>
      <c r="AG10" s="95">
        <f>SUM(B10:AF10)</f>
        <v>371798.13</v>
      </c>
    </row>
    <row r="11">
      <c r="A11" s="100"/>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123"/>
    </row>
    <row r="12">
      <c r="A12" s="124" t="s">
        <v>116</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123"/>
    </row>
    <row r="13">
      <c r="A13" s="88" t="s">
        <v>62</v>
      </c>
      <c r="B13" s="250">
        <f>Summary!B81</f>
        <v>1348.28</v>
      </c>
      <c r="C13" s="250">
        <f>Summary!C81</f>
        <v>1385.43</v>
      </c>
      <c r="D13" s="250">
        <f>Summary!D81</f>
        <v>1102.46</v>
      </c>
      <c r="E13" s="204">
        <f>Summary!E81</f>
        <v>752.89</v>
      </c>
      <c r="F13" s="204">
        <f>Summary!F81</f>
        <v>700.89</v>
      </c>
      <c r="G13" s="204">
        <f>Summary!G81</f>
        <v>2163.8</v>
      </c>
      <c r="H13" s="204">
        <f>Summary!H81</f>
        <v>3196.98</v>
      </c>
      <c r="I13" s="204">
        <f>Summary!I81</f>
        <v>2585.22</v>
      </c>
      <c r="J13" s="204">
        <f>Summary!J81</f>
        <v>2860.98</v>
      </c>
      <c r="K13" s="204">
        <f>Summary!K81</f>
        <v>2868.07</v>
      </c>
      <c r="L13" s="204">
        <f>Summary!L81</f>
        <v>1575.67</v>
      </c>
      <c r="M13" s="204">
        <f>Summary!M81</f>
        <v>1813.72</v>
      </c>
      <c r="N13" s="204">
        <f>Summary!N81</f>
        <v>1855.46</v>
      </c>
      <c r="O13" s="204">
        <f>Summary!O81</f>
        <v>1949.79</v>
      </c>
      <c r="P13" s="204">
        <f>Summary!P81</f>
        <v>2177.64</v>
      </c>
      <c r="Q13" s="204">
        <f>Summary!Q81</f>
        <v>2457</v>
      </c>
      <c r="R13" s="204">
        <f>Summary!R81</f>
        <v>2314.72</v>
      </c>
      <c r="S13" s="204">
        <f>Summary!S81</f>
        <v>1846.92</v>
      </c>
      <c r="T13" s="204">
        <f>Summary!T81</f>
        <v>1591.02</v>
      </c>
      <c r="U13" s="204">
        <f>Summary!U81</f>
        <v>2164.62</v>
      </c>
      <c r="V13" s="204">
        <f>Summary!V81</f>
        <v>2214.03</v>
      </c>
      <c r="W13" s="204">
        <f>Summary!W81</f>
        <v>1993.47</v>
      </c>
      <c r="X13" s="204">
        <f>Summary!X81</f>
        <v>2286.97</v>
      </c>
      <c r="Y13" s="204">
        <f>Summary!Y81</f>
        <v>2110.61</v>
      </c>
      <c r="Z13" s="204">
        <f>Summary!Z81</f>
        <v>621.13</v>
      </c>
      <c r="AA13" s="204">
        <f>Summary!AA81</f>
        <v>415.09</v>
      </c>
      <c r="AB13" s="204">
        <f>Summary!AB81</f>
        <v>390.6</v>
      </c>
      <c r="AC13" s="204">
        <f>Summary!AC81</f>
        <v>370.26</v>
      </c>
      <c r="AD13" s="204">
        <f>Summary!AD81</f>
        <v>359.58</v>
      </c>
      <c r="AE13" s="204">
        <f>Summary!AE81</f>
        <v>443.94</v>
      </c>
      <c r="AF13" s="204">
        <f>Summary!AF81</f>
        <v>430.21</v>
      </c>
      <c r="AG13" s="95">
        <f>SUM(B13:AF13)</f>
        <v>50347.45</v>
      </c>
    </row>
    <row r="14">
      <c r="A14" s="117" t="s">
        <v>478</v>
      </c>
      <c r="B14" s="251">
        <f>B9*'Data - P&amp;L'!$C$48</f>
        <v>2902.2735</v>
      </c>
      <c r="C14" s="251">
        <f>C9*'Data - P&amp;L'!$C$48</f>
        <v>3348.3585</v>
      </c>
      <c r="D14" s="251">
        <f>D9*'Data - P&amp;L'!$C$48</f>
        <v>2416.422</v>
      </c>
      <c r="E14" s="251">
        <f>E9*'Data - P&amp;L'!$C$48</f>
        <v>1412.487</v>
      </c>
      <c r="F14" s="251">
        <f>F9*'Data - P&amp;L'!$C$48</f>
        <v>954.87</v>
      </c>
      <c r="G14" s="251">
        <f>G9*'Data - P&amp;L'!$C$48</f>
        <v>1726.0215</v>
      </c>
      <c r="H14" s="251">
        <f>H9*'Data - P&amp;L'!$C$48</f>
        <v>2635.5555</v>
      </c>
      <c r="I14" s="251">
        <f>I9*'Data - P&amp;L'!$C$48</f>
        <v>2496.381</v>
      </c>
      <c r="J14" s="251">
        <f>J9*'Data - P&amp;L'!$C$48</f>
        <v>3201.5205</v>
      </c>
      <c r="K14" s="251">
        <f>K9*'Data - P&amp;L'!$C$48</f>
        <v>3338.8035</v>
      </c>
      <c r="L14" s="251">
        <f>L9*'Data - P&amp;L'!$C$48</f>
        <v>1388.0775</v>
      </c>
      <c r="M14" s="251">
        <f>M9*'Data - P&amp;L'!$C$48</f>
        <v>1369.5525</v>
      </c>
      <c r="N14" s="251">
        <f>N9*'Data - P&amp;L'!$C$48</f>
        <v>1568.061</v>
      </c>
      <c r="O14" s="251">
        <f>O9*'Data - P&amp;L'!$C$48</f>
        <v>1784.262</v>
      </c>
      <c r="P14" s="251">
        <f>P9*'Data - P&amp;L'!$C$48</f>
        <v>1990.485</v>
      </c>
      <c r="Q14" s="251">
        <f>Q9*'Data - P&amp;L'!$C$48</f>
        <v>1862.2425</v>
      </c>
      <c r="R14" s="251">
        <f>R9*'Data - P&amp;L'!$C$48</f>
        <v>2147.673</v>
      </c>
      <c r="S14" s="251">
        <f>S9*'Data - P&amp;L'!$C$48</f>
        <v>1029.693</v>
      </c>
      <c r="T14" s="251">
        <f>T9*'Data - P&amp;L'!$C$48</f>
        <v>1816.2195</v>
      </c>
      <c r="U14" s="251">
        <f>U9*'Data - P&amp;L'!$C$48</f>
        <v>2135.199</v>
      </c>
      <c r="V14" s="251">
        <f>V9*'Data - P&amp;L'!$C$48</f>
        <v>1635.8685</v>
      </c>
      <c r="W14" s="251">
        <f>W9*'Data - P&amp;L'!$C$48</f>
        <v>1390.0275</v>
      </c>
      <c r="X14" s="251">
        <f>X9*'Data - P&amp;L'!$C$48</f>
        <v>1651.4025</v>
      </c>
      <c r="Y14" s="251">
        <f>Y9*'Data - P&amp;L'!$C$48</f>
        <v>1727.052</v>
      </c>
      <c r="Z14" s="251">
        <f>Z9*'Data - P&amp;L'!$C$48</f>
        <v>1252.6035</v>
      </c>
      <c r="AA14" s="251">
        <f>AA9*'Data - P&amp;L'!$C$48</f>
        <v>1377.516</v>
      </c>
      <c r="AB14" s="251">
        <f>AB9*'Data - P&amp;L'!$C$48</f>
        <v>1198.8495</v>
      </c>
      <c r="AC14" s="251">
        <f>AC9*'Data - P&amp;L'!$C$48</f>
        <v>1135.611</v>
      </c>
      <c r="AD14" s="251">
        <f>AD9*'Data - P&amp;L'!$C$48</f>
        <v>1059.1275</v>
      </c>
      <c r="AE14" s="251">
        <f>AE9*'Data - P&amp;L'!$C$48</f>
        <v>1149.8205</v>
      </c>
      <c r="AF14" s="251">
        <f>AF9*'Data - P&amp;L'!$C$48</f>
        <v>667.683</v>
      </c>
      <c r="AG14" s="293"/>
    </row>
    <row r="15">
      <c r="A15" s="107" t="s">
        <v>115</v>
      </c>
      <c r="B15" s="122">
        <f t="shared" ref="B15:AF15" si="3">SUM(B13:B14)</f>
        <v>4250.5535</v>
      </c>
      <c r="C15" s="122">
        <f t="shared" si="3"/>
        <v>4733.7885</v>
      </c>
      <c r="D15" s="122">
        <f t="shared" si="3"/>
        <v>3518.882</v>
      </c>
      <c r="E15" s="122">
        <f t="shared" si="3"/>
        <v>2165.377</v>
      </c>
      <c r="F15" s="122">
        <f t="shared" si="3"/>
        <v>1655.76</v>
      </c>
      <c r="G15" s="122">
        <f t="shared" si="3"/>
        <v>3889.8215</v>
      </c>
      <c r="H15" s="122">
        <f t="shared" si="3"/>
        <v>5832.5355</v>
      </c>
      <c r="I15" s="122">
        <f t="shared" si="3"/>
        <v>5081.601</v>
      </c>
      <c r="J15" s="122">
        <f t="shared" si="3"/>
        <v>6062.5005</v>
      </c>
      <c r="K15" s="122">
        <f t="shared" si="3"/>
        <v>6206.8735</v>
      </c>
      <c r="L15" s="122">
        <f t="shared" si="3"/>
        <v>2963.7475</v>
      </c>
      <c r="M15" s="122">
        <f t="shared" si="3"/>
        <v>3183.2725</v>
      </c>
      <c r="N15" s="122">
        <f t="shared" si="3"/>
        <v>3423.521</v>
      </c>
      <c r="O15" s="122">
        <f t="shared" si="3"/>
        <v>3734.052</v>
      </c>
      <c r="P15" s="122">
        <f t="shared" si="3"/>
        <v>4168.125</v>
      </c>
      <c r="Q15" s="122">
        <f t="shared" si="3"/>
        <v>4319.2425</v>
      </c>
      <c r="R15" s="122">
        <f t="shared" si="3"/>
        <v>4462.393</v>
      </c>
      <c r="S15" s="122">
        <f t="shared" si="3"/>
        <v>2876.613</v>
      </c>
      <c r="T15" s="122">
        <f t="shared" si="3"/>
        <v>3407.2395</v>
      </c>
      <c r="U15" s="122">
        <f t="shared" si="3"/>
        <v>4299.819</v>
      </c>
      <c r="V15" s="122">
        <f t="shared" si="3"/>
        <v>3849.8985</v>
      </c>
      <c r="W15" s="122">
        <f t="shared" si="3"/>
        <v>3383.4975</v>
      </c>
      <c r="X15" s="122">
        <f t="shared" si="3"/>
        <v>3938.3725</v>
      </c>
      <c r="Y15" s="122">
        <f t="shared" si="3"/>
        <v>3837.662</v>
      </c>
      <c r="Z15" s="122">
        <f t="shared" si="3"/>
        <v>1873.7335</v>
      </c>
      <c r="AA15" s="122">
        <f t="shared" si="3"/>
        <v>1792.606</v>
      </c>
      <c r="AB15" s="122">
        <f t="shared" si="3"/>
        <v>1589.4495</v>
      </c>
      <c r="AC15" s="122">
        <f t="shared" si="3"/>
        <v>1505.871</v>
      </c>
      <c r="AD15" s="128">
        <f t="shared" si="3"/>
        <v>1418.7075</v>
      </c>
      <c r="AE15" s="128">
        <f t="shared" si="3"/>
        <v>1593.7605</v>
      </c>
      <c r="AF15" s="128">
        <f t="shared" si="3"/>
        <v>1097.893</v>
      </c>
      <c r="AG15" s="95">
        <f>SUM(B15:AF15)</f>
        <v>106117.1695</v>
      </c>
    </row>
    <row r="16">
      <c r="A16" s="100"/>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123"/>
    </row>
    <row r="17">
      <c r="A17" s="132"/>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81"/>
    </row>
    <row r="18">
      <c r="A18" s="100"/>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140"/>
    </row>
    <row r="19">
      <c r="A19" s="141" t="s">
        <v>49</v>
      </c>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140"/>
    </row>
    <row r="20">
      <c r="A20" s="151" t="s">
        <v>479</v>
      </c>
      <c r="B20" s="152">
        <f>Summary!B17</f>
        <v>16689.8</v>
      </c>
      <c r="C20" s="152">
        <f>Summary!C17</f>
        <v>18894.12</v>
      </c>
      <c r="D20" s="152">
        <f>Summary!D17</f>
        <v>13167.68</v>
      </c>
      <c r="E20" s="152">
        <f>Summary!E17</f>
        <v>7392.24</v>
      </c>
      <c r="F20" s="152">
        <f>Summary!F17</f>
        <v>4950.56</v>
      </c>
      <c r="G20" s="152">
        <f>Summary!G17</f>
        <v>9849</v>
      </c>
      <c r="H20" s="152">
        <f>Summary!H17</f>
        <v>15173.56</v>
      </c>
      <c r="I20" s="152">
        <f>Summary!I17</f>
        <v>14651.68</v>
      </c>
      <c r="J20" s="152">
        <f>Summary!J17</f>
        <v>17400.12</v>
      </c>
      <c r="K20" s="152">
        <f>Summary!K17</f>
        <v>19281.12</v>
      </c>
      <c r="L20" s="152">
        <f>Summary!L17</f>
        <v>7612.12</v>
      </c>
      <c r="M20" s="152">
        <f>Summary!M17</f>
        <v>7593</v>
      </c>
      <c r="N20" s="152">
        <f>Summary!N17</f>
        <v>8849</v>
      </c>
      <c r="O20" s="152">
        <f>Summary!O17</f>
        <v>10045</v>
      </c>
      <c r="P20" s="152">
        <f>Summary!P17</f>
        <v>11655.12</v>
      </c>
      <c r="Q20" s="152">
        <f>Summary!Q17</f>
        <v>9624.56</v>
      </c>
      <c r="R20" s="152">
        <f>Summary!R17</f>
        <v>11836.56</v>
      </c>
      <c r="S20" s="152">
        <f>Summary!S17</f>
        <v>5440</v>
      </c>
      <c r="T20" s="152">
        <f>Summary!T17</f>
        <v>10463</v>
      </c>
      <c r="U20" s="152">
        <f>Summary!U17</f>
        <v>12247.24</v>
      </c>
      <c r="V20" s="152">
        <f>Summary!V17</f>
        <v>9084.56</v>
      </c>
      <c r="W20" s="152">
        <f>Summary!W17</f>
        <v>7771</v>
      </c>
      <c r="X20" s="152">
        <f>Summary!X17</f>
        <v>8962.12</v>
      </c>
      <c r="Y20" s="152">
        <f>Summary!Y17</f>
        <v>9145</v>
      </c>
      <c r="Z20" s="152">
        <f>Summary!Z17</f>
        <v>6631.56</v>
      </c>
      <c r="AA20" s="152">
        <f>Summary!AA17</f>
        <v>7647.12</v>
      </c>
      <c r="AB20" s="152">
        <f>Summary!AB17</f>
        <v>6745.24</v>
      </c>
      <c r="AC20" s="152">
        <f>Summary!AC17</f>
        <v>6091.12</v>
      </c>
      <c r="AD20" s="152">
        <f>Summary!AD17</f>
        <v>5679</v>
      </c>
      <c r="AE20" s="152">
        <f>Summary!AE17</f>
        <v>5082</v>
      </c>
      <c r="AF20" s="152">
        <f>Summary!AF17</f>
        <v>2989</v>
      </c>
      <c r="AG20" s="198">
        <f t="shared" ref="AG20:AG25" si="4">SUM(B20:AF20)</f>
        <v>308643.2</v>
      </c>
    </row>
    <row r="21">
      <c r="A21" s="151" t="s">
        <v>480</v>
      </c>
      <c r="B21" s="152">
        <f>Summary!B18</f>
        <v>1424.56</v>
      </c>
      <c r="C21" s="152">
        <f>Summary!C18</f>
        <v>1915.56</v>
      </c>
      <c r="D21" s="152">
        <f>Summary!D18</f>
        <v>1792.68</v>
      </c>
      <c r="E21" s="152">
        <f>Summary!E18</f>
        <v>1421.56</v>
      </c>
      <c r="F21" s="152">
        <f>Summary!F18</f>
        <v>1009</v>
      </c>
      <c r="G21" s="152">
        <f>Summary!G18</f>
        <v>906</v>
      </c>
      <c r="H21" s="152">
        <f>Summary!H18</f>
        <v>1285.56</v>
      </c>
      <c r="I21" s="152">
        <f>Summary!I18</f>
        <v>897</v>
      </c>
      <c r="J21" s="152">
        <f>Summary!J18</f>
        <v>2501.12</v>
      </c>
      <c r="K21" s="152">
        <f>Summary!K18</f>
        <v>1509</v>
      </c>
      <c r="L21" s="152">
        <f>Summary!L18</f>
        <v>1082.12</v>
      </c>
      <c r="M21" s="152">
        <f>Summary!M18</f>
        <v>966</v>
      </c>
      <c r="N21" s="152">
        <f>Summary!N18</f>
        <v>954</v>
      </c>
      <c r="O21" s="152">
        <f>Summary!O18</f>
        <v>999.68</v>
      </c>
      <c r="P21" s="152">
        <f>Summary!P18</f>
        <v>819</v>
      </c>
      <c r="Q21" s="152">
        <f>Summary!Q18</f>
        <v>1898.24</v>
      </c>
      <c r="R21" s="152">
        <f>Summary!R18</f>
        <v>1582.68</v>
      </c>
      <c r="S21" s="152">
        <f>Summary!S18</f>
        <v>974</v>
      </c>
      <c r="T21" s="152">
        <f>Summary!T18</f>
        <v>850</v>
      </c>
      <c r="U21" s="152">
        <f>Summary!U18</f>
        <v>1110</v>
      </c>
      <c r="V21" s="152">
        <f>Summary!V18</f>
        <v>1075.12</v>
      </c>
      <c r="W21" s="152">
        <f>Summary!W18</f>
        <v>889</v>
      </c>
      <c r="X21" s="152">
        <f>Summary!X18</f>
        <v>1348.56</v>
      </c>
      <c r="Y21" s="152">
        <f>Summary!Y18</f>
        <v>1547</v>
      </c>
      <c r="Z21" s="152">
        <f>Summary!Z18</f>
        <v>1146.56</v>
      </c>
      <c r="AA21" s="152">
        <f>Summary!AA18</f>
        <v>929</v>
      </c>
      <c r="AB21" s="152">
        <f>Summary!AB18</f>
        <v>724</v>
      </c>
      <c r="AC21" s="152">
        <f>Summary!AC18</f>
        <v>969.12</v>
      </c>
      <c r="AD21" s="152">
        <f>Summary!AD18</f>
        <v>889</v>
      </c>
      <c r="AE21" s="152">
        <f>Summary!AE18</f>
        <v>2055</v>
      </c>
      <c r="AF21" s="152">
        <f>Summary!AF18</f>
        <v>1130</v>
      </c>
      <c r="AG21" s="198">
        <f t="shared" si="4"/>
        <v>38600.12</v>
      </c>
    </row>
    <row r="22">
      <c r="A22" s="151" t="s">
        <v>481</v>
      </c>
      <c r="B22" s="152">
        <f>Summary!B19</f>
        <v>1193.49</v>
      </c>
      <c r="C22" s="152">
        <f>Summary!C19</f>
        <v>1464.05</v>
      </c>
      <c r="D22" s="152">
        <f>Summary!D19</f>
        <v>1131.65</v>
      </c>
      <c r="E22" s="152">
        <f>Summary!E19</f>
        <v>586.52</v>
      </c>
      <c r="F22" s="152">
        <f>Summary!F19</f>
        <v>392.02</v>
      </c>
      <c r="G22" s="152">
        <f>Summary!G19</f>
        <v>741.83</v>
      </c>
      <c r="H22" s="152">
        <f>Summary!H19</f>
        <v>1064.89</v>
      </c>
      <c r="I22" s="152">
        <f>Summary!I19</f>
        <v>1027.39</v>
      </c>
      <c r="J22" s="152">
        <f>Summary!J19</f>
        <v>1409.3</v>
      </c>
      <c r="K22" s="152">
        <f>Summary!K19</f>
        <v>1407.52</v>
      </c>
      <c r="L22" s="152">
        <f>Summary!L19</f>
        <v>554.12</v>
      </c>
      <c r="M22" s="152">
        <f>Summary!M19</f>
        <v>553.37</v>
      </c>
      <c r="N22" s="152">
        <f>Summary!N19</f>
        <v>641.76</v>
      </c>
      <c r="O22" s="152">
        <f>Summary!O19</f>
        <v>827.5</v>
      </c>
      <c r="P22" s="152">
        <f>Summary!P19</f>
        <v>790.79</v>
      </c>
      <c r="Q22" s="152">
        <f>Summary!Q19</f>
        <v>881.92</v>
      </c>
      <c r="R22" s="152">
        <f>Summary!R19</f>
        <v>879.12</v>
      </c>
      <c r="S22" s="152">
        <f>Summary!S19</f>
        <v>450.62</v>
      </c>
      <c r="T22" s="152">
        <f>Summary!T19</f>
        <v>777.17</v>
      </c>
      <c r="U22" s="152">
        <f>Summary!U19</f>
        <v>818.35</v>
      </c>
      <c r="V22" s="152">
        <f>Summary!V19</f>
        <v>740.37</v>
      </c>
      <c r="W22" s="152">
        <f>Summary!W19</f>
        <v>598.37</v>
      </c>
      <c r="X22" s="152">
        <f>Summary!X19</f>
        <v>683.95</v>
      </c>
      <c r="Y22" s="152">
        <f>Summary!Y19</f>
        <v>760.41</v>
      </c>
      <c r="Z22" s="152">
        <f>Summary!Z19</f>
        <v>571.28</v>
      </c>
      <c r="AA22" s="152">
        <f>Summary!AA19</f>
        <v>579.31</v>
      </c>
      <c r="AB22" s="152">
        <f>Summary!AB19</f>
        <v>510.61</v>
      </c>
      <c r="AC22" s="152">
        <f>Summary!AC19</f>
        <v>493.53</v>
      </c>
      <c r="AD22" s="152">
        <f>Summary!AD19</f>
        <v>479.38</v>
      </c>
      <c r="AE22" s="152">
        <f>Summary!AE19</f>
        <v>491.05</v>
      </c>
      <c r="AF22" s="152">
        <f>Summary!AF19</f>
        <v>320.74</v>
      </c>
      <c r="AG22" s="198">
        <f t="shared" si="4"/>
        <v>23822.38</v>
      </c>
    </row>
    <row r="23">
      <c r="A23" s="151" t="s">
        <v>482</v>
      </c>
      <c r="B23" s="152">
        <f>Summary!B20</f>
        <v>26.65</v>
      </c>
      <c r="C23" s="152">
        <f>Summary!C20</f>
        <v>21.21</v>
      </c>
      <c r="D23" s="152">
        <f>Summary!D20</f>
        <v>7.47</v>
      </c>
      <c r="E23" s="152">
        <f>Summary!E20</f>
        <v>10.42</v>
      </c>
      <c r="F23" s="152">
        <f>Summary!F20</f>
        <v>0.08</v>
      </c>
      <c r="G23" s="152">
        <f>Summary!G20</f>
        <v>0</v>
      </c>
      <c r="H23" s="152">
        <f>Summary!H20</f>
        <v>29.06</v>
      </c>
      <c r="I23" s="152">
        <f>Summary!I20</f>
        <v>51.99</v>
      </c>
      <c r="J23" s="152">
        <f>Summary!J20</f>
        <v>10.3</v>
      </c>
      <c r="K23" s="152">
        <f>Summary!K20</f>
        <v>56.22</v>
      </c>
      <c r="L23" s="152">
        <f>Summary!L20</f>
        <v>0.32</v>
      </c>
      <c r="M23" s="152">
        <f>Summary!M20</f>
        <v>12.99</v>
      </c>
      <c r="N23" s="152">
        <f>Summary!N20</f>
        <v>0</v>
      </c>
      <c r="O23" s="152">
        <f>Summary!O20</f>
        <v>13.41</v>
      </c>
      <c r="P23" s="152">
        <f>Summary!P20</f>
        <v>0.16</v>
      </c>
      <c r="Q23" s="152">
        <f>Summary!Q20</f>
        <v>0.4</v>
      </c>
      <c r="R23" s="152">
        <f>Summary!R20</f>
        <v>0.32</v>
      </c>
      <c r="S23" s="152">
        <f>Summary!S20</f>
        <v>0</v>
      </c>
      <c r="T23" s="152">
        <f>Summary!T20</f>
        <v>0</v>
      </c>
      <c r="U23" s="152">
        <f>Summary!U20</f>
        <v>44.42</v>
      </c>
      <c r="V23" s="152">
        <f>Summary!V20</f>
        <v>0.24</v>
      </c>
      <c r="W23" s="152">
        <f>Summary!W20</f>
        <v>0</v>
      </c>
      <c r="X23" s="152">
        <f>Summary!X20</f>
        <v>0.24</v>
      </c>
      <c r="Y23" s="152">
        <f>Summary!Y20</f>
        <v>31.84</v>
      </c>
      <c r="Z23" s="152">
        <f>Summary!Z20</f>
        <v>0.95</v>
      </c>
      <c r="AA23" s="152">
        <f>Summary!AA20</f>
        <v>18.69</v>
      </c>
      <c r="AB23" s="152">
        <f>Summary!AB20</f>
        <v>7.31</v>
      </c>
      <c r="AC23" s="152">
        <f>Summary!AC20</f>
        <v>7.31</v>
      </c>
      <c r="AD23" s="152">
        <f>Summary!AD20</f>
        <v>0</v>
      </c>
      <c r="AE23" s="152">
        <f>Summary!AE20</f>
        <v>37.42</v>
      </c>
      <c r="AF23" s="152">
        <f>Summary!AF20</f>
        <v>6.99</v>
      </c>
      <c r="AG23" s="198">
        <f t="shared" si="4"/>
        <v>396.41</v>
      </c>
    </row>
    <row r="24">
      <c r="A24" s="151" t="s">
        <v>483</v>
      </c>
      <c r="B24" s="152">
        <f>Summary!B21</f>
        <v>13.99</v>
      </c>
      <c r="C24" s="152">
        <f>Summary!C21</f>
        <v>27.45</v>
      </c>
      <c r="D24" s="152">
        <f>Summary!D21</f>
        <v>10</v>
      </c>
      <c r="E24" s="152">
        <f>Summary!E21</f>
        <v>5.84</v>
      </c>
      <c r="F24" s="152">
        <f>Summary!F21</f>
        <v>14.14</v>
      </c>
      <c r="G24" s="152">
        <f>Summary!G21</f>
        <v>9.98</v>
      </c>
      <c r="H24" s="152">
        <f>Summary!H21</f>
        <v>17.3</v>
      </c>
      <c r="I24" s="152">
        <f>Summary!I21</f>
        <v>14.48</v>
      </c>
      <c r="J24" s="152">
        <f>Summary!J21</f>
        <v>22.63</v>
      </c>
      <c r="K24" s="152">
        <f>Summary!K21</f>
        <v>4.83</v>
      </c>
      <c r="L24" s="152">
        <f>Summary!L21</f>
        <v>5.17</v>
      </c>
      <c r="M24" s="152">
        <f>Summary!M21</f>
        <v>4.99</v>
      </c>
      <c r="N24" s="152">
        <f>Summary!N21</f>
        <v>8.98</v>
      </c>
      <c r="O24" s="152">
        <f>Summary!O21</f>
        <v>9.49</v>
      </c>
      <c r="P24" s="152">
        <f>Summary!P21</f>
        <v>4.83</v>
      </c>
      <c r="Q24" s="152">
        <f>Summary!Q21</f>
        <v>9.83</v>
      </c>
      <c r="R24" s="152">
        <f>Summary!R21</f>
        <v>19.14</v>
      </c>
      <c r="S24" s="152">
        <f>Summary!S21</f>
        <v>0</v>
      </c>
      <c r="T24" s="152">
        <f>Summary!T21</f>
        <v>17.96</v>
      </c>
      <c r="U24" s="152">
        <f>Summary!U21</f>
        <v>14.65</v>
      </c>
      <c r="V24" s="152">
        <f>Summary!V21</f>
        <v>5.5</v>
      </c>
      <c r="W24" s="152">
        <f>Summary!W21</f>
        <v>8.48</v>
      </c>
      <c r="X24" s="152">
        <f>Summary!X21</f>
        <v>14.48</v>
      </c>
      <c r="Y24" s="152">
        <f>Summary!Y21</f>
        <v>29.43</v>
      </c>
      <c r="Z24" s="152">
        <f>Summary!Z21</f>
        <v>0.34</v>
      </c>
      <c r="AA24" s="152">
        <f>Summary!AA21</f>
        <v>9.32</v>
      </c>
      <c r="AB24" s="152">
        <f>Summary!AB21</f>
        <v>5.17</v>
      </c>
      <c r="AC24" s="152">
        <f>Summary!AC21</f>
        <v>9.66</v>
      </c>
      <c r="AD24" s="152">
        <f>Summary!AD21</f>
        <v>13.47</v>
      </c>
      <c r="AE24" s="152">
        <f>Summary!AE21</f>
        <v>0</v>
      </c>
      <c r="AF24" s="152">
        <f>Summary!AF21</f>
        <v>4.49</v>
      </c>
      <c r="AG24" s="198">
        <f t="shared" si="4"/>
        <v>336.02</v>
      </c>
    </row>
    <row r="25">
      <c r="A25" s="296" t="s">
        <v>484</v>
      </c>
      <c r="B25" s="297">
        <f t="shared" ref="B25:AF25" si="5">SUM(B20:B24)</f>
        <v>19348.49</v>
      </c>
      <c r="C25" s="297">
        <f t="shared" si="5"/>
        <v>22322.39</v>
      </c>
      <c r="D25" s="297">
        <f t="shared" si="5"/>
        <v>16109.48</v>
      </c>
      <c r="E25" s="297">
        <f t="shared" si="5"/>
        <v>9416.58</v>
      </c>
      <c r="F25" s="297">
        <f t="shared" si="5"/>
        <v>6365.8</v>
      </c>
      <c r="G25" s="297">
        <f t="shared" si="5"/>
        <v>11506.81</v>
      </c>
      <c r="H25" s="297">
        <f t="shared" si="5"/>
        <v>17570.37</v>
      </c>
      <c r="I25" s="297">
        <f t="shared" si="5"/>
        <v>16642.54</v>
      </c>
      <c r="J25" s="297">
        <f t="shared" si="5"/>
        <v>21343.47</v>
      </c>
      <c r="K25" s="297">
        <f t="shared" si="5"/>
        <v>22258.69</v>
      </c>
      <c r="L25" s="297">
        <f t="shared" si="5"/>
        <v>9253.85</v>
      </c>
      <c r="M25" s="297">
        <f t="shared" si="5"/>
        <v>9130.35</v>
      </c>
      <c r="N25" s="297">
        <f t="shared" si="5"/>
        <v>10453.74</v>
      </c>
      <c r="O25" s="297">
        <f t="shared" si="5"/>
        <v>11895.08</v>
      </c>
      <c r="P25" s="297">
        <f t="shared" si="5"/>
        <v>13269.9</v>
      </c>
      <c r="Q25" s="297">
        <f t="shared" si="5"/>
        <v>12414.95</v>
      </c>
      <c r="R25" s="297">
        <f t="shared" si="5"/>
        <v>14317.82</v>
      </c>
      <c r="S25" s="297">
        <f t="shared" si="5"/>
        <v>6864.62</v>
      </c>
      <c r="T25" s="297">
        <f t="shared" si="5"/>
        <v>12108.13</v>
      </c>
      <c r="U25" s="297">
        <f t="shared" si="5"/>
        <v>14234.66</v>
      </c>
      <c r="V25" s="297">
        <f t="shared" si="5"/>
        <v>10905.79</v>
      </c>
      <c r="W25" s="297">
        <f t="shared" si="5"/>
        <v>9266.85</v>
      </c>
      <c r="X25" s="297">
        <f t="shared" si="5"/>
        <v>11009.35</v>
      </c>
      <c r="Y25" s="297">
        <f t="shared" si="5"/>
        <v>11513.68</v>
      </c>
      <c r="Z25" s="297">
        <f t="shared" si="5"/>
        <v>8350.69</v>
      </c>
      <c r="AA25" s="297">
        <f t="shared" si="5"/>
        <v>9183.44</v>
      </c>
      <c r="AB25" s="297">
        <f t="shared" si="5"/>
        <v>7992.33</v>
      </c>
      <c r="AC25" s="297">
        <f t="shared" si="5"/>
        <v>7570.74</v>
      </c>
      <c r="AD25" s="297">
        <f t="shared" si="5"/>
        <v>7060.85</v>
      </c>
      <c r="AE25" s="297">
        <f t="shared" si="5"/>
        <v>7665.47</v>
      </c>
      <c r="AF25" s="297">
        <f t="shared" si="5"/>
        <v>4451.22</v>
      </c>
      <c r="AG25" s="198">
        <f t="shared" si="4"/>
        <v>371798.13</v>
      </c>
    </row>
    <row r="26">
      <c r="A26" s="100"/>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156"/>
    </row>
    <row r="27">
      <c r="A27" s="141" t="s">
        <v>122</v>
      </c>
      <c r="B27" s="159"/>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156"/>
    </row>
    <row r="28">
      <c r="A28" s="157" t="s">
        <v>485</v>
      </c>
      <c r="B28" s="159">
        <v>4.0</v>
      </c>
      <c r="C28" s="159">
        <v>6.0</v>
      </c>
      <c r="D28" s="159">
        <v>17.0</v>
      </c>
      <c r="E28" s="159">
        <v>22.0</v>
      </c>
      <c r="F28" s="159">
        <v>22.0</v>
      </c>
      <c r="G28" s="159">
        <v>16.0</v>
      </c>
      <c r="H28" s="159">
        <v>11.0</v>
      </c>
      <c r="I28" s="159">
        <v>10.0</v>
      </c>
      <c r="J28" s="159">
        <v>14.0</v>
      </c>
      <c r="K28" s="159">
        <v>15.0</v>
      </c>
      <c r="L28" s="159">
        <v>10.0</v>
      </c>
      <c r="M28" s="159">
        <v>8.0</v>
      </c>
      <c r="N28" s="159">
        <v>7.0</v>
      </c>
      <c r="O28" s="159">
        <v>7.0</v>
      </c>
      <c r="P28" s="159">
        <v>5.0</v>
      </c>
      <c r="Q28" s="159">
        <v>4.0</v>
      </c>
      <c r="R28" s="159">
        <v>7.0</v>
      </c>
      <c r="S28" s="159">
        <v>8.0</v>
      </c>
      <c r="T28" s="159">
        <v>10.0</v>
      </c>
      <c r="U28" s="159">
        <v>10.0</v>
      </c>
      <c r="V28" s="159">
        <v>12.0</v>
      </c>
      <c r="W28" s="159">
        <v>15.0</v>
      </c>
      <c r="X28" s="159">
        <v>15.0</v>
      </c>
      <c r="Y28" s="159">
        <v>22.0</v>
      </c>
      <c r="Z28" s="159">
        <v>19.0</v>
      </c>
      <c r="AA28" s="159">
        <v>12.0</v>
      </c>
      <c r="AB28" s="298">
        <v>12.0</v>
      </c>
      <c r="AC28" s="159">
        <v>18.0</v>
      </c>
      <c r="AD28" s="298">
        <v>10.0</v>
      </c>
      <c r="AE28" s="298">
        <v>5.0</v>
      </c>
      <c r="AF28" s="298">
        <v>5.0</v>
      </c>
      <c r="AG28" s="156">
        <f t="shared" ref="AG28:AG32" si="6">SUM(B28:AF28)</f>
        <v>358</v>
      </c>
    </row>
    <row r="29">
      <c r="A29" s="157" t="s">
        <v>486</v>
      </c>
      <c r="B29" s="159">
        <v>6.0</v>
      </c>
      <c r="C29" s="159">
        <v>3.0</v>
      </c>
      <c r="D29" s="159">
        <v>7.0</v>
      </c>
      <c r="E29" s="159">
        <v>8.0</v>
      </c>
      <c r="F29" s="159">
        <v>3.0</v>
      </c>
      <c r="G29" s="159">
        <v>11.0</v>
      </c>
      <c r="H29" s="159">
        <v>2.0</v>
      </c>
      <c r="I29" s="159">
        <v>4.0</v>
      </c>
      <c r="J29" s="159">
        <v>4.0</v>
      </c>
      <c r="K29" s="159">
        <v>4.0</v>
      </c>
      <c r="L29" s="159">
        <v>0.0</v>
      </c>
      <c r="M29" s="159">
        <v>0.0</v>
      </c>
      <c r="N29" s="159">
        <v>0.0</v>
      </c>
      <c r="O29" s="159">
        <v>0.0</v>
      </c>
      <c r="P29" s="159">
        <v>0.0</v>
      </c>
      <c r="Q29" s="159">
        <v>0.0</v>
      </c>
      <c r="R29" s="159">
        <v>0.0</v>
      </c>
      <c r="S29" s="159">
        <v>1.0</v>
      </c>
      <c r="T29" s="159">
        <v>0.0</v>
      </c>
      <c r="U29" s="159">
        <v>0.0</v>
      </c>
      <c r="V29" s="159">
        <v>1.0</v>
      </c>
      <c r="W29" s="159">
        <v>0.0</v>
      </c>
      <c r="X29" s="159">
        <v>0.0</v>
      </c>
      <c r="Y29" s="159">
        <v>0.0</v>
      </c>
      <c r="Z29" s="159">
        <v>0.0</v>
      </c>
      <c r="AA29" s="159">
        <v>0.0</v>
      </c>
      <c r="AB29" s="298">
        <v>0.0</v>
      </c>
      <c r="AC29" s="159">
        <v>0.0</v>
      </c>
      <c r="AD29" s="298">
        <v>0.0</v>
      </c>
      <c r="AE29" s="298">
        <v>0.0</v>
      </c>
      <c r="AF29" s="298">
        <v>0.0</v>
      </c>
      <c r="AG29" s="156">
        <f t="shared" si="6"/>
        <v>54</v>
      </c>
    </row>
    <row r="30">
      <c r="A30" s="157" t="s">
        <v>487</v>
      </c>
      <c r="B30" s="159">
        <v>67.0</v>
      </c>
      <c r="C30" s="159">
        <v>82.0</v>
      </c>
      <c r="D30" s="159">
        <v>40.0</v>
      </c>
      <c r="E30" s="159">
        <v>8.0</v>
      </c>
      <c r="F30" s="159">
        <v>2.0</v>
      </c>
      <c r="G30" s="159">
        <v>25.0</v>
      </c>
      <c r="H30" s="159">
        <v>60.0</v>
      </c>
      <c r="I30" s="159">
        <v>57.0</v>
      </c>
      <c r="J30" s="159">
        <v>68.0</v>
      </c>
      <c r="K30" s="159">
        <v>77.0</v>
      </c>
      <c r="L30" s="159">
        <v>24.0</v>
      </c>
      <c r="M30" s="159">
        <v>18.0</v>
      </c>
      <c r="N30" s="160">
        <v>25.0</v>
      </c>
      <c r="O30" s="159">
        <v>28.0</v>
      </c>
      <c r="P30" s="159">
        <v>38.0</v>
      </c>
      <c r="Q30" s="159">
        <v>29.0</v>
      </c>
      <c r="R30" s="160">
        <v>34.0</v>
      </c>
      <c r="S30" s="159">
        <v>12.0</v>
      </c>
      <c r="T30" s="159">
        <v>28.0</v>
      </c>
      <c r="U30" s="159">
        <v>32.0</v>
      </c>
      <c r="V30" s="159">
        <v>21.0</v>
      </c>
      <c r="W30" s="159">
        <v>14.0</v>
      </c>
      <c r="X30" s="159">
        <v>18.0</v>
      </c>
      <c r="Y30" s="159">
        <v>14.0</v>
      </c>
      <c r="Z30" s="159">
        <v>7.0</v>
      </c>
      <c r="AA30" s="159">
        <v>16.0</v>
      </c>
      <c r="AB30" s="159">
        <v>13.0</v>
      </c>
      <c r="AC30" s="159">
        <v>6.0</v>
      </c>
      <c r="AD30" s="159">
        <v>11.0</v>
      </c>
      <c r="AE30" s="159">
        <v>14.0</v>
      </c>
      <c r="AF30" s="159">
        <v>6.0</v>
      </c>
      <c r="AG30" s="156">
        <f t="shared" si="6"/>
        <v>894</v>
      </c>
    </row>
    <row r="31">
      <c r="A31" s="157" t="s">
        <v>488</v>
      </c>
      <c r="B31" s="159">
        <v>1.0</v>
      </c>
      <c r="C31" s="159">
        <v>0.0</v>
      </c>
      <c r="D31" s="159">
        <v>1.0</v>
      </c>
      <c r="E31" s="159">
        <v>0.0</v>
      </c>
      <c r="F31" s="159">
        <v>0.0</v>
      </c>
      <c r="G31" s="159">
        <v>0.0</v>
      </c>
      <c r="H31" s="159">
        <v>1.0</v>
      </c>
      <c r="I31" s="160">
        <v>0.0</v>
      </c>
      <c r="J31" s="160">
        <v>0.0</v>
      </c>
      <c r="K31" s="160">
        <v>0.0</v>
      </c>
      <c r="L31" s="160">
        <v>1.0</v>
      </c>
      <c r="M31" s="160">
        <v>1.0</v>
      </c>
      <c r="N31" s="158">
        <v>0.0</v>
      </c>
      <c r="O31" s="143">
        <v>0.0</v>
      </c>
      <c r="P31" s="160">
        <v>0.0</v>
      </c>
      <c r="Q31" s="160">
        <v>0.0</v>
      </c>
      <c r="R31" s="160">
        <v>0.0</v>
      </c>
      <c r="S31" s="86">
        <v>0.0</v>
      </c>
      <c r="T31" s="86">
        <v>0.0</v>
      </c>
      <c r="U31" s="86">
        <v>1.0</v>
      </c>
      <c r="V31" s="86">
        <v>1.0</v>
      </c>
      <c r="W31" s="86">
        <v>0.0</v>
      </c>
      <c r="X31" s="86">
        <v>0.0</v>
      </c>
      <c r="Y31" s="86">
        <v>0.0</v>
      </c>
      <c r="Z31" s="169">
        <v>0.0</v>
      </c>
      <c r="AA31" s="86">
        <v>0.0</v>
      </c>
      <c r="AB31" s="86">
        <v>0.0</v>
      </c>
      <c r="AC31" s="86">
        <v>0.0</v>
      </c>
      <c r="AD31" s="86">
        <v>0.0</v>
      </c>
      <c r="AE31" s="86">
        <v>0.0</v>
      </c>
      <c r="AF31" s="86">
        <v>0.0</v>
      </c>
      <c r="AG31" s="156">
        <f t="shared" si="6"/>
        <v>7</v>
      </c>
    </row>
    <row r="32">
      <c r="A32" s="163" t="s">
        <v>127</v>
      </c>
      <c r="B32" s="299">
        <f t="shared" ref="B32:AF32" si="7">SUM(B28:B31)</f>
        <v>78</v>
      </c>
      <c r="C32" s="299">
        <f t="shared" si="7"/>
        <v>91</v>
      </c>
      <c r="D32" s="299">
        <f t="shared" si="7"/>
        <v>65</v>
      </c>
      <c r="E32" s="299">
        <f t="shared" si="7"/>
        <v>38</v>
      </c>
      <c r="F32" s="299">
        <f t="shared" si="7"/>
        <v>27</v>
      </c>
      <c r="G32" s="299">
        <f t="shared" si="7"/>
        <v>52</v>
      </c>
      <c r="H32" s="299">
        <f t="shared" si="7"/>
        <v>74</v>
      </c>
      <c r="I32" s="299">
        <f t="shared" si="7"/>
        <v>71</v>
      </c>
      <c r="J32" s="299">
        <f t="shared" si="7"/>
        <v>86</v>
      </c>
      <c r="K32" s="299">
        <f t="shared" si="7"/>
        <v>96</v>
      </c>
      <c r="L32" s="299">
        <f t="shared" si="7"/>
        <v>35</v>
      </c>
      <c r="M32" s="299">
        <f t="shared" si="7"/>
        <v>27</v>
      </c>
      <c r="N32" s="299">
        <f t="shared" si="7"/>
        <v>32</v>
      </c>
      <c r="O32" s="299">
        <f t="shared" si="7"/>
        <v>35</v>
      </c>
      <c r="P32" s="299">
        <f t="shared" si="7"/>
        <v>43</v>
      </c>
      <c r="Q32" s="299">
        <f t="shared" si="7"/>
        <v>33</v>
      </c>
      <c r="R32" s="299">
        <f t="shared" si="7"/>
        <v>41</v>
      </c>
      <c r="S32" s="299">
        <f t="shared" si="7"/>
        <v>21</v>
      </c>
      <c r="T32" s="299">
        <f t="shared" si="7"/>
        <v>38</v>
      </c>
      <c r="U32" s="299">
        <f t="shared" si="7"/>
        <v>43</v>
      </c>
      <c r="V32" s="299">
        <f t="shared" si="7"/>
        <v>35</v>
      </c>
      <c r="W32" s="299">
        <f t="shared" si="7"/>
        <v>29</v>
      </c>
      <c r="X32" s="299">
        <f t="shared" si="7"/>
        <v>33</v>
      </c>
      <c r="Y32" s="299">
        <f t="shared" si="7"/>
        <v>36</v>
      </c>
      <c r="Z32" s="299">
        <f t="shared" si="7"/>
        <v>26</v>
      </c>
      <c r="AA32" s="299">
        <f t="shared" si="7"/>
        <v>28</v>
      </c>
      <c r="AB32" s="299">
        <f t="shared" si="7"/>
        <v>25</v>
      </c>
      <c r="AC32" s="299">
        <f t="shared" si="7"/>
        <v>24</v>
      </c>
      <c r="AD32" s="299">
        <f t="shared" si="7"/>
        <v>21</v>
      </c>
      <c r="AE32" s="299">
        <f t="shared" si="7"/>
        <v>19</v>
      </c>
      <c r="AF32" s="299">
        <f t="shared" si="7"/>
        <v>11</v>
      </c>
      <c r="AG32" s="156">
        <f t="shared" si="6"/>
        <v>1313</v>
      </c>
    </row>
    <row r="33">
      <c r="A33" s="100"/>
      <c r="B33" s="167"/>
      <c r="C33" s="167"/>
      <c r="D33" s="167"/>
      <c r="E33" s="167"/>
      <c r="F33" s="167"/>
      <c r="G33" s="167"/>
      <c r="H33" s="167"/>
      <c r="I33" s="167"/>
      <c r="J33" s="85"/>
      <c r="K33" s="85"/>
      <c r="L33" s="85"/>
      <c r="M33" s="85"/>
      <c r="N33" s="85"/>
      <c r="O33" s="85"/>
      <c r="P33" s="85"/>
      <c r="Q33" s="85"/>
      <c r="R33" s="85"/>
      <c r="S33" s="85"/>
      <c r="T33" s="85"/>
      <c r="U33" s="85"/>
      <c r="V33" s="85"/>
      <c r="W33" s="85"/>
      <c r="X33" s="85"/>
      <c r="Y33" s="85"/>
      <c r="Z33" s="85"/>
      <c r="AA33" s="85"/>
      <c r="AB33" s="85"/>
      <c r="AC33" s="85"/>
      <c r="AD33" s="85"/>
      <c r="AE33" s="85"/>
      <c r="AF33" s="85"/>
      <c r="AG33" s="156"/>
    </row>
    <row r="34">
      <c r="A34" s="157" t="s">
        <v>131</v>
      </c>
      <c r="B34" s="159">
        <v>18.0</v>
      </c>
      <c r="C34" s="159">
        <v>25.0</v>
      </c>
      <c r="D34" s="159">
        <v>28.0</v>
      </c>
      <c r="E34" s="159">
        <v>19.0</v>
      </c>
      <c r="F34" s="159">
        <v>14.0</v>
      </c>
      <c r="G34" s="159">
        <v>17.0</v>
      </c>
      <c r="H34" s="159">
        <v>18.0</v>
      </c>
      <c r="I34" s="159">
        <v>11.0</v>
      </c>
      <c r="J34" s="159">
        <v>32.0</v>
      </c>
      <c r="K34" s="159">
        <v>29.0</v>
      </c>
      <c r="L34" s="159">
        <v>14.0</v>
      </c>
      <c r="M34" s="160">
        <v>10.0</v>
      </c>
      <c r="N34" s="160">
        <v>15.0</v>
      </c>
      <c r="O34" s="160">
        <v>10.0</v>
      </c>
      <c r="P34" s="160">
        <v>17.0</v>
      </c>
      <c r="Q34" s="160">
        <v>17.0</v>
      </c>
      <c r="R34" s="160">
        <v>15.0</v>
      </c>
      <c r="S34" s="160">
        <v>6.0</v>
      </c>
      <c r="T34" s="160">
        <v>12.0</v>
      </c>
      <c r="U34" s="160">
        <v>11.0</v>
      </c>
      <c r="V34" s="160">
        <v>15.0</v>
      </c>
      <c r="W34" s="160">
        <v>11.0</v>
      </c>
      <c r="X34" s="160">
        <v>10.0</v>
      </c>
      <c r="Y34" s="160">
        <v>17.0</v>
      </c>
      <c r="Z34" s="160">
        <v>11.0</v>
      </c>
      <c r="AA34" s="160">
        <v>6.0</v>
      </c>
      <c r="AB34" s="160">
        <v>8.0</v>
      </c>
      <c r="AC34" s="160">
        <v>6.0</v>
      </c>
      <c r="AD34" s="160">
        <v>10.0</v>
      </c>
      <c r="AE34" s="160">
        <v>23.0</v>
      </c>
      <c r="AF34" s="160">
        <v>12.0</v>
      </c>
      <c r="AG34" s="156">
        <f t="shared" ref="AG34:AG42" si="8">SUM(B34:AF34)</f>
        <v>467</v>
      </c>
    </row>
    <row r="35">
      <c r="A35" s="157" t="s">
        <v>132</v>
      </c>
      <c r="B35" s="159">
        <v>15.0</v>
      </c>
      <c r="C35" s="159">
        <v>25.0</v>
      </c>
      <c r="D35" s="159">
        <v>23.0</v>
      </c>
      <c r="E35" s="159">
        <v>15.0</v>
      </c>
      <c r="F35" s="159">
        <v>12.0</v>
      </c>
      <c r="G35" s="159">
        <v>11.0</v>
      </c>
      <c r="H35" s="159">
        <v>12.0</v>
      </c>
      <c r="I35" s="159">
        <v>15.0</v>
      </c>
      <c r="J35" s="159">
        <v>28.0</v>
      </c>
      <c r="K35" s="159">
        <v>20.0</v>
      </c>
      <c r="L35" s="159">
        <v>5.0</v>
      </c>
      <c r="M35" s="159">
        <v>10.0</v>
      </c>
      <c r="N35" s="159">
        <v>11.0</v>
      </c>
      <c r="O35" s="159">
        <v>10.0</v>
      </c>
      <c r="P35" s="159">
        <v>10.0</v>
      </c>
      <c r="Q35" s="159">
        <v>20.0</v>
      </c>
      <c r="R35" s="159">
        <v>15.0</v>
      </c>
      <c r="S35" s="159">
        <v>14.0</v>
      </c>
      <c r="T35" s="159">
        <v>8.0</v>
      </c>
      <c r="U35" s="160">
        <v>13.0</v>
      </c>
      <c r="V35" s="160">
        <v>13.0</v>
      </c>
      <c r="W35" s="160">
        <v>8.0</v>
      </c>
      <c r="X35" s="160">
        <v>13.0</v>
      </c>
      <c r="Y35" s="160">
        <v>7.0</v>
      </c>
      <c r="Z35" s="160">
        <v>6.0</v>
      </c>
      <c r="AA35" s="160">
        <v>3.0</v>
      </c>
      <c r="AB35" s="160">
        <v>6.0</v>
      </c>
      <c r="AC35" s="160">
        <v>13.0</v>
      </c>
      <c r="AD35" s="160">
        <v>6.0</v>
      </c>
      <c r="AE35" s="160">
        <v>20.0</v>
      </c>
      <c r="AF35" s="160">
        <v>5.0</v>
      </c>
      <c r="AG35" s="156">
        <f t="shared" si="8"/>
        <v>392</v>
      </c>
    </row>
    <row r="36">
      <c r="A36" s="157" t="s">
        <v>489</v>
      </c>
      <c r="B36" s="159">
        <v>5.0</v>
      </c>
      <c r="C36" s="159">
        <v>11.0</v>
      </c>
      <c r="D36" s="159">
        <v>9.0</v>
      </c>
      <c r="E36" s="159">
        <v>6.0</v>
      </c>
      <c r="F36" s="159">
        <v>10.0</v>
      </c>
      <c r="G36" s="159">
        <v>3.0</v>
      </c>
      <c r="H36" s="159">
        <v>8.0</v>
      </c>
      <c r="I36" s="159">
        <v>6.0</v>
      </c>
      <c r="J36" s="159">
        <v>11.0</v>
      </c>
      <c r="K36" s="159">
        <v>7.0</v>
      </c>
      <c r="L36" s="159">
        <v>3.0</v>
      </c>
      <c r="M36" s="159">
        <v>8.0</v>
      </c>
      <c r="N36" s="159">
        <v>2.0</v>
      </c>
      <c r="O36" s="159">
        <v>3.0</v>
      </c>
      <c r="P36" s="159">
        <v>2.0</v>
      </c>
      <c r="Q36" s="159">
        <v>7.0</v>
      </c>
      <c r="R36" s="159">
        <v>4.0</v>
      </c>
      <c r="S36" s="159">
        <v>7.0</v>
      </c>
      <c r="T36" s="159">
        <v>6.0</v>
      </c>
      <c r="U36" s="159">
        <v>8.0</v>
      </c>
      <c r="V36" s="159">
        <v>6.0</v>
      </c>
      <c r="W36" s="159">
        <v>7.0</v>
      </c>
      <c r="X36" s="159">
        <v>6.0</v>
      </c>
      <c r="Y36" s="159">
        <v>8.0</v>
      </c>
      <c r="Z36" s="159">
        <v>4.0</v>
      </c>
      <c r="AA36" s="159">
        <v>6.0</v>
      </c>
      <c r="AB36" s="159">
        <v>3.0</v>
      </c>
      <c r="AC36" s="159">
        <v>6.0</v>
      </c>
      <c r="AD36" s="159">
        <v>5.0</v>
      </c>
      <c r="AE36" s="159">
        <v>8.0</v>
      </c>
      <c r="AF36" s="159">
        <v>2.0</v>
      </c>
      <c r="AG36" s="156">
        <f t="shared" si="8"/>
        <v>187</v>
      </c>
    </row>
    <row r="37">
      <c r="A37" s="157" t="s">
        <v>490</v>
      </c>
      <c r="B37" s="159">
        <v>0.0</v>
      </c>
      <c r="C37" s="159">
        <v>0.0</v>
      </c>
      <c r="D37" s="159">
        <v>0.0</v>
      </c>
      <c r="E37" s="159">
        <v>0.0</v>
      </c>
      <c r="F37" s="159">
        <v>0.0</v>
      </c>
      <c r="G37" s="159">
        <v>0.0</v>
      </c>
      <c r="H37" s="159">
        <v>0.0</v>
      </c>
      <c r="I37" s="159">
        <v>0.0</v>
      </c>
      <c r="J37" s="159">
        <v>0.0</v>
      </c>
      <c r="K37" s="159">
        <v>0.0</v>
      </c>
      <c r="L37" s="159">
        <v>0.0</v>
      </c>
      <c r="M37" s="159">
        <v>0.0</v>
      </c>
      <c r="N37" s="159">
        <v>0.0</v>
      </c>
      <c r="O37" s="159">
        <v>0.0</v>
      </c>
      <c r="P37" s="159">
        <v>0.0</v>
      </c>
      <c r="Q37" s="159">
        <v>0.0</v>
      </c>
      <c r="R37" s="159">
        <v>0.0</v>
      </c>
      <c r="S37" s="159">
        <v>0.0</v>
      </c>
      <c r="T37" s="159">
        <v>0.0</v>
      </c>
      <c r="U37" s="159">
        <v>0.0</v>
      </c>
      <c r="V37" s="159">
        <v>0.0</v>
      </c>
      <c r="W37" s="159">
        <v>0.0</v>
      </c>
      <c r="X37" s="159">
        <v>0.0</v>
      </c>
      <c r="Y37" s="159">
        <v>0.0</v>
      </c>
      <c r="Z37" s="159">
        <v>0.0</v>
      </c>
      <c r="AA37" s="159">
        <v>0.0</v>
      </c>
      <c r="AB37" s="159">
        <v>0.0</v>
      </c>
      <c r="AC37" s="159">
        <v>0.0</v>
      </c>
      <c r="AD37" s="159">
        <v>0.0</v>
      </c>
      <c r="AE37" s="159">
        <v>0.0</v>
      </c>
      <c r="AF37" s="159">
        <v>0.0</v>
      </c>
      <c r="AG37" s="156">
        <f t="shared" si="8"/>
        <v>0</v>
      </c>
    </row>
    <row r="38">
      <c r="A38" s="157" t="s">
        <v>491</v>
      </c>
      <c r="B38" s="159">
        <v>0.0</v>
      </c>
      <c r="C38" s="159">
        <v>0.0</v>
      </c>
      <c r="D38" s="159">
        <v>0.0</v>
      </c>
      <c r="E38" s="159">
        <v>0.0</v>
      </c>
      <c r="F38" s="159">
        <v>0.0</v>
      </c>
      <c r="G38" s="159">
        <v>0.0</v>
      </c>
      <c r="H38" s="159">
        <v>0.0</v>
      </c>
      <c r="I38" s="159">
        <v>0.0</v>
      </c>
      <c r="J38" s="159">
        <v>0.0</v>
      </c>
      <c r="K38" s="159">
        <v>0.0</v>
      </c>
      <c r="L38" s="159">
        <v>0.0</v>
      </c>
      <c r="M38" s="159">
        <v>0.0</v>
      </c>
      <c r="N38" s="159">
        <v>0.0</v>
      </c>
      <c r="O38" s="159">
        <v>0.0</v>
      </c>
      <c r="P38" s="159">
        <v>0.0</v>
      </c>
      <c r="Q38" s="159">
        <v>0.0</v>
      </c>
      <c r="R38" s="159">
        <v>0.0</v>
      </c>
      <c r="S38" s="159">
        <v>0.0</v>
      </c>
      <c r="T38" s="159">
        <v>0.0</v>
      </c>
      <c r="U38" s="159">
        <v>0.0</v>
      </c>
      <c r="V38" s="159">
        <v>0.0</v>
      </c>
      <c r="W38" s="159">
        <v>0.0</v>
      </c>
      <c r="X38" s="159">
        <v>0.0</v>
      </c>
      <c r="Y38" s="159">
        <v>0.0</v>
      </c>
      <c r="Z38" s="159">
        <v>0.0</v>
      </c>
      <c r="AA38" s="159">
        <v>0.0</v>
      </c>
      <c r="AB38" s="159">
        <v>0.0</v>
      </c>
      <c r="AC38" s="159">
        <v>0.0</v>
      </c>
      <c r="AD38" s="159">
        <v>0.0</v>
      </c>
      <c r="AE38" s="159">
        <v>0.0</v>
      </c>
      <c r="AF38" s="159">
        <v>0.0</v>
      </c>
      <c r="AG38" s="156">
        <f t="shared" si="8"/>
        <v>0</v>
      </c>
    </row>
    <row r="39">
      <c r="A39" s="157" t="s">
        <v>492</v>
      </c>
      <c r="B39" s="159">
        <v>0.0</v>
      </c>
      <c r="C39" s="159">
        <v>0.0</v>
      </c>
      <c r="D39" s="159">
        <v>0.0</v>
      </c>
      <c r="E39" s="159">
        <v>0.0</v>
      </c>
      <c r="F39" s="159">
        <v>0.0</v>
      </c>
      <c r="G39" s="159">
        <v>0.0</v>
      </c>
      <c r="H39" s="159">
        <v>0.0</v>
      </c>
      <c r="I39" s="159">
        <v>0.0</v>
      </c>
      <c r="J39" s="159">
        <v>0.0</v>
      </c>
      <c r="K39" s="159">
        <v>0.0</v>
      </c>
      <c r="L39" s="159">
        <v>0.0</v>
      </c>
      <c r="M39" s="159">
        <v>0.0</v>
      </c>
      <c r="N39" s="159">
        <v>0.0</v>
      </c>
      <c r="O39" s="159">
        <v>0.0</v>
      </c>
      <c r="P39" s="159">
        <v>0.0</v>
      </c>
      <c r="Q39" s="159">
        <v>0.0</v>
      </c>
      <c r="R39" s="159">
        <v>0.0</v>
      </c>
      <c r="S39" s="159">
        <v>0.0</v>
      </c>
      <c r="T39" s="159">
        <v>0.0</v>
      </c>
      <c r="U39" s="159">
        <v>0.0</v>
      </c>
      <c r="V39" s="159">
        <v>0.0</v>
      </c>
      <c r="W39" s="159">
        <v>0.0</v>
      </c>
      <c r="X39" s="159">
        <v>0.0</v>
      </c>
      <c r="Y39" s="159">
        <v>0.0</v>
      </c>
      <c r="Z39" s="159">
        <v>0.0</v>
      </c>
      <c r="AA39" s="159">
        <v>0.0</v>
      </c>
      <c r="AB39" s="159">
        <v>0.0</v>
      </c>
      <c r="AC39" s="159">
        <v>0.0</v>
      </c>
      <c r="AD39" s="159">
        <v>0.0</v>
      </c>
      <c r="AE39" s="159">
        <v>0.0</v>
      </c>
      <c r="AF39" s="159">
        <v>0.0</v>
      </c>
      <c r="AG39" s="156">
        <f t="shared" si="8"/>
        <v>0</v>
      </c>
    </row>
    <row r="40">
      <c r="A40" s="157" t="s">
        <v>493</v>
      </c>
      <c r="B40" s="159">
        <v>20.0</v>
      </c>
      <c r="C40" s="159">
        <v>26.0</v>
      </c>
      <c r="D40" s="159">
        <v>35.0</v>
      </c>
      <c r="E40" s="159">
        <v>21.0</v>
      </c>
      <c r="F40" s="159">
        <v>15.0</v>
      </c>
      <c r="G40" s="159">
        <v>18.0</v>
      </c>
      <c r="H40" s="159">
        <v>14.0</v>
      </c>
      <c r="I40" s="159">
        <v>16.0</v>
      </c>
      <c r="J40" s="159">
        <v>33.0</v>
      </c>
      <c r="K40" s="159">
        <v>25.0</v>
      </c>
      <c r="L40" s="159">
        <v>11.0</v>
      </c>
      <c r="M40" s="159">
        <v>6.0</v>
      </c>
      <c r="N40" s="159">
        <v>8.0</v>
      </c>
      <c r="O40" s="159">
        <v>5.0</v>
      </c>
      <c r="P40" s="159">
        <v>2.0</v>
      </c>
      <c r="Q40" s="159">
        <v>8.0</v>
      </c>
      <c r="R40" s="159">
        <v>6.0</v>
      </c>
      <c r="S40" s="159">
        <v>9.0</v>
      </c>
      <c r="T40" s="159">
        <v>5.0</v>
      </c>
      <c r="U40" s="159">
        <v>8.0</v>
      </c>
      <c r="V40" s="159">
        <v>6.0</v>
      </c>
      <c r="W40" s="159">
        <v>5.0</v>
      </c>
      <c r="X40" s="159">
        <v>20.0</v>
      </c>
      <c r="Y40" s="159">
        <v>22.0</v>
      </c>
      <c r="Z40" s="159">
        <v>10.0</v>
      </c>
      <c r="AA40" s="159">
        <v>16.0</v>
      </c>
      <c r="AB40" s="159">
        <v>9.0</v>
      </c>
      <c r="AC40" s="170">
        <v>11.0</v>
      </c>
      <c r="AD40" s="170">
        <v>10.0</v>
      </c>
      <c r="AE40" s="170">
        <v>24.0</v>
      </c>
      <c r="AF40" s="170">
        <v>21.0</v>
      </c>
      <c r="AG40" s="156">
        <f t="shared" si="8"/>
        <v>445</v>
      </c>
    </row>
    <row r="41">
      <c r="A41" s="157" t="s">
        <v>494</v>
      </c>
      <c r="B41" s="159">
        <v>0.0</v>
      </c>
      <c r="C41" s="159">
        <v>0.0</v>
      </c>
      <c r="D41" s="159">
        <v>0.0</v>
      </c>
      <c r="E41" s="159">
        <v>0.0</v>
      </c>
      <c r="F41" s="159">
        <v>0.0</v>
      </c>
      <c r="G41" s="159">
        <v>0.0</v>
      </c>
      <c r="H41" s="159">
        <v>0.0</v>
      </c>
      <c r="I41" s="159">
        <v>0.0</v>
      </c>
      <c r="J41" s="159">
        <v>0.0</v>
      </c>
      <c r="K41" s="159">
        <v>0.0</v>
      </c>
      <c r="L41" s="159">
        <v>0.0</v>
      </c>
      <c r="M41" s="159">
        <v>0.0</v>
      </c>
      <c r="N41" s="159">
        <v>0.0</v>
      </c>
      <c r="O41" s="159">
        <v>0.0</v>
      </c>
      <c r="P41" s="159">
        <v>0.0</v>
      </c>
      <c r="Q41" s="159">
        <v>0.0</v>
      </c>
      <c r="R41" s="159">
        <v>0.0</v>
      </c>
      <c r="S41" s="159">
        <v>0.0</v>
      </c>
      <c r="T41" s="159">
        <v>0.0</v>
      </c>
      <c r="U41" s="159">
        <v>0.0</v>
      </c>
      <c r="V41" s="159">
        <v>0.0</v>
      </c>
      <c r="W41" s="159">
        <v>0.0</v>
      </c>
      <c r="X41" s="159">
        <v>0.0</v>
      </c>
      <c r="Y41" s="159">
        <v>0.0</v>
      </c>
      <c r="Z41" s="159">
        <v>0.0</v>
      </c>
      <c r="AA41" s="159">
        <v>0.0</v>
      </c>
      <c r="AB41" s="159">
        <v>0.0</v>
      </c>
      <c r="AC41" s="170">
        <v>0.0</v>
      </c>
      <c r="AD41" s="170">
        <v>0.0</v>
      </c>
      <c r="AE41" s="170">
        <v>0.0</v>
      </c>
      <c r="AF41" s="170">
        <v>0.0</v>
      </c>
      <c r="AG41" s="156">
        <f t="shared" si="8"/>
        <v>0</v>
      </c>
    </row>
    <row r="42">
      <c r="A42" s="163" t="s">
        <v>141</v>
      </c>
      <c r="B42" s="299">
        <f t="shared" ref="B42:AF42" si="9">SUM(B34:B41)</f>
        <v>58</v>
      </c>
      <c r="C42" s="299">
        <f t="shared" si="9"/>
        <v>87</v>
      </c>
      <c r="D42" s="299">
        <f t="shared" si="9"/>
        <v>95</v>
      </c>
      <c r="E42" s="299">
        <f t="shared" si="9"/>
        <v>61</v>
      </c>
      <c r="F42" s="299">
        <f t="shared" si="9"/>
        <v>51</v>
      </c>
      <c r="G42" s="299">
        <f t="shared" si="9"/>
        <v>49</v>
      </c>
      <c r="H42" s="299">
        <f t="shared" si="9"/>
        <v>52</v>
      </c>
      <c r="I42" s="299">
        <f t="shared" si="9"/>
        <v>48</v>
      </c>
      <c r="J42" s="299">
        <f t="shared" si="9"/>
        <v>104</v>
      </c>
      <c r="K42" s="299">
        <f t="shared" si="9"/>
        <v>81</v>
      </c>
      <c r="L42" s="299">
        <f t="shared" si="9"/>
        <v>33</v>
      </c>
      <c r="M42" s="299">
        <f t="shared" si="9"/>
        <v>34</v>
      </c>
      <c r="N42" s="299">
        <f t="shared" si="9"/>
        <v>36</v>
      </c>
      <c r="O42" s="299">
        <f t="shared" si="9"/>
        <v>28</v>
      </c>
      <c r="P42" s="299">
        <f t="shared" si="9"/>
        <v>31</v>
      </c>
      <c r="Q42" s="299">
        <f t="shared" si="9"/>
        <v>52</v>
      </c>
      <c r="R42" s="299">
        <f t="shared" si="9"/>
        <v>40</v>
      </c>
      <c r="S42" s="299">
        <f t="shared" si="9"/>
        <v>36</v>
      </c>
      <c r="T42" s="299">
        <f t="shared" si="9"/>
        <v>31</v>
      </c>
      <c r="U42" s="299">
        <f t="shared" si="9"/>
        <v>40</v>
      </c>
      <c r="V42" s="299">
        <f t="shared" si="9"/>
        <v>40</v>
      </c>
      <c r="W42" s="299">
        <f t="shared" si="9"/>
        <v>31</v>
      </c>
      <c r="X42" s="299">
        <f t="shared" si="9"/>
        <v>49</v>
      </c>
      <c r="Y42" s="299">
        <f t="shared" si="9"/>
        <v>54</v>
      </c>
      <c r="Z42" s="299">
        <f t="shared" si="9"/>
        <v>31</v>
      </c>
      <c r="AA42" s="299">
        <f t="shared" si="9"/>
        <v>31</v>
      </c>
      <c r="AB42" s="299">
        <f t="shared" si="9"/>
        <v>26</v>
      </c>
      <c r="AC42" s="299">
        <f t="shared" si="9"/>
        <v>36</v>
      </c>
      <c r="AD42" s="299">
        <f t="shared" si="9"/>
        <v>31</v>
      </c>
      <c r="AE42" s="299">
        <f t="shared" si="9"/>
        <v>75</v>
      </c>
      <c r="AF42" s="299">
        <f t="shared" si="9"/>
        <v>40</v>
      </c>
      <c r="AG42" s="156">
        <f t="shared" si="8"/>
        <v>1491</v>
      </c>
    </row>
    <row r="43">
      <c r="A43" s="172"/>
      <c r="AG43" s="156"/>
    </row>
    <row r="44">
      <c r="A44" s="172"/>
      <c r="AG44" s="156"/>
    </row>
    <row r="45">
      <c r="A45" s="300" t="s">
        <v>495</v>
      </c>
      <c r="B45" s="130"/>
      <c r="C45" s="130"/>
      <c r="D45" s="130"/>
      <c r="E45" s="130"/>
      <c r="F45" s="130"/>
      <c r="G45" s="130"/>
      <c r="H45" s="130"/>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156">
        <f t="shared" ref="AG45:AG107" si="10">SUM(B45:AF45)</f>
        <v>0</v>
      </c>
    </row>
    <row r="46" outlineLevel="1">
      <c r="A46" s="301" t="s">
        <v>496</v>
      </c>
      <c r="B46" s="302"/>
      <c r="C46" s="302"/>
      <c r="D46" s="302"/>
      <c r="E46" s="302"/>
      <c r="F46" s="302"/>
      <c r="G46" s="302"/>
      <c r="H46" s="303"/>
      <c r="I46" s="303"/>
      <c r="J46" s="303"/>
      <c r="K46" s="303"/>
      <c r="L46" s="303"/>
      <c r="M46" s="302"/>
      <c r="N46" s="303"/>
      <c r="O46" s="303"/>
      <c r="P46" s="303"/>
      <c r="Q46" s="303"/>
      <c r="R46" s="302"/>
      <c r="S46" s="302"/>
      <c r="T46" s="303"/>
      <c r="U46" s="303"/>
      <c r="V46" s="303"/>
      <c r="W46" s="303"/>
      <c r="X46" s="303"/>
      <c r="Y46" s="303"/>
      <c r="Z46" s="303"/>
      <c r="AA46" s="303"/>
      <c r="AB46" s="303"/>
      <c r="AC46" s="303"/>
      <c r="AD46" s="303"/>
      <c r="AE46" s="303"/>
      <c r="AF46" s="303"/>
      <c r="AG46" s="95">
        <f t="shared" si="10"/>
        <v>0</v>
      </c>
    </row>
    <row r="47" outlineLevel="1">
      <c r="A47" s="301" t="s">
        <v>497</v>
      </c>
      <c r="B47" s="302"/>
      <c r="C47" s="302"/>
      <c r="D47" s="302"/>
      <c r="E47" s="302"/>
      <c r="F47" s="302"/>
      <c r="G47" s="302"/>
      <c r="H47" s="303"/>
      <c r="I47" s="303"/>
      <c r="J47" s="303"/>
      <c r="K47" s="303"/>
      <c r="L47" s="303"/>
      <c r="M47" s="302"/>
      <c r="N47" s="303"/>
      <c r="O47" s="303"/>
      <c r="P47" s="303"/>
      <c r="Q47" s="303"/>
      <c r="R47" s="302"/>
      <c r="S47" s="302"/>
      <c r="T47" s="303"/>
      <c r="U47" s="303"/>
      <c r="V47" s="303"/>
      <c r="W47" s="303"/>
      <c r="X47" s="303"/>
      <c r="Y47" s="303"/>
      <c r="Z47" s="303"/>
      <c r="AA47" s="303"/>
      <c r="AB47" s="303"/>
      <c r="AC47" s="303"/>
      <c r="AD47" s="303"/>
      <c r="AE47" s="303"/>
      <c r="AF47" s="303"/>
      <c r="AG47" s="95">
        <f t="shared" si="10"/>
        <v>0</v>
      </c>
    </row>
    <row r="48" outlineLevel="1">
      <c r="A48" s="304" t="s">
        <v>498</v>
      </c>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c r="AA48" s="303"/>
      <c r="AB48" s="303">
        <f t="shared" ref="AB48:AF48" si="11">AB31</f>
        <v>0</v>
      </c>
      <c r="AC48" s="303">
        <f t="shared" si="11"/>
        <v>0</v>
      </c>
      <c r="AD48" s="303">
        <f t="shared" si="11"/>
        <v>0</v>
      </c>
      <c r="AE48" s="303">
        <f t="shared" si="11"/>
        <v>0</v>
      </c>
      <c r="AF48" s="303">
        <f t="shared" si="11"/>
        <v>0</v>
      </c>
      <c r="AG48" s="95">
        <f t="shared" si="10"/>
        <v>0</v>
      </c>
    </row>
    <row r="49" outlineLevel="1">
      <c r="A49" s="304" t="s">
        <v>499</v>
      </c>
      <c r="B49" s="302"/>
      <c r="C49" s="302"/>
      <c r="D49" s="302"/>
      <c r="E49" s="302"/>
      <c r="F49" s="302"/>
      <c r="G49" s="302"/>
      <c r="H49" s="303"/>
      <c r="I49" s="303"/>
      <c r="J49" s="303"/>
      <c r="K49" s="303"/>
      <c r="L49" s="303"/>
      <c r="M49" s="302"/>
      <c r="N49" s="303"/>
      <c r="O49" s="303"/>
      <c r="P49" s="303"/>
      <c r="Q49" s="303"/>
      <c r="R49" s="302"/>
      <c r="S49" s="302"/>
      <c r="T49" s="303"/>
      <c r="U49" s="303"/>
      <c r="V49" s="303"/>
      <c r="W49" s="303"/>
      <c r="X49" s="303"/>
      <c r="Y49" s="303"/>
      <c r="Z49" s="303"/>
      <c r="AA49" s="303"/>
      <c r="AB49" s="303"/>
      <c r="AC49" s="303"/>
      <c r="AD49" s="303"/>
      <c r="AE49" s="303"/>
      <c r="AF49" s="303"/>
      <c r="AG49" s="95">
        <f t="shared" si="10"/>
        <v>0</v>
      </c>
    </row>
    <row r="50" outlineLevel="1">
      <c r="A50" s="304" t="s">
        <v>500</v>
      </c>
      <c r="B50" s="302"/>
      <c r="C50" s="302"/>
      <c r="D50" s="302"/>
      <c r="E50" s="302"/>
      <c r="F50" s="302"/>
      <c r="G50" s="302"/>
      <c r="H50" s="303"/>
      <c r="I50" s="303"/>
      <c r="J50" s="303"/>
      <c r="K50" s="303"/>
      <c r="L50" s="303"/>
      <c r="M50" s="302"/>
      <c r="N50" s="303"/>
      <c r="O50" s="303"/>
      <c r="P50" s="303"/>
      <c r="Q50" s="303"/>
      <c r="R50" s="302"/>
      <c r="S50" s="302"/>
      <c r="T50" s="303"/>
      <c r="U50" s="303"/>
      <c r="V50" s="303"/>
      <c r="W50" s="303"/>
      <c r="X50" s="303"/>
      <c r="Y50" s="303"/>
      <c r="Z50" s="303"/>
      <c r="AA50" s="303"/>
      <c r="AB50" s="303"/>
      <c r="AC50" s="303"/>
      <c r="AD50" s="303"/>
      <c r="AE50" s="303"/>
      <c r="AF50" s="303"/>
      <c r="AG50" s="95">
        <f t="shared" si="10"/>
        <v>0</v>
      </c>
    </row>
    <row r="51" outlineLevel="1">
      <c r="A51" s="304" t="s">
        <v>501</v>
      </c>
      <c r="B51" s="302"/>
      <c r="C51" s="302"/>
      <c r="D51" s="302"/>
      <c r="E51" s="302"/>
      <c r="F51" s="302"/>
      <c r="G51" s="302"/>
      <c r="H51" s="303"/>
      <c r="I51" s="303"/>
      <c r="J51" s="303"/>
      <c r="K51" s="303"/>
      <c r="L51" s="303"/>
      <c r="M51" s="302"/>
      <c r="N51" s="303"/>
      <c r="O51" s="303"/>
      <c r="P51" s="303"/>
      <c r="Q51" s="303"/>
      <c r="R51" s="302"/>
      <c r="S51" s="302"/>
      <c r="T51" s="303"/>
      <c r="U51" s="303"/>
      <c r="V51" s="303"/>
      <c r="W51" s="303"/>
      <c r="X51" s="303"/>
      <c r="Y51" s="303"/>
      <c r="Z51" s="303"/>
      <c r="AA51" s="303"/>
      <c r="AB51" s="303"/>
      <c r="AC51" s="303"/>
      <c r="AD51" s="303"/>
      <c r="AE51" s="303"/>
      <c r="AF51" s="303"/>
      <c r="AG51" s="95">
        <f t="shared" si="10"/>
        <v>0</v>
      </c>
    </row>
    <row r="52" outlineLevel="1">
      <c r="A52" s="304" t="s">
        <v>502</v>
      </c>
      <c r="B52" s="305"/>
      <c r="C52" s="305"/>
      <c r="D52" s="99"/>
      <c r="E52" s="306"/>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5">
        <f t="shared" si="10"/>
        <v>0</v>
      </c>
    </row>
    <row r="53" outlineLevel="1">
      <c r="A53" s="304" t="s">
        <v>503</v>
      </c>
      <c r="B53" s="307"/>
      <c r="C53" s="99"/>
      <c r="D53" s="305"/>
      <c r="E53" s="306"/>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5">
        <f t="shared" si="10"/>
        <v>0</v>
      </c>
    </row>
    <row r="54" outlineLevel="1">
      <c r="A54" s="308" t="s">
        <v>504</v>
      </c>
      <c r="B54" s="309">
        <f>B46+B50+B52</f>
        <v>0</v>
      </c>
      <c r="C54" s="309">
        <f t="shared" ref="C54:AF54" si="12">SUM(C46:C53)</f>
        <v>0</v>
      </c>
      <c r="D54" s="309">
        <f t="shared" si="12"/>
        <v>0</v>
      </c>
      <c r="E54" s="309">
        <f t="shared" si="12"/>
        <v>0</v>
      </c>
      <c r="F54" s="309">
        <f t="shared" si="12"/>
        <v>0</v>
      </c>
      <c r="G54" s="309">
        <f t="shared" si="12"/>
        <v>0</v>
      </c>
      <c r="H54" s="309">
        <f t="shared" si="12"/>
        <v>0</v>
      </c>
      <c r="I54" s="309">
        <f t="shared" si="12"/>
        <v>0</v>
      </c>
      <c r="J54" s="309">
        <f t="shared" si="12"/>
        <v>0</v>
      </c>
      <c r="K54" s="309">
        <f t="shared" si="12"/>
        <v>0</v>
      </c>
      <c r="L54" s="309">
        <f t="shared" si="12"/>
        <v>0</v>
      </c>
      <c r="M54" s="309">
        <f t="shared" si="12"/>
        <v>0</v>
      </c>
      <c r="N54" s="309">
        <f t="shared" si="12"/>
        <v>0</v>
      </c>
      <c r="O54" s="309">
        <f t="shared" si="12"/>
        <v>0</v>
      </c>
      <c r="P54" s="309">
        <f t="shared" si="12"/>
        <v>0</v>
      </c>
      <c r="Q54" s="309">
        <f t="shared" si="12"/>
        <v>0</v>
      </c>
      <c r="R54" s="309">
        <f t="shared" si="12"/>
        <v>0</v>
      </c>
      <c r="S54" s="309">
        <f t="shared" si="12"/>
        <v>0</v>
      </c>
      <c r="T54" s="309">
        <f t="shared" si="12"/>
        <v>0</v>
      </c>
      <c r="U54" s="309">
        <f t="shared" si="12"/>
        <v>0</v>
      </c>
      <c r="V54" s="309">
        <f t="shared" si="12"/>
        <v>0</v>
      </c>
      <c r="W54" s="309">
        <f t="shared" si="12"/>
        <v>0</v>
      </c>
      <c r="X54" s="309">
        <f t="shared" si="12"/>
        <v>0</v>
      </c>
      <c r="Y54" s="309">
        <f t="shared" si="12"/>
        <v>0</v>
      </c>
      <c r="Z54" s="309">
        <f t="shared" si="12"/>
        <v>0</v>
      </c>
      <c r="AA54" s="309">
        <f t="shared" si="12"/>
        <v>0</v>
      </c>
      <c r="AB54" s="309">
        <f t="shared" si="12"/>
        <v>0</v>
      </c>
      <c r="AC54" s="309">
        <f t="shared" si="12"/>
        <v>0</v>
      </c>
      <c r="AD54" s="309">
        <f t="shared" si="12"/>
        <v>0</v>
      </c>
      <c r="AE54" s="309">
        <f t="shared" si="12"/>
        <v>0</v>
      </c>
      <c r="AF54" s="309">
        <f t="shared" si="12"/>
        <v>0</v>
      </c>
      <c r="AG54" s="95">
        <f t="shared" si="10"/>
        <v>0</v>
      </c>
    </row>
    <row r="55" outlineLevel="1">
      <c r="A55" s="308" t="s">
        <v>505</v>
      </c>
      <c r="B55" s="309">
        <f t="shared" ref="B55:AF55" si="13">B48+B51+B53</f>
        <v>0</v>
      </c>
      <c r="C55" s="309">
        <f t="shared" si="13"/>
        <v>0</v>
      </c>
      <c r="D55" s="309">
        <f t="shared" si="13"/>
        <v>0</v>
      </c>
      <c r="E55" s="309">
        <f t="shared" si="13"/>
        <v>0</v>
      </c>
      <c r="F55" s="309">
        <f t="shared" si="13"/>
        <v>0</v>
      </c>
      <c r="G55" s="309">
        <f t="shared" si="13"/>
        <v>0</v>
      </c>
      <c r="H55" s="309">
        <f t="shared" si="13"/>
        <v>0</v>
      </c>
      <c r="I55" s="309">
        <f t="shared" si="13"/>
        <v>0</v>
      </c>
      <c r="J55" s="309">
        <f t="shared" si="13"/>
        <v>0</v>
      </c>
      <c r="K55" s="309">
        <f t="shared" si="13"/>
        <v>0</v>
      </c>
      <c r="L55" s="309">
        <f t="shared" si="13"/>
        <v>0</v>
      </c>
      <c r="M55" s="309">
        <f t="shared" si="13"/>
        <v>0</v>
      </c>
      <c r="N55" s="309">
        <f t="shared" si="13"/>
        <v>0</v>
      </c>
      <c r="O55" s="309">
        <f t="shared" si="13"/>
        <v>0</v>
      </c>
      <c r="P55" s="309">
        <f t="shared" si="13"/>
        <v>0</v>
      </c>
      <c r="Q55" s="309">
        <f t="shared" si="13"/>
        <v>0</v>
      </c>
      <c r="R55" s="309">
        <f t="shared" si="13"/>
        <v>0</v>
      </c>
      <c r="S55" s="309">
        <f t="shared" si="13"/>
        <v>0</v>
      </c>
      <c r="T55" s="309">
        <f t="shared" si="13"/>
        <v>0</v>
      </c>
      <c r="U55" s="309">
        <f t="shared" si="13"/>
        <v>0</v>
      </c>
      <c r="V55" s="309">
        <f t="shared" si="13"/>
        <v>0</v>
      </c>
      <c r="W55" s="309">
        <f t="shared" si="13"/>
        <v>0</v>
      </c>
      <c r="X55" s="309">
        <f t="shared" si="13"/>
        <v>0</v>
      </c>
      <c r="Y55" s="309">
        <f t="shared" si="13"/>
        <v>0</v>
      </c>
      <c r="Z55" s="309">
        <f t="shared" si="13"/>
        <v>0</v>
      </c>
      <c r="AA55" s="309">
        <f t="shared" si="13"/>
        <v>0</v>
      </c>
      <c r="AB55" s="309">
        <f t="shared" si="13"/>
        <v>0</v>
      </c>
      <c r="AC55" s="309">
        <f t="shared" si="13"/>
        <v>0</v>
      </c>
      <c r="AD55" s="309">
        <f t="shared" si="13"/>
        <v>0</v>
      </c>
      <c r="AE55" s="309">
        <f t="shared" si="13"/>
        <v>0</v>
      </c>
      <c r="AF55" s="309">
        <f t="shared" si="13"/>
        <v>0</v>
      </c>
      <c r="AG55" s="95">
        <f t="shared" si="10"/>
        <v>0</v>
      </c>
    </row>
    <row r="56" ht="21.0" customHeight="1" outlineLevel="1">
      <c r="A56" s="310"/>
      <c r="B56" s="130"/>
      <c r="C56" s="130"/>
      <c r="D56" s="130"/>
      <c r="E56" s="130"/>
      <c r="F56" s="130"/>
      <c r="G56" s="130"/>
      <c r="H56" s="130"/>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95">
        <f t="shared" si="10"/>
        <v>0</v>
      </c>
    </row>
    <row r="57" outlineLevel="1">
      <c r="A57" s="301" t="s">
        <v>506</v>
      </c>
      <c r="B57" s="302"/>
      <c r="C57" s="302"/>
      <c r="D57" s="302"/>
      <c r="E57" s="302"/>
      <c r="F57" s="302"/>
      <c r="G57" s="302"/>
      <c r="H57" s="303"/>
      <c r="I57" s="303"/>
      <c r="J57" s="303"/>
      <c r="K57" s="303"/>
      <c r="L57" s="303"/>
      <c r="M57" s="302"/>
      <c r="N57" s="303"/>
      <c r="O57" s="303"/>
      <c r="P57" s="303"/>
      <c r="Q57" s="303"/>
      <c r="R57" s="302"/>
      <c r="S57" s="302"/>
      <c r="T57" s="303"/>
      <c r="U57" s="94"/>
      <c r="V57" s="94"/>
      <c r="W57" s="303"/>
      <c r="X57" s="303"/>
      <c r="Y57" s="303"/>
      <c r="Z57" s="303"/>
      <c r="AA57" s="303"/>
      <c r="AB57" s="303"/>
      <c r="AC57" s="303"/>
      <c r="AD57" s="303"/>
      <c r="AE57" s="303"/>
      <c r="AF57" s="303"/>
      <c r="AG57" s="95">
        <f t="shared" si="10"/>
        <v>0</v>
      </c>
    </row>
    <row r="58" outlineLevel="1">
      <c r="A58" s="301" t="s">
        <v>507</v>
      </c>
      <c r="B58" s="302"/>
      <c r="C58" s="302"/>
      <c r="D58" s="302"/>
      <c r="E58" s="302"/>
      <c r="F58" s="302"/>
      <c r="G58" s="302"/>
      <c r="H58" s="303"/>
      <c r="I58" s="303"/>
      <c r="J58" s="303"/>
      <c r="K58" s="303"/>
      <c r="L58" s="303"/>
      <c r="M58" s="302"/>
      <c r="N58" s="303"/>
      <c r="O58" s="303"/>
      <c r="P58" s="303"/>
      <c r="Q58" s="303"/>
      <c r="R58" s="302"/>
      <c r="S58" s="302"/>
      <c r="T58" s="303"/>
      <c r="U58" s="303"/>
      <c r="V58" s="94"/>
      <c r="W58" s="94"/>
      <c r="X58" s="94"/>
      <c r="Y58" s="303"/>
      <c r="Z58" s="303"/>
      <c r="AA58" s="303"/>
      <c r="AB58" s="303"/>
      <c r="AC58" s="303"/>
      <c r="AD58" s="303"/>
      <c r="AE58" s="303"/>
      <c r="AF58" s="303"/>
      <c r="AG58" s="95">
        <f t="shared" si="10"/>
        <v>0</v>
      </c>
    </row>
    <row r="59" outlineLevel="1">
      <c r="A59" s="304" t="s">
        <v>508</v>
      </c>
      <c r="B59" s="302"/>
      <c r="C59" s="302"/>
      <c r="D59" s="302"/>
      <c r="E59" s="302"/>
      <c r="F59" s="302"/>
      <c r="G59" s="302"/>
      <c r="H59" s="303"/>
      <c r="I59" s="303"/>
      <c r="J59" s="303"/>
      <c r="K59" s="303"/>
      <c r="L59" s="303"/>
      <c r="M59" s="302"/>
      <c r="N59" s="303"/>
      <c r="O59" s="303"/>
      <c r="P59" s="303"/>
      <c r="Q59" s="303"/>
      <c r="R59" s="302"/>
      <c r="S59" s="302"/>
      <c r="T59" s="303"/>
      <c r="U59" s="94"/>
      <c r="V59" s="94"/>
      <c r="W59" s="303"/>
      <c r="X59" s="303"/>
      <c r="Y59" s="303"/>
      <c r="Z59" s="303"/>
      <c r="AA59" s="303"/>
      <c r="AB59" s="303"/>
      <c r="AC59" s="303"/>
      <c r="AD59" s="303"/>
      <c r="AE59" s="303"/>
      <c r="AF59" s="303"/>
      <c r="AG59" s="95">
        <f t="shared" si="10"/>
        <v>0</v>
      </c>
    </row>
    <row r="60" outlineLevel="1">
      <c r="A60" s="301" t="s">
        <v>509</v>
      </c>
      <c r="B60" s="302"/>
      <c r="C60" s="302"/>
      <c r="D60" s="302"/>
      <c r="E60" s="302"/>
      <c r="F60" s="302"/>
      <c r="G60" s="302"/>
      <c r="H60" s="303"/>
      <c r="I60" s="303"/>
      <c r="J60" s="303"/>
      <c r="K60" s="303"/>
      <c r="L60" s="303"/>
      <c r="M60" s="302"/>
      <c r="N60" s="303"/>
      <c r="O60" s="303"/>
      <c r="P60" s="303"/>
      <c r="Q60" s="303"/>
      <c r="R60" s="302"/>
      <c r="S60" s="302"/>
      <c r="T60" s="303"/>
      <c r="U60" s="98"/>
      <c r="V60" s="98"/>
      <c r="W60" s="303"/>
      <c r="X60" s="94"/>
      <c r="Y60" s="303"/>
      <c r="Z60" s="303"/>
      <c r="AA60" s="303"/>
      <c r="AB60" s="303"/>
      <c r="AC60" s="303"/>
      <c r="AD60" s="303"/>
      <c r="AE60" s="303"/>
      <c r="AF60" s="303"/>
      <c r="AG60" s="95">
        <f t="shared" si="10"/>
        <v>0</v>
      </c>
    </row>
    <row r="61" outlineLevel="1">
      <c r="A61" s="301" t="s">
        <v>510</v>
      </c>
      <c r="B61" s="302"/>
      <c r="C61" s="302"/>
      <c r="D61" s="302"/>
      <c r="E61" s="302"/>
      <c r="F61" s="302"/>
      <c r="G61" s="302"/>
      <c r="H61" s="303"/>
      <c r="I61" s="303"/>
      <c r="J61" s="303"/>
      <c r="K61" s="303"/>
      <c r="L61" s="303"/>
      <c r="M61" s="302"/>
      <c r="N61" s="303"/>
      <c r="O61" s="303"/>
      <c r="P61" s="303"/>
      <c r="Q61" s="303"/>
      <c r="R61" s="302"/>
      <c r="S61" s="302"/>
      <c r="T61" s="303"/>
      <c r="U61" s="98"/>
      <c r="V61" s="98"/>
      <c r="W61" s="303"/>
      <c r="X61" s="303"/>
      <c r="Y61" s="303"/>
      <c r="Z61" s="303"/>
      <c r="AA61" s="303"/>
      <c r="AB61" s="303"/>
      <c r="AC61" s="303"/>
      <c r="AD61" s="303"/>
      <c r="AE61" s="303"/>
      <c r="AF61" s="303"/>
      <c r="AG61" s="95">
        <f t="shared" si="10"/>
        <v>0</v>
      </c>
    </row>
    <row r="62" outlineLevel="1">
      <c r="A62" s="311" t="s">
        <v>511</v>
      </c>
      <c r="B62" s="309">
        <f t="shared" ref="B62:AF62" si="14">SUM(B57:B61)</f>
        <v>0</v>
      </c>
      <c r="C62" s="309">
        <f t="shared" si="14"/>
        <v>0</v>
      </c>
      <c r="D62" s="309">
        <f t="shared" si="14"/>
        <v>0</v>
      </c>
      <c r="E62" s="309">
        <f t="shared" si="14"/>
        <v>0</v>
      </c>
      <c r="F62" s="309">
        <f t="shared" si="14"/>
        <v>0</v>
      </c>
      <c r="G62" s="309">
        <f t="shared" si="14"/>
        <v>0</v>
      </c>
      <c r="H62" s="309">
        <f t="shared" si="14"/>
        <v>0</v>
      </c>
      <c r="I62" s="309">
        <f t="shared" si="14"/>
        <v>0</v>
      </c>
      <c r="J62" s="309">
        <f t="shared" si="14"/>
        <v>0</v>
      </c>
      <c r="K62" s="309">
        <f t="shared" si="14"/>
        <v>0</v>
      </c>
      <c r="L62" s="309">
        <f t="shared" si="14"/>
        <v>0</v>
      </c>
      <c r="M62" s="309">
        <f t="shared" si="14"/>
        <v>0</v>
      </c>
      <c r="N62" s="309">
        <f t="shared" si="14"/>
        <v>0</v>
      </c>
      <c r="O62" s="309">
        <f t="shared" si="14"/>
        <v>0</v>
      </c>
      <c r="P62" s="309">
        <f t="shared" si="14"/>
        <v>0</v>
      </c>
      <c r="Q62" s="309">
        <f t="shared" si="14"/>
        <v>0</v>
      </c>
      <c r="R62" s="309">
        <f t="shared" si="14"/>
        <v>0</v>
      </c>
      <c r="S62" s="309">
        <f t="shared" si="14"/>
        <v>0</v>
      </c>
      <c r="T62" s="309">
        <f t="shared" si="14"/>
        <v>0</v>
      </c>
      <c r="U62" s="309">
        <f t="shared" si="14"/>
        <v>0</v>
      </c>
      <c r="V62" s="309">
        <f t="shared" si="14"/>
        <v>0</v>
      </c>
      <c r="W62" s="309">
        <f t="shared" si="14"/>
        <v>0</v>
      </c>
      <c r="X62" s="309">
        <f t="shared" si="14"/>
        <v>0</v>
      </c>
      <c r="Y62" s="309">
        <f t="shared" si="14"/>
        <v>0</v>
      </c>
      <c r="Z62" s="309">
        <f t="shared" si="14"/>
        <v>0</v>
      </c>
      <c r="AA62" s="309">
        <f t="shared" si="14"/>
        <v>0</v>
      </c>
      <c r="AB62" s="309">
        <f t="shared" si="14"/>
        <v>0</v>
      </c>
      <c r="AC62" s="309">
        <f t="shared" si="14"/>
        <v>0</v>
      </c>
      <c r="AD62" s="309">
        <f t="shared" si="14"/>
        <v>0</v>
      </c>
      <c r="AE62" s="309">
        <f t="shared" si="14"/>
        <v>0</v>
      </c>
      <c r="AF62" s="309">
        <f t="shared" si="14"/>
        <v>0</v>
      </c>
      <c r="AG62" s="95">
        <f t="shared" si="10"/>
        <v>0</v>
      </c>
    </row>
    <row r="63" outlineLevel="1">
      <c r="A63" s="310"/>
      <c r="B63" s="130"/>
      <c r="C63" s="130"/>
      <c r="D63" s="130"/>
      <c r="E63" s="130"/>
      <c r="F63" s="130"/>
      <c r="G63" s="130"/>
      <c r="H63" s="130"/>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95">
        <f t="shared" si="10"/>
        <v>0</v>
      </c>
    </row>
    <row r="64" outlineLevel="1">
      <c r="A64" s="304" t="s">
        <v>512</v>
      </c>
      <c r="B64" s="302"/>
      <c r="C64" s="302"/>
      <c r="D64" s="302"/>
      <c r="E64" s="302"/>
      <c r="F64" s="302"/>
      <c r="G64" s="302"/>
      <c r="H64" s="303"/>
      <c r="I64" s="303"/>
      <c r="J64" s="303"/>
      <c r="K64" s="303"/>
      <c r="L64" s="303"/>
      <c r="M64" s="302"/>
      <c r="N64" s="303"/>
      <c r="O64" s="303"/>
      <c r="P64" s="303"/>
      <c r="Q64" s="303"/>
      <c r="R64" s="302"/>
      <c r="S64" s="302"/>
      <c r="T64" s="303"/>
      <c r="U64" s="303"/>
      <c r="V64" s="303"/>
      <c r="W64" s="303"/>
      <c r="X64" s="303"/>
      <c r="Y64" s="303"/>
      <c r="Z64" s="303"/>
      <c r="AA64" s="303"/>
      <c r="AB64" s="303"/>
      <c r="AC64" s="303"/>
      <c r="AD64" s="303"/>
      <c r="AE64" s="303"/>
      <c r="AF64" s="303"/>
      <c r="AG64" s="95">
        <f t="shared" si="10"/>
        <v>0</v>
      </c>
    </row>
    <row r="65" outlineLevel="1">
      <c r="A65" s="304" t="s">
        <v>513</v>
      </c>
      <c r="B65" s="302"/>
      <c r="C65" s="302"/>
      <c r="D65" s="302"/>
      <c r="E65" s="302"/>
      <c r="F65" s="302"/>
      <c r="G65" s="302"/>
      <c r="H65" s="303"/>
      <c r="I65" s="303"/>
      <c r="J65" s="303"/>
      <c r="K65" s="303"/>
      <c r="L65" s="303"/>
      <c r="M65" s="302"/>
      <c r="N65" s="303"/>
      <c r="O65" s="303"/>
      <c r="P65" s="303"/>
      <c r="Q65" s="303"/>
      <c r="R65" s="302"/>
      <c r="S65" s="302"/>
      <c r="T65" s="303"/>
      <c r="U65" s="303"/>
      <c r="V65" s="303"/>
      <c r="W65" s="303"/>
      <c r="X65" s="303"/>
      <c r="Y65" s="303"/>
      <c r="Z65" s="303"/>
      <c r="AA65" s="303"/>
      <c r="AB65" s="303"/>
      <c r="AC65" s="303"/>
      <c r="AD65" s="303"/>
      <c r="AE65" s="303"/>
      <c r="AF65" s="303"/>
      <c r="AG65" s="95">
        <f t="shared" si="10"/>
        <v>0</v>
      </c>
    </row>
    <row r="66" outlineLevel="1">
      <c r="A66" s="304" t="s">
        <v>514</v>
      </c>
      <c r="B66" s="302"/>
      <c r="C66" s="302"/>
      <c r="D66" s="302"/>
      <c r="E66" s="302"/>
      <c r="F66" s="302"/>
      <c r="G66" s="302"/>
      <c r="H66" s="303"/>
      <c r="I66" s="303"/>
      <c r="J66" s="303"/>
      <c r="K66" s="303"/>
      <c r="L66" s="303"/>
      <c r="M66" s="302"/>
      <c r="N66" s="303"/>
      <c r="O66" s="303"/>
      <c r="P66" s="303"/>
      <c r="Q66" s="303"/>
      <c r="R66" s="302"/>
      <c r="S66" s="302"/>
      <c r="T66" s="303"/>
      <c r="U66" s="303"/>
      <c r="V66" s="303"/>
      <c r="W66" s="303"/>
      <c r="X66" s="303"/>
      <c r="Y66" s="303"/>
      <c r="Z66" s="303"/>
      <c r="AA66" s="303"/>
      <c r="AB66" s="303"/>
      <c r="AC66" s="303"/>
      <c r="AD66" s="303"/>
      <c r="AE66" s="303"/>
      <c r="AF66" s="303"/>
      <c r="AG66" s="95">
        <f t="shared" si="10"/>
        <v>0</v>
      </c>
    </row>
    <row r="67" outlineLevel="1">
      <c r="A67" s="304" t="s">
        <v>515</v>
      </c>
      <c r="B67" s="302"/>
      <c r="C67" s="302"/>
      <c r="D67" s="302"/>
      <c r="E67" s="302"/>
      <c r="F67" s="302"/>
      <c r="G67" s="302"/>
      <c r="H67" s="303"/>
      <c r="I67" s="303"/>
      <c r="J67" s="303"/>
      <c r="K67" s="303"/>
      <c r="L67" s="303"/>
      <c r="M67" s="302"/>
      <c r="N67" s="303"/>
      <c r="O67" s="303"/>
      <c r="P67" s="303"/>
      <c r="Q67" s="303"/>
      <c r="R67" s="302"/>
      <c r="S67" s="302"/>
      <c r="T67" s="303"/>
      <c r="U67" s="303"/>
      <c r="V67" s="303"/>
      <c r="W67" s="303"/>
      <c r="X67" s="303"/>
      <c r="Y67" s="303"/>
      <c r="Z67" s="303"/>
      <c r="AA67" s="303"/>
      <c r="AB67" s="303"/>
      <c r="AC67" s="303"/>
      <c r="AD67" s="303"/>
      <c r="AE67" s="303"/>
      <c r="AF67" s="303"/>
      <c r="AG67" s="95">
        <f t="shared" si="10"/>
        <v>0</v>
      </c>
    </row>
    <row r="68" outlineLevel="1">
      <c r="A68" s="304" t="s">
        <v>516</v>
      </c>
      <c r="B68" s="302"/>
      <c r="C68" s="302"/>
      <c r="D68" s="302"/>
      <c r="E68" s="302"/>
      <c r="F68" s="302"/>
      <c r="G68" s="302"/>
      <c r="H68" s="303"/>
      <c r="I68" s="303"/>
      <c r="J68" s="303"/>
      <c r="K68" s="303"/>
      <c r="L68" s="303"/>
      <c r="M68" s="302"/>
      <c r="N68" s="303"/>
      <c r="O68" s="303"/>
      <c r="P68" s="303"/>
      <c r="Q68" s="303"/>
      <c r="R68" s="302"/>
      <c r="S68" s="302"/>
      <c r="T68" s="303"/>
      <c r="U68" s="303"/>
      <c r="V68" s="303"/>
      <c r="W68" s="303"/>
      <c r="X68" s="303"/>
      <c r="Y68" s="303"/>
      <c r="Z68" s="303"/>
      <c r="AA68" s="303"/>
      <c r="AB68" s="303"/>
      <c r="AC68" s="303"/>
      <c r="AD68" s="303"/>
      <c r="AE68" s="303"/>
      <c r="AF68" s="303"/>
      <c r="AG68" s="95">
        <f t="shared" si="10"/>
        <v>0</v>
      </c>
    </row>
    <row r="69" outlineLevel="1">
      <c r="A69" s="312" t="s">
        <v>517</v>
      </c>
      <c r="B69" s="309">
        <f t="shared" ref="B69:AF69" si="15">SUM(B64:B68)</f>
        <v>0</v>
      </c>
      <c r="C69" s="309">
        <f t="shared" si="15"/>
        <v>0</v>
      </c>
      <c r="D69" s="309">
        <f t="shared" si="15"/>
        <v>0</v>
      </c>
      <c r="E69" s="309">
        <f t="shared" si="15"/>
        <v>0</v>
      </c>
      <c r="F69" s="309">
        <f t="shared" si="15"/>
        <v>0</v>
      </c>
      <c r="G69" s="309">
        <f t="shared" si="15"/>
        <v>0</v>
      </c>
      <c r="H69" s="309">
        <f t="shared" si="15"/>
        <v>0</v>
      </c>
      <c r="I69" s="309">
        <f t="shared" si="15"/>
        <v>0</v>
      </c>
      <c r="J69" s="309">
        <f t="shared" si="15"/>
        <v>0</v>
      </c>
      <c r="K69" s="309">
        <f t="shared" si="15"/>
        <v>0</v>
      </c>
      <c r="L69" s="309">
        <f t="shared" si="15"/>
        <v>0</v>
      </c>
      <c r="M69" s="309">
        <f t="shared" si="15"/>
        <v>0</v>
      </c>
      <c r="N69" s="309">
        <f t="shared" si="15"/>
        <v>0</v>
      </c>
      <c r="O69" s="309">
        <f t="shared" si="15"/>
        <v>0</v>
      </c>
      <c r="P69" s="309">
        <f t="shared" si="15"/>
        <v>0</v>
      </c>
      <c r="Q69" s="309">
        <f t="shared" si="15"/>
        <v>0</v>
      </c>
      <c r="R69" s="309">
        <f t="shared" si="15"/>
        <v>0</v>
      </c>
      <c r="S69" s="309">
        <f t="shared" si="15"/>
        <v>0</v>
      </c>
      <c r="T69" s="309">
        <f t="shared" si="15"/>
        <v>0</v>
      </c>
      <c r="U69" s="309">
        <f t="shared" si="15"/>
        <v>0</v>
      </c>
      <c r="V69" s="309">
        <f t="shared" si="15"/>
        <v>0</v>
      </c>
      <c r="W69" s="309">
        <f t="shared" si="15"/>
        <v>0</v>
      </c>
      <c r="X69" s="309">
        <f t="shared" si="15"/>
        <v>0</v>
      </c>
      <c r="Y69" s="309">
        <f t="shared" si="15"/>
        <v>0</v>
      </c>
      <c r="Z69" s="309">
        <f t="shared" si="15"/>
        <v>0</v>
      </c>
      <c r="AA69" s="309">
        <f t="shared" si="15"/>
        <v>0</v>
      </c>
      <c r="AB69" s="309">
        <f t="shared" si="15"/>
        <v>0</v>
      </c>
      <c r="AC69" s="309">
        <f t="shared" si="15"/>
        <v>0</v>
      </c>
      <c r="AD69" s="309">
        <f t="shared" si="15"/>
        <v>0</v>
      </c>
      <c r="AE69" s="309">
        <f t="shared" si="15"/>
        <v>0</v>
      </c>
      <c r="AF69" s="309">
        <f t="shared" si="15"/>
        <v>0</v>
      </c>
      <c r="AG69" s="95">
        <f t="shared" si="10"/>
        <v>0</v>
      </c>
    </row>
    <row r="70" outlineLevel="1">
      <c r="A70" s="310"/>
      <c r="B70" s="130"/>
      <c r="C70" s="130"/>
      <c r="D70" s="130"/>
      <c r="E70" s="130"/>
      <c r="F70" s="130"/>
      <c r="G70" s="130"/>
      <c r="H70" s="130"/>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95">
        <f t="shared" si="10"/>
        <v>0</v>
      </c>
    </row>
    <row r="71" outlineLevel="1">
      <c r="A71" s="304" t="s">
        <v>518</v>
      </c>
      <c r="B71" s="305"/>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c r="AA71" s="306"/>
      <c r="AB71" s="306"/>
      <c r="AC71" s="306"/>
      <c r="AD71" s="306"/>
      <c r="AE71" s="306"/>
      <c r="AF71" s="306"/>
      <c r="AG71" s="95">
        <f t="shared" si="10"/>
        <v>0</v>
      </c>
    </row>
    <row r="72" outlineLevel="1">
      <c r="A72" s="304" t="s">
        <v>519</v>
      </c>
      <c r="B72" s="305"/>
      <c r="C72" s="313"/>
      <c r="D72" s="99"/>
      <c r="E72" s="306"/>
      <c r="F72" s="306"/>
      <c r="G72" s="306"/>
      <c r="H72" s="306"/>
      <c r="I72" s="306"/>
      <c r="J72" s="306"/>
      <c r="K72" s="306"/>
      <c r="L72" s="306"/>
      <c r="M72" s="306"/>
      <c r="N72" s="306"/>
      <c r="O72" s="306"/>
      <c r="P72" s="306"/>
      <c r="Q72" s="306"/>
      <c r="R72" s="306"/>
      <c r="S72" s="306"/>
      <c r="T72" s="306"/>
      <c r="U72" s="306"/>
      <c r="V72" s="306"/>
      <c r="W72" s="306"/>
      <c r="X72" s="306"/>
      <c r="Y72" s="306"/>
      <c r="Z72" s="306"/>
      <c r="AA72" s="306"/>
      <c r="AB72" s="306"/>
      <c r="AC72" s="306"/>
      <c r="AD72" s="306"/>
      <c r="AE72" s="306"/>
      <c r="AF72" s="306"/>
      <c r="AG72" s="95">
        <f t="shared" si="10"/>
        <v>0</v>
      </c>
    </row>
    <row r="73" outlineLevel="1">
      <c r="A73" s="304" t="s">
        <v>520</v>
      </c>
      <c r="B73" s="305"/>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c r="AA73" s="306"/>
      <c r="AB73" s="306"/>
      <c r="AC73" s="306"/>
      <c r="AD73" s="306"/>
      <c r="AE73" s="306"/>
      <c r="AF73" s="306"/>
      <c r="AG73" s="95">
        <f t="shared" si="10"/>
        <v>0</v>
      </c>
    </row>
    <row r="74" outlineLevel="1">
      <c r="A74" s="304" t="s">
        <v>521</v>
      </c>
      <c r="B74" s="305"/>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c r="AA74" s="306"/>
      <c r="AB74" s="306"/>
      <c r="AC74" s="306"/>
      <c r="AD74" s="306"/>
      <c r="AE74" s="306"/>
      <c r="AF74" s="306"/>
      <c r="AG74" s="95">
        <f t="shared" si="10"/>
        <v>0</v>
      </c>
    </row>
    <row r="75" outlineLevel="1">
      <c r="A75" s="304" t="s">
        <v>522</v>
      </c>
      <c r="B75" s="306"/>
      <c r="C75" s="313"/>
      <c r="D75" s="306"/>
      <c r="E75" s="306"/>
      <c r="F75" s="306"/>
      <c r="G75" s="306"/>
      <c r="H75" s="306"/>
      <c r="I75" s="306"/>
      <c r="J75" s="306"/>
      <c r="K75" s="306"/>
      <c r="L75" s="306"/>
      <c r="M75" s="306"/>
      <c r="N75" s="306"/>
      <c r="O75" s="306"/>
      <c r="P75" s="306"/>
      <c r="Q75" s="306"/>
      <c r="R75" s="306"/>
      <c r="S75" s="306"/>
      <c r="T75" s="306"/>
      <c r="U75" s="306"/>
      <c r="V75" s="306"/>
      <c r="W75" s="306"/>
      <c r="X75" s="306"/>
      <c r="Y75" s="306"/>
      <c r="Z75" s="306"/>
      <c r="AA75" s="306"/>
      <c r="AB75" s="306"/>
      <c r="AC75" s="306"/>
      <c r="AD75" s="306"/>
      <c r="AE75" s="306"/>
      <c r="AF75" s="306"/>
      <c r="AG75" s="95">
        <f t="shared" si="10"/>
        <v>0</v>
      </c>
    </row>
    <row r="76" outlineLevel="1">
      <c r="A76" s="312" t="s">
        <v>523</v>
      </c>
      <c r="B76" s="309">
        <f>SUM(B71:B75)</f>
        <v>0</v>
      </c>
      <c r="C76" s="309">
        <f>SUM(C71:C74)</f>
        <v>0</v>
      </c>
      <c r="D76" s="309">
        <f t="shared" ref="D76:F76" si="16">SUM(D71:D75)</f>
        <v>0</v>
      </c>
      <c r="E76" s="309">
        <f t="shared" si="16"/>
        <v>0</v>
      </c>
      <c r="F76" s="309">
        <f t="shared" si="16"/>
        <v>0</v>
      </c>
      <c r="G76" s="309">
        <f t="shared" ref="G76:V76" si="17">SUM(G71:G74)</f>
        <v>0</v>
      </c>
      <c r="H76" s="309">
        <f t="shared" si="17"/>
        <v>0</v>
      </c>
      <c r="I76" s="309">
        <f t="shared" si="17"/>
        <v>0</v>
      </c>
      <c r="J76" s="309">
        <f t="shared" si="17"/>
        <v>0</v>
      </c>
      <c r="K76" s="309">
        <f t="shared" si="17"/>
        <v>0</v>
      </c>
      <c r="L76" s="309">
        <f t="shared" si="17"/>
        <v>0</v>
      </c>
      <c r="M76" s="309">
        <f t="shared" si="17"/>
        <v>0</v>
      </c>
      <c r="N76" s="309">
        <f t="shared" si="17"/>
        <v>0</v>
      </c>
      <c r="O76" s="309">
        <f t="shared" si="17"/>
        <v>0</v>
      </c>
      <c r="P76" s="309">
        <f t="shared" si="17"/>
        <v>0</v>
      </c>
      <c r="Q76" s="309">
        <f t="shared" si="17"/>
        <v>0</v>
      </c>
      <c r="R76" s="309">
        <f t="shared" si="17"/>
        <v>0</v>
      </c>
      <c r="S76" s="309">
        <f t="shared" si="17"/>
        <v>0</v>
      </c>
      <c r="T76" s="309">
        <f t="shared" si="17"/>
        <v>0</v>
      </c>
      <c r="U76" s="309">
        <f t="shared" si="17"/>
        <v>0</v>
      </c>
      <c r="V76" s="309">
        <f t="shared" si="17"/>
        <v>0</v>
      </c>
      <c r="W76" s="309">
        <f>SUM(W71:W75)</f>
        <v>0</v>
      </c>
      <c r="X76" s="309">
        <f t="shared" ref="X76:AF76" si="18">SUM(X71:X74)</f>
        <v>0</v>
      </c>
      <c r="Y76" s="309">
        <f t="shared" si="18"/>
        <v>0</v>
      </c>
      <c r="Z76" s="309">
        <f t="shared" si="18"/>
        <v>0</v>
      </c>
      <c r="AA76" s="309">
        <f t="shared" si="18"/>
        <v>0</v>
      </c>
      <c r="AB76" s="309">
        <f t="shared" si="18"/>
        <v>0</v>
      </c>
      <c r="AC76" s="309">
        <f t="shared" si="18"/>
        <v>0</v>
      </c>
      <c r="AD76" s="309">
        <f t="shared" si="18"/>
        <v>0</v>
      </c>
      <c r="AE76" s="309">
        <f t="shared" si="18"/>
        <v>0</v>
      </c>
      <c r="AF76" s="309">
        <f t="shared" si="18"/>
        <v>0</v>
      </c>
      <c r="AG76" s="95">
        <f t="shared" si="10"/>
        <v>0</v>
      </c>
    </row>
    <row r="77" outlineLevel="1">
      <c r="A77" s="310"/>
      <c r="B77" s="130"/>
      <c r="C77" s="130"/>
      <c r="D77" s="130"/>
      <c r="E77" s="130"/>
      <c r="F77" s="130"/>
      <c r="G77" s="130"/>
      <c r="H77" s="130"/>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95">
        <f t="shared" si="10"/>
        <v>0</v>
      </c>
    </row>
    <row r="78">
      <c r="A78" s="300" t="s">
        <v>524</v>
      </c>
      <c r="B78" s="130"/>
      <c r="C78" s="130"/>
      <c r="D78" s="130"/>
      <c r="E78" s="130"/>
      <c r="F78" s="130"/>
      <c r="G78" s="130"/>
      <c r="H78" s="130"/>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95">
        <f t="shared" si="10"/>
        <v>0</v>
      </c>
    </row>
    <row r="79" outlineLevel="1">
      <c r="A79" s="314" t="s">
        <v>525</v>
      </c>
      <c r="B79" s="315"/>
      <c r="C79" s="315"/>
      <c r="D79" s="315"/>
      <c r="E79" s="315"/>
      <c r="F79" s="315"/>
      <c r="G79" s="315"/>
      <c r="H79" s="116"/>
      <c r="I79" s="116"/>
      <c r="J79" s="116"/>
      <c r="K79" s="116"/>
      <c r="L79" s="116"/>
      <c r="M79" s="315"/>
      <c r="N79" s="116"/>
      <c r="O79" s="116"/>
      <c r="P79" s="116"/>
      <c r="Q79" s="116"/>
      <c r="R79" s="315"/>
      <c r="S79" s="315"/>
      <c r="T79" s="116"/>
      <c r="U79" s="116"/>
      <c r="V79" s="116"/>
      <c r="W79" s="116"/>
      <c r="X79" s="116"/>
      <c r="Y79" s="116"/>
      <c r="Z79" s="116"/>
      <c r="AA79" s="116"/>
      <c r="AB79" s="116"/>
      <c r="AC79" s="116"/>
      <c r="AD79" s="116"/>
      <c r="AE79" s="116"/>
      <c r="AF79" s="116"/>
      <c r="AG79" s="95">
        <f t="shared" si="10"/>
        <v>0</v>
      </c>
    </row>
    <row r="80" outlineLevel="1">
      <c r="A80" s="190" t="s">
        <v>526</v>
      </c>
      <c r="B80" s="116"/>
      <c r="C80" s="116"/>
      <c r="D80" s="116"/>
      <c r="E80" s="316"/>
      <c r="F80" s="316"/>
      <c r="G80" s="316"/>
      <c r="H80" s="316"/>
      <c r="I80" s="316"/>
      <c r="J80" s="316"/>
      <c r="K80" s="316"/>
      <c r="L80" s="316"/>
      <c r="M80" s="316"/>
      <c r="N80" s="316"/>
      <c r="O80" s="316"/>
      <c r="P80" s="316"/>
      <c r="Q80" s="316"/>
      <c r="R80" s="316"/>
      <c r="S80" s="316"/>
      <c r="T80" s="316"/>
      <c r="U80" s="316"/>
      <c r="V80" s="316"/>
      <c r="W80" s="316"/>
      <c r="X80" s="316"/>
      <c r="Y80" s="316"/>
      <c r="Z80" s="116"/>
      <c r="AA80" s="116"/>
      <c r="AB80" s="116">
        <f t="shared" ref="AB80:AF80" si="19">AB9</f>
        <v>7992.33</v>
      </c>
      <c r="AC80" s="116">
        <f t="shared" si="19"/>
        <v>7570.74</v>
      </c>
      <c r="AD80" s="116">
        <f t="shared" si="19"/>
        <v>7060.85</v>
      </c>
      <c r="AE80" s="116">
        <f t="shared" si="19"/>
        <v>7665.47</v>
      </c>
      <c r="AF80" s="116">
        <f t="shared" si="19"/>
        <v>4451.22</v>
      </c>
      <c r="AG80" s="95">
        <f t="shared" si="10"/>
        <v>34740.61</v>
      </c>
    </row>
    <row r="81" outlineLevel="1">
      <c r="A81" s="190" t="s">
        <v>500</v>
      </c>
      <c r="B81" s="315"/>
      <c r="C81" s="315"/>
      <c r="D81" s="315"/>
      <c r="E81" s="315"/>
      <c r="F81" s="315"/>
      <c r="G81" s="315"/>
      <c r="H81" s="116"/>
      <c r="I81" s="116"/>
      <c r="J81" s="116"/>
      <c r="K81" s="116"/>
      <c r="L81" s="116"/>
      <c r="M81" s="315"/>
      <c r="N81" s="317"/>
      <c r="O81" s="116"/>
      <c r="P81" s="315"/>
      <c r="Q81" s="116"/>
      <c r="R81" s="116"/>
      <c r="S81" s="315"/>
      <c r="T81" s="116"/>
      <c r="U81" s="116"/>
      <c r="V81" s="315"/>
      <c r="W81" s="116"/>
      <c r="X81" s="116"/>
      <c r="Y81" s="116"/>
      <c r="Z81" s="116"/>
      <c r="AA81" s="116"/>
      <c r="AB81" s="116"/>
      <c r="AC81" s="116"/>
      <c r="AD81" s="116"/>
      <c r="AE81" s="116"/>
      <c r="AF81" s="116"/>
      <c r="AG81" s="95">
        <f t="shared" si="10"/>
        <v>0</v>
      </c>
    </row>
    <row r="82" outlineLevel="1">
      <c r="A82" s="190" t="s">
        <v>501</v>
      </c>
      <c r="B82" s="315"/>
      <c r="C82" s="315"/>
      <c r="D82" s="315"/>
      <c r="E82" s="315"/>
      <c r="F82" s="315"/>
      <c r="G82" s="315"/>
      <c r="H82" s="116"/>
      <c r="I82" s="116"/>
      <c r="J82" s="116"/>
      <c r="K82" s="116"/>
      <c r="L82" s="116"/>
      <c r="M82" s="315"/>
      <c r="N82" s="116"/>
      <c r="O82" s="116"/>
      <c r="P82" s="116"/>
      <c r="Q82" s="315"/>
      <c r="R82" s="315"/>
      <c r="S82" s="318"/>
      <c r="T82" s="116"/>
      <c r="U82" s="116"/>
      <c r="V82" s="116"/>
      <c r="W82" s="116"/>
      <c r="X82" s="116"/>
      <c r="Y82" s="116"/>
      <c r="Z82" s="116"/>
      <c r="AA82" s="116"/>
      <c r="AB82" s="116"/>
      <c r="AC82" s="116"/>
      <c r="AD82" s="116"/>
      <c r="AE82" s="116"/>
      <c r="AF82" s="116"/>
      <c r="AG82" s="95">
        <f t="shared" si="10"/>
        <v>0</v>
      </c>
    </row>
    <row r="83" ht="20.25" customHeight="1" outlineLevel="1">
      <c r="A83" s="190" t="s">
        <v>502</v>
      </c>
      <c r="B83" s="319"/>
      <c r="C83" s="115"/>
      <c r="D83" s="115"/>
      <c r="E83" s="115"/>
      <c r="F83" s="115"/>
      <c r="G83" s="115"/>
      <c r="H83" s="115"/>
      <c r="I83" s="115"/>
      <c r="J83" s="319"/>
      <c r="K83" s="319"/>
      <c r="L83" s="319"/>
      <c r="M83" s="319"/>
      <c r="N83" s="319"/>
      <c r="O83" s="319"/>
      <c r="P83" s="319"/>
      <c r="Q83" s="319"/>
      <c r="R83" s="319"/>
      <c r="S83" s="319"/>
      <c r="T83" s="319"/>
      <c r="U83" s="319"/>
      <c r="V83" s="319"/>
      <c r="W83" s="115"/>
      <c r="X83" s="319"/>
      <c r="Y83" s="319"/>
      <c r="Z83" s="319"/>
      <c r="AA83" s="319"/>
      <c r="AB83" s="319"/>
      <c r="AC83" s="319"/>
      <c r="AD83" s="319"/>
      <c r="AE83" s="319"/>
      <c r="AF83" s="319"/>
      <c r="AG83" s="95">
        <f t="shared" si="10"/>
        <v>0</v>
      </c>
    </row>
    <row r="84" outlineLevel="1">
      <c r="A84" s="190" t="s">
        <v>503</v>
      </c>
      <c r="B84" s="319"/>
      <c r="C84" s="115"/>
      <c r="D84" s="319"/>
      <c r="E84" s="115"/>
      <c r="F84" s="115"/>
      <c r="G84" s="115"/>
      <c r="H84" s="115"/>
      <c r="I84" s="115"/>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95">
        <f t="shared" si="10"/>
        <v>0</v>
      </c>
    </row>
    <row r="85" outlineLevel="1">
      <c r="A85" s="320" t="s">
        <v>504</v>
      </c>
      <c r="B85" s="321">
        <f t="shared" ref="B85:AF85" si="20">B79+B81+B83</f>
        <v>0</v>
      </c>
      <c r="C85" s="321">
        <f t="shared" si="20"/>
        <v>0</v>
      </c>
      <c r="D85" s="321">
        <f t="shared" si="20"/>
        <v>0</v>
      </c>
      <c r="E85" s="321">
        <f t="shared" si="20"/>
        <v>0</v>
      </c>
      <c r="F85" s="321">
        <f t="shared" si="20"/>
        <v>0</v>
      </c>
      <c r="G85" s="321">
        <f t="shared" si="20"/>
        <v>0</v>
      </c>
      <c r="H85" s="321">
        <f t="shared" si="20"/>
        <v>0</v>
      </c>
      <c r="I85" s="321">
        <f t="shared" si="20"/>
        <v>0</v>
      </c>
      <c r="J85" s="321">
        <f t="shared" si="20"/>
        <v>0</v>
      </c>
      <c r="K85" s="321">
        <f t="shared" si="20"/>
        <v>0</v>
      </c>
      <c r="L85" s="321">
        <f t="shared" si="20"/>
        <v>0</v>
      </c>
      <c r="M85" s="321">
        <f t="shared" si="20"/>
        <v>0</v>
      </c>
      <c r="N85" s="321">
        <f t="shared" si="20"/>
        <v>0</v>
      </c>
      <c r="O85" s="321">
        <f t="shared" si="20"/>
        <v>0</v>
      </c>
      <c r="P85" s="321">
        <f t="shared" si="20"/>
        <v>0</v>
      </c>
      <c r="Q85" s="321">
        <f t="shared" si="20"/>
        <v>0</v>
      </c>
      <c r="R85" s="321">
        <f t="shared" si="20"/>
        <v>0</v>
      </c>
      <c r="S85" s="321">
        <f t="shared" si="20"/>
        <v>0</v>
      </c>
      <c r="T85" s="321">
        <f t="shared" si="20"/>
        <v>0</v>
      </c>
      <c r="U85" s="321">
        <f t="shared" si="20"/>
        <v>0</v>
      </c>
      <c r="V85" s="321">
        <f t="shared" si="20"/>
        <v>0</v>
      </c>
      <c r="W85" s="321">
        <f t="shared" si="20"/>
        <v>0</v>
      </c>
      <c r="X85" s="321">
        <f t="shared" si="20"/>
        <v>0</v>
      </c>
      <c r="Y85" s="321">
        <f t="shared" si="20"/>
        <v>0</v>
      </c>
      <c r="Z85" s="321">
        <f t="shared" si="20"/>
        <v>0</v>
      </c>
      <c r="AA85" s="321">
        <f t="shared" si="20"/>
        <v>0</v>
      </c>
      <c r="AB85" s="321">
        <f t="shared" si="20"/>
        <v>0</v>
      </c>
      <c r="AC85" s="321">
        <f t="shared" si="20"/>
        <v>0</v>
      </c>
      <c r="AD85" s="321">
        <f t="shared" si="20"/>
        <v>0</v>
      </c>
      <c r="AE85" s="321">
        <f t="shared" si="20"/>
        <v>0</v>
      </c>
      <c r="AF85" s="321">
        <f t="shared" si="20"/>
        <v>0</v>
      </c>
      <c r="AG85" s="95">
        <f t="shared" si="10"/>
        <v>0</v>
      </c>
    </row>
    <row r="86" outlineLevel="1">
      <c r="A86" s="320" t="s">
        <v>505</v>
      </c>
      <c r="B86" s="321">
        <f t="shared" ref="B86:AF86" si="21">B80+B82+B84</f>
        <v>0</v>
      </c>
      <c r="C86" s="321">
        <f t="shared" si="21"/>
        <v>0</v>
      </c>
      <c r="D86" s="321">
        <f t="shared" si="21"/>
        <v>0</v>
      </c>
      <c r="E86" s="321">
        <f t="shared" si="21"/>
        <v>0</v>
      </c>
      <c r="F86" s="321">
        <f t="shared" si="21"/>
        <v>0</v>
      </c>
      <c r="G86" s="321">
        <f t="shared" si="21"/>
        <v>0</v>
      </c>
      <c r="H86" s="321">
        <f t="shared" si="21"/>
        <v>0</v>
      </c>
      <c r="I86" s="321">
        <f t="shared" si="21"/>
        <v>0</v>
      </c>
      <c r="J86" s="321">
        <f t="shared" si="21"/>
        <v>0</v>
      </c>
      <c r="K86" s="321">
        <f t="shared" si="21"/>
        <v>0</v>
      </c>
      <c r="L86" s="321">
        <f t="shared" si="21"/>
        <v>0</v>
      </c>
      <c r="M86" s="321">
        <f t="shared" si="21"/>
        <v>0</v>
      </c>
      <c r="N86" s="321">
        <f t="shared" si="21"/>
        <v>0</v>
      </c>
      <c r="O86" s="321">
        <f t="shared" si="21"/>
        <v>0</v>
      </c>
      <c r="P86" s="321">
        <f t="shared" si="21"/>
        <v>0</v>
      </c>
      <c r="Q86" s="321">
        <f t="shared" si="21"/>
        <v>0</v>
      </c>
      <c r="R86" s="321">
        <f t="shared" si="21"/>
        <v>0</v>
      </c>
      <c r="S86" s="321">
        <f t="shared" si="21"/>
        <v>0</v>
      </c>
      <c r="T86" s="321">
        <f t="shared" si="21"/>
        <v>0</v>
      </c>
      <c r="U86" s="321">
        <f t="shared" si="21"/>
        <v>0</v>
      </c>
      <c r="V86" s="321">
        <f t="shared" si="21"/>
        <v>0</v>
      </c>
      <c r="W86" s="321">
        <f t="shared" si="21"/>
        <v>0</v>
      </c>
      <c r="X86" s="321">
        <f t="shared" si="21"/>
        <v>0</v>
      </c>
      <c r="Y86" s="321">
        <f t="shared" si="21"/>
        <v>0</v>
      </c>
      <c r="Z86" s="321">
        <f t="shared" si="21"/>
        <v>0</v>
      </c>
      <c r="AA86" s="321">
        <f t="shared" si="21"/>
        <v>0</v>
      </c>
      <c r="AB86" s="321">
        <f t="shared" si="21"/>
        <v>7992.33</v>
      </c>
      <c r="AC86" s="321">
        <f t="shared" si="21"/>
        <v>7570.74</v>
      </c>
      <c r="AD86" s="321">
        <f t="shared" si="21"/>
        <v>7060.85</v>
      </c>
      <c r="AE86" s="321">
        <f t="shared" si="21"/>
        <v>7665.47</v>
      </c>
      <c r="AF86" s="321">
        <f t="shared" si="21"/>
        <v>4451.22</v>
      </c>
      <c r="AG86" s="95">
        <f t="shared" si="10"/>
        <v>34740.61</v>
      </c>
    </row>
    <row r="87" ht="16.5" customHeight="1" outlineLevel="1">
      <c r="A87" s="100"/>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95">
        <f t="shared" si="10"/>
        <v>0</v>
      </c>
    </row>
    <row r="88" outlineLevel="1">
      <c r="A88" s="314" t="s">
        <v>527</v>
      </c>
      <c r="B88" s="322"/>
      <c r="C88" s="323"/>
      <c r="D88" s="322"/>
      <c r="E88" s="322"/>
      <c r="F88" s="322"/>
      <c r="G88" s="322"/>
      <c r="H88" s="324"/>
      <c r="I88" s="325"/>
      <c r="J88" s="324"/>
      <c r="K88" s="324"/>
      <c r="L88" s="324"/>
      <c r="M88" s="322"/>
      <c r="N88" s="324"/>
      <c r="O88" s="324"/>
      <c r="P88" s="324"/>
      <c r="Q88" s="324"/>
      <c r="R88" s="322"/>
      <c r="S88" s="322"/>
      <c r="T88" s="324"/>
      <c r="U88" s="322"/>
      <c r="V88" s="324"/>
      <c r="W88" s="324"/>
      <c r="X88" s="322"/>
      <c r="Y88" s="324"/>
      <c r="Z88" s="324"/>
      <c r="AA88" s="324"/>
      <c r="AB88" s="324"/>
      <c r="AC88" s="324"/>
      <c r="AD88" s="326"/>
      <c r="AE88" s="326"/>
      <c r="AF88" s="326"/>
      <c r="AG88" s="95">
        <f t="shared" si="10"/>
        <v>0</v>
      </c>
    </row>
    <row r="89" outlineLevel="1">
      <c r="A89" s="314" t="s">
        <v>528</v>
      </c>
      <c r="B89" s="323"/>
      <c r="C89" s="323"/>
      <c r="D89" s="323"/>
      <c r="E89" s="323"/>
      <c r="F89" s="323"/>
      <c r="G89" s="323"/>
      <c r="H89" s="325"/>
      <c r="I89" s="325"/>
      <c r="J89" s="325"/>
      <c r="K89" s="325"/>
      <c r="L89" s="323"/>
      <c r="M89" s="323"/>
      <c r="N89" s="323"/>
      <c r="O89" s="323"/>
      <c r="P89" s="323"/>
      <c r="Q89" s="322"/>
      <c r="R89" s="322"/>
      <c r="S89" s="322"/>
      <c r="T89" s="322"/>
      <c r="U89" s="322"/>
      <c r="V89" s="322"/>
      <c r="W89" s="322"/>
      <c r="X89" s="322"/>
      <c r="Y89" s="322"/>
      <c r="Z89" s="322"/>
      <c r="AA89" s="322"/>
      <c r="AB89" s="322"/>
      <c r="AC89" s="322"/>
      <c r="AD89" s="326"/>
      <c r="AE89" s="326"/>
      <c r="AF89" s="326"/>
      <c r="AG89" s="95">
        <f t="shared" si="10"/>
        <v>0</v>
      </c>
    </row>
    <row r="90" outlineLevel="1">
      <c r="A90" s="190" t="s">
        <v>508</v>
      </c>
      <c r="B90" s="322"/>
      <c r="C90" s="322"/>
      <c r="D90" s="322"/>
      <c r="E90" s="322"/>
      <c r="F90" s="322"/>
      <c r="G90" s="322"/>
      <c r="H90" s="324"/>
      <c r="I90" s="324"/>
      <c r="J90" s="325"/>
      <c r="K90" s="324"/>
      <c r="L90" s="324"/>
      <c r="M90" s="322"/>
      <c r="N90" s="324"/>
      <c r="O90" s="324"/>
      <c r="P90" s="324"/>
      <c r="Q90" s="324"/>
      <c r="R90" s="322"/>
      <c r="S90" s="322"/>
      <c r="T90" s="324"/>
      <c r="U90" s="324"/>
      <c r="V90" s="324"/>
      <c r="W90" s="324"/>
      <c r="X90" s="324"/>
      <c r="Y90" s="324"/>
      <c r="Z90" s="324"/>
      <c r="AA90" s="324"/>
      <c r="AB90" s="324"/>
      <c r="AC90" s="324"/>
      <c r="AD90" s="326"/>
      <c r="AE90" s="326"/>
      <c r="AF90" s="326"/>
      <c r="AG90" s="95">
        <f t="shared" si="10"/>
        <v>0</v>
      </c>
    </row>
    <row r="91" outlineLevel="1">
      <c r="A91" s="314" t="s">
        <v>529</v>
      </c>
      <c r="B91" s="322"/>
      <c r="C91" s="322"/>
      <c r="D91" s="322"/>
      <c r="E91" s="322"/>
      <c r="F91" s="322"/>
      <c r="G91" s="322"/>
      <c r="H91" s="324"/>
      <c r="I91" s="324"/>
      <c r="J91" s="324"/>
      <c r="K91" s="324"/>
      <c r="L91" s="324"/>
      <c r="M91" s="322"/>
      <c r="N91" s="324"/>
      <c r="O91" s="324"/>
      <c r="P91" s="324"/>
      <c r="Q91" s="324"/>
      <c r="R91" s="322"/>
      <c r="S91" s="322"/>
      <c r="T91" s="324"/>
      <c r="U91" s="324"/>
      <c r="V91" s="324"/>
      <c r="W91" s="324"/>
      <c r="X91" s="324"/>
      <c r="Y91" s="324"/>
      <c r="Z91" s="324"/>
      <c r="AA91" s="324"/>
      <c r="AB91" s="324"/>
      <c r="AC91" s="324"/>
      <c r="AD91" s="326"/>
      <c r="AE91" s="326"/>
      <c r="AF91" s="326"/>
      <c r="AG91" s="95">
        <f t="shared" si="10"/>
        <v>0</v>
      </c>
    </row>
    <row r="92" outlineLevel="1">
      <c r="A92" s="314" t="s">
        <v>530</v>
      </c>
      <c r="B92" s="322"/>
      <c r="C92" s="322"/>
      <c r="D92" s="322"/>
      <c r="E92" s="322"/>
      <c r="F92" s="322"/>
      <c r="G92" s="322"/>
      <c r="H92" s="324"/>
      <c r="I92" s="324"/>
      <c r="J92" s="324"/>
      <c r="K92" s="324"/>
      <c r="L92" s="324"/>
      <c r="M92" s="322"/>
      <c r="N92" s="324"/>
      <c r="O92" s="324"/>
      <c r="P92" s="324"/>
      <c r="Q92" s="324"/>
      <c r="R92" s="322"/>
      <c r="S92" s="322"/>
      <c r="T92" s="324"/>
      <c r="U92" s="324"/>
      <c r="V92" s="324"/>
      <c r="W92" s="324"/>
      <c r="X92" s="324"/>
      <c r="Y92" s="324"/>
      <c r="Z92" s="324"/>
      <c r="AA92" s="324"/>
      <c r="AB92" s="324"/>
      <c r="AC92" s="324"/>
      <c r="AD92" s="326"/>
      <c r="AE92" s="326"/>
      <c r="AF92" s="326"/>
      <c r="AG92" s="95">
        <f t="shared" si="10"/>
        <v>0</v>
      </c>
    </row>
    <row r="93" outlineLevel="1">
      <c r="A93" s="327" t="s">
        <v>531</v>
      </c>
      <c r="B93" s="321">
        <f t="shared" ref="B93:AF93" si="22">SUM(B88:B92)</f>
        <v>0</v>
      </c>
      <c r="C93" s="321">
        <f t="shared" si="22"/>
        <v>0</v>
      </c>
      <c r="D93" s="321">
        <f t="shared" si="22"/>
        <v>0</v>
      </c>
      <c r="E93" s="321">
        <f t="shared" si="22"/>
        <v>0</v>
      </c>
      <c r="F93" s="321">
        <f t="shared" si="22"/>
        <v>0</v>
      </c>
      <c r="G93" s="321">
        <f t="shared" si="22"/>
        <v>0</v>
      </c>
      <c r="H93" s="321">
        <f t="shared" si="22"/>
        <v>0</v>
      </c>
      <c r="I93" s="321">
        <f t="shared" si="22"/>
        <v>0</v>
      </c>
      <c r="J93" s="321">
        <f t="shared" si="22"/>
        <v>0</v>
      </c>
      <c r="K93" s="321">
        <f t="shared" si="22"/>
        <v>0</v>
      </c>
      <c r="L93" s="321">
        <f t="shared" si="22"/>
        <v>0</v>
      </c>
      <c r="M93" s="321">
        <f t="shared" si="22"/>
        <v>0</v>
      </c>
      <c r="N93" s="321">
        <f t="shared" si="22"/>
        <v>0</v>
      </c>
      <c r="O93" s="321">
        <f t="shared" si="22"/>
        <v>0</v>
      </c>
      <c r="P93" s="321">
        <f t="shared" si="22"/>
        <v>0</v>
      </c>
      <c r="Q93" s="321">
        <f t="shared" si="22"/>
        <v>0</v>
      </c>
      <c r="R93" s="321">
        <f t="shared" si="22"/>
        <v>0</v>
      </c>
      <c r="S93" s="321">
        <f t="shared" si="22"/>
        <v>0</v>
      </c>
      <c r="T93" s="321">
        <f t="shared" si="22"/>
        <v>0</v>
      </c>
      <c r="U93" s="321">
        <f t="shared" si="22"/>
        <v>0</v>
      </c>
      <c r="V93" s="321">
        <f t="shared" si="22"/>
        <v>0</v>
      </c>
      <c r="W93" s="321">
        <f t="shared" si="22"/>
        <v>0</v>
      </c>
      <c r="X93" s="321">
        <f t="shared" si="22"/>
        <v>0</v>
      </c>
      <c r="Y93" s="321">
        <f t="shared" si="22"/>
        <v>0</v>
      </c>
      <c r="Z93" s="321">
        <f t="shared" si="22"/>
        <v>0</v>
      </c>
      <c r="AA93" s="321">
        <f t="shared" si="22"/>
        <v>0</v>
      </c>
      <c r="AB93" s="321">
        <f t="shared" si="22"/>
        <v>0</v>
      </c>
      <c r="AC93" s="321">
        <f t="shared" si="22"/>
        <v>0</v>
      </c>
      <c r="AD93" s="321">
        <f t="shared" si="22"/>
        <v>0</v>
      </c>
      <c r="AE93" s="321">
        <f t="shared" si="22"/>
        <v>0</v>
      </c>
      <c r="AF93" s="321">
        <f t="shared" si="22"/>
        <v>0</v>
      </c>
      <c r="AG93" s="95">
        <f t="shared" si="10"/>
        <v>0</v>
      </c>
    </row>
    <row r="94" outlineLevel="1">
      <c r="A94" s="100"/>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95">
        <f t="shared" si="10"/>
        <v>0</v>
      </c>
    </row>
    <row r="95" outlineLevel="1">
      <c r="A95" s="190" t="s">
        <v>512</v>
      </c>
      <c r="B95" s="315"/>
      <c r="C95" s="323"/>
      <c r="D95" s="315"/>
      <c r="E95" s="322"/>
      <c r="F95" s="315"/>
      <c r="G95" s="315"/>
      <c r="H95" s="116"/>
      <c r="I95" s="116"/>
      <c r="J95" s="116"/>
      <c r="K95" s="116"/>
      <c r="L95" s="116"/>
      <c r="M95" s="315"/>
      <c r="N95" s="116"/>
      <c r="O95" s="116"/>
      <c r="P95" s="116"/>
      <c r="Q95" s="116"/>
      <c r="R95" s="315"/>
      <c r="S95" s="315"/>
      <c r="T95" s="116"/>
      <c r="U95" s="116"/>
      <c r="V95" s="116"/>
      <c r="W95" s="116"/>
      <c r="X95" s="116"/>
      <c r="Y95" s="116"/>
      <c r="Z95" s="116"/>
      <c r="AA95" s="116"/>
      <c r="AB95" s="116"/>
      <c r="AC95" s="116"/>
      <c r="AD95" s="116"/>
      <c r="AE95" s="116"/>
      <c r="AF95" s="116"/>
      <c r="AG95" s="95">
        <f t="shared" si="10"/>
        <v>0</v>
      </c>
    </row>
    <row r="96" outlineLevel="1">
      <c r="A96" s="190" t="s">
        <v>513</v>
      </c>
      <c r="B96" s="315"/>
      <c r="C96" s="323"/>
      <c r="D96" s="315"/>
      <c r="E96" s="323"/>
      <c r="F96" s="315"/>
      <c r="G96" s="315"/>
      <c r="H96" s="116"/>
      <c r="I96" s="116"/>
      <c r="J96" s="116"/>
      <c r="K96" s="116"/>
      <c r="L96" s="116"/>
      <c r="M96" s="315"/>
      <c r="N96" s="116"/>
      <c r="O96" s="116"/>
      <c r="P96" s="116"/>
      <c r="Q96" s="116"/>
      <c r="R96" s="315"/>
      <c r="S96" s="315"/>
      <c r="T96" s="116"/>
      <c r="U96" s="116"/>
      <c r="V96" s="116"/>
      <c r="W96" s="116"/>
      <c r="X96" s="116"/>
      <c r="Y96" s="116"/>
      <c r="Z96" s="116"/>
      <c r="AA96" s="116"/>
      <c r="AB96" s="116"/>
      <c r="AC96" s="116"/>
      <c r="AD96" s="116"/>
      <c r="AE96" s="116"/>
      <c r="AF96" s="116"/>
      <c r="AG96" s="95">
        <f t="shared" si="10"/>
        <v>0</v>
      </c>
    </row>
    <row r="97" outlineLevel="1">
      <c r="A97" s="190" t="s">
        <v>514</v>
      </c>
      <c r="B97" s="315"/>
      <c r="C97" s="322"/>
      <c r="D97" s="315"/>
      <c r="E97" s="322"/>
      <c r="F97" s="315"/>
      <c r="G97" s="315"/>
      <c r="H97" s="116"/>
      <c r="I97" s="116"/>
      <c r="J97" s="116"/>
      <c r="K97" s="116"/>
      <c r="L97" s="116"/>
      <c r="M97" s="315"/>
      <c r="N97" s="116"/>
      <c r="O97" s="116"/>
      <c r="P97" s="116"/>
      <c r="Q97" s="116"/>
      <c r="R97" s="315"/>
      <c r="S97" s="315"/>
      <c r="T97" s="116"/>
      <c r="U97" s="116"/>
      <c r="V97" s="116"/>
      <c r="W97" s="324"/>
      <c r="X97" s="116"/>
      <c r="Y97" s="116"/>
      <c r="Z97" s="116"/>
      <c r="AA97" s="116"/>
      <c r="AB97" s="116"/>
      <c r="AC97" s="116"/>
      <c r="AD97" s="116"/>
      <c r="AE97" s="116"/>
      <c r="AF97" s="116"/>
      <c r="AG97" s="95">
        <f t="shared" si="10"/>
        <v>0</v>
      </c>
    </row>
    <row r="98" outlineLevel="1">
      <c r="A98" s="190" t="s">
        <v>515</v>
      </c>
      <c r="B98" s="315"/>
      <c r="C98" s="322"/>
      <c r="D98" s="315"/>
      <c r="E98" s="322"/>
      <c r="F98" s="315"/>
      <c r="G98" s="315"/>
      <c r="H98" s="116"/>
      <c r="I98" s="116"/>
      <c r="J98" s="116"/>
      <c r="K98" s="116"/>
      <c r="L98" s="116"/>
      <c r="M98" s="315"/>
      <c r="N98" s="116"/>
      <c r="O98" s="116"/>
      <c r="P98" s="116"/>
      <c r="Q98" s="116"/>
      <c r="R98" s="315"/>
      <c r="S98" s="315"/>
      <c r="T98" s="116"/>
      <c r="U98" s="116"/>
      <c r="V98" s="116"/>
      <c r="W98" s="116"/>
      <c r="X98" s="116"/>
      <c r="Y98" s="116"/>
      <c r="Z98" s="116"/>
      <c r="AA98" s="116"/>
      <c r="AB98" s="116"/>
      <c r="AC98" s="116"/>
      <c r="AD98" s="116"/>
      <c r="AE98" s="116"/>
      <c r="AF98" s="116"/>
      <c r="AG98" s="95">
        <f t="shared" si="10"/>
        <v>0</v>
      </c>
    </row>
    <row r="99" outlineLevel="1">
      <c r="A99" s="190" t="s">
        <v>516</v>
      </c>
      <c r="B99" s="315"/>
      <c r="C99" s="322"/>
      <c r="D99" s="315"/>
      <c r="E99" s="322"/>
      <c r="F99" s="315"/>
      <c r="G99" s="315"/>
      <c r="H99" s="116"/>
      <c r="I99" s="116"/>
      <c r="J99" s="116"/>
      <c r="K99" s="116"/>
      <c r="L99" s="116"/>
      <c r="M99" s="315"/>
      <c r="N99" s="116"/>
      <c r="O99" s="116"/>
      <c r="P99" s="116"/>
      <c r="Q99" s="116"/>
      <c r="R99" s="315"/>
      <c r="S99" s="315"/>
      <c r="T99" s="116"/>
      <c r="U99" s="116"/>
      <c r="V99" s="116"/>
      <c r="W99" s="116"/>
      <c r="X99" s="116"/>
      <c r="Y99" s="116"/>
      <c r="Z99" s="116"/>
      <c r="AA99" s="116"/>
      <c r="AB99" s="116"/>
      <c r="AC99" s="116"/>
      <c r="AD99" s="116"/>
      <c r="AE99" s="116"/>
      <c r="AF99" s="116"/>
      <c r="AG99" s="95">
        <f t="shared" si="10"/>
        <v>0</v>
      </c>
    </row>
    <row r="100" outlineLevel="1">
      <c r="A100" s="328" t="s">
        <v>517</v>
      </c>
      <c r="B100" s="321">
        <f t="shared" ref="B100:AF100" si="23">SUM(B95:B99)</f>
        <v>0</v>
      </c>
      <c r="C100" s="321">
        <f t="shared" si="23"/>
        <v>0</v>
      </c>
      <c r="D100" s="321">
        <f t="shared" si="23"/>
        <v>0</v>
      </c>
      <c r="E100" s="321">
        <f t="shared" si="23"/>
        <v>0</v>
      </c>
      <c r="F100" s="321">
        <f t="shared" si="23"/>
        <v>0</v>
      </c>
      <c r="G100" s="321">
        <f t="shared" si="23"/>
        <v>0</v>
      </c>
      <c r="H100" s="321">
        <f t="shared" si="23"/>
        <v>0</v>
      </c>
      <c r="I100" s="321">
        <f t="shared" si="23"/>
        <v>0</v>
      </c>
      <c r="J100" s="321">
        <f t="shared" si="23"/>
        <v>0</v>
      </c>
      <c r="K100" s="321">
        <f t="shared" si="23"/>
        <v>0</v>
      </c>
      <c r="L100" s="321">
        <f t="shared" si="23"/>
        <v>0</v>
      </c>
      <c r="M100" s="321">
        <f t="shared" si="23"/>
        <v>0</v>
      </c>
      <c r="N100" s="321">
        <f t="shared" si="23"/>
        <v>0</v>
      </c>
      <c r="O100" s="321">
        <f t="shared" si="23"/>
        <v>0</v>
      </c>
      <c r="P100" s="321">
        <f t="shared" si="23"/>
        <v>0</v>
      </c>
      <c r="Q100" s="321">
        <f t="shared" si="23"/>
        <v>0</v>
      </c>
      <c r="R100" s="321">
        <f t="shared" si="23"/>
        <v>0</v>
      </c>
      <c r="S100" s="321">
        <f t="shared" si="23"/>
        <v>0</v>
      </c>
      <c r="T100" s="321">
        <f t="shared" si="23"/>
        <v>0</v>
      </c>
      <c r="U100" s="321">
        <f t="shared" si="23"/>
        <v>0</v>
      </c>
      <c r="V100" s="321">
        <f t="shared" si="23"/>
        <v>0</v>
      </c>
      <c r="W100" s="321">
        <f t="shared" si="23"/>
        <v>0</v>
      </c>
      <c r="X100" s="321">
        <f t="shared" si="23"/>
        <v>0</v>
      </c>
      <c r="Y100" s="321">
        <f t="shared" si="23"/>
        <v>0</v>
      </c>
      <c r="Z100" s="321">
        <f t="shared" si="23"/>
        <v>0</v>
      </c>
      <c r="AA100" s="321">
        <f t="shared" si="23"/>
        <v>0</v>
      </c>
      <c r="AB100" s="321">
        <f t="shared" si="23"/>
        <v>0</v>
      </c>
      <c r="AC100" s="321">
        <f t="shared" si="23"/>
        <v>0</v>
      </c>
      <c r="AD100" s="321">
        <f t="shared" si="23"/>
        <v>0</v>
      </c>
      <c r="AE100" s="321">
        <f t="shared" si="23"/>
        <v>0</v>
      </c>
      <c r="AF100" s="321">
        <f t="shared" si="23"/>
        <v>0</v>
      </c>
      <c r="AG100" s="95">
        <f t="shared" si="10"/>
        <v>0</v>
      </c>
    </row>
    <row r="101" outlineLevel="1">
      <c r="A101" s="100"/>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95">
        <f t="shared" si="10"/>
        <v>0</v>
      </c>
    </row>
    <row r="102" outlineLevel="1">
      <c r="A102" s="190" t="s">
        <v>518</v>
      </c>
      <c r="B102" s="319"/>
      <c r="C102" s="115"/>
      <c r="D102" s="319"/>
      <c r="E102" s="115"/>
      <c r="F102" s="115"/>
      <c r="G102" s="115"/>
      <c r="H102" s="115"/>
      <c r="I102" s="115"/>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95">
        <f t="shared" si="10"/>
        <v>0</v>
      </c>
    </row>
    <row r="103" outlineLevel="1">
      <c r="A103" s="190" t="s">
        <v>519</v>
      </c>
      <c r="B103" s="319"/>
      <c r="C103" s="319"/>
      <c r="D103" s="115"/>
      <c r="E103" s="115"/>
      <c r="F103" s="115"/>
      <c r="G103" s="115"/>
      <c r="H103" s="115"/>
      <c r="I103" s="115"/>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95">
        <f t="shared" si="10"/>
        <v>0</v>
      </c>
    </row>
    <row r="104" outlineLevel="1">
      <c r="A104" s="190" t="s">
        <v>520</v>
      </c>
      <c r="B104" s="319"/>
      <c r="C104" s="115"/>
      <c r="D104" s="319"/>
      <c r="E104" s="115"/>
      <c r="F104" s="115"/>
      <c r="G104" s="115"/>
      <c r="H104" s="115"/>
      <c r="I104" s="115"/>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95">
        <f t="shared" si="10"/>
        <v>0</v>
      </c>
    </row>
    <row r="105" outlineLevel="1">
      <c r="A105" s="190" t="s">
        <v>521</v>
      </c>
      <c r="B105" s="319"/>
      <c r="C105" s="115"/>
      <c r="D105" s="319"/>
      <c r="E105" s="115"/>
      <c r="F105" s="115"/>
      <c r="G105" s="115"/>
      <c r="H105" s="115"/>
      <c r="I105" s="115"/>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95">
        <f t="shared" si="10"/>
        <v>0</v>
      </c>
    </row>
    <row r="106" outlineLevel="1">
      <c r="A106" s="190" t="s">
        <v>522</v>
      </c>
      <c r="B106" s="115"/>
      <c r="C106" s="319"/>
      <c r="D106" s="319"/>
      <c r="E106" s="115"/>
      <c r="F106" s="115"/>
      <c r="G106" s="115"/>
      <c r="H106" s="115"/>
      <c r="I106" s="115"/>
      <c r="J106" s="319"/>
      <c r="K106" s="319"/>
      <c r="L106" s="319"/>
      <c r="M106" s="319"/>
      <c r="N106" s="319"/>
      <c r="O106" s="319"/>
      <c r="P106" s="319"/>
      <c r="Q106" s="319"/>
      <c r="R106" s="319"/>
      <c r="S106" s="319"/>
      <c r="T106" s="319"/>
      <c r="U106" s="319"/>
      <c r="V106" s="319"/>
      <c r="W106" s="115"/>
      <c r="X106" s="319"/>
      <c r="Y106" s="319"/>
      <c r="Z106" s="319"/>
      <c r="AA106" s="319"/>
      <c r="AB106" s="319"/>
      <c r="AC106" s="319"/>
      <c r="AD106" s="319"/>
      <c r="AE106" s="319"/>
      <c r="AF106" s="319"/>
      <c r="AG106" s="95">
        <f t="shared" si="10"/>
        <v>0</v>
      </c>
    </row>
    <row r="107" outlineLevel="1">
      <c r="A107" s="328" t="s">
        <v>523</v>
      </c>
      <c r="B107" s="321">
        <f t="shared" ref="B107:AF107" si="24">SUM(B102:B106)</f>
        <v>0</v>
      </c>
      <c r="C107" s="321">
        <f t="shared" si="24"/>
        <v>0</v>
      </c>
      <c r="D107" s="321">
        <f t="shared" si="24"/>
        <v>0</v>
      </c>
      <c r="E107" s="321">
        <f t="shared" si="24"/>
        <v>0</v>
      </c>
      <c r="F107" s="321">
        <f t="shared" si="24"/>
        <v>0</v>
      </c>
      <c r="G107" s="321">
        <f t="shared" si="24"/>
        <v>0</v>
      </c>
      <c r="H107" s="321">
        <f t="shared" si="24"/>
        <v>0</v>
      </c>
      <c r="I107" s="321">
        <f t="shared" si="24"/>
        <v>0</v>
      </c>
      <c r="J107" s="321">
        <f t="shared" si="24"/>
        <v>0</v>
      </c>
      <c r="K107" s="321">
        <f t="shared" si="24"/>
        <v>0</v>
      </c>
      <c r="L107" s="321">
        <f t="shared" si="24"/>
        <v>0</v>
      </c>
      <c r="M107" s="321">
        <f t="shared" si="24"/>
        <v>0</v>
      </c>
      <c r="N107" s="321">
        <f t="shared" si="24"/>
        <v>0</v>
      </c>
      <c r="O107" s="321">
        <f t="shared" si="24"/>
        <v>0</v>
      </c>
      <c r="P107" s="321">
        <f t="shared" si="24"/>
        <v>0</v>
      </c>
      <c r="Q107" s="321">
        <f t="shared" si="24"/>
        <v>0</v>
      </c>
      <c r="R107" s="321">
        <f t="shared" si="24"/>
        <v>0</v>
      </c>
      <c r="S107" s="321">
        <f t="shared" si="24"/>
        <v>0</v>
      </c>
      <c r="T107" s="321">
        <f t="shared" si="24"/>
        <v>0</v>
      </c>
      <c r="U107" s="321">
        <f t="shared" si="24"/>
        <v>0</v>
      </c>
      <c r="V107" s="321">
        <f t="shared" si="24"/>
        <v>0</v>
      </c>
      <c r="W107" s="321">
        <f t="shared" si="24"/>
        <v>0</v>
      </c>
      <c r="X107" s="321">
        <f t="shared" si="24"/>
        <v>0</v>
      </c>
      <c r="Y107" s="321">
        <f t="shared" si="24"/>
        <v>0</v>
      </c>
      <c r="Z107" s="321">
        <f t="shared" si="24"/>
        <v>0</v>
      </c>
      <c r="AA107" s="321">
        <f t="shared" si="24"/>
        <v>0</v>
      </c>
      <c r="AB107" s="321">
        <f t="shared" si="24"/>
        <v>0</v>
      </c>
      <c r="AC107" s="321">
        <f t="shared" si="24"/>
        <v>0</v>
      </c>
      <c r="AD107" s="321">
        <f t="shared" si="24"/>
        <v>0</v>
      </c>
      <c r="AE107" s="321">
        <f t="shared" si="24"/>
        <v>0</v>
      </c>
      <c r="AF107" s="321">
        <f t="shared" si="24"/>
        <v>0</v>
      </c>
      <c r="AG107" s="95">
        <f t="shared" si="10"/>
        <v>0</v>
      </c>
    </row>
    <row r="108">
      <c r="A108" s="172"/>
      <c r="AG108" s="95"/>
    </row>
    <row r="109">
      <c r="A109" s="172"/>
      <c r="AG109" s="95"/>
    </row>
    <row r="110">
      <c r="A110" s="149" t="s">
        <v>532</v>
      </c>
      <c r="B110" s="189"/>
      <c r="C110" s="189"/>
      <c r="D110" s="189"/>
      <c r="E110" s="189"/>
      <c r="F110" s="189"/>
      <c r="G110" s="189"/>
      <c r="H110" s="189"/>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329"/>
    </row>
    <row r="111" outlineLevel="1">
      <c r="A111" s="213" t="s">
        <v>533</v>
      </c>
      <c r="B111" s="165">
        <v>1.0</v>
      </c>
      <c r="C111" s="165">
        <v>1.0</v>
      </c>
      <c r="D111" s="165">
        <v>0.0</v>
      </c>
      <c r="E111" s="165">
        <v>1.0</v>
      </c>
      <c r="F111" s="165">
        <v>0.0</v>
      </c>
      <c r="G111" s="165">
        <v>1.0</v>
      </c>
      <c r="H111" s="165">
        <v>0.0</v>
      </c>
      <c r="I111" s="165">
        <v>1.0</v>
      </c>
      <c r="J111" s="165">
        <v>0.0</v>
      </c>
      <c r="K111" s="165">
        <v>0.0</v>
      </c>
      <c r="L111" s="165">
        <v>0.0</v>
      </c>
      <c r="M111" s="165">
        <v>0.0</v>
      </c>
      <c r="N111" s="165">
        <v>0.0</v>
      </c>
      <c r="O111" s="165">
        <v>0.0</v>
      </c>
      <c r="P111" s="165">
        <v>0.0</v>
      </c>
      <c r="Q111" s="165">
        <v>0.0</v>
      </c>
      <c r="R111" s="165">
        <v>0.0</v>
      </c>
      <c r="S111" s="165">
        <v>0.0</v>
      </c>
      <c r="T111" s="165">
        <v>0.0</v>
      </c>
      <c r="U111" s="165">
        <v>1.0</v>
      </c>
      <c r="V111" s="165">
        <v>0.0</v>
      </c>
      <c r="W111" s="165">
        <v>0.0</v>
      </c>
      <c r="X111" s="165">
        <v>0.0</v>
      </c>
      <c r="Y111" s="165">
        <v>1.0</v>
      </c>
      <c r="Z111" s="165">
        <v>0.0</v>
      </c>
      <c r="AA111" s="165">
        <v>2.0</v>
      </c>
      <c r="AB111" s="165">
        <v>1.0</v>
      </c>
      <c r="AC111" s="165">
        <v>1.0</v>
      </c>
      <c r="AD111" s="165">
        <v>1.0</v>
      </c>
      <c r="AE111" s="165">
        <v>0.0</v>
      </c>
      <c r="AF111" s="165">
        <v>0.0</v>
      </c>
      <c r="AG111" s="95">
        <f t="shared" ref="AG111:AG116" si="25">SUM(B111:AF111)</f>
        <v>12</v>
      </c>
    </row>
    <row r="112" outlineLevel="1">
      <c r="A112" s="213" t="s">
        <v>534</v>
      </c>
      <c r="B112" s="165">
        <v>2.0</v>
      </c>
      <c r="C112" s="165">
        <v>0.0</v>
      </c>
      <c r="D112" s="165">
        <v>1.0</v>
      </c>
      <c r="E112" s="165">
        <v>1.0</v>
      </c>
      <c r="F112" s="165">
        <v>0.0</v>
      </c>
      <c r="G112" s="165">
        <v>0.0</v>
      </c>
      <c r="H112" s="165">
        <v>0.0</v>
      </c>
      <c r="I112" s="165">
        <v>0.0</v>
      </c>
      <c r="J112" s="165">
        <v>0.0</v>
      </c>
      <c r="K112" s="165">
        <v>0.0</v>
      </c>
      <c r="L112" s="165">
        <v>0.0</v>
      </c>
      <c r="M112" s="165">
        <v>0.0</v>
      </c>
      <c r="N112" s="165">
        <v>0.0</v>
      </c>
      <c r="O112" s="165">
        <v>0.0</v>
      </c>
      <c r="P112" s="165">
        <v>0.0</v>
      </c>
      <c r="Q112" s="165">
        <v>0.0</v>
      </c>
      <c r="R112" s="165">
        <v>0.0</v>
      </c>
      <c r="S112" s="165">
        <v>0.0</v>
      </c>
      <c r="T112" s="165">
        <v>0.0</v>
      </c>
      <c r="U112" s="165">
        <v>0.0</v>
      </c>
      <c r="V112" s="165">
        <v>0.0</v>
      </c>
      <c r="W112" s="165">
        <v>0.0</v>
      </c>
      <c r="X112" s="165">
        <v>0.0</v>
      </c>
      <c r="Y112" s="165">
        <v>0.0</v>
      </c>
      <c r="Z112" s="165">
        <v>0.0</v>
      </c>
      <c r="AA112" s="165">
        <v>0.0</v>
      </c>
      <c r="AB112" s="165">
        <v>0.0</v>
      </c>
      <c r="AC112" s="165">
        <v>0.0</v>
      </c>
      <c r="AD112" s="165">
        <v>0.0</v>
      </c>
      <c r="AE112" s="165">
        <v>0.0</v>
      </c>
      <c r="AF112" s="165">
        <v>0.0</v>
      </c>
      <c r="AG112" s="95">
        <f t="shared" si="25"/>
        <v>4</v>
      </c>
    </row>
    <row r="113" outlineLevel="1">
      <c r="A113" s="213" t="s">
        <v>535</v>
      </c>
      <c r="B113" s="165">
        <v>2.0</v>
      </c>
      <c r="C113" s="165">
        <v>1.0</v>
      </c>
      <c r="D113" s="165">
        <v>2.0</v>
      </c>
      <c r="E113" s="165">
        <v>1.0</v>
      </c>
      <c r="F113" s="165">
        <v>0.0</v>
      </c>
      <c r="G113" s="165">
        <v>0.0</v>
      </c>
      <c r="H113" s="165">
        <v>0.0</v>
      </c>
      <c r="I113" s="165">
        <v>2.0</v>
      </c>
      <c r="J113" s="165">
        <v>2.0</v>
      </c>
      <c r="K113" s="165">
        <v>2.0</v>
      </c>
      <c r="L113" s="165">
        <v>1.0</v>
      </c>
      <c r="M113" s="165">
        <v>0.0</v>
      </c>
      <c r="N113" s="165">
        <v>0.0</v>
      </c>
      <c r="O113" s="165">
        <v>0.0</v>
      </c>
      <c r="P113" s="165">
        <v>2.0</v>
      </c>
      <c r="Q113" s="165">
        <v>0.0</v>
      </c>
      <c r="R113" s="165">
        <v>2.0</v>
      </c>
      <c r="S113" s="165">
        <v>0.0</v>
      </c>
      <c r="T113" s="165">
        <v>0.0</v>
      </c>
      <c r="U113" s="165">
        <v>2.0</v>
      </c>
      <c r="V113" s="165">
        <v>2.0</v>
      </c>
      <c r="W113" s="165">
        <v>0.0</v>
      </c>
      <c r="X113" s="165">
        <v>1.0</v>
      </c>
      <c r="Y113" s="165">
        <v>0.0</v>
      </c>
      <c r="Z113" s="165">
        <v>0.0</v>
      </c>
      <c r="AA113" s="165">
        <v>1.0</v>
      </c>
      <c r="AB113" s="165">
        <v>3.0</v>
      </c>
      <c r="AC113" s="165">
        <v>0.0</v>
      </c>
      <c r="AD113" s="165">
        <v>0.0</v>
      </c>
      <c r="AE113" s="165">
        <v>0.0</v>
      </c>
      <c r="AF113" s="165">
        <v>0.0</v>
      </c>
      <c r="AG113" s="95">
        <f t="shared" si="25"/>
        <v>26</v>
      </c>
    </row>
    <row r="114" outlineLevel="1">
      <c r="A114" s="213" t="s">
        <v>536</v>
      </c>
      <c r="B114" s="165">
        <v>0.0</v>
      </c>
      <c r="C114" s="165">
        <v>0.0</v>
      </c>
      <c r="D114" s="165">
        <v>0.0</v>
      </c>
      <c r="E114" s="165">
        <v>0.0</v>
      </c>
      <c r="F114" s="165">
        <v>0.0</v>
      </c>
      <c r="G114" s="165">
        <v>0.0</v>
      </c>
      <c r="H114" s="165">
        <v>0.0</v>
      </c>
      <c r="I114" s="165">
        <v>0.0</v>
      </c>
      <c r="J114" s="165">
        <v>0.0</v>
      </c>
      <c r="K114" s="165">
        <v>0.0</v>
      </c>
      <c r="L114" s="165">
        <v>0.0</v>
      </c>
      <c r="M114" s="165">
        <v>0.0</v>
      </c>
      <c r="N114" s="165">
        <v>0.0</v>
      </c>
      <c r="O114" s="165">
        <v>0.0</v>
      </c>
      <c r="P114" s="165">
        <v>0.0</v>
      </c>
      <c r="Q114" s="165">
        <v>0.0</v>
      </c>
      <c r="R114" s="165">
        <v>0.0</v>
      </c>
      <c r="S114" s="165">
        <v>0.0</v>
      </c>
      <c r="T114" s="165">
        <v>0.0</v>
      </c>
      <c r="U114" s="165">
        <v>0.0</v>
      </c>
      <c r="V114" s="165">
        <v>0.0</v>
      </c>
      <c r="W114" s="165">
        <v>0.0</v>
      </c>
      <c r="X114" s="165">
        <v>0.0</v>
      </c>
      <c r="Y114" s="165">
        <v>0.0</v>
      </c>
      <c r="Z114" s="165">
        <v>0.0</v>
      </c>
      <c r="AA114" s="165">
        <v>0.0</v>
      </c>
      <c r="AB114" s="165">
        <v>0.0</v>
      </c>
      <c r="AC114" s="165">
        <v>0.0</v>
      </c>
      <c r="AD114" s="165">
        <v>0.0</v>
      </c>
      <c r="AE114" s="165">
        <v>0.0</v>
      </c>
      <c r="AF114" s="165">
        <v>0.0</v>
      </c>
      <c r="AG114" s="95">
        <f t="shared" si="25"/>
        <v>0</v>
      </c>
    </row>
    <row r="115" outlineLevel="1">
      <c r="A115" s="215" t="s">
        <v>221</v>
      </c>
      <c r="B115" s="330">
        <f t="shared" ref="B115:AF115" si="26">B111+B112</f>
        <v>3</v>
      </c>
      <c r="C115" s="330">
        <f t="shared" si="26"/>
        <v>1</v>
      </c>
      <c r="D115" s="330">
        <f t="shared" si="26"/>
        <v>1</v>
      </c>
      <c r="E115" s="330">
        <f t="shared" si="26"/>
        <v>2</v>
      </c>
      <c r="F115" s="330">
        <f t="shared" si="26"/>
        <v>0</v>
      </c>
      <c r="G115" s="330">
        <f t="shared" si="26"/>
        <v>1</v>
      </c>
      <c r="H115" s="330">
        <f t="shared" si="26"/>
        <v>0</v>
      </c>
      <c r="I115" s="330">
        <f t="shared" si="26"/>
        <v>1</v>
      </c>
      <c r="J115" s="330">
        <f t="shared" si="26"/>
        <v>0</v>
      </c>
      <c r="K115" s="330">
        <f t="shared" si="26"/>
        <v>0</v>
      </c>
      <c r="L115" s="330">
        <f t="shared" si="26"/>
        <v>0</v>
      </c>
      <c r="M115" s="330">
        <f t="shared" si="26"/>
        <v>0</v>
      </c>
      <c r="N115" s="330">
        <f t="shared" si="26"/>
        <v>0</v>
      </c>
      <c r="O115" s="330">
        <f t="shared" si="26"/>
        <v>0</v>
      </c>
      <c r="P115" s="330">
        <f t="shared" si="26"/>
        <v>0</v>
      </c>
      <c r="Q115" s="330">
        <f t="shared" si="26"/>
        <v>0</v>
      </c>
      <c r="R115" s="330">
        <f t="shared" si="26"/>
        <v>0</v>
      </c>
      <c r="S115" s="330">
        <f t="shared" si="26"/>
        <v>0</v>
      </c>
      <c r="T115" s="330">
        <f t="shared" si="26"/>
        <v>0</v>
      </c>
      <c r="U115" s="330">
        <f t="shared" si="26"/>
        <v>1</v>
      </c>
      <c r="V115" s="330">
        <f t="shared" si="26"/>
        <v>0</v>
      </c>
      <c r="W115" s="330">
        <f t="shared" si="26"/>
        <v>0</v>
      </c>
      <c r="X115" s="330">
        <f t="shared" si="26"/>
        <v>0</v>
      </c>
      <c r="Y115" s="330">
        <f t="shared" si="26"/>
        <v>1</v>
      </c>
      <c r="Z115" s="330">
        <f t="shared" si="26"/>
        <v>0</v>
      </c>
      <c r="AA115" s="330">
        <f t="shared" si="26"/>
        <v>2</v>
      </c>
      <c r="AB115" s="330">
        <f t="shared" si="26"/>
        <v>1</v>
      </c>
      <c r="AC115" s="330">
        <f t="shared" si="26"/>
        <v>1</v>
      </c>
      <c r="AD115" s="330">
        <f t="shared" si="26"/>
        <v>1</v>
      </c>
      <c r="AE115" s="330">
        <f t="shared" si="26"/>
        <v>0</v>
      </c>
      <c r="AF115" s="330">
        <f t="shared" si="26"/>
        <v>0</v>
      </c>
      <c r="AG115" s="95">
        <f t="shared" si="25"/>
        <v>16</v>
      </c>
    </row>
    <row r="116" outlineLevel="1">
      <c r="A116" s="215" t="s">
        <v>222</v>
      </c>
      <c r="B116" s="330">
        <f t="shared" ref="B116:AF116" si="27">B113+B114</f>
        <v>2</v>
      </c>
      <c r="C116" s="330">
        <f t="shared" si="27"/>
        <v>1</v>
      </c>
      <c r="D116" s="330">
        <f t="shared" si="27"/>
        <v>2</v>
      </c>
      <c r="E116" s="330">
        <f t="shared" si="27"/>
        <v>1</v>
      </c>
      <c r="F116" s="330">
        <f t="shared" si="27"/>
        <v>0</v>
      </c>
      <c r="G116" s="330">
        <f t="shared" si="27"/>
        <v>0</v>
      </c>
      <c r="H116" s="330">
        <f t="shared" si="27"/>
        <v>0</v>
      </c>
      <c r="I116" s="330">
        <f t="shared" si="27"/>
        <v>2</v>
      </c>
      <c r="J116" s="330">
        <f t="shared" si="27"/>
        <v>2</v>
      </c>
      <c r="K116" s="330">
        <f t="shared" si="27"/>
        <v>2</v>
      </c>
      <c r="L116" s="330">
        <f t="shared" si="27"/>
        <v>1</v>
      </c>
      <c r="M116" s="330">
        <f t="shared" si="27"/>
        <v>0</v>
      </c>
      <c r="N116" s="330">
        <f t="shared" si="27"/>
        <v>0</v>
      </c>
      <c r="O116" s="330">
        <f t="shared" si="27"/>
        <v>0</v>
      </c>
      <c r="P116" s="330">
        <f t="shared" si="27"/>
        <v>2</v>
      </c>
      <c r="Q116" s="330">
        <f t="shared" si="27"/>
        <v>0</v>
      </c>
      <c r="R116" s="330">
        <f t="shared" si="27"/>
        <v>2</v>
      </c>
      <c r="S116" s="330">
        <f t="shared" si="27"/>
        <v>0</v>
      </c>
      <c r="T116" s="330">
        <f t="shared" si="27"/>
        <v>0</v>
      </c>
      <c r="U116" s="330">
        <f t="shared" si="27"/>
        <v>2</v>
      </c>
      <c r="V116" s="330">
        <f t="shared" si="27"/>
        <v>2</v>
      </c>
      <c r="W116" s="330">
        <f t="shared" si="27"/>
        <v>0</v>
      </c>
      <c r="X116" s="330">
        <f t="shared" si="27"/>
        <v>1</v>
      </c>
      <c r="Y116" s="330">
        <f t="shared" si="27"/>
        <v>0</v>
      </c>
      <c r="Z116" s="330">
        <f t="shared" si="27"/>
        <v>0</v>
      </c>
      <c r="AA116" s="330">
        <f t="shared" si="27"/>
        <v>1</v>
      </c>
      <c r="AB116" s="330">
        <f t="shared" si="27"/>
        <v>3</v>
      </c>
      <c r="AC116" s="330">
        <f t="shared" si="27"/>
        <v>0</v>
      </c>
      <c r="AD116" s="330">
        <f t="shared" si="27"/>
        <v>0</v>
      </c>
      <c r="AE116" s="330">
        <f t="shared" si="27"/>
        <v>0</v>
      </c>
      <c r="AF116" s="330">
        <f t="shared" si="27"/>
        <v>0</v>
      </c>
      <c r="AG116" s="95">
        <f t="shared" si="25"/>
        <v>26</v>
      </c>
    </row>
    <row r="117" outlineLevel="1">
      <c r="A117" s="100"/>
      <c r="B117" s="130"/>
      <c r="C117" s="130"/>
      <c r="D117" s="130"/>
      <c r="E117" s="130"/>
      <c r="F117" s="130"/>
      <c r="G117" s="130"/>
      <c r="H117" s="130"/>
      <c r="I117" s="85"/>
      <c r="J117" s="85"/>
      <c r="K117" s="85"/>
      <c r="L117" s="85"/>
      <c r="M117" s="85"/>
      <c r="N117" s="85"/>
      <c r="O117" s="85"/>
      <c r="P117" s="85"/>
      <c r="Q117" s="86"/>
      <c r="R117" s="85"/>
      <c r="S117" s="85"/>
      <c r="T117" s="85"/>
      <c r="U117" s="85"/>
      <c r="V117" s="85"/>
      <c r="W117" s="85"/>
      <c r="X117" s="85"/>
      <c r="Y117" s="85"/>
      <c r="Z117" s="85"/>
      <c r="AA117" s="85"/>
      <c r="AB117" s="85"/>
      <c r="AC117" s="85"/>
      <c r="AD117" s="85"/>
      <c r="AE117" s="85"/>
      <c r="AF117" s="85"/>
      <c r="AG117" s="156"/>
    </row>
    <row r="118" outlineLevel="1">
      <c r="A118" s="213" t="s">
        <v>224</v>
      </c>
      <c r="B118" s="165">
        <v>2.0</v>
      </c>
      <c r="C118" s="165">
        <v>1.0</v>
      </c>
      <c r="D118" s="165">
        <v>0.0</v>
      </c>
      <c r="E118" s="165">
        <v>0.0</v>
      </c>
      <c r="F118" s="165">
        <v>0.0</v>
      </c>
      <c r="G118" s="165">
        <v>0.0</v>
      </c>
      <c r="H118" s="165">
        <v>0.0</v>
      </c>
      <c r="I118" s="165">
        <v>1.0</v>
      </c>
      <c r="J118" s="165">
        <v>2.0</v>
      </c>
      <c r="K118" s="165">
        <v>0.0</v>
      </c>
      <c r="L118" s="165">
        <v>0.0</v>
      </c>
      <c r="M118" s="165">
        <v>0.0</v>
      </c>
      <c r="N118" s="165">
        <v>0.0</v>
      </c>
      <c r="O118" s="165">
        <v>0.0</v>
      </c>
      <c r="P118" s="165">
        <v>0.0</v>
      </c>
      <c r="Q118" s="165">
        <v>2.0</v>
      </c>
      <c r="R118" s="165">
        <v>2.0</v>
      </c>
      <c r="S118" s="165">
        <v>0.0</v>
      </c>
      <c r="T118" s="165">
        <v>0.0</v>
      </c>
      <c r="U118" s="165">
        <v>0.0</v>
      </c>
      <c r="V118" s="165">
        <v>0.0</v>
      </c>
      <c r="W118" s="165">
        <v>0.0</v>
      </c>
      <c r="X118" s="165">
        <v>0.0</v>
      </c>
      <c r="Y118" s="165">
        <v>0.0</v>
      </c>
      <c r="Z118" s="165">
        <v>1.0</v>
      </c>
      <c r="AA118" s="165">
        <v>0.0</v>
      </c>
      <c r="AB118" s="165">
        <v>0.0</v>
      </c>
      <c r="AC118" s="165">
        <v>0.0</v>
      </c>
      <c r="AD118" s="165">
        <v>0.0</v>
      </c>
      <c r="AE118" s="165">
        <v>0.0</v>
      </c>
      <c r="AF118" s="165">
        <v>0.0</v>
      </c>
      <c r="AG118" s="95">
        <f t="shared" ref="AG118:AG126" si="28">SUM(B118:AF118)</f>
        <v>11</v>
      </c>
    </row>
    <row r="119" outlineLevel="1">
      <c r="A119" s="213" t="s">
        <v>225</v>
      </c>
      <c r="B119" s="165">
        <v>0.0</v>
      </c>
      <c r="C119" s="165">
        <v>0.0</v>
      </c>
      <c r="D119" s="165">
        <v>1.0</v>
      </c>
      <c r="E119" s="165">
        <v>0.0</v>
      </c>
      <c r="F119" s="165">
        <v>0.0</v>
      </c>
      <c r="G119" s="165">
        <v>0.0</v>
      </c>
      <c r="H119" s="165">
        <v>0.0</v>
      </c>
      <c r="I119" s="165">
        <v>0.0</v>
      </c>
      <c r="J119" s="165">
        <v>0.0</v>
      </c>
      <c r="K119" s="165">
        <v>0.0</v>
      </c>
      <c r="L119" s="165">
        <v>0.0</v>
      </c>
      <c r="M119" s="165">
        <v>0.0</v>
      </c>
      <c r="N119" s="165">
        <v>0.0</v>
      </c>
      <c r="O119" s="165">
        <v>1.0</v>
      </c>
      <c r="P119" s="165">
        <v>0.0</v>
      </c>
      <c r="Q119" s="165">
        <v>2.0</v>
      </c>
      <c r="R119" s="165">
        <v>0.0</v>
      </c>
      <c r="S119" s="165">
        <v>0.0</v>
      </c>
      <c r="T119" s="165">
        <v>0.0</v>
      </c>
      <c r="U119" s="165">
        <v>0.0</v>
      </c>
      <c r="V119" s="165">
        <v>2.0</v>
      </c>
      <c r="W119" s="165">
        <v>0.0</v>
      </c>
      <c r="X119" s="165">
        <v>0.0</v>
      </c>
      <c r="Y119" s="165">
        <v>0.0</v>
      </c>
      <c r="Z119" s="165">
        <v>0.0</v>
      </c>
      <c r="AA119" s="165">
        <v>0.0</v>
      </c>
      <c r="AB119" s="165">
        <v>0.0</v>
      </c>
      <c r="AC119" s="165">
        <v>0.0</v>
      </c>
      <c r="AD119" s="165">
        <v>0.0</v>
      </c>
      <c r="AE119" s="165">
        <v>0.0</v>
      </c>
      <c r="AF119" s="165">
        <v>0.0</v>
      </c>
      <c r="AG119" s="95">
        <f t="shared" si="28"/>
        <v>6</v>
      </c>
    </row>
    <row r="120" outlineLevel="1">
      <c r="A120" s="213" t="s">
        <v>537</v>
      </c>
      <c r="B120" s="165">
        <v>0.0</v>
      </c>
      <c r="C120" s="165">
        <v>0.0</v>
      </c>
      <c r="D120" s="165">
        <v>0.0</v>
      </c>
      <c r="E120" s="165">
        <v>0.0</v>
      </c>
      <c r="F120" s="165">
        <v>0.0</v>
      </c>
      <c r="G120" s="165">
        <v>0.0</v>
      </c>
      <c r="H120" s="165">
        <v>0.0</v>
      </c>
      <c r="I120" s="165">
        <v>0.0</v>
      </c>
      <c r="J120" s="165">
        <v>0.0</v>
      </c>
      <c r="K120" s="165">
        <v>0.0</v>
      </c>
      <c r="L120" s="165">
        <v>0.0</v>
      </c>
      <c r="M120" s="165">
        <v>0.0</v>
      </c>
      <c r="N120" s="165">
        <v>0.0</v>
      </c>
      <c r="O120" s="165">
        <v>0.0</v>
      </c>
      <c r="P120" s="165">
        <v>0.0</v>
      </c>
      <c r="Q120" s="165">
        <v>0.0</v>
      </c>
      <c r="R120" s="165">
        <v>0.0</v>
      </c>
      <c r="S120" s="165">
        <v>0.0</v>
      </c>
      <c r="T120" s="165">
        <v>0.0</v>
      </c>
      <c r="U120" s="165">
        <v>0.0</v>
      </c>
      <c r="V120" s="165">
        <v>0.0</v>
      </c>
      <c r="W120" s="165">
        <v>0.0</v>
      </c>
      <c r="X120" s="165">
        <v>0.0</v>
      </c>
      <c r="Y120" s="165">
        <v>0.0</v>
      </c>
      <c r="Z120" s="165">
        <v>0.0</v>
      </c>
      <c r="AA120" s="165">
        <v>0.0</v>
      </c>
      <c r="AB120" s="165">
        <v>0.0</v>
      </c>
      <c r="AC120" s="165">
        <v>1.0</v>
      </c>
      <c r="AD120" s="165">
        <v>0.0</v>
      </c>
      <c r="AE120" s="165">
        <v>0.0</v>
      </c>
      <c r="AF120" s="165">
        <v>0.0</v>
      </c>
      <c r="AG120" s="95">
        <f t="shared" si="28"/>
        <v>1</v>
      </c>
    </row>
    <row r="121" outlineLevel="1">
      <c r="A121" s="213" t="s">
        <v>538</v>
      </c>
      <c r="B121" s="165">
        <v>0.0</v>
      </c>
      <c r="C121" s="165">
        <v>0.0</v>
      </c>
      <c r="D121" s="165">
        <v>0.0</v>
      </c>
      <c r="E121" s="165">
        <v>0.0</v>
      </c>
      <c r="F121" s="165">
        <v>0.0</v>
      </c>
      <c r="G121" s="165">
        <v>0.0</v>
      </c>
      <c r="H121" s="165">
        <v>0.0</v>
      </c>
      <c r="I121" s="165">
        <v>0.0</v>
      </c>
      <c r="J121" s="165">
        <v>0.0</v>
      </c>
      <c r="K121" s="165">
        <v>0.0</v>
      </c>
      <c r="L121" s="165">
        <v>0.0</v>
      </c>
      <c r="M121" s="165">
        <v>0.0</v>
      </c>
      <c r="N121" s="165">
        <v>0.0</v>
      </c>
      <c r="O121" s="165">
        <v>0.0</v>
      </c>
      <c r="P121" s="165">
        <v>0.0</v>
      </c>
      <c r="Q121" s="165">
        <v>0.0</v>
      </c>
      <c r="R121" s="165">
        <v>0.0</v>
      </c>
      <c r="S121" s="165">
        <v>0.0</v>
      </c>
      <c r="T121" s="165">
        <v>0.0</v>
      </c>
      <c r="U121" s="165">
        <v>0.0</v>
      </c>
      <c r="V121" s="165">
        <v>0.0</v>
      </c>
      <c r="W121" s="165">
        <v>0.0</v>
      </c>
      <c r="X121" s="165">
        <v>0.0</v>
      </c>
      <c r="Y121" s="165">
        <v>0.0</v>
      </c>
      <c r="Z121" s="165">
        <v>0.0</v>
      </c>
      <c r="AA121" s="165">
        <v>0.0</v>
      </c>
      <c r="AB121" s="165">
        <v>0.0</v>
      </c>
      <c r="AC121" s="165">
        <v>0.0</v>
      </c>
      <c r="AD121" s="165">
        <v>0.0</v>
      </c>
      <c r="AE121" s="165">
        <v>0.0</v>
      </c>
      <c r="AF121" s="165">
        <v>0.0</v>
      </c>
      <c r="AG121" s="95">
        <f t="shared" si="28"/>
        <v>0</v>
      </c>
    </row>
    <row r="122" outlineLevel="1">
      <c r="A122" s="213" t="s">
        <v>539</v>
      </c>
      <c r="B122" s="165">
        <v>0.0</v>
      </c>
      <c r="C122" s="165">
        <v>0.0</v>
      </c>
      <c r="D122" s="165">
        <v>0.0</v>
      </c>
      <c r="E122" s="165">
        <v>0.0</v>
      </c>
      <c r="F122" s="165">
        <v>0.0</v>
      </c>
      <c r="G122" s="165">
        <v>0.0</v>
      </c>
      <c r="H122" s="165">
        <v>0.0</v>
      </c>
      <c r="I122" s="165">
        <v>0.0</v>
      </c>
      <c r="J122" s="165">
        <v>0.0</v>
      </c>
      <c r="K122" s="165">
        <v>0.0</v>
      </c>
      <c r="L122" s="165">
        <v>0.0</v>
      </c>
      <c r="M122" s="165">
        <v>0.0</v>
      </c>
      <c r="N122" s="165">
        <v>0.0</v>
      </c>
      <c r="O122" s="165">
        <v>0.0</v>
      </c>
      <c r="P122" s="165">
        <v>0.0</v>
      </c>
      <c r="Q122" s="165">
        <v>0.0</v>
      </c>
      <c r="R122" s="165">
        <v>0.0</v>
      </c>
      <c r="S122" s="165">
        <v>0.0</v>
      </c>
      <c r="T122" s="165">
        <v>0.0</v>
      </c>
      <c r="U122" s="165">
        <v>0.0</v>
      </c>
      <c r="V122" s="165">
        <v>0.0</v>
      </c>
      <c r="W122" s="165">
        <v>0.0</v>
      </c>
      <c r="X122" s="165">
        <v>0.0</v>
      </c>
      <c r="Y122" s="165">
        <v>0.0</v>
      </c>
      <c r="Z122" s="165">
        <v>0.0</v>
      </c>
      <c r="AA122" s="165">
        <v>0.0</v>
      </c>
      <c r="AB122" s="165">
        <v>0.0</v>
      </c>
      <c r="AC122" s="165">
        <v>0.0</v>
      </c>
      <c r="AD122" s="165">
        <v>0.0</v>
      </c>
      <c r="AE122" s="165">
        <v>0.0</v>
      </c>
      <c r="AF122" s="165">
        <v>0.0</v>
      </c>
      <c r="AG122" s="95">
        <f t="shared" si="28"/>
        <v>0</v>
      </c>
    </row>
    <row r="123" outlineLevel="1">
      <c r="A123" s="213" t="s">
        <v>540</v>
      </c>
      <c r="B123" s="165">
        <v>0.0</v>
      </c>
      <c r="C123" s="165">
        <v>0.0</v>
      </c>
      <c r="D123" s="165">
        <v>0.0</v>
      </c>
      <c r="E123" s="165">
        <v>0.0</v>
      </c>
      <c r="F123" s="165">
        <v>0.0</v>
      </c>
      <c r="G123" s="165">
        <v>0.0</v>
      </c>
      <c r="H123" s="165">
        <v>0.0</v>
      </c>
      <c r="I123" s="165">
        <v>0.0</v>
      </c>
      <c r="J123" s="165">
        <v>0.0</v>
      </c>
      <c r="K123" s="165">
        <v>0.0</v>
      </c>
      <c r="L123" s="165">
        <v>0.0</v>
      </c>
      <c r="M123" s="165">
        <v>0.0</v>
      </c>
      <c r="N123" s="165">
        <v>0.0</v>
      </c>
      <c r="O123" s="165">
        <v>0.0</v>
      </c>
      <c r="P123" s="165">
        <v>0.0</v>
      </c>
      <c r="Q123" s="165">
        <v>0.0</v>
      </c>
      <c r="R123" s="165">
        <v>0.0</v>
      </c>
      <c r="S123" s="165">
        <v>0.0</v>
      </c>
      <c r="T123" s="165">
        <v>0.0</v>
      </c>
      <c r="U123" s="165">
        <v>0.0</v>
      </c>
      <c r="V123" s="165">
        <v>0.0</v>
      </c>
      <c r="W123" s="165">
        <v>0.0</v>
      </c>
      <c r="X123" s="165">
        <v>0.0</v>
      </c>
      <c r="Y123" s="165">
        <v>0.0</v>
      </c>
      <c r="Z123" s="165">
        <v>0.0</v>
      </c>
      <c r="AA123" s="165">
        <v>0.0</v>
      </c>
      <c r="AB123" s="165">
        <v>0.0</v>
      </c>
      <c r="AC123" s="165">
        <v>0.0</v>
      </c>
      <c r="AD123" s="165">
        <v>0.0</v>
      </c>
      <c r="AE123" s="165">
        <v>0.0</v>
      </c>
      <c r="AF123" s="165">
        <v>0.0</v>
      </c>
      <c r="AG123" s="95">
        <f t="shared" si="28"/>
        <v>0</v>
      </c>
    </row>
    <row r="124" outlineLevel="1">
      <c r="A124" s="213" t="s">
        <v>541</v>
      </c>
      <c r="B124" s="165">
        <v>0.0</v>
      </c>
      <c r="C124" s="165">
        <v>0.0</v>
      </c>
      <c r="D124" s="165">
        <v>2.0</v>
      </c>
      <c r="E124" s="165">
        <v>0.0</v>
      </c>
      <c r="F124" s="165">
        <v>0.0</v>
      </c>
      <c r="G124" s="165">
        <v>0.0</v>
      </c>
      <c r="H124" s="165">
        <v>0.0</v>
      </c>
      <c r="I124" s="165">
        <v>0.0</v>
      </c>
      <c r="J124" s="165">
        <v>0.0</v>
      </c>
      <c r="K124" s="165">
        <v>0.0</v>
      </c>
      <c r="L124" s="165">
        <v>0.0</v>
      </c>
      <c r="M124" s="165">
        <v>0.0</v>
      </c>
      <c r="N124" s="165">
        <v>0.0</v>
      </c>
      <c r="O124" s="165">
        <v>0.0</v>
      </c>
      <c r="P124" s="165">
        <v>0.0</v>
      </c>
      <c r="Q124" s="165">
        <v>0.0</v>
      </c>
      <c r="R124" s="165">
        <v>0.0</v>
      </c>
      <c r="S124" s="165">
        <v>0.0</v>
      </c>
      <c r="T124" s="165">
        <v>0.0</v>
      </c>
      <c r="U124" s="165">
        <v>0.0</v>
      </c>
      <c r="V124" s="165">
        <v>0.0</v>
      </c>
      <c r="W124" s="165">
        <v>0.0</v>
      </c>
      <c r="X124" s="165">
        <v>1.0</v>
      </c>
      <c r="Y124" s="165">
        <v>0.0</v>
      </c>
      <c r="Z124" s="165">
        <v>0.0</v>
      </c>
      <c r="AA124" s="165">
        <v>0.0</v>
      </c>
      <c r="AB124" s="165">
        <v>0.0</v>
      </c>
      <c r="AC124" s="165">
        <v>1.0</v>
      </c>
      <c r="AD124" s="165">
        <v>0.0</v>
      </c>
      <c r="AE124" s="165">
        <v>0.0</v>
      </c>
      <c r="AF124" s="165">
        <v>0.0</v>
      </c>
      <c r="AG124" s="95">
        <f t="shared" si="28"/>
        <v>4</v>
      </c>
    </row>
    <row r="125" outlineLevel="1">
      <c r="A125" s="213" t="s">
        <v>542</v>
      </c>
      <c r="B125" s="165">
        <v>0.0</v>
      </c>
      <c r="C125" s="165">
        <v>0.0</v>
      </c>
      <c r="D125" s="165">
        <v>0.0</v>
      </c>
      <c r="E125" s="165">
        <v>0.0</v>
      </c>
      <c r="F125" s="165">
        <v>0.0</v>
      </c>
      <c r="G125" s="165">
        <v>0.0</v>
      </c>
      <c r="H125" s="165">
        <v>0.0</v>
      </c>
      <c r="I125" s="165">
        <v>0.0</v>
      </c>
      <c r="J125" s="165">
        <v>0.0</v>
      </c>
      <c r="K125" s="165">
        <v>0.0</v>
      </c>
      <c r="L125" s="165">
        <v>0.0</v>
      </c>
      <c r="M125" s="165">
        <v>0.0</v>
      </c>
      <c r="N125" s="165">
        <v>0.0</v>
      </c>
      <c r="O125" s="165">
        <v>0.0</v>
      </c>
      <c r="P125" s="165">
        <v>0.0</v>
      </c>
      <c r="Q125" s="165">
        <v>0.0</v>
      </c>
      <c r="R125" s="165">
        <v>0.0</v>
      </c>
      <c r="S125" s="165">
        <v>0.0</v>
      </c>
      <c r="T125" s="165">
        <v>0.0</v>
      </c>
      <c r="U125" s="165">
        <v>0.0</v>
      </c>
      <c r="V125" s="165">
        <v>0.0</v>
      </c>
      <c r="W125" s="165">
        <v>0.0</v>
      </c>
      <c r="X125" s="165">
        <v>0.0</v>
      </c>
      <c r="Y125" s="165">
        <v>0.0</v>
      </c>
      <c r="Z125" s="165">
        <v>0.0</v>
      </c>
      <c r="AA125" s="165">
        <v>0.0</v>
      </c>
      <c r="AB125" s="165">
        <v>0.0</v>
      </c>
      <c r="AC125" s="165">
        <v>0.0</v>
      </c>
      <c r="AD125" s="165">
        <v>0.0</v>
      </c>
      <c r="AE125" s="165">
        <v>0.0</v>
      </c>
      <c r="AF125" s="165">
        <v>0.0</v>
      </c>
      <c r="AG125" s="95">
        <f t="shared" si="28"/>
        <v>0</v>
      </c>
    </row>
    <row r="126" outlineLevel="1">
      <c r="A126" s="217" t="s">
        <v>141</v>
      </c>
      <c r="B126" s="330">
        <f t="shared" ref="B126:AF126" si="29">SUM(B118:B125)</f>
        <v>2</v>
      </c>
      <c r="C126" s="330">
        <f t="shared" si="29"/>
        <v>1</v>
      </c>
      <c r="D126" s="330">
        <f t="shared" si="29"/>
        <v>3</v>
      </c>
      <c r="E126" s="330">
        <f t="shared" si="29"/>
        <v>0</v>
      </c>
      <c r="F126" s="330">
        <f t="shared" si="29"/>
        <v>0</v>
      </c>
      <c r="G126" s="330">
        <f t="shared" si="29"/>
        <v>0</v>
      </c>
      <c r="H126" s="330">
        <f t="shared" si="29"/>
        <v>0</v>
      </c>
      <c r="I126" s="330">
        <f t="shared" si="29"/>
        <v>1</v>
      </c>
      <c r="J126" s="330">
        <f t="shared" si="29"/>
        <v>2</v>
      </c>
      <c r="K126" s="330">
        <f t="shared" si="29"/>
        <v>0</v>
      </c>
      <c r="L126" s="330">
        <f t="shared" si="29"/>
        <v>0</v>
      </c>
      <c r="M126" s="330">
        <f t="shared" si="29"/>
        <v>0</v>
      </c>
      <c r="N126" s="330">
        <f t="shared" si="29"/>
        <v>0</v>
      </c>
      <c r="O126" s="330">
        <f t="shared" si="29"/>
        <v>1</v>
      </c>
      <c r="P126" s="330">
        <f t="shared" si="29"/>
        <v>0</v>
      </c>
      <c r="Q126" s="330">
        <f t="shared" si="29"/>
        <v>4</v>
      </c>
      <c r="R126" s="330">
        <f t="shared" si="29"/>
        <v>2</v>
      </c>
      <c r="S126" s="330">
        <f t="shared" si="29"/>
        <v>0</v>
      </c>
      <c r="T126" s="330">
        <f t="shared" si="29"/>
        <v>0</v>
      </c>
      <c r="U126" s="330">
        <f t="shared" si="29"/>
        <v>0</v>
      </c>
      <c r="V126" s="330">
        <f t="shared" si="29"/>
        <v>2</v>
      </c>
      <c r="W126" s="330">
        <f t="shared" si="29"/>
        <v>0</v>
      </c>
      <c r="X126" s="330">
        <f t="shared" si="29"/>
        <v>1</v>
      </c>
      <c r="Y126" s="330">
        <f t="shared" si="29"/>
        <v>0</v>
      </c>
      <c r="Z126" s="330">
        <f t="shared" si="29"/>
        <v>1</v>
      </c>
      <c r="AA126" s="330">
        <f t="shared" si="29"/>
        <v>0</v>
      </c>
      <c r="AB126" s="330">
        <f t="shared" si="29"/>
        <v>0</v>
      </c>
      <c r="AC126" s="330">
        <f t="shared" si="29"/>
        <v>2</v>
      </c>
      <c r="AD126" s="330">
        <f t="shared" si="29"/>
        <v>0</v>
      </c>
      <c r="AE126" s="330">
        <f t="shared" si="29"/>
        <v>0</v>
      </c>
      <c r="AF126" s="330">
        <f t="shared" si="29"/>
        <v>0</v>
      </c>
      <c r="AG126" s="95">
        <f t="shared" si="28"/>
        <v>22</v>
      </c>
    </row>
    <row r="127">
      <c r="A127" s="172"/>
      <c r="AG127" s="207"/>
    </row>
    <row r="128">
      <c r="A128" s="149" t="s">
        <v>543</v>
      </c>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c r="AB128" s="176"/>
      <c r="AC128" s="176"/>
      <c r="AD128" s="176"/>
      <c r="AE128" s="176"/>
      <c r="AF128" s="176"/>
      <c r="AG128" s="329"/>
    </row>
    <row r="129" outlineLevel="1">
      <c r="A129" s="213" t="s">
        <v>544</v>
      </c>
      <c r="B129" s="165">
        <v>1.0</v>
      </c>
      <c r="C129" s="165">
        <v>0.0</v>
      </c>
      <c r="D129" s="165">
        <v>0.0</v>
      </c>
      <c r="E129" s="165">
        <v>0.0</v>
      </c>
      <c r="F129" s="165">
        <v>0.0</v>
      </c>
      <c r="G129" s="165">
        <v>0.0</v>
      </c>
      <c r="H129" s="165">
        <v>0.0</v>
      </c>
      <c r="I129" s="165">
        <v>0.0</v>
      </c>
      <c r="J129" s="165">
        <v>0.0</v>
      </c>
      <c r="K129" s="165">
        <v>2.0</v>
      </c>
      <c r="L129" s="165">
        <v>0.0</v>
      </c>
      <c r="M129" s="165">
        <v>0.0</v>
      </c>
      <c r="N129" s="165">
        <v>1.0</v>
      </c>
      <c r="O129" s="165">
        <v>0.0</v>
      </c>
      <c r="P129" s="165">
        <v>1.0</v>
      </c>
      <c r="Q129" s="165">
        <v>0.0</v>
      </c>
      <c r="R129" s="165">
        <v>0.0</v>
      </c>
      <c r="S129" s="165">
        <v>1.0</v>
      </c>
      <c r="T129" s="165">
        <v>2.0</v>
      </c>
      <c r="U129" s="165">
        <v>0.0</v>
      </c>
      <c r="V129" s="165">
        <v>2.0</v>
      </c>
      <c r="W129" s="165">
        <v>1.0</v>
      </c>
      <c r="X129" s="165">
        <v>0.0</v>
      </c>
      <c r="Y129" s="165">
        <v>1.0</v>
      </c>
      <c r="Z129" s="165">
        <v>0.0</v>
      </c>
      <c r="AA129" s="165">
        <v>2.0</v>
      </c>
      <c r="AB129" s="165">
        <v>0.0</v>
      </c>
      <c r="AC129" s="165">
        <v>0.0</v>
      </c>
      <c r="AD129" s="165">
        <v>0.0</v>
      </c>
      <c r="AE129" s="165">
        <v>0.0</v>
      </c>
      <c r="AF129" s="165">
        <v>0.0</v>
      </c>
      <c r="AG129" s="95">
        <f t="shared" ref="AG129:AG134" si="30">SUM(B129:AF129)</f>
        <v>14</v>
      </c>
    </row>
    <row r="130" outlineLevel="1">
      <c r="A130" s="213" t="s">
        <v>545</v>
      </c>
      <c r="B130" s="165">
        <v>0.0</v>
      </c>
      <c r="C130" s="165">
        <v>1.0</v>
      </c>
      <c r="D130" s="165">
        <v>0.0</v>
      </c>
      <c r="E130" s="165">
        <v>0.0</v>
      </c>
      <c r="F130" s="165">
        <v>0.0</v>
      </c>
      <c r="G130" s="165">
        <v>0.0</v>
      </c>
      <c r="H130" s="165">
        <v>0.0</v>
      </c>
      <c r="I130" s="165">
        <v>1.0</v>
      </c>
      <c r="J130" s="165">
        <v>0.0</v>
      </c>
      <c r="K130" s="165">
        <v>0.0</v>
      </c>
      <c r="L130" s="165">
        <v>0.0</v>
      </c>
      <c r="M130" s="165">
        <v>0.0</v>
      </c>
      <c r="N130" s="165">
        <v>1.0</v>
      </c>
      <c r="O130" s="165">
        <v>0.0</v>
      </c>
      <c r="P130" s="165">
        <v>0.0</v>
      </c>
      <c r="Q130" s="165">
        <v>1.0</v>
      </c>
      <c r="R130" s="165">
        <v>0.0</v>
      </c>
      <c r="S130" s="165">
        <v>2.0</v>
      </c>
      <c r="T130" s="165">
        <v>0.0</v>
      </c>
      <c r="U130" s="165">
        <v>1.0</v>
      </c>
      <c r="V130" s="165">
        <v>0.0</v>
      </c>
      <c r="W130" s="165">
        <v>0.0</v>
      </c>
      <c r="X130" s="165">
        <v>0.0</v>
      </c>
      <c r="Y130" s="165">
        <v>0.0</v>
      </c>
      <c r="Z130" s="165">
        <v>0.0</v>
      </c>
      <c r="AA130" s="165">
        <v>0.0</v>
      </c>
      <c r="AB130" s="165">
        <v>0.0</v>
      </c>
      <c r="AC130" s="165">
        <v>1.0</v>
      </c>
      <c r="AD130" s="165">
        <v>0.0</v>
      </c>
      <c r="AE130" s="165">
        <v>0.0</v>
      </c>
      <c r="AF130" s="165">
        <v>0.0</v>
      </c>
      <c r="AG130" s="95">
        <f t="shared" si="30"/>
        <v>8</v>
      </c>
    </row>
    <row r="131" outlineLevel="1">
      <c r="A131" s="213" t="s">
        <v>546</v>
      </c>
      <c r="B131" s="165">
        <v>8.0</v>
      </c>
      <c r="C131" s="165">
        <v>6.0</v>
      </c>
      <c r="D131" s="165">
        <v>6.0</v>
      </c>
      <c r="E131" s="165">
        <v>5.0</v>
      </c>
      <c r="F131" s="86">
        <v>2.0</v>
      </c>
      <c r="G131" s="165">
        <v>5.0</v>
      </c>
      <c r="H131" s="165">
        <v>4.0</v>
      </c>
      <c r="I131" s="165">
        <v>3.0</v>
      </c>
      <c r="J131" s="165">
        <v>3.0</v>
      </c>
      <c r="K131" s="165">
        <v>5.0</v>
      </c>
      <c r="L131" s="165">
        <v>4.0</v>
      </c>
      <c r="M131" s="165">
        <v>6.0</v>
      </c>
      <c r="N131" s="165">
        <v>6.0</v>
      </c>
      <c r="O131" s="165">
        <v>3.0</v>
      </c>
      <c r="P131" s="165">
        <v>3.0</v>
      </c>
      <c r="Q131" s="165">
        <v>3.0</v>
      </c>
      <c r="R131" s="165">
        <v>3.0</v>
      </c>
      <c r="S131" s="165">
        <v>3.0</v>
      </c>
      <c r="T131" s="165">
        <v>7.0</v>
      </c>
      <c r="U131" s="165">
        <v>5.0</v>
      </c>
      <c r="V131" s="165">
        <v>4.0</v>
      </c>
      <c r="W131" s="165">
        <v>2.0</v>
      </c>
      <c r="X131" s="165">
        <v>3.0</v>
      </c>
      <c r="Y131" s="165">
        <v>1.0</v>
      </c>
      <c r="Z131" s="165">
        <v>2.0</v>
      </c>
      <c r="AA131" s="165">
        <v>4.0</v>
      </c>
      <c r="AB131" s="165">
        <v>3.0</v>
      </c>
      <c r="AC131" s="165">
        <v>2.0</v>
      </c>
      <c r="AD131" s="165">
        <v>2.0</v>
      </c>
      <c r="AE131" s="165">
        <v>1.0</v>
      </c>
      <c r="AF131" s="165">
        <v>3.0</v>
      </c>
      <c r="AG131" s="95">
        <f t="shared" si="30"/>
        <v>117</v>
      </c>
    </row>
    <row r="132" outlineLevel="1">
      <c r="A132" s="213" t="s">
        <v>547</v>
      </c>
      <c r="B132" s="165">
        <v>1.0</v>
      </c>
      <c r="C132" s="165">
        <v>2.0</v>
      </c>
      <c r="D132" s="165">
        <v>0.0</v>
      </c>
      <c r="E132" s="165">
        <v>0.0</v>
      </c>
      <c r="F132" s="165">
        <v>2.0</v>
      </c>
      <c r="G132" s="165">
        <v>2.0</v>
      </c>
      <c r="H132" s="165">
        <v>0.0</v>
      </c>
      <c r="I132" s="165">
        <v>0.0</v>
      </c>
      <c r="J132" s="165">
        <v>0.0</v>
      </c>
      <c r="K132" s="165">
        <v>0.0</v>
      </c>
      <c r="L132" s="165">
        <v>1.0</v>
      </c>
      <c r="M132" s="165">
        <v>2.0</v>
      </c>
      <c r="N132" s="165">
        <v>1.0</v>
      </c>
      <c r="O132" s="165">
        <v>0.0</v>
      </c>
      <c r="P132" s="165">
        <v>0.0</v>
      </c>
      <c r="Q132" s="165">
        <v>0.0</v>
      </c>
      <c r="R132" s="165">
        <v>0.0</v>
      </c>
      <c r="S132" s="165">
        <v>1.0</v>
      </c>
      <c r="T132" s="165">
        <v>1.0</v>
      </c>
      <c r="U132" s="165">
        <v>1.0</v>
      </c>
      <c r="V132" s="165">
        <v>1.0</v>
      </c>
      <c r="W132" s="165">
        <v>0.0</v>
      </c>
      <c r="X132" s="165">
        <v>0.0</v>
      </c>
      <c r="Y132" s="165">
        <v>0.0</v>
      </c>
      <c r="Z132" s="165">
        <v>0.0</v>
      </c>
      <c r="AA132" s="165">
        <v>0.0</v>
      </c>
      <c r="AB132" s="165">
        <v>0.0</v>
      </c>
      <c r="AC132" s="165">
        <v>0.0</v>
      </c>
      <c r="AD132" s="165">
        <v>0.0</v>
      </c>
      <c r="AE132" s="165">
        <v>0.0</v>
      </c>
      <c r="AF132" s="165">
        <v>0.0</v>
      </c>
      <c r="AG132" s="95">
        <f t="shared" si="30"/>
        <v>15</v>
      </c>
    </row>
    <row r="133" outlineLevel="1">
      <c r="A133" s="215" t="s">
        <v>221</v>
      </c>
      <c r="B133" s="330">
        <f t="shared" ref="B133:AF133" si="31">B129+B130</f>
        <v>1</v>
      </c>
      <c r="C133" s="330">
        <f t="shared" si="31"/>
        <v>1</v>
      </c>
      <c r="D133" s="330">
        <f t="shared" si="31"/>
        <v>0</v>
      </c>
      <c r="E133" s="330">
        <f t="shared" si="31"/>
        <v>0</v>
      </c>
      <c r="F133" s="330">
        <f t="shared" si="31"/>
        <v>0</v>
      </c>
      <c r="G133" s="330">
        <f t="shared" si="31"/>
        <v>0</v>
      </c>
      <c r="H133" s="330">
        <f t="shared" si="31"/>
        <v>0</v>
      </c>
      <c r="I133" s="330">
        <f t="shared" si="31"/>
        <v>1</v>
      </c>
      <c r="J133" s="330">
        <f t="shared" si="31"/>
        <v>0</v>
      </c>
      <c r="K133" s="330">
        <f t="shared" si="31"/>
        <v>2</v>
      </c>
      <c r="L133" s="330">
        <f t="shared" si="31"/>
        <v>0</v>
      </c>
      <c r="M133" s="330">
        <f t="shared" si="31"/>
        <v>0</v>
      </c>
      <c r="N133" s="330">
        <f t="shared" si="31"/>
        <v>2</v>
      </c>
      <c r="O133" s="330">
        <f t="shared" si="31"/>
        <v>0</v>
      </c>
      <c r="P133" s="330">
        <f t="shared" si="31"/>
        <v>1</v>
      </c>
      <c r="Q133" s="330">
        <f t="shared" si="31"/>
        <v>1</v>
      </c>
      <c r="R133" s="330">
        <f t="shared" si="31"/>
        <v>0</v>
      </c>
      <c r="S133" s="330">
        <f t="shared" si="31"/>
        <v>3</v>
      </c>
      <c r="T133" s="330">
        <f t="shared" si="31"/>
        <v>2</v>
      </c>
      <c r="U133" s="330">
        <f t="shared" si="31"/>
        <v>1</v>
      </c>
      <c r="V133" s="330">
        <f t="shared" si="31"/>
        <v>2</v>
      </c>
      <c r="W133" s="330">
        <f t="shared" si="31"/>
        <v>1</v>
      </c>
      <c r="X133" s="330">
        <f t="shared" si="31"/>
        <v>0</v>
      </c>
      <c r="Y133" s="330">
        <f t="shared" si="31"/>
        <v>1</v>
      </c>
      <c r="Z133" s="330">
        <f t="shared" si="31"/>
        <v>0</v>
      </c>
      <c r="AA133" s="330">
        <f t="shared" si="31"/>
        <v>2</v>
      </c>
      <c r="AB133" s="330">
        <f t="shared" si="31"/>
        <v>0</v>
      </c>
      <c r="AC133" s="330">
        <f t="shared" si="31"/>
        <v>1</v>
      </c>
      <c r="AD133" s="330">
        <f t="shared" si="31"/>
        <v>0</v>
      </c>
      <c r="AE133" s="330">
        <f t="shared" si="31"/>
        <v>0</v>
      </c>
      <c r="AF133" s="330">
        <f t="shared" si="31"/>
        <v>0</v>
      </c>
      <c r="AG133" s="95">
        <f t="shared" si="30"/>
        <v>22</v>
      </c>
    </row>
    <row r="134" outlineLevel="1">
      <c r="A134" s="215" t="s">
        <v>222</v>
      </c>
      <c r="B134" s="330">
        <f t="shared" ref="B134:AF134" si="32">B131+B132</f>
        <v>9</v>
      </c>
      <c r="C134" s="330">
        <f t="shared" si="32"/>
        <v>8</v>
      </c>
      <c r="D134" s="330">
        <f t="shared" si="32"/>
        <v>6</v>
      </c>
      <c r="E134" s="330">
        <f t="shared" si="32"/>
        <v>5</v>
      </c>
      <c r="F134" s="330">
        <f t="shared" si="32"/>
        <v>4</v>
      </c>
      <c r="G134" s="330">
        <f t="shared" si="32"/>
        <v>7</v>
      </c>
      <c r="H134" s="330">
        <f t="shared" si="32"/>
        <v>4</v>
      </c>
      <c r="I134" s="330">
        <f t="shared" si="32"/>
        <v>3</v>
      </c>
      <c r="J134" s="330">
        <f t="shared" si="32"/>
        <v>3</v>
      </c>
      <c r="K134" s="330">
        <f t="shared" si="32"/>
        <v>5</v>
      </c>
      <c r="L134" s="330">
        <f t="shared" si="32"/>
        <v>5</v>
      </c>
      <c r="M134" s="330">
        <f t="shared" si="32"/>
        <v>8</v>
      </c>
      <c r="N134" s="330">
        <f t="shared" si="32"/>
        <v>7</v>
      </c>
      <c r="O134" s="330">
        <f t="shared" si="32"/>
        <v>3</v>
      </c>
      <c r="P134" s="330">
        <f t="shared" si="32"/>
        <v>3</v>
      </c>
      <c r="Q134" s="330">
        <f t="shared" si="32"/>
        <v>3</v>
      </c>
      <c r="R134" s="330">
        <f t="shared" si="32"/>
        <v>3</v>
      </c>
      <c r="S134" s="330">
        <f t="shared" si="32"/>
        <v>4</v>
      </c>
      <c r="T134" s="330">
        <f t="shared" si="32"/>
        <v>8</v>
      </c>
      <c r="U134" s="330">
        <f t="shared" si="32"/>
        <v>6</v>
      </c>
      <c r="V134" s="330">
        <f t="shared" si="32"/>
        <v>5</v>
      </c>
      <c r="W134" s="330">
        <f t="shared" si="32"/>
        <v>2</v>
      </c>
      <c r="X134" s="330">
        <f t="shared" si="32"/>
        <v>3</v>
      </c>
      <c r="Y134" s="330">
        <f t="shared" si="32"/>
        <v>1</v>
      </c>
      <c r="Z134" s="330">
        <f t="shared" si="32"/>
        <v>2</v>
      </c>
      <c r="AA134" s="330">
        <f t="shared" si="32"/>
        <v>4</v>
      </c>
      <c r="AB134" s="330">
        <f t="shared" si="32"/>
        <v>3</v>
      </c>
      <c r="AC134" s="330">
        <f t="shared" si="32"/>
        <v>2</v>
      </c>
      <c r="AD134" s="330">
        <f t="shared" si="32"/>
        <v>2</v>
      </c>
      <c r="AE134" s="330">
        <f t="shared" si="32"/>
        <v>1</v>
      </c>
      <c r="AF134" s="330">
        <f t="shared" si="32"/>
        <v>3</v>
      </c>
      <c r="AG134" s="95">
        <f t="shared" si="30"/>
        <v>132</v>
      </c>
    </row>
    <row r="135" outlineLevel="1">
      <c r="A135" s="100"/>
      <c r="AG135" s="95"/>
    </row>
    <row r="136" outlineLevel="1">
      <c r="A136" s="213" t="s">
        <v>224</v>
      </c>
      <c r="B136" s="165">
        <v>2.0</v>
      </c>
      <c r="C136" s="165">
        <v>1.0</v>
      </c>
      <c r="D136" s="165">
        <v>2.0</v>
      </c>
      <c r="E136" s="165">
        <v>1.0</v>
      </c>
      <c r="F136" s="165">
        <v>3.0</v>
      </c>
      <c r="G136" s="165">
        <v>8.0</v>
      </c>
      <c r="H136" s="165">
        <v>0.0</v>
      </c>
      <c r="I136" s="165">
        <v>1.0</v>
      </c>
      <c r="J136" s="165">
        <v>1.0</v>
      </c>
      <c r="K136" s="165">
        <v>4.0</v>
      </c>
      <c r="L136" s="165">
        <v>0.0</v>
      </c>
      <c r="M136" s="165">
        <v>1.0</v>
      </c>
      <c r="N136" s="165">
        <v>2.0</v>
      </c>
      <c r="O136" s="165">
        <v>1.0</v>
      </c>
      <c r="P136" s="165">
        <v>1.0</v>
      </c>
      <c r="Q136" s="165">
        <v>0.0</v>
      </c>
      <c r="R136" s="165">
        <v>1.0</v>
      </c>
      <c r="S136" s="165">
        <v>0.0</v>
      </c>
      <c r="T136" s="165">
        <v>4.0</v>
      </c>
      <c r="U136" s="165">
        <v>1.0</v>
      </c>
      <c r="V136" s="165">
        <v>2.0</v>
      </c>
      <c r="W136" s="165">
        <v>1.0</v>
      </c>
      <c r="X136" s="165">
        <v>0.0</v>
      </c>
      <c r="Y136" s="165">
        <v>0.0</v>
      </c>
      <c r="Z136" s="165">
        <v>1.0</v>
      </c>
      <c r="AA136" s="165">
        <v>1.0</v>
      </c>
      <c r="AB136" s="165">
        <v>0.0</v>
      </c>
      <c r="AC136" s="165">
        <v>3.0</v>
      </c>
      <c r="AD136" s="165">
        <v>2.0</v>
      </c>
      <c r="AE136" s="165">
        <v>1.0</v>
      </c>
      <c r="AF136" s="165">
        <v>1.0</v>
      </c>
      <c r="AG136" s="95">
        <f t="shared" ref="AG136:AG144" si="33">SUM(B136:AF136)</f>
        <v>46</v>
      </c>
    </row>
    <row r="137" outlineLevel="1">
      <c r="A137" s="213" t="s">
        <v>225</v>
      </c>
      <c r="B137" s="165">
        <v>0.0</v>
      </c>
      <c r="C137" s="165">
        <v>0.0</v>
      </c>
      <c r="D137" s="165">
        <v>0.0</v>
      </c>
      <c r="E137" s="165">
        <v>0.0</v>
      </c>
      <c r="F137" s="165">
        <v>0.0</v>
      </c>
      <c r="G137" s="165">
        <v>0.0</v>
      </c>
      <c r="H137" s="165">
        <v>1.0</v>
      </c>
      <c r="I137" s="165">
        <v>0.0</v>
      </c>
      <c r="J137" s="165">
        <v>0.0</v>
      </c>
      <c r="K137" s="165">
        <v>0.0</v>
      </c>
      <c r="L137" s="165">
        <v>0.0</v>
      </c>
      <c r="M137" s="165">
        <v>0.0</v>
      </c>
      <c r="N137" s="165">
        <v>0.0</v>
      </c>
      <c r="O137" s="165">
        <v>0.0</v>
      </c>
      <c r="P137" s="165">
        <v>0.0</v>
      </c>
      <c r="Q137" s="165">
        <v>1.0</v>
      </c>
      <c r="R137" s="165">
        <v>0.0</v>
      </c>
      <c r="S137" s="165">
        <v>2.0</v>
      </c>
      <c r="T137" s="165">
        <v>0.0</v>
      </c>
      <c r="U137" s="165">
        <v>0.0</v>
      </c>
      <c r="V137" s="165">
        <v>0.0</v>
      </c>
      <c r="W137" s="165">
        <v>0.0</v>
      </c>
      <c r="X137" s="165">
        <v>0.0</v>
      </c>
      <c r="Y137" s="165">
        <v>2.0</v>
      </c>
      <c r="Z137" s="165">
        <v>0.0</v>
      </c>
      <c r="AA137" s="165">
        <v>0.0</v>
      </c>
      <c r="AB137" s="165">
        <v>0.0</v>
      </c>
      <c r="AC137" s="165">
        <v>1.0</v>
      </c>
      <c r="AD137" s="165">
        <v>0.0</v>
      </c>
      <c r="AE137" s="165">
        <v>1.0</v>
      </c>
      <c r="AF137" s="165">
        <v>0.0</v>
      </c>
      <c r="AG137" s="95">
        <f t="shared" si="33"/>
        <v>8</v>
      </c>
    </row>
    <row r="138" outlineLevel="1">
      <c r="A138" s="213" t="s">
        <v>548</v>
      </c>
      <c r="B138" s="165">
        <v>0.0</v>
      </c>
      <c r="C138" s="165">
        <v>0.0</v>
      </c>
      <c r="D138" s="165">
        <v>0.0</v>
      </c>
      <c r="E138" s="165">
        <v>0.0</v>
      </c>
      <c r="F138" s="165">
        <v>0.0</v>
      </c>
      <c r="G138" s="165">
        <v>0.0</v>
      </c>
      <c r="H138" s="165">
        <v>0.0</v>
      </c>
      <c r="I138" s="165">
        <v>0.0</v>
      </c>
      <c r="J138" s="165">
        <v>0.0</v>
      </c>
      <c r="K138" s="165">
        <v>0.0</v>
      </c>
      <c r="L138" s="165">
        <v>0.0</v>
      </c>
      <c r="M138" s="165">
        <v>0.0</v>
      </c>
      <c r="N138" s="165">
        <v>0.0</v>
      </c>
      <c r="O138" s="165">
        <v>0.0</v>
      </c>
      <c r="P138" s="165">
        <v>0.0</v>
      </c>
      <c r="Q138" s="165">
        <v>1.0</v>
      </c>
      <c r="R138" s="165">
        <v>0.0</v>
      </c>
      <c r="S138" s="165">
        <v>1.0</v>
      </c>
      <c r="T138" s="165">
        <v>0.0</v>
      </c>
      <c r="U138" s="165">
        <v>0.0</v>
      </c>
      <c r="V138" s="165">
        <v>0.0</v>
      </c>
      <c r="W138" s="165">
        <v>0.0</v>
      </c>
      <c r="X138" s="165">
        <v>0.0</v>
      </c>
      <c r="Y138" s="165">
        <v>0.0</v>
      </c>
      <c r="Z138" s="165">
        <v>0.0</v>
      </c>
      <c r="AA138" s="165">
        <v>1.0</v>
      </c>
      <c r="AB138" s="165">
        <v>0.0</v>
      </c>
      <c r="AC138" s="165">
        <v>0.0</v>
      </c>
      <c r="AD138" s="165">
        <v>0.0</v>
      </c>
      <c r="AE138" s="165">
        <v>0.0</v>
      </c>
      <c r="AF138" s="165">
        <v>0.0</v>
      </c>
      <c r="AG138" s="95">
        <f t="shared" si="33"/>
        <v>3</v>
      </c>
    </row>
    <row r="139" outlineLevel="1">
      <c r="A139" s="213" t="s">
        <v>549</v>
      </c>
      <c r="B139" s="165">
        <v>0.0</v>
      </c>
      <c r="C139" s="165">
        <v>0.0</v>
      </c>
      <c r="D139" s="165">
        <v>0.0</v>
      </c>
      <c r="E139" s="165">
        <v>0.0</v>
      </c>
      <c r="F139" s="165">
        <v>0.0</v>
      </c>
      <c r="G139" s="165">
        <v>0.0</v>
      </c>
      <c r="H139" s="165">
        <v>0.0</v>
      </c>
      <c r="I139" s="165">
        <v>0.0</v>
      </c>
      <c r="J139" s="165">
        <v>0.0</v>
      </c>
      <c r="K139" s="165">
        <v>0.0</v>
      </c>
      <c r="L139" s="165">
        <v>0.0</v>
      </c>
      <c r="M139" s="165">
        <v>0.0</v>
      </c>
      <c r="N139" s="165">
        <v>0.0</v>
      </c>
      <c r="O139" s="165">
        <v>0.0</v>
      </c>
      <c r="P139" s="165">
        <v>0.0</v>
      </c>
      <c r="Q139" s="165">
        <v>0.0</v>
      </c>
      <c r="R139" s="165">
        <v>0.0</v>
      </c>
      <c r="S139" s="165">
        <v>0.0</v>
      </c>
      <c r="T139" s="165">
        <v>0.0</v>
      </c>
      <c r="U139" s="165">
        <v>0.0</v>
      </c>
      <c r="V139" s="165">
        <v>0.0</v>
      </c>
      <c r="W139" s="165">
        <v>0.0</v>
      </c>
      <c r="X139" s="165">
        <v>0.0</v>
      </c>
      <c r="Y139" s="165">
        <v>0.0</v>
      </c>
      <c r="Z139" s="165">
        <v>0.0</v>
      </c>
      <c r="AA139" s="165">
        <v>0.0</v>
      </c>
      <c r="AB139" s="165">
        <v>0.0</v>
      </c>
      <c r="AC139" s="165">
        <v>0.0</v>
      </c>
      <c r="AD139" s="165">
        <v>0.0</v>
      </c>
      <c r="AE139" s="165">
        <v>0.0</v>
      </c>
      <c r="AF139" s="165">
        <v>0.0</v>
      </c>
      <c r="AG139" s="95">
        <f t="shared" si="33"/>
        <v>0</v>
      </c>
    </row>
    <row r="140" outlineLevel="1">
      <c r="A140" s="213" t="s">
        <v>550</v>
      </c>
      <c r="B140" s="165">
        <v>0.0</v>
      </c>
      <c r="C140" s="165">
        <v>0.0</v>
      </c>
      <c r="D140" s="165">
        <v>0.0</v>
      </c>
      <c r="E140" s="165">
        <v>0.0</v>
      </c>
      <c r="F140" s="165">
        <v>0.0</v>
      </c>
      <c r="G140" s="165">
        <v>0.0</v>
      </c>
      <c r="H140" s="165">
        <v>0.0</v>
      </c>
      <c r="I140" s="165">
        <v>0.0</v>
      </c>
      <c r="J140" s="165">
        <v>0.0</v>
      </c>
      <c r="K140" s="165">
        <v>0.0</v>
      </c>
      <c r="L140" s="165">
        <v>0.0</v>
      </c>
      <c r="M140" s="165">
        <v>0.0</v>
      </c>
      <c r="N140" s="165">
        <v>0.0</v>
      </c>
      <c r="O140" s="165">
        <v>0.0</v>
      </c>
      <c r="P140" s="165">
        <v>0.0</v>
      </c>
      <c r="Q140" s="165">
        <v>0.0</v>
      </c>
      <c r="R140" s="165">
        <v>0.0</v>
      </c>
      <c r="S140" s="165">
        <v>0.0</v>
      </c>
      <c r="T140" s="165">
        <v>0.0</v>
      </c>
      <c r="U140" s="165">
        <v>0.0</v>
      </c>
      <c r="V140" s="165">
        <v>0.0</v>
      </c>
      <c r="W140" s="165">
        <v>0.0</v>
      </c>
      <c r="X140" s="165">
        <v>0.0</v>
      </c>
      <c r="Y140" s="165">
        <v>0.0</v>
      </c>
      <c r="Z140" s="165">
        <v>0.0</v>
      </c>
      <c r="AA140" s="165">
        <v>0.0</v>
      </c>
      <c r="AB140" s="165">
        <v>0.0</v>
      </c>
      <c r="AC140" s="165">
        <v>0.0</v>
      </c>
      <c r="AD140" s="165">
        <v>0.0</v>
      </c>
      <c r="AE140" s="165">
        <v>0.0</v>
      </c>
      <c r="AF140" s="165">
        <v>0.0</v>
      </c>
      <c r="AG140" s="95">
        <f t="shared" si="33"/>
        <v>0</v>
      </c>
    </row>
    <row r="141" outlineLevel="1">
      <c r="A141" s="213" t="s">
        <v>551</v>
      </c>
      <c r="B141" s="165">
        <v>0.0</v>
      </c>
      <c r="C141" s="165">
        <v>0.0</v>
      </c>
      <c r="D141" s="165">
        <v>0.0</v>
      </c>
      <c r="E141" s="165">
        <v>0.0</v>
      </c>
      <c r="F141" s="165">
        <v>0.0</v>
      </c>
      <c r="G141" s="165">
        <v>0.0</v>
      </c>
      <c r="H141" s="165">
        <v>0.0</v>
      </c>
      <c r="I141" s="165">
        <v>0.0</v>
      </c>
      <c r="J141" s="165">
        <v>0.0</v>
      </c>
      <c r="K141" s="165">
        <v>0.0</v>
      </c>
      <c r="L141" s="165">
        <v>0.0</v>
      </c>
      <c r="M141" s="165">
        <v>0.0</v>
      </c>
      <c r="N141" s="165">
        <v>0.0</v>
      </c>
      <c r="O141" s="165">
        <v>0.0</v>
      </c>
      <c r="P141" s="165">
        <v>0.0</v>
      </c>
      <c r="Q141" s="165">
        <v>0.0</v>
      </c>
      <c r="R141" s="165">
        <v>0.0</v>
      </c>
      <c r="S141" s="165">
        <v>0.0</v>
      </c>
      <c r="T141" s="165">
        <v>0.0</v>
      </c>
      <c r="U141" s="165">
        <v>0.0</v>
      </c>
      <c r="V141" s="165">
        <v>0.0</v>
      </c>
      <c r="W141" s="165">
        <v>0.0</v>
      </c>
      <c r="X141" s="165">
        <v>0.0</v>
      </c>
      <c r="Y141" s="165">
        <v>0.0</v>
      </c>
      <c r="Z141" s="165">
        <v>0.0</v>
      </c>
      <c r="AA141" s="165">
        <v>0.0</v>
      </c>
      <c r="AB141" s="165">
        <v>0.0</v>
      </c>
      <c r="AC141" s="165">
        <v>0.0</v>
      </c>
      <c r="AD141" s="165">
        <v>0.0</v>
      </c>
      <c r="AE141" s="165">
        <v>0.0</v>
      </c>
      <c r="AF141" s="165">
        <v>0.0</v>
      </c>
      <c r="AG141" s="95">
        <f t="shared" si="33"/>
        <v>0</v>
      </c>
    </row>
    <row r="142" outlineLevel="1">
      <c r="A142" s="213" t="s">
        <v>552</v>
      </c>
      <c r="B142" s="165">
        <v>0.0</v>
      </c>
      <c r="C142" s="165">
        <v>0.0</v>
      </c>
      <c r="D142" s="165">
        <v>0.0</v>
      </c>
      <c r="E142" s="165">
        <v>0.0</v>
      </c>
      <c r="F142" s="165">
        <v>0.0</v>
      </c>
      <c r="G142" s="165">
        <v>0.0</v>
      </c>
      <c r="H142" s="165">
        <v>0.0</v>
      </c>
      <c r="I142" s="165">
        <v>0.0</v>
      </c>
      <c r="J142" s="165">
        <v>0.0</v>
      </c>
      <c r="K142" s="165">
        <v>0.0</v>
      </c>
      <c r="L142" s="165">
        <v>0.0</v>
      </c>
      <c r="M142" s="165">
        <v>0.0</v>
      </c>
      <c r="N142" s="165">
        <v>1.0</v>
      </c>
      <c r="O142" s="165">
        <v>0.0</v>
      </c>
      <c r="P142" s="165">
        <v>0.0</v>
      </c>
      <c r="Q142" s="165">
        <v>2.0</v>
      </c>
      <c r="R142" s="165">
        <v>0.0</v>
      </c>
      <c r="S142" s="165">
        <v>1.0</v>
      </c>
      <c r="T142" s="165">
        <v>1.0</v>
      </c>
      <c r="U142" s="165">
        <v>1.0</v>
      </c>
      <c r="V142" s="165">
        <v>1.0</v>
      </c>
      <c r="W142" s="165">
        <v>0.0</v>
      </c>
      <c r="X142" s="165">
        <v>0.0</v>
      </c>
      <c r="Y142" s="165">
        <v>1.0</v>
      </c>
      <c r="Z142" s="165">
        <v>0.0</v>
      </c>
      <c r="AA142" s="165">
        <v>0.0</v>
      </c>
      <c r="AB142" s="165">
        <v>0.0</v>
      </c>
      <c r="AC142" s="165">
        <v>1.0</v>
      </c>
      <c r="AD142" s="165">
        <v>0.0</v>
      </c>
      <c r="AE142" s="165">
        <v>0.0</v>
      </c>
      <c r="AF142" s="165">
        <v>0.0</v>
      </c>
      <c r="AG142" s="95">
        <f t="shared" si="33"/>
        <v>9</v>
      </c>
    </row>
    <row r="143" outlineLevel="1">
      <c r="A143" s="213" t="s">
        <v>553</v>
      </c>
      <c r="B143" s="165">
        <v>0.0</v>
      </c>
      <c r="C143" s="165">
        <v>0.0</v>
      </c>
      <c r="D143" s="165">
        <v>0.0</v>
      </c>
      <c r="E143" s="165">
        <v>0.0</v>
      </c>
      <c r="F143" s="165">
        <v>0.0</v>
      </c>
      <c r="G143" s="165">
        <v>0.0</v>
      </c>
      <c r="H143" s="165">
        <v>0.0</v>
      </c>
      <c r="I143" s="165">
        <v>0.0</v>
      </c>
      <c r="J143" s="165">
        <v>0.0</v>
      </c>
      <c r="K143" s="165">
        <v>0.0</v>
      </c>
      <c r="L143" s="165">
        <v>0.0</v>
      </c>
      <c r="M143" s="165">
        <v>0.0</v>
      </c>
      <c r="N143" s="165">
        <v>0.0</v>
      </c>
      <c r="O143" s="165">
        <v>0.0</v>
      </c>
      <c r="P143" s="165">
        <v>0.0</v>
      </c>
      <c r="Q143" s="165">
        <v>0.0</v>
      </c>
      <c r="R143" s="165">
        <v>0.0</v>
      </c>
      <c r="S143" s="165">
        <v>0.0</v>
      </c>
      <c r="T143" s="165">
        <v>0.0</v>
      </c>
      <c r="U143" s="165">
        <v>0.0</v>
      </c>
      <c r="V143" s="165">
        <v>0.0</v>
      </c>
      <c r="W143" s="165">
        <v>0.0</v>
      </c>
      <c r="X143" s="165">
        <v>0.0</v>
      </c>
      <c r="Y143" s="165">
        <v>0.0</v>
      </c>
      <c r="Z143" s="165">
        <v>0.0</v>
      </c>
      <c r="AA143" s="165">
        <v>0.0</v>
      </c>
      <c r="AB143" s="165">
        <v>0.0</v>
      </c>
      <c r="AC143" s="165">
        <v>0.0</v>
      </c>
      <c r="AD143" s="165">
        <v>0.0</v>
      </c>
      <c r="AE143" s="165">
        <v>0.0</v>
      </c>
      <c r="AF143" s="165">
        <v>0.0</v>
      </c>
      <c r="AG143" s="95">
        <f t="shared" si="33"/>
        <v>0</v>
      </c>
    </row>
    <row r="144" outlineLevel="1">
      <c r="A144" s="217" t="s">
        <v>141</v>
      </c>
      <c r="B144" s="330">
        <f t="shared" ref="B144:AF144" si="34">SUM(B136:B143)</f>
        <v>2</v>
      </c>
      <c r="C144" s="330">
        <f t="shared" si="34"/>
        <v>1</v>
      </c>
      <c r="D144" s="330">
        <f t="shared" si="34"/>
        <v>2</v>
      </c>
      <c r="E144" s="330">
        <f t="shared" si="34"/>
        <v>1</v>
      </c>
      <c r="F144" s="330">
        <f t="shared" si="34"/>
        <v>3</v>
      </c>
      <c r="G144" s="330">
        <f t="shared" si="34"/>
        <v>8</v>
      </c>
      <c r="H144" s="330">
        <f t="shared" si="34"/>
        <v>1</v>
      </c>
      <c r="I144" s="330">
        <f t="shared" si="34"/>
        <v>1</v>
      </c>
      <c r="J144" s="330">
        <f t="shared" si="34"/>
        <v>1</v>
      </c>
      <c r="K144" s="330">
        <f t="shared" si="34"/>
        <v>4</v>
      </c>
      <c r="L144" s="330">
        <f t="shared" si="34"/>
        <v>0</v>
      </c>
      <c r="M144" s="330">
        <f t="shared" si="34"/>
        <v>1</v>
      </c>
      <c r="N144" s="330">
        <f t="shared" si="34"/>
        <v>3</v>
      </c>
      <c r="O144" s="330">
        <f t="shared" si="34"/>
        <v>1</v>
      </c>
      <c r="P144" s="330">
        <f t="shared" si="34"/>
        <v>1</v>
      </c>
      <c r="Q144" s="330">
        <f t="shared" si="34"/>
        <v>4</v>
      </c>
      <c r="R144" s="330">
        <f t="shared" si="34"/>
        <v>1</v>
      </c>
      <c r="S144" s="330">
        <f t="shared" si="34"/>
        <v>4</v>
      </c>
      <c r="T144" s="330">
        <f t="shared" si="34"/>
        <v>5</v>
      </c>
      <c r="U144" s="330">
        <f t="shared" si="34"/>
        <v>2</v>
      </c>
      <c r="V144" s="330">
        <f t="shared" si="34"/>
        <v>3</v>
      </c>
      <c r="W144" s="330">
        <f t="shared" si="34"/>
        <v>1</v>
      </c>
      <c r="X144" s="330">
        <f t="shared" si="34"/>
        <v>0</v>
      </c>
      <c r="Y144" s="330">
        <f t="shared" si="34"/>
        <v>3</v>
      </c>
      <c r="Z144" s="330">
        <f t="shared" si="34"/>
        <v>1</v>
      </c>
      <c r="AA144" s="330">
        <f t="shared" si="34"/>
        <v>2</v>
      </c>
      <c r="AB144" s="330">
        <f t="shared" si="34"/>
        <v>0</v>
      </c>
      <c r="AC144" s="330">
        <f t="shared" si="34"/>
        <v>5</v>
      </c>
      <c r="AD144" s="330">
        <f t="shared" si="34"/>
        <v>2</v>
      </c>
      <c r="AE144" s="330">
        <f t="shared" si="34"/>
        <v>2</v>
      </c>
      <c r="AF144" s="330">
        <f t="shared" si="34"/>
        <v>1</v>
      </c>
      <c r="AG144" s="95">
        <f t="shared" si="33"/>
        <v>66</v>
      </c>
    </row>
    <row r="145">
      <c r="A145" s="172"/>
      <c r="AG145" s="207"/>
    </row>
    <row r="146">
      <c r="A146" s="172"/>
      <c r="B146" s="331"/>
      <c r="AG146" s="207"/>
    </row>
    <row r="147">
      <c r="A147" s="149" t="s">
        <v>554</v>
      </c>
      <c r="B147" s="189"/>
      <c r="C147" s="189"/>
      <c r="D147" s="189"/>
      <c r="E147" s="189"/>
      <c r="F147" s="189"/>
      <c r="G147" s="332"/>
      <c r="H147" s="189"/>
      <c r="I147" s="150"/>
      <c r="J147" s="150"/>
      <c r="K147" s="150"/>
      <c r="L147" s="150"/>
      <c r="M147" s="150"/>
      <c r="N147" s="150"/>
      <c r="O147" s="150"/>
      <c r="P147" s="150"/>
      <c r="Q147" s="150"/>
      <c r="R147" s="150"/>
      <c r="S147" s="150"/>
      <c r="T147" s="150"/>
      <c r="U147" s="150"/>
      <c r="V147" s="150"/>
      <c r="W147" s="150"/>
      <c r="X147" s="333"/>
      <c r="Y147" s="150"/>
      <c r="Z147" s="150"/>
      <c r="AA147" s="150"/>
      <c r="AB147" s="150"/>
      <c r="AC147" s="150"/>
      <c r="AD147" s="150"/>
      <c r="AE147" s="150"/>
      <c r="AF147" s="150"/>
      <c r="AG147" s="329"/>
    </row>
    <row r="148" outlineLevel="1">
      <c r="A148" s="334" t="s">
        <v>555</v>
      </c>
      <c r="B148" s="199">
        <f> 19+ 19+ 179+ 179+ 179+ 209+ 209</f>
        <v>993</v>
      </c>
      <c r="C148" s="199">
        <f> 209+ 179+19</f>
        <v>407</v>
      </c>
      <c r="D148" s="199">
        <f> 209+ 209+ 14+19+19+ 179</f>
        <v>649</v>
      </c>
      <c r="E148" s="199">
        <f>179+179+209</f>
        <v>567</v>
      </c>
      <c r="F148" s="199">
        <v>0.0</v>
      </c>
      <c r="G148" s="199">
        <v>179.0</v>
      </c>
      <c r="H148" s="199">
        <v>0.0</v>
      </c>
      <c r="I148" s="199">
        <f>209+209+179+19</f>
        <v>616</v>
      </c>
      <c r="J148" s="199">
        <f>209+209+19+19</f>
        <v>456</v>
      </c>
      <c r="K148" s="199">
        <f>209+209</f>
        <v>418</v>
      </c>
      <c r="L148" s="199">
        <v>209.0</v>
      </c>
      <c r="M148" s="199">
        <v>0.0</v>
      </c>
      <c r="N148" s="199">
        <v>0.0</v>
      </c>
      <c r="O148" s="199">
        <v>19.0</v>
      </c>
      <c r="P148" s="199">
        <v>299.0</v>
      </c>
      <c r="Q148" s="199">
        <f>19+19+29+29</f>
        <v>96</v>
      </c>
      <c r="R148" s="199">
        <f>299+299+29+29</f>
        <v>656</v>
      </c>
      <c r="S148" s="199">
        <v>0.0</v>
      </c>
      <c r="T148" s="199">
        <v>0.0</v>
      </c>
      <c r="U148" s="199">
        <f>239+299+299</f>
        <v>837</v>
      </c>
      <c r="V148" s="199">
        <f>299+299+19+19</f>
        <v>636</v>
      </c>
      <c r="W148" s="199">
        <v>0.0</v>
      </c>
      <c r="X148" s="199">
        <f>299+29</f>
        <v>328</v>
      </c>
      <c r="Y148" s="199">
        <v>239.0</v>
      </c>
      <c r="Z148" s="199">
        <v>29.0</v>
      </c>
      <c r="AA148" s="199">
        <f>239+239+299</f>
        <v>777</v>
      </c>
      <c r="AB148" s="199">
        <f>299+239+239+239</f>
        <v>1016</v>
      </c>
      <c r="AC148" s="199">
        <f>39+29+239</f>
        <v>307</v>
      </c>
      <c r="AD148" s="199">
        <v>239.0</v>
      </c>
      <c r="AE148" s="199">
        <v>0.0</v>
      </c>
      <c r="AF148" s="199">
        <v>0.0</v>
      </c>
      <c r="AG148" s="95">
        <f t="shared" ref="AG148:AG152" si="36">SUM(B148:AF148)</f>
        <v>9972</v>
      </c>
    </row>
    <row r="149" outlineLevel="1">
      <c r="A149" s="334" t="s">
        <v>556</v>
      </c>
      <c r="B149" s="335">
        <f t="shared" ref="B149:AF149" si="35">0.29*(B115+B116+B126)</f>
        <v>2.03</v>
      </c>
      <c r="C149" s="335">
        <f t="shared" si="35"/>
        <v>0.87</v>
      </c>
      <c r="D149" s="335">
        <f t="shared" si="35"/>
        <v>1.74</v>
      </c>
      <c r="E149" s="335">
        <f t="shared" si="35"/>
        <v>0.87</v>
      </c>
      <c r="F149" s="335">
        <f t="shared" si="35"/>
        <v>0</v>
      </c>
      <c r="G149" s="335">
        <f t="shared" si="35"/>
        <v>0.29</v>
      </c>
      <c r="H149" s="335">
        <f t="shared" si="35"/>
        <v>0</v>
      </c>
      <c r="I149" s="335">
        <f t="shared" si="35"/>
        <v>1.16</v>
      </c>
      <c r="J149" s="335">
        <f t="shared" si="35"/>
        <v>1.16</v>
      </c>
      <c r="K149" s="335">
        <f t="shared" si="35"/>
        <v>0.58</v>
      </c>
      <c r="L149" s="335">
        <f t="shared" si="35"/>
        <v>0.29</v>
      </c>
      <c r="M149" s="335">
        <f t="shared" si="35"/>
        <v>0</v>
      </c>
      <c r="N149" s="335">
        <f t="shared" si="35"/>
        <v>0</v>
      </c>
      <c r="O149" s="335">
        <f t="shared" si="35"/>
        <v>0.29</v>
      </c>
      <c r="P149" s="335">
        <f t="shared" si="35"/>
        <v>0.58</v>
      </c>
      <c r="Q149" s="335">
        <f t="shared" si="35"/>
        <v>1.16</v>
      </c>
      <c r="R149" s="335">
        <f t="shared" si="35"/>
        <v>1.16</v>
      </c>
      <c r="S149" s="335">
        <f t="shared" si="35"/>
        <v>0</v>
      </c>
      <c r="T149" s="335">
        <f t="shared" si="35"/>
        <v>0</v>
      </c>
      <c r="U149" s="335">
        <f t="shared" si="35"/>
        <v>0.87</v>
      </c>
      <c r="V149" s="335">
        <f t="shared" si="35"/>
        <v>1.16</v>
      </c>
      <c r="W149" s="335">
        <f t="shared" si="35"/>
        <v>0</v>
      </c>
      <c r="X149" s="335">
        <f t="shared" si="35"/>
        <v>0.58</v>
      </c>
      <c r="Y149" s="335">
        <f t="shared" si="35"/>
        <v>0.29</v>
      </c>
      <c r="Z149" s="335">
        <f t="shared" si="35"/>
        <v>0.29</v>
      </c>
      <c r="AA149" s="335">
        <f t="shared" si="35"/>
        <v>0.87</v>
      </c>
      <c r="AB149" s="335">
        <f t="shared" si="35"/>
        <v>1.16</v>
      </c>
      <c r="AC149" s="335">
        <f t="shared" si="35"/>
        <v>0.87</v>
      </c>
      <c r="AD149" s="335">
        <f t="shared" si="35"/>
        <v>0.29</v>
      </c>
      <c r="AE149" s="335">
        <f t="shared" si="35"/>
        <v>0</v>
      </c>
      <c r="AF149" s="335">
        <f t="shared" si="35"/>
        <v>0</v>
      </c>
      <c r="AG149" s="95">
        <f t="shared" si="36"/>
        <v>18.56</v>
      </c>
    </row>
    <row r="150" outlineLevel="1">
      <c r="A150" s="334" t="s">
        <v>557</v>
      </c>
      <c r="B150" s="199">
        <f t="shared" ref="B150:AF150" si="37">17.58*(B115+B116)</f>
        <v>87.9</v>
      </c>
      <c r="C150" s="199">
        <f t="shared" si="37"/>
        <v>35.16</v>
      </c>
      <c r="D150" s="199">
        <f t="shared" si="37"/>
        <v>52.74</v>
      </c>
      <c r="E150" s="199">
        <f t="shared" si="37"/>
        <v>52.74</v>
      </c>
      <c r="F150" s="199">
        <f t="shared" si="37"/>
        <v>0</v>
      </c>
      <c r="G150" s="199">
        <f t="shared" si="37"/>
        <v>17.58</v>
      </c>
      <c r="H150" s="199">
        <f t="shared" si="37"/>
        <v>0</v>
      </c>
      <c r="I150" s="199">
        <f t="shared" si="37"/>
        <v>52.74</v>
      </c>
      <c r="J150" s="199">
        <f t="shared" si="37"/>
        <v>35.16</v>
      </c>
      <c r="K150" s="199">
        <f t="shared" si="37"/>
        <v>35.16</v>
      </c>
      <c r="L150" s="199">
        <f t="shared" si="37"/>
        <v>17.58</v>
      </c>
      <c r="M150" s="199">
        <f t="shared" si="37"/>
        <v>0</v>
      </c>
      <c r="N150" s="199">
        <f t="shared" si="37"/>
        <v>0</v>
      </c>
      <c r="O150" s="199">
        <f t="shared" si="37"/>
        <v>0</v>
      </c>
      <c r="P150" s="199">
        <f t="shared" si="37"/>
        <v>35.16</v>
      </c>
      <c r="Q150" s="199">
        <f t="shared" si="37"/>
        <v>0</v>
      </c>
      <c r="R150" s="199">
        <f t="shared" si="37"/>
        <v>35.16</v>
      </c>
      <c r="S150" s="199">
        <f t="shared" si="37"/>
        <v>0</v>
      </c>
      <c r="T150" s="199">
        <f t="shared" si="37"/>
        <v>0</v>
      </c>
      <c r="U150" s="199">
        <f t="shared" si="37"/>
        <v>52.74</v>
      </c>
      <c r="V150" s="199">
        <f t="shared" si="37"/>
        <v>35.16</v>
      </c>
      <c r="W150" s="199">
        <f t="shared" si="37"/>
        <v>0</v>
      </c>
      <c r="X150" s="199">
        <f t="shared" si="37"/>
        <v>17.58</v>
      </c>
      <c r="Y150" s="199">
        <f t="shared" si="37"/>
        <v>17.58</v>
      </c>
      <c r="Z150" s="199">
        <f t="shared" si="37"/>
        <v>0</v>
      </c>
      <c r="AA150" s="199">
        <f t="shared" si="37"/>
        <v>52.74</v>
      </c>
      <c r="AB150" s="199">
        <f t="shared" si="37"/>
        <v>70.32</v>
      </c>
      <c r="AC150" s="199">
        <f t="shared" si="37"/>
        <v>17.58</v>
      </c>
      <c r="AD150" s="199">
        <f t="shared" si="37"/>
        <v>17.58</v>
      </c>
      <c r="AE150" s="199">
        <f t="shared" si="37"/>
        <v>0</v>
      </c>
      <c r="AF150" s="199">
        <f t="shared" si="37"/>
        <v>0</v>
      </c>
      <c r="AG150" s="95">
        <f t="shared" si="36"/>
        <v>738.36</v>
      </c>
    </row>
    <row r="151" outlineLevel="1">
      <c r="A151" s="334" t="s">
        <v>558</v>
      </c>
      <c r="B151" s="199">
        <f t="shared" ref="B151:AF151" si="38">0.17*(B115+B116+B126)</f>
        <v>1.19</v>
      </c>
      <c r="C151" s="199">
        <f t="shared" si="38"/>
        <v>0.51</v>
      </c>
      <c r="D151" s="199">
        <f t="shared" si="38"/>
        <v>1.02</v>
      </c>
      <c r="E151" s="199">
        <f t="shared" si="38"/>
        <v>0.51</v>
      </c>
      <c r="F151" s="199">
        <f t="shared" si="38"/>
        <v>0</v>
      </c>
      <c r="G151" s="199">
        <f t="shared" si="38"/>
        <v>0.17</v>
      </c>
      <c r="H151" s="199">
        <f t="shared" si="38"/>
        <v>0</v>
      </c>
      <c r="I151" s="199">
        <f t="shared" si="38"/>
        <v>0.68</v>
      </c>
      <c r="J151" s="199">
        <f t="shared" si="38"/>
        <v>0.68</v>
      </c>
      <c r="K151" s="199">
        <f t="shared" si="38"/>
        <v>0.34</v>
      </c>
      <c r="L151" s="199">
        <f t="shared" si="38"/>
        <v>0.17</v>
      </c>
      <c r="M151" s="199">
        <f t="shared" si="38"/>
        <v>0</v>
      </c>
      <c r="N151" s="199">
        <f t="shared" si="38"/>
        <v>0</v>
      </c>
      <c r="O151" s="199">
        <f t="shared" si="38"/>
        <v>0.17</v>
      </c>
      <c r="P151" s="199">
        <f t="shared" si="38"/>
        <v>0.34</v>
      </c>
      <c r="Q151" s="199">
        <f t="shared" si="38"/>
        <v>0.68</v>
      </c>
      <c r="R151" s="199">
        <f t="shared" si="38"/>
        <v>0.68</v>
      </c>
      <c r="S151" s="199">
        <f t="shared" si="38"/>
        <v>0</v>
      </c>
      <c r="T151" s="199">
        <f t="shared" si="38"/>
        <v>0</v>
      </c>
      <c r="U151" s="199">
        <f t="shared" si="38"/>
        <v>0.51</v>
      </c>
      <c r="V151" s="199">
        <f t="shared" si="38"/>
        <v>0.68</v>
      </c>
      <c r="W151" s="199">
        <f t="shared" si="38"/>
        <v>0</v>
      </c>
      <c r="X151" s="199">
        <f t="shared" si="38"/>
        <v>0.34</v>
      </c>
      <c r="Y151" s="199">
        <f t="shared" si="38"/>
        <v>0.17</v>
      </c>
      <c r="Z151" s="199">
        <f t="shared" si="38"/>
        <v>0.17</v>
      </c>
      <c r="AA151" s="199">
        <f t="shared" si="38"/>
        <v>0.51</v>
      </c>
      <c r="AB151" s="199">
        <f t="shared" si="38"/>
        <v>0.68</v>
      </c>
      <c r="AC151" s="199">
        <f t="shared" si="38"/>
        <v>0.51</v>
      </c>
      <c r="AD151" s="199">
        <f t="shared" si="38"/>
        <v>0.17</v>
      </c>
      <c r="AE151" s="199">
        <f t="shared" si="38"/>
        <v>0</v>
      </c>
      <c r="AF151" s="199">
        <f t="shared" si="38"/>
        <v>0</v>
      </c>
      <c r="AG151" s="95">
        <f t="shared" si="36"/>
        <v>10.88</v>
      </c>
    </row>
    <row r="152" outlineLevel="1">
      <c r="A152" s="336" t="s">
        <v>559</v>
      </c>
      <c r="B152" s="337">
        <f t="shared" ref="B152:AF152" si="39">B148+B149+B150</f>
        <v>1082.93</v>
      </c>
      <c r="C152" s="337">
        <f t="shared" si="39"/>
        <v>443.03</v>
      </c>
      <c r="D152" s="337">
        <f t="shared" si="39"/>
        <v>703.48</v>
      </c>
      <c r="E152" s="337">
        <f t="shared" si="39"/>
        <v>620.61</v>
      </c>
      <c r="F152" s="337">
        <f t="shared" si="39"/>
        <v>0</v>
      </c>
      <c r="G152" s="337">
        <f t="shared" si="39"/>
        <v>196.87</v>
      </c>
      <c r="H152" s="337">
        <f t="shared" si="39"/>
        <v>0</v>
      </c>
      <c r="I152" s="337">
        <f t="shared" si="39"/>
        <v>669.9</v>
      </c>
      <c r="J152" s="337">
        <f t="shared" si="39"/>
        <v>492.32</v>
      </c>
      <c r="K152" s="337">
        <f t="shared" si="39"/>
        <v>453.74</v>
      </c>
      <c r="L152" s="337">
        <f t="shared" si="39"/>
        <v>226.87</v>
      </c>
      <c r="M152" s="337">
        <f t="shared" si="39"/>
        <v>0</v>
      </c>
      <c r="N152" s="337">
        <f t="shared" si="39"/>
        <v>0</v>
      </c>
      <c r="O152" s="337">
        <f t="shared" si="39"/>
        <v>19.29</v>
      </c>
      <c r="P152" s="337">
        <f t="shared" si="39"/>
        <v>334.74</v>
      </c>
      <c r="Q152" s="337">
        <f t="shared" si="39"/>
        <v>97.16</v>
      </c>
      <c r="R152" s="337">
        <f t="shared" si="39"/>
        <v>692.32</v>
      </c>
      <c r="S152" s="337">
        <f t="shared" si="39"/>
        <v>0</v>
      </c>
      <c r="T152" s="337">
        <f t="shared" si="39"/>
        <v>0</v>
      </c>
      <c r="U152" s="337">
        <f t="shared" si="39"/>
        <v>890.61</v>
      </c>
      <c r="V152" s="337">
        <f t="shared" si="39"/>
        <v>672.32</v>
      </c>
      <c r="W152" s="337">
        <f t="shared" si="39"/>
        <v>0</v>
      </c>
      <c r="X152" s="337">
        <f t="shared" si="39"/>
        <v>346.16</v>
      </c>
      <c r="Y152" s="337">
        <f t="shared" si="39"/>
        <v>256.87</v>
      </c>
      <c r="Z152" s="337">
        <f t="shared" si="39"/>
        <v>29.29</v>
      </c>
      <c r="AA152" s="337">
        <f t="shared" si="39"/>
        <v>830.61</v>
      </c>
      <c r="AB152" s="337">
        <f t="shared" si="39"/>
        <v>1087.48</v>
      </c>
      <c r="AC152" s="337">
        <f t="shared" si="39"/>
        <v>325.45</v>
      </c>
      <c r="AD152" s="337">
        <f t="shared" si="39"/>
        <v>256.87</v>
      </c>
      <c r="AE152" s="337">
        <f t="shared" si="39"/>
        <v>0</v>
      </c>
      <c r="AF152" s="337">
        <f t="shared" si="39"/>
        <v>0</v>
      </c>
      <c r="AG152" s="95">
        <f t="shared" si="36"/>
        <v>10728.92</v>
      </c>
    </row>
    <row r="153">
      <c r="A153" s="172"/>
      <c r="AG153" s="207"/>
    </row>
    <row r="154">
      <c r="A154" s="149" t="s">
        <v>560</v>
      </c>
      <c r="B154" s="222"/>
      <c r="C154" s="222"/>
      <c r="D154" s="222"/>
      <c r="E154" s="222"/>
      <c r="F154" s="338"/>
      <c r="G154" s="222"/>
      <c r="H154" s="222"/>
      <c r="I154" s="196"/>
      <c r="J154" s="222"/>
      <c r="K154" s="222"/>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339"/>
    </row>
    <row r="155" outlineLevel="1">
      <c r="A155" s="334" t="s">
        <v>561</v>
      </c>
      <c r="B155" s="199">
        <v>1786.46</v>
      </c>
      <c r="C155" s="199">
        <v>1256.86</v>
      </c>
      <c r="D155" s="199">
        <v>1032.25</v>
      </c>
      <c r="E155" s="199">
        <v>1002.93</v>
      </c>
      <c r="F155" s="199">
        <v>1765.55</v>
      </c>
      <c r="G155" s="199">
        <v>1503.95</v>
      </c>
      <c r="H155" s="199">
        <v>657.89</v>
      </c>
      <c r="I155" s="199">
        <v>2934.46</v>
      </c>
      <c r="J155" s="226">
        <v>658.73</v>
      </c>
      <c r="K155" s="199">
        <v>702.63</v>
      </c>
      <c r="L155" s="199">
        <v>678.45</v>
      </c>
      <c r="M155" s="226">
        <v>1153.21</v>
      </c>
      <c r="N155" s="226">
        <v>667.53</v>
      </c>
      <c r="O155" s="199">
        <v>736.63</v>
      </c>
      <c r="P155" s="199">
        <v>963.41</v>
      </c>
      <c r="Q155" s="199">
        <v>710.57</v>
      </c>
      <c r="R155" s="199">
        <v>1520.7</v>
      </c>
      <c r="S155" s="199">
        <v>614.83</v>
      </c>
      <c r="T155" s="199">
        <v>2376.22</v>
      </c>
      <c r="U155" s="199">
        <f>199.99+182.65+182.65</f>
        <v>565.29</v>
      </c>
      <c r="V155" s="199">
        <f>16.72+16.72+25.52</f>
        <v>58.96</v>
      </c>
      <c r="W155" s="199">
        <v>705.1</v>
      </c>
      <c r="X155" s="199">
        <v>556.45</v>
      </c>
      <c r="Y155" s="199">
        <v>224.87</v>
      </c>
      <c r="Z155" s="199">
        <v>25.52</v>
      </c>
      <c r="AA155" s="199">
        <v>1276.62</v>
      </c>
      <c r="AB155" s="199">
        <v>475.24</v>
      </c>
      <c r="AC155" s="226">
        <v>1048.69</v>
      </c>
      <c r="AD155" s="226">
        <v>458.54</v>
      </c>
      <c r="AE155" s="226">
        <v>679.03</v>
      </c>
      <c r="AF155" s="226">
        <v>0.0</v>
      </c>
      <c r="AG155" s="95">
        <f t="shared" ref="AG155:AG159" si="40">SUM(B155:AF155)</f>
        <v>28797.57</v>
      </c>
    </row>
    <row r="156" outlineLevel="1">
      <c r="A156" s="334" t="s">
        <v>562</v>
      </c>
      <c r="B156" s="340"/>
      <c r="C156" s="340"/>
      <c r="D156" s="340"/>
      <c r="E156" s="340"/>
      <c r="F156" s="340"/>
      <c r="G156" s="340"/>
      <c r="H156" s="340"/>
      <c r="I156" s="340"/>
      <c r="J156" s="340"/>
      <c r="K156" s="340"/>
      <c r="L156" s="340"/>
      <c r="M156" s="340"/>
      <c r="N156" s="340"/>
      <c r="O156" s="340"/>
      <c r="P156" s="340"/>
      <c r="Q156" s="340"/>
      <c r="R156" s="340"/>
      <c r="S156" s="341"/>
      <c r="T156" s="341"/>
      <c r="U156" s="341"/>
      <c r="V156" s="341"/>
      <c r="W156" s="341"/>
      <c r="X156" s="341"/>
      <c r="Y156" s="341"/>
      <c r="Z156" s="341"/>
      <c r="AA156" s="341"/>
      <c r="AB156" s="341"/>
      <c r="AC156" s="341"/>
      <c r="AD156" s="341"/>
      <c r="AE156" s="341"/>
      <c r="AF156" s="341"/>
      <c r="AG156" s="95">
        <f t="shared" si="40"/>
        <v>0</v>
      </c>
    </row>
    <row r="157" outlineLevel="1">
      <c r="A157" s="213" t="s">
        <v>563</v>
      </c>
      <c r="B157" s="340"/>
      <c r="C157" s="340"/>
      <c r="D157" s="340"/>
      <c r="E157" s="340"/>
      <c r="F157" s="340"/>
      <c r="G157" s="340"/>
      <c r="H157" s="340"/>
      <c r="I157" s="340"/>
      <c r="J157" s="340"/>
      <c r="K157" s="340"/>
      <c r="L157" s="340"/>
      <c r="M157" s="340"/>
      <c r="N157" s="340"/>
      <c r="O157" s="340"/>
      <c r="P157" s="340"/>
      <c r="Q157" s="340"/>
      <c r="R157" s="340"/>
      <c r="S157" s="341"/>
      <c r="T157" s="341"/>
      <c r="U157" s="341"/>
      <c r="V157" s="341"/>
      <c r="W157" s="341"/>
      <c r="X157" s="341"/>
      <c r="Y157" s="341"/>
      <c r="Z157" s="341"/>
      <c r="AA157" s="341"/>
      <c r="AB157" s="341"/>
      <c r="AC157" s="341"/>
      <c r="AD157" s="341"/>
      <c r="AE157" s="341"/>
      <c r="AF157" s="341"/>
      <c r="AG157" s="95">
        <f t="shared" si="40"/>
        <v>0</v>
      </c>
    </row>
    <row r="158" outlineLevel="1">
      <c r="A158" s="334" t="s">
        <v>564</v>
      </c>
      <c r="B158" s="340"/>
      <c r="C158" s="340"/>
      <c r="D158" s="340"/>
      <c r="E158" s="340"/>
      <c r="F158" s="340"/>
      <c r="G158" s="340"/>
      <c r="H158" s="340"/>
      <c r="I158" s="340"/>
      <c r="J158" s="340"/>
      <c r="K158" s="340"/>
      <c r="L158" s="340"/>
      <c r="M158" s="340"/>
      <c r="N158" s="340"/>
      <c r="O158" s="340"/>
      <c r="P158" s="340"/>
      <c r="Q158" s="340"/>
      <c r="R158" s="340"/>
      <c r="S158" s="341"/>
      <c r="T158" s="341"/>
      <c r="U158" s="341"/>
      <c r="V158" s="341"/>
      <c r="W158" s="341"/>
      <c r="X158" s="341"/>
      <c r="Y158" s="341"/>
      <c r="Z158" s="341"/>
      <c r="AA158" s="341"/>
      <c r="AB158" s="341"/>
      <c r="AC158" s="341"/>
      <c r="AD158" s="341"/>
      <c r="AE158" s="341"/>
      <c r="AF158" s="341"/>
      <c r="AG158" s="95">
        <f t="shared" si="40"/>
        <v>0</v>
      </c>
    </row>
    <row r="159" outlineLevel="1">
      <c r="A159" s="336" t="s">
        <v>565</v>
      </c>
      <c r="B159" s="342">
        <f>sum(B155:B158)</f>
        <v>1786.46</v>
      </c>
      <c r="C159" s="342">
        <f t="shared" ref="C159:E159" si="41">sum(C155:C157)</f>
        <v>1256.86</v>
      </c>
      <c r="D159" s="342">
        <f t="shared" si="41"/>
        <v>1032.25</v>
      </c>
      <c r="E159" s="342">
        <f t="shared" si="41"/>
        <v>1002.93</v>
      </c>
      <c r="F159" s="342">
        <f>sum(F155:F158)</f>
        <v>1765.55</v>
      </c>
      <c r="G159" s="342">
        <f t="shared" ref="G159:H159" si="42">sum(G155:G157)</f>
        <v>1503.95</v>
      </c>
      <c r="H159" s="342">
        <f t="shared" si="42"/>
        <v>657.89</v>
      </c>
      <c r="I159" s="342">
        <f>sum(I154:I157)</f>
        <v>2934.46</v>
      </c>
      <c r="J159" s="342">
        <f t="shared" ref="J159:AF159" si="43">sum(J155:J157)</f>
        <v>658.73</v>
      </c>
      <c r="K159" s="342">
        <f t="shared" si="43"/>
        <v>702.63</v>
      </c>
      <c r="L159" s="342">
        <f t="shared" si="43"/>
        <v>678.45</v>
      </c>
      <c r="M159" s="342">
        <f t="shared" si="43"/>
        <v>1153.21</v>
      </c>
      <c r="N159" s="342">
        <f t="shared" si="43"/>
        <v>667.53</v>
      </c>
      <c r="O159" s="342">
        <f t="shared" si="43"/>
        <v>736.63</v>
      </c>
      <c r="P159" s="342">
        <f t="shared" si="43"/>
        <v>963.41</v>
      </c>
      <c r="Q159" s="342">
        <f t="shared" si="43"/>
        <v>710.57</v>
      </c>
      <c r="R159" s="342">
        <f t="shared" si="43"/>
        <v>1520.7</v>
      </c>
      <c r="S159" s="342">
        <f t="shared" si="43"/>
        <v>614.83</v>
      </c>
      <c r="T159" s="342">
        <f t="shared" si="43"/>
        <v>2376.22</v>
      </c>
      <c r="U159" s="342">
        <f t="shared" si="43"/>
        <v>565.29</v>
      </c>
      <c r="V159" s="342">
        <f t="shared" si="43"/>
        <v>58.96</v>
      </c>
      <c r="W159" s="342">
        <f t="shared" si="43"/>
        <v>705.1</v>
      </c>
      <c r="X159" s="342">
        <f t="shared" si="43"/>
        <v>556.45</v>
      </c>
      <c r="Y159" s="342">
        <f t="shared" si="43"/>
        <v>224.87</v>
      </c>
      <c r="Z159" s="342">
        <f t="shared" si="43"/>
        <v>25.52</v>
      </c>
      <c r="AA159" s="342">
        <f t="shared" si="43"/>
        <v>1276.62</v>
      </c>
      <c r="AB159" s="342">
        <f t="shared" si="43"/>
        <v>475.24</v>
      </c>
      <c r="AC159" s="342">
        <f t="shared" si="43"/>
        <v>1048.69</v>
      </c>
      <c r="AD159" s="342">
        <f t="shared" si="43"/>
        <v>458.54</v>
      </c>
      <c r="AE159" s="342">
        <f t="shared" si="43"/>
        <v>679.03</v>
      </c>
      <c r="AF159" s="342">
        <f t="shared" si="43"/>
        <v>0</v>
      </c>
      <c r="AG159" s="95">
        <f t="shared" si="40"/>
        <v>28797.57</v>
      </c>
    </row>
    <row r="160">
      <c r="A160" s="172"/>
      <c r="B160" s="343"/>
      <c r="C160" s="343"/>
      <c r="D160" s="343"/>
      <c r="E160" s="343"/>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343"/>
      <c r="AB160" s="343"/>
      <c r="AC160" s="343"/>
      <c r="AD160" s="343"/>
      <c r="AE160" s="343"/>
      <c r="AF160" s="343"/>
      <c r="AG160" s="207"/>
    </row>
    <row r="161">
      <c r="A161" s="172"/>
      <c r="AG161" s="207"/>
    </row>
    <row r="162">
      <c r="A162" s="141" t="s">
        <v>566</v>
      </c>
      <c r="B162" s="344" t="s">
        <v>344</v>
      </c>
      <c r="AG162" s="207"/>
    </row>
    <row r="163">
      <c r="A163" s="213" t="s">
        <v>567</v>
      </c>
      <c r="B163" s="165">
        <v>0.0</v>
      </c>
      <c r="C163" s="165">
        <v>0.0</v>
      </c>
      <c r="D163" s="165">
        <v>0.0</v>
      </c>
      <c r="E163" s="165">
        <v>0.0</v>
      </c>
      <c r="F163" s="165">
        <v>0.0</v>
      </c>
      <c r="G163" s="165">
        <v>0.0</v>
      </c>
      <c r="H163" s="165">
        <v>0.0</v>
      </c>
      <c r="I163" s="165">
        <v>0.0</v>
      </c>
      <c r="J163" s="165">
        <v>0.0</v>
      </c>
      <c r="K163" s="165">
        <v>0.0</v>
      </c>
      <c r="L163" s="165">
        <v>0.0</v>
      </c>
      <c r="M163" s="165">
        <v>0.0</v>
      </c>
      <c r="N163" s="165">
        <v>0.0</v>
      </c>
      <c r="O163" s="165">
        <v>0.0</v>
      </c>
      <c r="P163" s="165">
        <v>0.0</v>
      </c>
      <c r="Q163" s="165">
        <v>0.0</v>
      </c>
      <c r="R163" s="165">
        <v>0.0</v>
      </c>
      <c r="S163" s="165">
        <v>0.0</v>
      </c>
      <c r="T163" s="165">
        <v>0.0</v>
      </c>
      <c r="U163" s="165">
        <v>0.0</v>
      </c>
      <c r="V163" s="165">
        <v>0.0</v>
      </c>
      <c r="W163" s="165">
        <v>0.0</v>
      </c>
      <c r="X163" s="165">
        <v>0.0</v>
      </c>
      <c r="Y163" s="165">
        <v>0.0</v>
      </c>
      <c r="Z163" s="165">
        <v>0.0</v>
      </c>
      <c r="AA163" s="165">
        <v>0.0</v>
      </c>
      <c r="AB163" s="165">
        <v>0.0</v>
      </c>
      <c r="AC163" s="165">
        <v>0.0</v>
      </c>
      <c r="AD163" s="165">
        <v>0.0</v>
      </c>
      <c r="AE163" s="165">
        <v>0.0</v>
      </c>
      <c r="AF163" s="165">
        <v>0.0</v>
      </c>
      <c r="AG163" s="95">
        <f t="shared" ref="AG163:AG168" si="44">SUM(B163:AF163)</f>
        <v>0</v>
      </c>
    </row>
    <row r="164">
      <c r="A164" s="213" t="s">
        <v>568</v>
      </c>
      <c r="B164" s="165">
        <v>0.0</v>
      </c>
      <c r="C164" s="165">
        <v>0.0</v>
      </c>
      <c r="D164" s="165">
        <v>0.0</v>
      </c>
      <c r="E164" s="165">
        <v>0.0</v>
      </c>
      <c r="F164" s="165">
        <v>0.0</v>
      </c>
      <c r="G164" s="165">
        <v>0.0</v>
      </c>
      <c r="H164" s="165">
        <v>0.0</v>
      </c>
      <c r="I164" s="165">
        <v>0.0</v>
      </c>
      <c r="J164" s="165">
        <v>0.0</v>
      </c>
      <c r="K164" s="165">
        <v>0.0</v>
      </c>
      <c r="L164" s="165">
        <v>0.0</v>
      </c>
      <c r="M164" s="165">
        <v>0.0</v>
      </c>
      <c r="N164" s="165">
        <v>0.0</v>
      </c>
      <c r="O164" s="165">
        <v>0.0</v>
      </c>
      <c r="P164" s="165">
        <v>0.0</v>
      </c>
      <c r="Q164" s="165">
        <v>0.0</v>
      </c>
      <c r="R164" s="165">
        <v>0.0</v>
      </c>
      <c r="S164" s="165">
        <v>0.0</v>
      </c>
      <c r="T164" s="165">
        <v>0.0</v>
      </c>
      <c r="U164" s="165">
        <v>0.0</v>
      </c>
      <c r="V164" s="165">
        <v>0.0</v>
      </c>
      <c r="W164" s="165">
        <v>0.0</v>
      </c>
      <c r="X164" s="165">
        <v>0.0</v>
      </c>
      <c r="Y164" s="165">
        <v>0.0</v>
      </c>
      <c r="Z164" s="165">
        <v>0.0</v>
      </c>
      <c r="AA164" s="165">
        <v>0.0</v>
      </c>
      <c r="AB164" s="165">
        <v>0.0</v>
      </c>
      <c r="AC164" s="165">
        <v>0.0</v>
      </c>
      <c r="AD164" s="165">
        <v>0.0</v>
      </c>
      <c r="AE164" s="165">
        <v>0.0</v>
      </c>
      <c r="AF164" s="165">
        <v>0.0</v>
      </c>
      <c r="AG164" s="95">
        <f t="shared" si="44"/>
        <v>0</v>
      </c>
    </row>
    <row r="165">
      <c r="A165" s="213" t="s">
        <v>569</v>
      </c>
      <c r="B165" s="165">
        <v>0.0</v>
      </c>
      <c r="C165" s="165">
        <v>0.0</v>
      </c>
      <c r="D165" s="165">
        <v>0.0</v>
      </c>
      <c r="E165" s="165">
        <v>0.0</v>
      </c>
      <c r="F165" s="165">
        <v>0.0</v>
      </c>
      <c r="G165" s="165">
        <v>0.0</v>
      </c>
      <c r="H165" s="165">
        <v>0.0</v>
      </c>
      <c r="I165" s="165">
        <v>0.0</v>
      </c>
      <c r="J165" s="165">
        <v>0.0</v>
      </c>
      <c r="K165" s="165">
        <v>0.0</v>
      </c>
      <c r="L165" s="165">
        <v>0.0</v>
      </c>
      <c r="M165" s="165">
        <v>0.0</v>
      </c>
      <c r="N165" s="165">
        <v>0.0</v>
      </c>
      <c r="O165" s="165">
        <v>0.0</v>
      </c>
      <c r="P165" s="165">
        <v>0.0</v>
      </c>
      <c r="Q165" s="165">
        <v>0.0</v>
      </c>
      <c r="R165" s="165">
        <v>0.0</v>
      </c>
      <c r="S165" s="165">
        <v>0.0</v>
      </c>
      <c r="T165" s="165">
        <v>1.0</v>
      </c>
      <c r="U165" s="165">
        <v>0.0</v>
      </c>
      <c r="V165" s="165">
        <v>0.0</v>
      </c>
      <c r="W165" s="165">
        <v>0.0</v>
      </c>
      <c r="X165" s="165">
        <v>0.0</v>
      </c>
      <c r="Y165" s="165">
        <v>0.0</v>
      </c>
      <c r="Z165" s="165">
        <v>0.0</v>
      </c>
      <c r="AA165" s="165">
        <v>0.0</v>
      </c>
      <c r="AB165" s="165">
        <v>0.0</v>
      </c>
      <c r="AC165" s="165">
        <v>0.0</v>
      </c>
      <c r="AD165" s="165">
        <v>0.0</v>
      </c>
      <c r="AE165" s="165">
        <v>0.0</v>
      </c>
      <c r="AF165" s="165">
        <v>0.0</v>
      </c>
      <c r="AG165" s="95">
        <f t="shared" si="44"/>
        <v>1</v>
      </c>
    </row>
    <row r="166">
      <c r="A166" s="213" t="s">
        <v>570</v>
      </c>
      <c r="B166" s="165">
        <v>0.0</v>
      </c>
      <c r="C166" s="165">
        <v>0.0</v>
      </c>
      <c r="D166" s="165">
        <v>0.0</v>
      </c>
      <c r="E166" s="165">
        <v>0.0</v>
      </c>
      <c r="F166" s="165">
        <v>0.0</v>
      </c>
      <c r="G166" s="165">
        <v>0.0</v>
      </c>
      <c r="H166" s="165">
        <v>0.0</v>
      </c>
      <c r="I166" s="165">
        <v>0.0</v>
      </c>
      <c r="J166" s="165">
        <v>0.0</v>
      </c>
      <c r="K166" s="165">
        <v>0.0</v>
      </c>
      <c r="L166" s="165">
        <v>0.0</v>
      </c>
      <c r="M166" s="165">
        <v>0.0</v>
      </c>
      <c r="N166" s="165">
        <v>0.0</v>
      </c>
      <c r="O166" s="165">
        <v>0.0</v>
      </c>
      <c r="P166" s="165">
        <v>0.0</v>
      </c>
      <c r="Q166" s="165">
        <v>0.0</v>
      </c>
      <c r="R166" s="165">
        <v>0.0</v>
      </c>
      <c r="S166" s="165">
        <v>0.0</v>
      </c>
      <c r="T166" s="165">
        <v>0.0</v>
      </c>
      <c r="U166" s="165">
        <v>0.0</v>
      </c>
      <c r="V166" s="165">
        <v>0.0</v>
      </c>
      <c r="W166" s="165">
        <v>0.0</v>
      </c>
      <c r="X166" s="165">
        <v>0.0</v>
      </c>
      <c r="Y166" s="165">
        <v>0.0</v>
      </c>
      <c r="Z166" s="165">
        <v>0.0</v>
      </c>
      <c r="AA166" s="165">
        <v>0.0</v>
      </c>
      <c r="AB166" s="165">
        <v>0.0</v>
      </c>
      <c r="AC166" s="165">
        <v>0.0</v>
      </c>
      <c r="AD166" s="165">
        <v>0.0</v>
      </c>
      <c r="AE166" s="165">
        <v>0.0</v>
      </c>
      <c r="AF166" s="165">
        <v>0.0</v>
      </c>
      <c r="AG166" s="95">
        <f t="shared" si="44"/>
        <v>0</v>
      </c>
    </row>
    <row r="167">
      <c r="A167" s="215" t="s">
        <v>221</v>
      </c>
      <c r="B167" s="345">
        <f t="shared" ref="B167:E167" si="45">B163+B164</f>
        <v>0</v>
      </c>
      <c r="C167" s="346">
        <f t="shared" si="45"/>
        <v>0</v>
      </c>
      <c r="D167" s="346">
        <f t="shared" si="45"/>
        <v>0</v>
      </c>
      <c r="E167" s="346">
        <f t="shared" si="45"/>
        <v>0</v>
      </c>
      <c r="F167" s="347">
        <v>0.0</v>
      </c>
      <c r="G167" s="347">
        <v>0.0</v>
      </c>
      <c r="H167" s="347">
        <v>0.0</v>
      </c>
      <c r="I167" s="347">
        <v>0.0</v>
      </c>
      <c r="J167" s="347">
        <v>0.0</v>
      </c>
      <c r="K167" s="347">
        <v>0.0</v>
      </c>
      <c r="L167" s="347">
        <v>0.0</v>
      </c>
      <c r="M167" s="347">
        <v>0.0</v>
      </c>
      <c r="N167" s="347">
        <v>0.0</v>
      </c>
      <c r="O167" s="347">
        <v>0.0</v>
      </c>
      <c r="P167" s="346">
        <f t="shared" ref="P167:AF167" si="46">P163+P164</f>
        <v>0</v>
      </c>
      <c r="Q167" s="346">
        <f t="shared" si="46"/>
        <v>0</v>
      </c>
      <c r="R167" s="346">
        <f t="shared" si="46"/>
        <v>0</v>
      </c>
      <c r="S167" s="346">
        <f t="shared" si="46"/>
        <v>0</v>
      </c>
      <c r="T167" s="346">
        <f t="shared" si="46"/>
        <v>0</v>
      </c>
      <c r="U167" s="346">
        <f t="shared" si="46"/>
        <v>0</v>
      </c>
      <c r="V167" s="346">
        <f t="shared" si="46"/>
        <v>0</v>
      </c>
      <c r="W167" s="346">
        <f t="shared" si="46"/>
        <v>0</v>
      </c>
      <c r="X167" s="346">
        <f t="shared" si="46"/>
        <v>0</v>
      </c>
      <c r="Y167" s="346">
        <f t="shared" si="46"/>
        <v>0</v>
      </c>
      <c r="Z167" s="346">
        <f t="shared" si="46"/>
        <v>0</v>
      </c>
      <c r="AA167" s="346">
        <f t="shared" si="46"/>
        <v>0</v>
      </c>
      <c r="AB167" s="346">
        <f t="shared" si="46"/>
        <v>0</v>
      </c>
      <c r="AC167" s="346">
        <f t="shared" si="46"/>
        <v>0</v>
      </c>
      <c r="AD167" s="346">
        <f t="shared" si="46"/>
        <v>0</v>
      </c>
      <c r="AE167" s="346">
        <f t="shared" si="46"/>
        <v>0</v>
      </c>
      <c r="AF167" s="346">
        <f t="shared" si="46"/>
        <v>0</v>
      </c>
      <c r="AG167" s="95">
        <f t="shared" si="44"/>
        <v>0</v>
      </c>
    </row>
    <row r="168">
      <c r="A168" s="215" t="s">
        <v>222</v>
      </c>
      <c r="B168" s="345">
        <f t="shared" ref="B168:AF168" si="47">B165+B166</f>
        <v>0</v>
      </c>
      <c r="C168" s="346">
        <f t="shared" si="47"/>
        <v>0</v>
      </c>
      <c r="D168" s="346">
        <f t="shared" si="47"/>
        <v>0</v>
      </c>
      <c r="E168" s="346">
        <f t="shared" si="47"/>
        <v>0</v>
      </c>
      <c r="F168" s="346">
        <f t="shared" si="47"/>
        <v>0</v>
      </c>
      <c r="G168" s="346">
        <f t="shared" si="47"/>
        <v>0</v>
      </c>
      <c r="H168" s="346">
        <f t="shared" si="47"/>
        <v>0</v>
      </c>
      <c r="I168" s="346">
        <f t="shared" si="47"/>
        <v>0</v>
      </c>
      <c r="J168" s="346">
        <f t="shared" si="47"/>
        <v>0</v>
      </c>
      <c r="K168" s="346">
        <f t="shared" si="47"/>
        <v>0</v>
      </c>
      <c r="L168" s="346">
        <f t="shared" si="47"/>
        <v>0</v>
      </c>
      <c r="M168" s="346">
        <f t="shared" si="47"/>
        <v>0</v>
      </c>
      <c r="N168" s="346">
        <f t="shared" si="47"/>
        <v>0</v>
      </c>
      <c r="O168" s="346">
        <f t="shared" si="47"/>
        <v>0</v>
      </c>
      <c r="P168" s="346">
        <f t="shared" si="47"/>
        <v>0</v>
      </c>
      <c r="Q168" s="346">
        <f t="shared" si="47"/>
        <v>0</v>
      </c>
      <c r="R168" s="346">
        <f t="shared" si="47"/>
        <v>0</v>
      </c>
      <c r="S168" s="346">
        <f t="shared" si="47"/>
        <v>0</v>
      </c>
      <c r="T168" s="346">
        <f t="shared" si="47"/>
        <v>1</v>
      </c>
      <c r="U168" s="346">
        <f t="shared" si="47"/>
        <v>0</v>
      </c>
      <c r="V168" s="346">
        <f t="shared" si="47"/>
        <v>0</v>
      </c>
      <c r="W168" s="346">
        <f t="shared" si="47"/>
        <v>0</v>
      </c>
      <c r="X168" s="346">
        <f t="shared" si="47"/>
        <v>0</v>
      </c>
      <c r="Y168" s="346">
        <f t="shared" si="47"/>
        <v>0</v>
      </c>
      <c r="Z168" s="346">
        <f t="shared" si="47"/>
        <v>0</v>
      </c>
      <c r="AA168" s="346">
        <f t="shared" si="47"/>
        <v>0</v>
      </c>
      <c r="AB168" s="346">
        <f t="shared" si="47"/>
        <v>0</v>
      </c>
      <c r="AC168" s="346">
        <f t="shared" si="47"/>
        <v>0</v>
      </c>
      <c r="AD168" s="346">
        <f t="shared" si="47"/>
        <v>0</v>
      </c>
      <c r="AE168" s="346">
        <f t="shared" si="47"/>
        <v>0</v>
      </c>
      <c r="AF168" s="346">
        <f t="shared" si="47"/>
        <v>0</v>
      </c>
      <c r="AG168" s="95">
        <f t="shared" si="44"/>
        <v>1</v>
      </c>
    </row>
    <row r="169">
      <c r="A169" s="100"/>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207"/>
    </row>
    <row r="170">
      <c r="A170" s="213" t="s">
        <v>224</v>
      </c>
      <c r="B170" s="165">
        <v>0.0</v>
      </c>
      <c r="C170" s="165">
        <v>0.0</v>
      </c>
      <c r="D170" s="165">
        <v>0.0</v>
      </c>
      <c r="E170" s="165">
        <v>0.0</v>
      </c>
      <c r="F170" s="165">
        <v>0.0</v>
      </c>
      <c r="G170" s="165">
        <v>0.0</v>
      </c>
      <c r="H170" s="165">
        <v>0.0</v>
      </c>
      <c r="I170" s="165">
        <v>0.0</v>
      </c>
      <c r="J170" s="165">
        <v>0.0</v>
      </c>
      <c r="K170" s="165">
        <v>0.0</v>
      </c>
      <c r="L170" s="165">
        <v>0.0</v>
      </c>
      <c r="M170" s="165">
        <v>0.0</v>
      </c>
      <c r="N170" s="165">
        <v>0.0</v>
      </c>
      <c r="O170" s="165">
        <v>0.0</v>
      </c>
      <c r="P170" s="165">
        <v>0.0</v>
      </c>
      <c r="Q170" s="165">
        <v>0.0</v>
      </c>
      <c r="R170" s="165">
        <v>0.0</v>
      </c>
      <c r="S170" s="165">
        <v>0.0</v>
      </c>
      <c r="T170" s="165">
        <v>0.0</v>
      </c>
      <c r="U170" s="165">
        <v>0.0</v>
      </c>
      <c r="V170" s="165">
        <v>0.0</v>
      </c>
      <c r="W170" s="165">
        <v>0.0</v>
      </c>
      <c r="X170" s="165">
        <v>0.0</v>
      </c>
      <c r="Y170" s="165">
        <v>0.0</v>
      </c>
      <c r="Z170" s="165">
        <v>0.0</v>
      </c>
      <c r="AA170" s="165">
        <v>0.0</v>
      </c>
      <c r="AB170" s="165">
        <v>0.0</v>
      </c>
      <c r="AC170" s="165">
        <v>0.0</v>
      </c>
      <c r="AD170" s="165">
        <v>0.0</v>
      </c>
      <c r="AE170" s="165">
        <v>0.0</v>
      </c>
      <c r="AF170" s="165">
        <v>0.0</v>
      </c>
      <c r="AG170" s="95">
        <f t="shared" ref="AG170:AG178" si="48">SUM(B170:AF170)</f>
        <v>0</v>
      </c>
    </row>
    <row r="171">
      <c r="A171" s="213" t="s">
        <v>225</v>
      </c>
      <c r="B171" s="165">
        <v>0.0</v>
      </c>
      <c r="C171" s="165">
        <v>0.0</v>
      </c>
      <c r="D171" s="165">
        <v>0.0</v>
      </c>
      <c r="E171" s="165">
        <v>0.0</v>
      </c>
      <c r="F171" s="165">
        <v>0.0</v>
      </c>
      <c r="G171" s="165">
        <v>0.0</v>
      </c>
      <c r="H171" s="165">
        <v>0.0</v>
      </c>
      <c r="I171" s="165">
        <v>0.0</v>
      </c>
      <c r="J171" s="165">
        <v>0.0</v>
      </c>
      <c r="K171" s="165">
        <v>0.0</v>
      </c>
      <c r="L171" s="165">
        <v>0.0</v>
      </c>
      <c r="M171" s="165">
        <v>0.0</v>
      </c>
      <c r="N171" s="165">
        <v>0.0</v>
      </c>
      <c r="O171" s="165">
        <v>0.0</v>
      </c>
      <c r="P171" s="165">
        <v>0.0</v>
      </c>
      <c r="Q171" s="165">
        <v>0.0</v>
      </c>
      <c r="R171" s="165">
        <v>0.0</v>
      </c>
      <c r="S171" s="165">
        <v>0.0</v>
      </c>
      <c r="T171" s="165">
        <v>0.0</v>
      </c>
      <c r="U171" s="165">
        <v>0.0</v>
      </c>
      <c r="V171" s="165">
        <v>0.0</v>
      </c>
      <c r="W171" s="165">
        <v>0.0</v>
      </c>
      <c r="X171" s="165">
        <v>0.0</v>
      </c>
      <c r="Y171" s="165">
        <v>0.0</v>
      </c>
      <c r="Z171" s="165">
        <v>0.0</v>
      </c>
      <c r="AA171" s="165">
        <v>0.0</v>
      </c>
      <c r="AB171" s="165">
        <v>0.0</v>
      </c>
      <c r="AC171" s="165">
        <v>0.0</v>
      </c>
      <c r="AD171" s="165">
        <v>0.0</v>
      </c>
      <c r="AE171" s="165">
        <v>0.0</v>
      </c>
      <c r="AF171" s="165">
        <v>0.0</v>
      </c>
      <c r="AG171" s="95">
        <f t="shared" si="48"/>
        <v>0</v>
      </c>
    </row>
    <row r="172">
      <c r="A172" s="213" t="s">
        <v>571</v>
      </c>
      <c r="B172" s="165">
        <v>0.0</v>
      </c>
      <c r="C172" s="165">
        <v>0.0</v>
      </c>
      <c r="D172" s="165">
        <v>0.0</v>
      </c>
      <c r="E172" s="165">
        <v>0.0</v>
      </c>
      <c r="F172" s="165">
        <v>0.0</v>
      </c>
      <c r="G172" s="165">
        <v>0.0</v>
      </c>
      <c r="H172" s="165">
        <v>0.0</v>
      </c>
      <c r="I172" s="165">
        <v>0.0</v>
      </c>
      <c r="J172" s="165">
        <v>0.0</v>
      </c>
      <c r="K172" s="165">
        <v>0.0</v>
      </c>
      <c r="L172" s="165">
        <v>0.0</v>
      </c>
      <c r="M172" s="165">
        <v>0.0</v>
      </c>
      <c r="N172" s="165">
        <v>0.0</v>
      </c>
      <c r="O172" s="165">
        <v>0.0</v>
      </c>
      <c r="P172" s="165">
        <v>0.0</v>
      </c>
      <c r="Q172" s="165">
        <v>0.0</v>
      </c>
      <c r="R172" s="165">
        <v>0.0</v>
      </c>
      <c r="S172" s="165">
        <v>0.0</v>
      </c>
      <c r="T172" s="165">
        <v>0.0</v>
      </c>
      <c r="U172" s="165">
        <v>0.0</v>
      </c>
      <c r="V172" s="165">
        <v>0.0</v>
      </c>
      <c r="W172" s="165">
        <v>0.0</v>
      </c>
      <c r="X172" s="165">
        <v>0.0</v>
      </c>
      <c r="Y172" s="165">
        <v>0.0</v>
      </c>
      <c r="Z172" s="165">
        <v>0.0</v>
      </c>
      <c r="AA172" s="165">
        <v>0.0</v>
      </c>
      <c r="AB172" s="165">
        <v>0.0</v>
      </c>
      <c r="AC172" s="165">
        <v>0.0</v>
      </c>
      <c r="AD172" s="165">
        <v>0.0</v>
      </c>
      <c r="AE172" s="165">
        <v>0.0</v>
      </c>
      <c r="AF172" s="165">
        <v>0.0</v>
      </c>
      <c r="AG172" s="95">
        <f t="shared" si="48"/>
        <v>0</v>
      </c>
    </row>
    <row r="173">
      <c r="A173" s="213" t="s">
        <v>572</v>
      </c>
      <c r="B173" s="165">
        <v>0.0</v>
      </c>
      <c r="C173" s="165">
        <v>0.0</v>
      </c>
      <c r="D173" s="165">
        <v>0.0</v>
      </c>
      <c r="E173" s="165">
        <v>0.0</v>
      </c>
      <c r="F173" s="165">
        <v>0.0</v>
      </c>
      <c r="G173" s="165">
        <v>0.0</v>
      </c>
      <c r="H173" s="165">
        <v>0.0</v>
      </c>
      <c r="I173" s="165">
        <v>0.0</v>
      </c>
      <c r="J173" s="165">
        <v>0.0</v>
      </c>
      <c r="K173" s="165">
        <v>0.0</v>
      </c>
      <c r="L173" s="165">
        <v>0.0</v>
      </c>
      <c r="M173" s="165">
        <v>0.0</v>
      </c>
      <c r="N173" s="165">
        <v>0.0</v>
      </c>
      <c r="O173" s="165">
        <v>0.0</v>
      </c>
      <c r="P173" s="165">
        <v>0.0</v>
      </c>
      <c r="Q173" s="165">
        <v>0.0</v>
      </c>
      <c r="R173" s="165">
        <v>0.0</v>
      </c>
      <c r="S173" s="165">
        <v>0.0</v>
      </c>
      <c r="T173" s="165">
        <v>0.0</v>
      </c>
      <c r="U173" s="165">
        <v>0.0</v>
      </c>
      <c r="V173" s="165">
        <v>0.0</v>
      </c>
      <c r="W173" s="165">
        <v>0.0</v>
      </c>
      <c r="X173" s="165">
        <v>0.0</v>
      </c>
      <c r="Y173" s="165">
        <v>0.0</v>
      </c>
      <c r="Z173" s="165">
        <v>0.0</v>
      </c>
      <c r="AA173" s="165">
        <v>0.0</v>
      </c>
      <c r="AB173" s="165">
        <v>0.0</v>
      </c>
      <c r="AC173" s="165">
        <v>0.0</v>
      </c>
      <c r="AD173" s="165">
        <v>0.0</v>
      </c>
      <c r="AE173" s="165">
        <v>0.0</v>
      </c>
      <c r="AF173" s="165">
        <v>0.0</v>
      </c>
      <c r="AG173" s="95">
        <f t="shared" si="48"/>
        <v>0</v>
      </c>
    </row>
    <row r="174">
      <c r="A174" s="213" t="s">
        <v>573</v>
      </c>
      <c r="B174" s="165">
        <v>0.0</v>
      </c>
      <c r="C174" s="165">
        <v>0.0</v>
      </c>
      <c r="D174" s="165">
        <v>0.0</v>
      </c>
      <c r="E174" s="165">
        <v>1.0</v>
      </c>
      <c r="F174" s="165">
        <v>0.0</v>
      </c>
      <c r="G174" s="165">
        <v>0.0</v>
      </c>
      <c r="H174" s="165">
        <v>0.0</v>
      </c>
      <c r="I174" s="165">
        <v>0.0</v>
      </c>
      <c r="J174" s="165">
        <v>0.0</v>
      </c>
      <c r="K174" s="165">
        <v>0.0</v>
      </c>
      <c r="L174" s="165">
        <v>0.0</v>
      </c>
      <c r="M174" s="165">
        <v>0.0</v>
      </c>
      <c r="N174" s="165">
        <v>0.0</v>
      </c>
      <c r="O174" s="165">
        <v>0.0</v>
      </c>
      <c r="P174" s="165">
        <v>0.0</v>
      </c>
      <c r="Q174" s="165">
        <v>0.0</v>
      </c>
      <c r="R174" s="165">
        <v>0.0</v>
      </c>
      <c r="S174" s="165">
        <v>0.0</v>
      </c>
      <c r="T174" s="165">
        <v>0.0</v>
      </c>
      <c r="U174" s="165">
        <v>1.0</v>
      </c>
      <c r="V174" s="165">
        <v>0.0</v>
      </c>
      <c r="W174" s="165">
        <v>0.0</v>
      </c>
      <c r="X174" s="165">
        <v>0.0</v>
      </c>
      <c r="Y174" s="165">
        <v>0.0</v>
      </c>
      <c r="Z174" s="165">
        <v>0.0</v>
      </c>
      <c r="AA174" s="165">
        <v>0.0</v>
      </c>
      <c r="AB174" s="165">
        <v>0.0</v>
      </c>
      <c r="AC174" s="165">
        <v>0.0</v>
      </c>
      <c r="AD174" s="165">
        <v>0.0</v>
      </c>
      <c r="AE174" s="165">
        <v>0.0</v>
      </c>
      <c r="AF174" s="165">
        <v>0.0</v>
      </c>
      <c r="AG174" s="95">
        <f t="shared" si="48"/>
        <v>2</v>
      </c>
    </row>
    <row r="175">
      <c r="A175" s="213" t="s">
        <v>574</v>
      </c>
      <c r="B175" s="165">
        <v>0.0</v>
      </c>
      <c r="C175" s="165">
        <v>0.0</v>
      </c>
      <c r="D175" s="165">
        <v>0.0</v>
      </c>
      <c r="E175" s="165">
        <v>0.0</v>
      </c>
      <c r="F175" s="165">
        <v>0.0</v>
      </c>
      <c r="G175" s="165">
        <v>0.0</v>
      </c>
      <c r="H175" s="165">
        <v>0.0</v>
      </c>
      <c r="I175" s="165">
        <v>0.0</v>
      </c>
      <c r="J175" s="165">
        <v>0.0</v>
      </c>
      <c r="K175" s="165">
        <v>0.0</v>
      </c>
      <c r="L175" s="165">
        <v>0.0</v>
      </c>
      <c r="M175" s="165">
        <v>0.0</v>
      </c>
      <c r="N175" s="165">
        <v>0.0</v>
      </c>
      <c r="O175" s="165">
        <v>0.0</v>
      </c>
      <c r="P175" s="165">
        <v>0.0</v>
      </c>
      <c r="Q175" s="165">
        <v>0.0</v>
      </c>
      <c r="R175" s="165">
        <v>0.0</v>
      </c>
      <c r="S175" s="165">
        <v>0.0</v>
      </c>
      <c r="T175" s="165">
        <v>0.0</v>
      </c>
      <c r="U175" s="165">
        <v>0.0</v>
      </c>
      <c r="V175" s="165">
        <v>0.0</v>
      </c>
      <c r="W175" s="165">
        <v>0.0</v>
      </c>
      <c r="X175" s="165">
        <v>0.0</v>
      </c>
      <c r="Y175" s="165">
        <v>0.0</v>
      </c>
      <c r="Z175" s="165">
        <v>0.0</v>
      </c>
      <c r="AA175" s="165">
        <v>0.0</v>
      </c>
      <c r="AB175" s="165">
        <v>0.0</v>
      </c>
      <c r="AC175" s="165">
        <v>0.0</v>
      </c>
      <c r="AD175" s="165">
        <v>0.0</v>
      </c>
      <c r="AE175" s="165">
        <v>0.0</v>
      </c>
      <c r="AF175" s="165">
        <v>0.0</v>
      </c>
      <c r="AG175" s="95">
        <f t="shared" si="48"/>
        <v>0</v>
      </c>
    </row>
    <row r="176">
      <c r="A176" s="213" t="s">
        <v>575</v>
      </c>
      <c r="B176" s="165">
        <v>0.0</v>
      </c>
      <c r="C176" s="165">
        <v>0.0</v>
      </c>
      <c r="D176" s="165">
        <v>0.0</v>
      </c>
      <c r="E176" s="165">
        <v>0.0</v>
      </c>
      <c r="F176" s="165">
        <v>0.0</v>
      </c>
      <c r="G176" s="165">
        <v>0.0</v>
      </c>
      <c r="H176" s="165">
        <v>0.0</v>
      </c>
      <c r="I176" s="165">
        <v>0.0</v>
      </c>
      <c r="J176" s="165">
        <v>0.0</v>
      </c>
      <c r="K176" s="165">
        <v>0.0</v>
      </c>
      <c r="L176" s="165">
        <v>0.0</v>
      </c>
      <c r="M176" s="165">
        <v>0.0</v>
      </c>
      <c r="N176" s="165">
        <v>0.0</v>
      </c>
      <c r="O176" s="165">
        <v>0.0</v>
      </c>
      <c r="P176" s="165">
        <v>0.0</v>
      </c>
      <c r="Q176" s="165">
        <v>0.0</v>
      </c>
      <c r="R176" s="165">
        <v>0.0</v>
      </c>
      <c r="S176" s="165">
        <v>0.0</v>
      </c>
      <c r="T176" s="165">
        <v>0.0</v>
      </c>
      <c r="U176" s="165">
        <v>0.0</v>
      </c>
      <c r="V176" s="165">
        <v>0.0</v>
      </c>
      <c r="W176" s="165">
        <v>0.0</v>
      </c>
      <c r="X176" s="165">
        <v>0.0</v>
      </c>
      <c r="Y176" s="165">
        <v>0.0</v>
      </c>
      <c r="Z176" s="165">
        <v>0.0</v>
      </c>
      <c r="AA176" s="165">
        <v>0.0</v>
      </c>
      <c r="AB176" s="165">
        <v>0.0</v>
      </c>
      <c r="AC176" s="165">
        <v>0.0</v>
      </c>
      <c r="AD176" s="165">
        <v>0.0</v>
      </c>
      <c r="AE176" s="165">
        <v>0.0</v>
      </c>
      <c r="AF176" s="165">
        <v>0.0</v>
      </c>
      <c r="AG176" s="95">
        <f t="shared" si="48"/>
        <v>0</v>
      </c>
    </row>
    <row r="177">
      <c r="A177" s="213" t="s">
        <v>576</v>
      </c>
      <c r="B177" s="165">
        <v>0.0</v>
      </c>
      <c r="C177" s="165">
        <v>0.0</v>
      </c>
      <c r="D177" s="165">
        <v>0.0</v>
      </c>
      <c r="E177" s="165">
        <v>0.0</v>
      </c>
      <c r="F177" s="165">
        <v>0.0</v>
      </c>
      <c r="G177" s="165">
        <v>0.0</v>
      </c>
      <c r="H177" s="165">
        <v>0.0</v>
      </c>
      <c r="I177" s="165">
        <v>0.0</v>
      </c>
      <c r="J177" s="165">
        <v>0.0</v>
      </c>
      <c r="K177" s="165">
        <v>0.0</v>
      </c>
      <c r="L177" s="165">
        <v>0.0</v>
      </c>
      <c r="M177" s="165">
        <v>0.0</v>
      </c>
      <c r="N177" s="165">
        <v>0.0</v>
      </c>
      <c r="O177" s="165">
        <v>0.0</v>
      </c>
      <c r="P177" s="165">
        <v>0.0</v>
      </c>
      <c r="Q177" s="165">
        <v>0.0</v>
      </c>
      <c r="R177" s="165">
        <v>0.0</v>
      </c>
      <c r="S177" s="165">
        <v>0.0</v>
      </c>
      <c r="T177" s="165">
        <v>0.0</v>
      </c>
      <c r="U177" s="165">
        <v>0.0</v>
      </c>
      <c r="V177" s="165">
        <v>0.0</v>
      </c>
      <c r="W177" s="165">
        <v>0.0</v>
      </c>
      <c r="X177" s="165">
        <v>0.0</v>
      </c>
      <c r="Y177" s="165">
        <v>0.0</v>
      </c>
      <c r="Z177" s="165">
        <v>0.0</v>
      </c>
      <c r="AA177" s="165">
        <v>0.0</v>
      </c>
      <c r="AB177" s="165">
        <v>0.0</v>
      </c>
      <c r="AC177" s="165">
        <v>0.0</v>
      </c>
      <c r="AD177" s="165">
        <v>0.0</v>
      </c>
      <c r="AE177" s="165">
        <v>0.0</v>
      </c>
      <c r="AF177" s="165">
        <v>0.0</v>
      </c>
      <c r="AG177" s="95">
        <f t="shared" si="48"/>
        <v>0</v>
      </c>
    </row>
    <row r="178">
      <c r="A178" s="217" t="s">
        <v>141</v>
      </c>
      <c r="B178" s="346">
        <f>SUM(B170:B177)</f>
        <v>0</v>
      </c>
      <c r="C178" s="346">
        <f t="shared" ref="C178:AF178" si="49">SUM(C170:C174)</f>
        <v>0</v>
      </c>
      <c r="D178" s="346">
        <f t="shared" si="49"/>
        <v>0</v>
      </c>
      <c r="E178" s="346">
        <f t="shared" si="49"/>
        <v>1</v>
      </c>
      <c r="F178" s="346">
        <f t="shared" si="49"/>
        <v>0</v>
      </c>
      <c r="G178" s="346">
        <f t="shared" si="49"/>
        <v>0</v>
      </c>
      <c r="H178" s="346">
        <f t="shared" si="49"/>
        <v>0</v>
      </c>
      <c r="I178" s="346">
        <f t="shared" si="49"/>
        <v>0</v>
      </c>
      <c r="J178" s="346">
        <f t="shared" si="49"/>
        <v>0</v>
      </c>
      <c r="K178" s="346">
        <f t="shared" si="49"/>
        <v>0</v>
      </c>
      <c r="L178" s="346">
        <f t="shared" si="49"/>
        <v>0</v>
      </c>
      <c r="M178" s="346">
        <f t="shared" si="49"/>
        <v>0</v>
      </c>
      <c r="N178" s="346">
        <f t="shared" si="49"/>
        <v>0</v>
      </c>
      <c r="O178" s="346">
        <f t="shared" si="49"/>
        <v>0</v>
      </c>
      <c r="P178" s="346">
        <f t="shared" si="49"/>
        <v>0</v>
      </c>
      <c r="Q178" s="346">
        <f t="shared" si="49"/>
        <v>0</v>
      </c>
      <c r="R178" s="346">
        <f t="shared" si="49"/>
        <v>0</v>
      </c>
      <c r="S178" s="346">
        <f t="shared" si="49"/>
        <v>0</v>
      </c>
      <c r="T178" s="346">
        <f t="shared" si="49"/>
        <v>0</v>
      </c>
      <c r="U178" s="346">
        <f t="shared" si="49"/>
        <v>1</v>
      </c>
      <c r="V178" s="346">
        <f t="shared" si="49"/>
        <v>0</v>
      </c>
      <c r="W178" s="346">
        <f t="shared" si="49"/>
        <v>0</v>
      </c>
      <c r="X178" s="346">
        <f t="shared" si="49"/>
        <v>0</v>
      </c>
      <c r="Y178" s="346">
        <f t="shared" si="49"/>
        <v>0</v>
      </c>
      <c r="Z178" s="346">
        <f t="shared" si="49"/>
        <v>0</v>
      </c>
      <c r="AA178" s="346">
        <f t="shared" si="49"/>
        <v>0</v>
      </c>
      <c r="AB178" s="346">
        <f t="shared" si="49"/>
        <v>0</v>
      </c>
      <c r="AC178" s="346">
        <f t="shared" si="49"/>
        <v>0</v>
      </c>
      <c r="AD178" s="346">
        <f t="shared" si="49"/>
        <v>0</v>
      </c>
      <c r="AE178" s="346">
        <f t="shared" si="49"/>
        <v>0</v>
      </c>
      <c r="AF178" s="346">
        <f t="shared" si="49"/>
        <v>0</v>
      </c>
      <c r="AG178" s="95">
        <f t="shared" si="48"/>
        <v>2</v>
      </c>
    </row>
    <row r="179">
      <c r="A179" s="348"/>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c r="AE179" s="165"/>
      <c r="AF179" s="165"/>
      <c r="AG179" s="156"/>
    </row>
    <row r="180">
      <c r="A180" s="217" t="s">
        <v>577</v>
      </c>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156"/>
    </row>
    <row r="181">
      <c r="A181" s="213" t="s">
        <v>578</v>
      </c>
      <c r="B181" s="165">
        <v>0.0</v>
      </c>
      <c r="C181" s="165">
        <v>0.0</v>
      </c>
      <c r="D181" s="165">
        <v>0.0</v>
      </c>
      <c r="E181" s="165">
        <v>0.0</v>
      </c>
      <c r="F181" s="165">
        <v>0.0</v>
      </c>
      <c r="G181" s="165">
        <v>0.0</v>
      </c>
      <c r="H181" s="165">
        <v>0.0</v>
      </c>
      <c r="I181" s="165">
        <v>0.0</v>
      </c>
      <c r="J181" s="165">
        <v>0.0</v>
      </c>
      <c r="K181" s="165">
        <v>0.0</v>
      </c>
      <c r="L181" s="165">
        <v>0.0</v>
      </c>
      <c r="M181" s="165">
        <v>0.0</v>
      </c>
      <c r="N181" s="165">
        <v>0.0</v>
      </c>
      <c r="O181" s="165">
        <v>0.0</v>
      </c>
      <c r="P181" s="165">
        <v>0.0</v>
      </c>
      <c r="Q181" s="165">
        <v>0.0</v>
      </c>
      <c r="R181" s="165">
        <v>0.0</v>
      </c>
      <c r="S181" s="165">
        <v>0.0</v>
      </c>
      <c r="T181" s="165">
        <v>0.0</v>
      </c>
      <c r="U181" s="165">
        <v>0.0</v>
      </c>
      <c r="V181" s="165">
        <v>0.0</v>
      </c>
      <c r="W181" s="165">
        <v>0.0</v>
      </c>
      <c r="X181" s="165">
        <v>0.0</v>
      </c>
      <c r="Y181" s="165">
        <v>0.0</v>
      </c>
      <c r="Z181" s="165">
        <v>0.0</v>
      </c>
      <c r="AA181" s="165">
        <v>0.0</v>
      </c>
      <c r="AB181" s="159">
        <v>1.0</v>
      </c>
      <c r="AC181" s="165">
        <v>0.0</v>
      </c>
      <c r="AD181" s="165">
        <v>0.0</v>
      </c>
      <c r="AE181" s="165">
        <v>0.0</v>
      </c>
      <c r="AF181" s="165">
        <v>0.0</v>
      </c>
      <c r="AG181" s="156"/>
    </row>
    <row r="182">
      <c r="A182" s="213" t="s">
        <v>579</v>
      </c>
      <c r="B182" s="165">
        <v>0.0</v>
      </c>
      <c r="C182" s="165">
        <v>0.0</v>
      </c>
      <c r="D182" s="165">
        <v>0.0</v>
      </c>
      <c r="E182" s="165">
        <v>0.0</v>
      </c>
      <c r="F182" s="165">
        <v>0.0</v>
      </c>
      <c r="G182" s="165">
        <v>0.0</v>
      </c>
      <c r="H182" s="165">
        <v>0.0</v>
      </c>
      <c r="I182" s="165">
        <v>0.0</v>
      </c>
      <c r="J182" s="165">
        <v>0.0</v>
      </c>
      <c r="K182" s="165">
        <v>0.0</v>
      </c>
      <c r="L182" s="165">
        <v>0.0</v>
      </c>
      <c r="M182" s="165">
        <v>0.0</v>
      </c>
      <c r="N182" s="165">
        <v>1.0</v>
      </c>
      <c r="O182" s="165">
        <v>0.0</v>
      </c>
      <c r="P182" s="165">
        <v>0.0</v>
      </c>
      <c r="Q182" s="165">
        <v>0.0</v>
      </c>
      <c r="R182" s="165">
        <v>0.0</v>
      </c>
      <c r="S182" s="165">
        <v>0.0</v>
      </c>
      <c r="T182" s="165">
        <v>0.0</v>
      </c>
      <c r="U182" s="165">
        <v>0.0</v>
      </c>
      <c r="V182" s="165">
        <v>0.0</v>
      </c>
      <c r="W182" s="165">
        <v>0.0</v>
      </c>
      <c r="X182" s="165">
        <v>0.0</v>
      </c>
      <c r="Y182" s="165">
        <v>0.0</v>
      </c>
      <c r="Z182" s="165">
        <v>0.0</v>
      </c>
      <c r="AA182" s="165">
        <v>0.0</v>
      </c>
      <c r="AB182" s="159">
        <v>0.0</v>
      </c>
      <c r="AC182" s="165">
        <v>0.0</v>
      </c>
      <c r="AD182" s="165">
        <v>0.0</v>
      </c>
      <c r="AE182" s="165">
        <v>0.0</v>
      </c>
      <c r="AF182" s="165">
        <v>0.0</v>
      </c>
      <c r="AG182" s="156"/>
    </row>
    <row r="183">
      <c r="A183" s="213" t="s">
        <v>580</v>
      </c>
      <c r="B183" s="165">
        <v>3.0</v>
      </c>
      <c r="C183" s="165">
        <v>0.0</v>
      </c>
      <c r="D183" s="165">
        <v>0.0</v>
      </c>
      <c r="E183" s="165">
        <v>0.0</v>
      </c>
      <c r="F183" s="165">
        <v>0.0</v>
      </c>
      <c r="G183" s="165">
        <v>0.0</v>
      </c>
      <c r="H183" s="165">
        <v>0.0</v>
      </c>
      <c r="I183" s="165">
        <v>0.0</v>
      </c>
      <c r="J183" s="165">
        <v>0.0</v>
      </c>
      <c r="K183" s="165">
        <v>0.0</v>
      </c>
      <c r="L183" s="165">
        <v>2.0</v>
      </c>
      <c r="M183" s="165">
        <v>0.0</v>
      </c>
      <c r="N183" s="165">
        <v>1.0</v>
      </c>
      <c r="O183" s="165">
        <v>0.0</v>
      </c>
      <c r="P183" s="165">
        <v>0.0</v>
      </c>
      <c r="Q183" s="165">
        <v>0.0</v>
      </c>
      <c r="R183" s="165">
        <v>0.0</v>
      </c>
      <c r="S183" s="165">
        <v>1.0</v>
      </c>
      <c r="T183" s="165">
        <v>0.0</v>
      </c>
      <c r="U183" s="165">
        <v>0.0</v>
      </c>
      <c r="V183" s="165">
        <v>0.0</v>
      </c>
      <c r="W183" s="165">
        <v>0.0</v>
      </c>
      <c r="X183" s="165">
        <v>0.0</v>
      </c>
      <c r="Y183" s="165">
        <v>0.0</v>
      </c>
      <c r="Z183" s="165">
        <v>0.0</v>
      </c>
      <c r="AA183" s="165">
        <v>0.0</v>
      </c>
      <c r="AB183" s="159">
        <v>1.0</v>
      </c>
      <c r="AC183" s="165">
        <v>0.0</v>
      </c>
      <c r="AD183" s="165">
        <v>1.0</v>
      </c>
      <c r="AE183" s="165">
        <v>0.0</v>
      </c>
      <c r="AF183" s="165">
        <v>0.0</v>
      </c>
      <c r="AG183" s="156"/>
    </row>
    <row r="184">
      <c r="A184" s="349"/>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c r="AE184" s="165"/>
      <c r="AF184" s="165"/>
      <c r="AG184" s="156"/>
    </row>
    <row r="185">
      <c r="A185" s="350" t="s">
        <v>581</v>
      </c>
      <c r="B185" s="346">
        <v>3.0</v>
      </c>
      <c r="C185" s="346">
        <v>0.0</v>
      </c>
      <c r="D185" s="346">
        <v>0.0</v>
      </c>
      <c r="E185" s="346">
        <v>1.0</v>
      </c>
      <c r="F185" s="346">
        <v>0.0</v>
      </c>
      <c r="G185" s="346">
        <v>0.0</v>
      </c>
      <c r="H185" s="346">
        <v>0.0</v>
      </c>
      <c r="I185" s="346">
        <v>0.0</v>
      </c>
      <c r="J185" s="346">
        <v>0.0</v>
      </c>
      <c r="K185" s="346">
        <v>0.0</v>
      </c>
      <c r="L185" s="346">
        <v>3.0</v>
      </c>
      <c r="M185" s="346">
        <v>0.0</v>
      </c>
      <c r="N185" s="346">
        <v>2.0</v>
      </c>
      <c r="O185" s="346">
        <v>1.0</v>
      </c>
      <c r="P185" s="346">
        <v>0.0</v>
      </c>
      <c r="Q185" s="346">
        <v>0.0</v>
      </c>
      <c r="R185" s="346">
        <v>0.0</v>
      </c>
      <c r="S185" s="346">
        <v>3.0</v>
      </c>
      <c r="T185" s="346">
        <v>1.0</v>
      </c>
      <c r="U185" s="346">
        <v>1.0</v>
      </c>
      <c r="V185" s="346">
        <v>0.0</v>
      </c>
      <c r="W185" s="346">
        <v>0.0</v>
      </c>
      <c r="X185" s="346">
        <v>0.0</v>
      </c>
      <c r="Y185" s="346">
        <v>0.0</v>
      </c>
      <c r="Z185" s="346">
        <v>0.0</v>
      </c>
      <c r="AA185" s="346">
        <v>0.0</v>
      </c>
      <c r="AB185" s="346">
        <v>4.0</v>
      </c>
      <c r="AC185" s="346">
        <v>0.0</v>
      </c>
      <c r="AD185" s="346">
        <v>1.0</v>
      </c>
      <c r="AE185" s="346">
        <v>0.0</v>
      </c>
      <c r="AF185" s="346">
        <v>0.0</v>
      </c>
      <c r="AG185" s="95">
        <f>SUM(B185:AF185)</f>
        <v>20</v>
      </c>
    </row>
    <row r="186">
      <c r="A186" s="172"/>
      <c r="AG186" s="207"/>
    </row>
    <row r="187">
      <c r="A187" s="141" t="s">
        <v>385</v>
      </c>
      <c r="AG187" s="207"/>
    </row>
    <row r="188">
      <c r="A188" s="217" t="s">
        <v>582</v>
      </c>
      <c r="B188" s="346">
        <v>0.0</v>
      </c>
      <c r="C188" s="346">
        <v>0.0</v>
      </c>
      <c r="D188" s="346">
        <v>0.0</v>
      </c>
      <c r="E188" s="346">
        <v>0.0</v>
      </c>
      <c r="F188" s="346">
        <v>0.0</v>
      </c>
      <c r="G188" s="346">
        <v>0.0</v>
      </c>
      <c r="H188" s="346">
        <v>0.0</v>
      </c>
      <c r="I188" s="346">
        <v>0.0</v>
      </c>
      <c r="J188" s="346">
        <v>0.0</v>
      </c>
      <c r="K188" s="346">
        <v>0.0</v>
      </c>
      <c r="L188" s="346">
        <v>0.0</v>
      </c>
      <c r="M188" s="346">
        <v>0.0</v>
      </c>
      <c r="N188" s="346">
        <v>0.0</v>
      </c>
      <c r="O188" s="346">
        <v>0.0</v>
      </c>
      <c r="P188" s="346"/>
      <c r="Q188" s="346"/>
      <c r="R188" s="346"/>
      <c r="S188" s="346"/>
      <c r="T188" s="346"/>
      <c r="U188" s="346"/>
      <c r="V188" s="346"/>
      <c r="W188" s="346"/>
      <c r="X188" s="346"/>
      <c r="Y188" s="346"/>
      <c r="Z188" s="346"/>
      <c r="AA188" s="346"/>
      <c r="AB188" s="346"/>
      <c r="AC188" s="346"/>
      <c r="AD188" s="346"/>
      <c r="AE188" s="346"/>
      <c r="AF188" s="346"/>
      <c r="AG188" s="95">
        <f>SUM(B188:AF188)</f>
        <v>0</v>
      </c>
    </row>
    <row r="189">
      <c r="A189" s="172"/>
      <c r="B189" s="331"/>
      <c r="AG189" s="156"/>
    </row>
    <row r="190">
      <c r="A190" s="124" t="s">
        <v>387</v>
      </c>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207"/>
    </row>
    <row r="191">
      <c r="A191" s="88" t="s">
        <v>388</v>
      </c>
      <c r="B191" s="351">
        <f t="shared" ref="B191:AF191" si="50">B13</f>
        <v>1348.28</v>
      </c>
      <c r="C191" s="351">
        <f t="shared" si="50"/>
        <v>1385.43</v>
      </c>
      <c r="D191" s="351">
        <f t="shared" si="50"/>
        <v>1102.46</v>
      </c>
      <c r="E191" s="351">
        <f t="shared" si="50"/>
        <v>752.89</v>
      </c>
      <c r="F191" s="351">
        <f t="shared" si="50"/>
        <v>700.89</v>
      </c>
      <c r="G191" s="351">
        <f t="shared" si="50"/>
        <v>2163.8</v>
      </c>
      <c r="H191" s="351">
        <f t="shared" si="50"/>
        <v>3196.98</v>
      </c>
      <c r="I191" s="351">
        <f t="shared" si="50"/>
        <v>2585.22</v>
      </c>
      <c r="J191" s="351">
        <f t="shared" si="50"/>
        <v>2860.98</v>
      </c>
      <c r="K191" s="351">
        <f t="shared" si="50"/>
        <v>2868.07</v>
      </c>
      <c r="L191" s="351">
        <f t="shared" si="50"/>
        <v>1575.67</v>
      </c>
      <c r="M191" s="351">
        <f t="shared" si="50"/>
        <v>1813.72</v>
      </c>
      <c r="N191" s="351">
        <f t="shared" si="50"/>
        <v>1855.46</v>
      </c>
      <c r="O191" s="351">
        <f t="shared" si="50"/>
        <v>1949.79</v>
      </c>
      <c r="P191" s="351">
        <f t="shared" si="50"/>
        <v>2177.64</v>
      </c>
      <c r="Q191" s="351">
        <f t="shared" si="50"/>
        <v>2457</v>
      </c>
      <c r="R191" s="351">
        <f t="shared" si="50"/>
        <v>2314.72</v>
      </c>
      <c r="S191" s="351">
        <f t="shared" si="50"/>
        <v>1846.92</v>
      </c>
      <c r="T191" s="351">
        <f t="shared" si="50"/>
        <v>1591.02</v>
      </c>
      <c r="U191" s="351">
        <f t="shared" si="50"/>
        <v>2164.62</v>
      </c>
      <c r="V191" s="351">
        <f t="shared" si="50"/>
        <v>2214.03</v>
      </c>
      <c r="W191" s="351">
        <f t="shared" si="50"/>
        <v>1993.47</v>
      </c>
      <c r="X191" s="351">
        <f t="shared" si="50"/>
        <v>2286.97</v>
      </c>
      <c r="Y191" s="351">
        <f t="shared" si="50"/>
        <v>2110.61</v>
      </c>
      <c r="Z191" s="351">
        <f t="shared" si="50"/>
        <v>621.13</v>
      </c>
      <c r="AA191" s="351">
        <f t="shared" si="50"/>
        <v>415.09</v>
      </c>
      <c r="AB191" s="351">
        <f t="shared" si="50"/>
        <v>390.6</v>
      </c>
      <c r="AC191" s="351">
        <f t="shared" si="50"/>
        <v>370.26</v>
      </c>
      <c r="AD191" s="351">
        <f t="shared" si="50"/>
        <v>359.58</v>
      </c>
      <c r="AE191" s="351">
        <f t="shared" si="50"/>
        <v>443.94</v>
      </c>
      <c r="AF191" s="351">
        <f t="shared" si="50"/>
        <v>430.21</v>
      </c>
      <c r="AG191" s="95">
        <f t="shared" ref="AG191:AG207" si="52">SUM(B191:AF191)</f>
        <v>50347.45</v>
      </c>
    </row>
    <row r="192">
      <c r="A192" s="88" t="s">
        <v>583</v>
      </c>
      <c r="B192" s="137">
        <f t="shared" ref="B192:AF192" si="51">B14</f>
        <v>2902.2735</v>
      </c>
      <c r="C192" s="137">
        <f t="shared" si="51"/>
        <v>3348.3585</v>
      </c>
      <c r="D192" s="137">
        <f t="shared" si="51"/>
        <v>2416.422</v>
      </c>
      <c r="E192" s="137">
        <f t="shared" si="51"/>
        <v>1412.487</v>
      </c>
      <c r="F192" s="137">
        <f t="shared" si="51"/>
        <v>954.87</v>
      </c>
      <c r="G192" s="137">
        <f t="shared" si="51"/>
        <v>1726.0215</v>
      </c>
      <c r="H192" s="137">
        <f t="shared" si="51"/>
        <v>2635.5555</v>
      </c>
      <c r="I192" s="137">
        <f t="shared" si="51"/>
        <v>2496.381</v>
      </c>
      <c r="J192" s="137">
        <f t="shared" si="51"/>
        <v>3201.5205</v>
      </c>
      <c r="K192" s="137">
        <f t="shared" si="51"/>
        <v>3338.8035</v>
      </c>
      <c r="L192" s="137">
        <f t="shared" si="51"/>
        <v>1388.0775</v>
      </c>
      <c r="M192" s="137">
        <f t="shared" si="51"/>
        <v>1369.5525</v>
      </c>
      <c r="N192" s="137">
        <f t="shared" si="51"/>
        <v>1568.061</v>
      </c>
      <c r="O192" s="137">
        <f t="shared" si="51"/>
        <v>1784.262</v>
      </c>
      <c r="P192" s="137">
        <f t="shared" si="51"/>
        <v>1990.485</v>
      </c>
      <c r="Q192" s="137">
        <f t="shared" si="51"/>
        <v>1862.2425</v>
      </c>
      <c r="R192" s="137">
        <f t="shared" si="51"/>
        <v>2147.673</v>
      </c>
      <c r="S192" s="137">
        <f t="shared" si="51"/>
        <v>1029.693</v>
      </c>
      <c r="T192" s="137">
        <f t="shared" si="51"/>
        <v>1816.2195</v>
      </c>
      <c r="U192" s="137">
        <f t="shared" si="51"/>
        <v>2135.199</v>
      </c>
      <c r="V192" s="137">
        <f t="shared" si="51"/>
        <v>1635.8685</v>
      </c>
      <c r="W192" s="137">
        <f t="shared" si="51"/>
        <v>1390.0275</v>
      </c>
      <c r="X192" s="137">
        <f t="shared" si="51"/>
        <v>1651.4025</v>
      </c>
      <c r="Y192" s="137">
        <f t="shared" si="51"/>
        <v>1727.052</v>
      </c>
      <c r="Z192" s="137">
        <f t="shared" si="51"/>
        <v>1252.6035</v>
      </c>
      <c r="AA192" s="137">
        <f t="shared" si="51"/>
        <v>1377.516</v>
      </c>
      <c r="AB192" s="137">
        <f t="shared" si="51"/>
        <v>1198.8495</v>
      </c>
      <c r="AC192" s="137">
        <f t="shared" si="51"/>
        <v>1135.611</v>
      </c>
      <c r="AD192" s="137">
        <f t="shared" si="51"/>
        <v>1059.1275</v>
      </c>
      <c r="AE192" s="137">
        <f t="shared" si="51"/>
        <v>1149.8205</v>
      </c>
      <c r="AF192" s="137">
        <f t="shared" si="51"/>
        <v>667.683</v>
      </c>
      <c r="AG192" s="95">
        <f t="shared" si="52"/>
        <v>55769.7195</v>
      </c>
    </row>
    <row r="193">
      <c r="A193" s="352" t="s">
        <v>420</v>
      </c>
      <c r="B193" s="137">
        <f>(B28+B29)*'Data - P&amp;L'!$C$3</f>
        <v>869</v>
      </c>
      <c r="C193" s="137">
        <f>(C28+C29)*'Data - P&amp;L'!$C$3</f>
        <v>782.1</v>
      </c>
      <c r="D193" s="137">
        <f>(D28+D29)*'Data - P&amp;L'!$C$3</f>
        <v>2085.6</v>
      </c>
      <c r="E193" s="137">
        <f>(E28+E29)*'Data - P&amp;L'!$C$3</f>
        <v>2607</v>
      </c>
      <c r="F193" s="137">
        <f>(F28+F29)*'Data - P&amp;L'!$C$3</f>
        <v>2172.5</v>
      </c>
      <c r="G193" s="137">
        <f>(G28+G29)*'Data - P&amp;L'!$C$3</f>
        <v>2346.3</v>
      </c>
      <c r="H193" s="137">
        <f>(H28+H29)*'Data - P&amp;L'!$C$3</f>
        <v>1129.7</v>
      </c>
      <c r="I193" s="137">
        <f>(I28+I29)*'Data - P&amp;L'!$C$3</f>
        <v>1216.6</v>
      </c>
      <c r="J193" s="137">
        <f>(J28+J29)*'Data - P&amp;L'!$C$3</f>
        <v>1564.2</v>
      </c>
      <c r="K193" s="137">
        <f>(K28+K29)*'Data - P&amp;L'!$C$3</f>
        <v>1651.1</v>
      </c>
      <c r="L193" s="137">
        <f>(L28+L29)*'Data - P&amp;L'!$C$3</f>
        <v>869</v>
      </c>
      <c r="M193" s="137">
        <f>(M28+M29)*'Data - P&amp;L'!$C$3</f>
        <v>695.2</v>
      </c>
      <c r="N193" s="137">
        <f>(N28+N29)*'Data - P&amp;L'!$C$3</f>
        <v>608.3</v>
      </c>
      <c r="O193" s="137">
        <f>(O28+O29)*'Data - P&amp;L'!$C$3</f>
        <v>608.3</v>
      </c>
      <c r="P193" s="137">
        <f>(P28+P29)*'Data - P&amp;L'!$C$3</f>
        <v>434.5</v>
      </c>
      <c r="Q193" s="137">
        <f>(Q28+Q29)*'Data - P&amp;L'!$C$3</f>
        <v>347.6</v>
      </c>
      <c r="R193" s="137">
        <f>(R28+R29)*'Data - P&amp;L'!$C$3</f>
        <v>608.3</v>
      </c>
      <c r="S193" s="137">
        <f>(S28+S29)*'Data - P&amp;L'!$C$3</f>
        <v>782.1</v>
      </c>
      <c r="T193" s="137">
        <f>(T28+T29)*'Data - P&amp;L'!$C$3</f>
        <v>869</v>
      </c>
      <c r="U193" s="137">
        <f>(U28+U29)*'Data - P&amp;L'!$C$3</f>
        <v>869</v>
      </c>
      <c r="V193" s="137">
        <f>(V28+V29)*'Data - P&amp;L'!$C$3</f>
        <v>1129.7</v>
      </c>
      <c r="W193" s="137">
        <f>(W28+W29)*'Data - P&amp;L'!$C$3</f>
        <v>1303.5</v>
      </c>
      <c r="X193" s="137">
        <f>(X28+X29)*'Data - P&amp;L'!$C$3</f>
        <v>1303.5</v>
      </c>
      <c r="Y193" s="137">
        <f>(Y28+Y29)*'Data - P&amp;L'!$C$3</f>
        <v>1911.8</v>
      </c>
      <c r="Z193" s="137">
        <f>(Z28+Z29)*'Data - P&amp;L'!$C$3</f>
        <v>1651.1</v>
      </c>
      <c r="AA193" s="137">
        <f>(AA28+AA29)*'Data - P&amp;L'!$C$3</f>
        <v>1042.8</v>
      </c>
      <c r="AB193" s="137">
        <f>(AB28+AB29)*'Data - P&amp;L'!$C$3</f>
        <v>1042.8</v>
      </c>
      <c r="AC193" s="137">
        <f>(AC28+AC29)*'Data - P&amp;L'!$C$3</f>
        <v>1564.2</v>
      </c>
      <c r="AD193" s="137">
        <f>(AD28+AD29)*'Data - P&amp;L'!$C$3</f>
        <v>869</v>
      </c>
      <c r="AE193" s="137">
        <f>(AE28+AE29)*'Data - P&amp;L'!$C$3</f>
        <v>434.5</v>
      </c>
      <c r="AF193" s="137">
        <f>(AF28+AF29)*'Data - P&amp;L'!$C$3</f>
        <v>434.5</v>
      </c>
      <c r="AG193" s="95">
        <f t="shared" si="52"/>
        <v>35802.8</v>
      </c>
    </row>
    <row r="194">
      <c r="A194" s="352" t="s">
        <v>421</v>
      </c>
      <c r="B194" s="137">
        <f>(B30+B31)*'Data - P&amp;L'!$C$4</f>
        <v>6637.48</v>
      </c>
      <c r="C194" s="137">
        <f>(C30+C31)*'Data - P&amp;L'!$C$4</f>
        <v>8004.02</v>
      </c>
      <c r="D194" s="137">
        <f>(D30+D31)*'Data - P&amp;L'!$C$4</f>
        <v>4002.01</v>
      </c>
      <c r="E194" s="137">
        <f>(E30+E31)*'Data - P&amp;L'!$C$4</f>
        <v>780.88</v>
      </c>
      <c r="F194" s="137">
        <f>(F30+F31)*'Data - P&amp;L'!$C$4</f>
        <v>195.22</v>
      </c>
      <c r="G194" s="137">
        <f>(G30+G31)*'Data - P&amp;L'!$C$4</f>
        <v>2440.25</v>
      </c>
      <c r="H194" s="137">
        <f>(H30+H31)*'Data - P&amp;L'!$C$4</f>
        <v>5954.21</v>
      </c>
      <c r="I194" s="137">
        <f>(I30+I31)*'Data - P&amp;L'!$C$4</f>
        <v>5563.77</v>
      </c>
      <c r="J194" s="137">
        <f>(J30+J31)*'Data - P&amp;L'!$C$4</f>
        <v>6637.48</v>
      </c>
      <c r="K194" s="137">
        <f>(K30+K31)*'Data - P&amp;L'!$C$4</f>
        <v>7515.97</v>
      </c>
      <c r="L194" s="137">
        <f>(L30+L31)*'Data - P&amp;L'!$C$4</f>
        <v>2440.25</v>
      </c>
      <c r="M194" s="137">
        <f>(M30+M31)*'Data - P&amp;L'!$C$4</f>
        <v>1854.59</v>
      </c>
      <c r="N194" s="137">
        <f>(N30+N31)*'Data - P&amp;L'!$C$4</f>
        <v>2440.25</v>
      </c>
      <c r="O194" s="137">
        <f>(O30+O31)*'Data - P&amp;L'!$C$4</f>
        <v>2733.08</v>
      </c>
      <c r="P194" s="137">
        <f>(P30+P31)*'Data - P&amp;L'!$C$4</f>
        <v>3709.18</v>
      </c>
      <c r="Q194" s="137">
        <f>(Q30+Q31)*'Data - P&amp;L'!$C$4</f>
        <v>2830.69</v>
      </c>
      <c r="R194" s="137">
        <f>(R30+R31)*'Data - P&amp;L'!$C$4</f>
        <v>3318.74</v>
      </c>
      <c r="S194" s="137">
        <f>(S30+S31)*'Data - P&amp;L'!$C$4</f>
        <v>1171.32</v>
      </c>
      <c r="T194" s="137">
        <f>(T30+T31)*'Data - P&amp;L'!$C$4</f>
        <v>2733.08</v>
      </c>
      <c r="U194" s="137">
        <f>(U30+U31)*'Data - P&amp;L'!$C$4</f>
        <v>3221.13</v>
      </c>
      <c r="V194" s="137">
        <f>(V30+V31)*'Data - P&amp;L'!$C$4</f>
        <v>2147.42</v>
      </c>
      <c r="W194" s="137">
        <f>(W30+W31)*'Data - P&amp;L'!$C$4</f>
        <v>1366.54</v>
      </c>
      <c r="X194" s="137">
        <f>(X30+X31)*'Data - P&amp;L'!$C$4</f>
        <v>1756.98</v>
      </c>
      <c r="Y194" s="137">
        <f>(Y30+Y31)*'Data - P&amp;L'!$C$4</f>
        <v>1366.54</v>
      </c>
      <c r="Z194" s="137">
        <f>(Z30+Z31)*'Data - P&amp;L'!$C$4</f>
        <v>683.27</v>
      </c>
      <c r="AA194" s="137">
        <f>(AA30+AA31)*'Data - P&amp;L'!$C$4</f>
        <v>1561.76</v>
      </c>
      <c r="AB194" s="137">
        <f>(AB30+AB31)*'Data - P&amp;L'!$C$4</f>
        <v>1268.93</v>
      </c>
      <c r="AC194" s="137">
        <f>(AC30+AC31)*'Data - P&amp;L'!$C$4</f>
        <v>585.66</v>
      </c>
      <c r="AD194" s="137">
        <f>(AD30+AD31)*'Data - P&amp;L'!$C$4</f>
        <v>1073.71</v>
      </c>
      <c r="AE194" s="137">
        <f>(AE30+AE31)*'Data - P&amp;L'!$C$4</f>
        <v>1366.54</v>
      </c>
      <c r="AF194" s="137">
        <f>(AF30+AF31)*'Data - P&amp;L'!$C$4</f>
        <v>585.66</v>
      </c>
      <c r="AG194" s="95">
        <f t="shared" si="52"/>
        <v>87946.61</v>
      </c>
    </row>
    <row r="195">
      <c r="A195" s="352" t="s">
        <v>422</v>
      </c>
      <c r="B195" s="137">
        <f>B34*'Data - P&amp;L'!$C$6</f>
        <v>98.82</v>
      </c>
      <c r="C195" s="137">
        <f>C34*'Data - P&amp;L'!$C$6</f>
        <v>137.25</v>
      </c>
      <c r="D195" s="137">
        <f>D34*'Data - P&amp;L'!$C$6</f>
        <v>153.72</v>
      </c>
      <c r="E195" s="137">
        <f>E34*'Data - P&amp;L'!$C$6</f>
        <v>104.31</v>
      </c>
      <c r="F195" s="137">
        <f>F34*'Data - P&amp;L'!$C$6</f>
        <v>76.86</v>
      </c>
      <c r="G195" s="137">
        <f>G34*'Data - P&amp;L'!$C$6</f>
        <v>93.33</v>
      </c>
      <c r="H195" s="137">
        <f>H34*'Data - P&amp;L'!$C$6</f>
        <v>98.82</v>
      </c>
      <c r="I195" s="137">
        <f>I34*'Data - P&amp;L'!$C$6</f>
        <v>60.39</v>
      </c>
      <c r="J195" s="137">
        <f>J34*'Data - P&amp;L'!$C$6</f>
        <v>175.68</v>
      </c>
      <c r="K195" s="137">
        <f>K34*'Data - P&amp;L'!$C$6</f>
        <v>159.21</v>
      </c>
      <c r="L195" s="137">
        <f>L34*'Data - P&amp;L'!$C$6</f>
        <v>76.86</v>
      </c>
      <c r="M195" s="137">
        <f>M34*'Data - P&amp;L'!$C$6</f>
        <v>54.9</v>
      </c>
      <c r="N195" s="137">
        <f>N34*'Data - P&amp;L'!$C$6</f>
        <v>82.35</v>
      </c>
      <c r="O195" s="137">
        <f>O34*'Data - P&amp;L'!$C$6</f>
        <v>54.9</v>
      </c>
      <c r="P195" s="137">
        <f>P34*'Data - P&amp;L'!$C$6</f>
        <v>93.33</v>
      </c>
      <c r="Q195" s="137">
        <f>Q34*'Data - P&amp;L'!$C$6</f>
        <v>93.33</v>
      </c>
      <c r="R195" s="137">
        <f>R34*'Data - P&amp;L'!$C$6</f>
        <v>82.35</v>
      </c>
      <c r="S195" s="137">
        <f>S34*'Data - P&amp;L'!$C$6</f>
        <v>32.94</v>
      </c>
      <c r="T195" s="137">
        <f>T34*'Data - P&amp;L'!$C$6</f>
        <v>65.88</v>
      </c>
      <c r="U195" s="137">
        <f>U34*'Data - P&amp;L'!$C$6</f>
        <v>60.39</v>
      </c>
      <c r="V195" s="137">
        <f>V34*'Data - P&amp;L'!$C$6</f>
        <v>82.35</v>
      </c>
      <c r="W195" s="137">
        <f>W34*'Data - P&amp;L'!$C$6</f>
        <v>60.39</v>
      </c>
      <c r="X195" s="137">
        <f>X34*'Data - P&amp;L'!$C$6</f>
        <v>54.9</v>
      </c>
      <c r="Y195" s="137">
        <f>Y34*'Data - P&amp;L'!$C$6</f>
        <v>93.33</v>
      </c>
      <c r="Z195" s="137">
        <f>Z34*'Data - P&amp;L'!$C$6</f>
        <v>60.39</v>
      </c>
      <c r="AA195" s="137">
        <f>AA34*'Data - P&amp;L'!$C$6</f>
        <v>32.94</v>
      </c>
      <c r="AB195" s="137">
        <f>AB34*'Data - P&amp;L'!$C$6</f>
        <v>43.92</v>
      </c>
      <c r="AC195" s="137">
        <f>AC34*'Data - P&amp;L'!$C$6</f>
        <v>32.94</v>
      </c>
      <c r="AD195" s="137">
        <f>AD34*'Data - P&amp;L'!$C$6</f>
        <v>54.9</v>
      </c>
      <c r="AE195" s="137">
        <f>AE34*'Data - P&amp;L'!$C$6</f>
        <v>126.27</v>
      </c>
      <c r="AF195" s="137">
        <f>AF34*'Data - P&amp;L'!$C$6</f>
        <v>65.88</v>
      </c>
      <c r="AG195" s="95">
        <f t="shared" si="52"/>
        <v>2563.83</v>
      </c>
    </row>
    <row r="196">
      <c r="A196" s="352" t="s">
        <v>423</v>
      </c>
      <c r="B196" s="137">
        <f>B35*'Data - P&amp;L'!$C$8</f>
        <v>17.85</v>
      </c>
      <c r="C196" s="137">
        <f>C35*'Data - P&amp;L'!$C$8</f>
        <v>29.75</v>
      </c>
      <c r="D196" s="137">
        <f>D35*'Data - P&amp;L'!$C$8</f>
        <v>27.37</v>
      </c>
      <c r="E196" s="137">
        <f>E35*'Data - P&amp;L'!$C$8</f>
        <v>17.85</v>
      </c>
      <c r="F196" s="137">
        <f>F35*'Data - P&amp;L'!$C$8</f>
        <v>14.28</v>
      </c>
      <c r="G196" s="137">
        <f>G35*'Data - P&amp;L'!$C$8</f>
        <v>13.09</v>
      </c>
      <c r="H196" s="137">
        <f>H35*'Data - P&amp;L'!$C$8</f>
        <v>14.28</v>
      </c>
      <c r="I196" s="137">
        <f>I35*'Data - P&amp;L'!$C$8</f>
        <v>17.85</v>
      </c>
      <c r="J196" s="137">
        <f>J35*'Data - P&amp;L'!$C$8</f>
        <v>33.32</v>
      </c>
      <c r="K196" s="137">
        <f>K35*'Data - P&amp;L'!$C$8</f>
        <v>23.8</v>
      </c>
      <c r="L196" s="137">
        <f>L35*'Data - P&amp;L'!$C$8</f>
        <v>5.95</v>
      </c>
      <c r="M196" s="137">
        <f>M35*'Data - P&amp;L'!$C$8</f>
        <v>11.9</v>
      </c>
      <c r="N196" s="137">
        <f>N35*'Data - P&amp;L'!$C$8</f>
        <v>13.09</v>
      </c>
      <c r="O196" s="137">
        <f>O35*'Data - P&amp;L'!$C$8</f>
        <v>11.9</v>
      </c>
      <c r="P196" s="137">
        <f>P35*'Data - P&amp;L'!$C$8</f>
        <v>11.9</v>
      </c>
      <c r="Q196" s="137">
        <f>Q35*'Data - P&amp;L'!$C$8</f>
        <v>23.8</v>
      </c>
      <c r="R196" s="137">
        <f>R35*'Data - P&amp;L'!$C$8</f>
        <v>17.85</v>
      </c>
      <c r="S196" s="137">
        <f>S35*'Data - P&amp;L'!$C$8</f>
        <v>16.66</v>
      </c>
      <c r="T196" s="137">
        <f>T35*'Data - P&amp;L'!$C$8</f>
        <v>9.52</v>
      </c>
      <c r="U196" s="137">
        <f>U35*'Data - P&amp;L'!$C$8</f>
        <v>15.47</v>
      </c>
      <c r="V196" s="137">
        <f>V35*'Data - P&amp;L'!$C$8</f>
        <v>15.47</v>
      </c>
      <c r="W196" s="137">
        <f>W35*'Data - P&amp;L'!$C$8</f>
        <v>9.52</v>
      </c>
      <c r="X196" s="137">
        <f>X35*'Data - P&amp;L'!$C$8</f>
        <v>15.47</v>
      </c>
      <c r="Y196" s="137">
        <f>Y35*'Data - P&amp;L'!$C$8</f>
        <v>8.33</v>
      </c>
      <c r="Z196" s="137">
        <f>Z35*'Data - P&amp;L'!$C$8</f>
        <v>7.14</v>
      </c>
      <c r="AA196" s="137">
        <f>AA35*'Data - P&amp;L'!$C$8</f>
        <v>3.57</v>
      </c>
      <c r="AB196" s="137">
        <f>AB35*'Data - P&amp;L'!$C$8</f>
        <v>7.14</v>
      </c>
      <c r="AC196" s="137">
        <f>AC35*'Data - P&amp;L'!$C$8</f>
        <v>15.47</v>
      </c>
      <c r="AD196" s="137">
        <f>AD35*'Data - P&amp;L'!$C$8</f>
        <v>7.14</v>
      </c>
      <c r="AE196" s="137">
        <f>AE35*'Data - P&amp;L'!$C$8</f>
        <v>23.8</v>
      </c>
      <c r="AF196" s="137">
        <f>AF35*'Data - P&amp;L'!$C$8</f>
        <v>5.95</v>
      </c>
      <c r="AG196" s="95">
        <f t="shared" si="52"/>
        <v>466.48</v>
      </c>
    </row>
    <row r="197">
      <c r="A197" s="352" t="s">
        <v>424</v>
      </c>
      <c r="B197" s="137">
        <f>(B36+B37)*'Data - P&amp;L'!$C$9</f>
        <v>33.3</v>
      </c>
      <c r="C197" s="137">
        <f>(C36+C37)*'Data - P&amp;L'!$C$9</f>
        <v>73.26</v>
      </c>
      <c r="D197" s="137">
        <f>(D36+D37)*'Data - P&amp;L'!$C$9</f>
        <v>59.94</v>
      </c>
      <c r="E197" s="137">
        <f>(E36+E37)*'Data - P&amp;L'!$C$9</f>
        <v>39.96</v>
      </c>
      <c r="F197" s="137">
        <f>(F36+F37)*'Data - P&amp;L'!$C$9</f>
        <v>66.6</v>
      </c>
      <c r="G197" s="137">
        <f>(G36+G37)*'Data - P&amp;L'!$C$9</f>
        <v>19.98</v>
      </c>
      <c r="H197" s="137">
        <f>(H36+H37)*'Data - P&amp;L'!$C$9</f>
        <v>53.28</v>
      </c>
      <c r="I197" s="137">
        <f>(I36+I37)*'Data - P&amp;L'!$C$9</f>
        <v>39.96</v>
      </c>
      <c r="J197" s="137">
        <f>(J36+J37)*'Data - P&amp;L'!$C$9</f>
        <v>73.26</v>
      </c>
      <c r="K197" s="137">
        <f>(K36+K37)*'Data - P&amp;L'!$C$9</f>
        <v>46.62</v>
      </c>
      <c r="L197" s="137">
        <f>(L36+L37)*'Data - P&amp;L'!$C$9</f>
        <v>19.98</v>
      </c>
      <c r="M197" s="137">
        <f>(M36+M37)*'Data - P&amp;L'!$C$9</f>
        <v>53.28</v>
      </c>
      <c r="N197" s="137">
        <f>(N36+N37)*'Data - P&amp;L'!$C$9</f>
        <v>13.32</v>
      </c>
      <c r="O197" s="137">
        <f>(O36+O37)*'Data - P&amp;L'!$C$9</f>
        <v>19.98</v>
      </c>
      <c r="P197" s="137">
        <f>(P36+P37)*'Data - P&amp;L'!$C$9</f>
        <v>13.32</v>
      </c>
      <c r="Q197" s="137">
        <f>(Q36+Q37)*'Data - P&amp;L'!$C$9</f>
        <v>46.62</v>
      </c>
      <c r="R197" s="137">
        <f>(R36+R37)*'Data - P&amp;L'!$C$9</f>
        <v>26.64</v>
      </c>
      <c r="S197" s="137">
        <f>(S36+S37)*'Data - P&amp;L'!$C$9</f>
        <v>46.62</v>
      </c>
      <c r="T197" s="137">
        <f>(T36+T37)*'Data - P&amp;L'!$C$9</f>
        <v>39.96</v>
      </c>
      <c r="U197" s="137">
        <f>(U36+U37)*'Data - P&amp;L'!$C$9</f>
        <v>53.28</v>
      </c>
      <c r="V197" s="137">
        <f>(V36+V37)*'Data - P&amp;L'!$C$9</f>
        <v>39.96</v>
      </c>
      <c r="W197" s="137">
        <f>(W36+W37)*'Data - P&amp;L'!$C$9</f>
        <v>46.62</v>
      </c>
      <c r="X197" s="137">
        <f>(X36+X37)*'Data - P&amp;L'!$C$9</f>
        <v>39.96</v>
      </c>
      <c r="Y197" s="137">
        <f>(Y36+Y37)*'Data - P&amp;L'!$C$9</f>
        <v>53.28</v>
      </c>
      <c r="Z197" s="137">
        <f>(Z36+Z37)*'Data - P&amp;L'!$C$9</f>
        <v>26.64</v>
      </c>
      <c r="AA197" s="137">
        <f>(AA36+AA37)*'Data - P&amp;L'!$C$9</f>
        <v>39.96</v>
      </c>
      <c r="AB197" s="137">
        <f>(AB36+AB37)*'Data - P&amp;L'!$C$9</f>
        <v>19.98</v>
      </c>
      <c r="AC197" s="137">
        <f>(AC36+AC37)*'Data - P&amp;L'!$C$9</f>
        <v>39.96</v>
      </c>
      <c r="AD197" s="137">
        <f>(AD36+AD37)*'Data - P&amp;L'!$C$9</f>
        <v>33.3</v>
      </c>
      <c r="AE197" s="137">
        <f>(AE36+AE37)*'Data - P&amp;L'!$C$9</f>
        <v>53.28</v>
      </c>
      <c r="AF197" s="137">
        <f>(AF36+AF37)*'Data - P&amp;L'!$C$9</f>
        <v>13.32</v>
      </c>
      <c r="AG197" s="95">
        <f t="shared" si="52"/>
        <v>1245.42</v>
      </c>
    </row>
    <row r="198">
      <c r="A198" s="352" t="s">
        <v>425</v>
      </c>
      <c r="B198" s="137">
        <f>(B38+B39)*'Data - P&amp;L'!$C$5</f>
        <v>0</v>
      </c>
      <c r="C198" s="137">
        <f>(C38+C39)*'Data - P&amp;L'!$C$5</f>
        <v>0</v>
      </c>
      <c r="D198" s="137">
        <f>(D38+D39)*'Data - P&amp;L'!$C$5</f>
        <v>0</v>
      </c>
      <c r="E198" s="137">
        <f>(E38+E39)*'Data - P&amp;L'!$C$5</f>
        <v>0</v>
      </c>
      <c r="F198" s="137">
        <f>(F38+F39)*'Data - P&amp;L'!$C$5</f>
        <v>0</v>
      </c>
      <c r="G198" s="137">
        <f>(G38+G39)*'Data - P&amp;L'!$C$5</f>
        <v>0</v>
      </c>
      <c r="H198" s="137">
        <f>(H38+H39)*'Data - P&amp;L'!$C$5</f>
        <v>0</v>
      </c>
      <c r="I198" s="137">
        <f>(I38+I39)*'Data - P&amp;L'!$C$5</f>
        <v>0</v>
      </c>
      <c r="J198" s="137">
        <f>(J38+J39)*'Data - P&amp;L'!$C$5</f>
        <v>0</v>
      </c>
      <c r="K198" s="137">
        <f>(K38+K39)*'Data - P&amp;L'!$C$5</f>
        <v>0</v>
      </c>
      <c r="L198" s="137">
        <f>(L38+L39)*'Data - P&amp;L'!$C$5</f>
        <v>0</v>
      </c>
      <c r="M198" s="137">
        <f>(M38+M39)*'Data - P&amp;L'!$C$5</f>
        <v>0</v>
      </c>
      <c r="N198" s="137">
        <f>(N38+N39)*'Data - P&amp;L'!$C$5</f>
        <v>0</v>
      </c>
      <c r="O198" s="137">
        <f>(O38+O39)*'Data - P&amp;L'!$C$5</f>
        <v>0</v>
      </c>
      <c r="P198" s="137">
        <f>(P38+P39)*'Data - P&amp;L'!$C$5</f>
        <v>0</v>
      </c>
      <c r="Q198" s="137">
        <f>(Q38+Q39)*'Data - P&amp;L'!$C$5</f>
        <v>0</v>
      </c>
      <c r="R198" s="137">
        <f>(R38+R39)*'Data - P&amp;L'!$C$5</f>
        <v>0</v>
      </c>
      <c r="S198" s="137">
        <f>(S38+S39)*'Data - P&amp;L'!$C$5</f>
        <v>0</v>
      </c>
      <c r="T198" s="137">
        <f>(T38+T39)*'Data - P&amp;L'!$C$5</f>
        <v>0</v>
      </c>
      <c r="U198" s="137">
        <f>(U38+U39)*'Data - P&amp;L'!$C$5</f>
        <v>0</v>
      </c>
      <c r="V198" s="137">
        <f>(V38+V39)*'Data - P&amp;L'!$C$5</f>
        <v>0</v>
      </c>
      <c r="W198" s="137">
        <f>(W38+W39)*'Data - P&amp;L'!$C$5</f>
        <v>0</v>
      </c>
      <c r="X198" s="137">
        <f>(X38+X39)*'Data - P&amp;L'!$C$5</f>
        <v>0</v>
      </c>
      <c r="Y198" s="137">
        <f>(Y38+Y39)*'Data - P&amp;L'!$C$5</f>
        <v>0</v>
      </c>
      <c r="Z198" s="137">
        <f>(Z38+Z39)*'Data - P&amp;L'!$C$5</f>
        <v>0</v>
      </c>
      <c r="AA198" s="137">
        <f>(AA38+AA39)*'Data - P&amp;L'!$C$5</f>
        <v>0</v>
      </c>
      <c r="AB198" s="137">
        <f>(AB38+AB39)*'Data - P&amp;L'!$C$5</f>
        <v>0</v>
      </c>
      <c r="AC198" s="137">
        <f>(AC38+AC39)*'Data - P&amp;L'!$C$5</f>
        <v>0</v>
      </c>
      <c r="AD198" s="137">
        <f>(AD38+AD39)*'Data - P&amp;L'!$C$5</f>
        <v>0</v>
      </c>
      <c r="AE198" s="137">
        <f>(AE38+AE39)*'Data - P&amp;L'!$C$5</f>
        <v>0</v>
      </c>
      <c r="AF198" s="137">
        <f>(AF38+AF39)*'Data - P&amp;L'!$C$5</f>
        <v>0</v>
      </c>
      <c r="AG198" s="95">
        <f t="shared" si="52"/>
        <v>0</v>
      </c>
    </row>
    <row r="199">
      <c r="A199" s="352" t="s">
        <v>426</v>
      </c>
      <c r="B199" s="243">
        <f>(B40+B41)*'Data - P&amp;L'!$C$10</f>
        <v>120</v>
      </c>
      <c r="C199" s="243">
        <f>(C40+C41)*'Data - P&amp;L'!$C$10</f>
        <v>156</v>
      </c>
      <c r="D199" s="243">
        <f>(D40+D41)*'Data - P&amp;L'!$C$10</f>
        <v>210</v>
      </c>
      <c r="E199" s="243">
        <f>(E40+E41)*'Data - P&amp;L'!$C$10</f>
        <v>126</v>
      </c>
      <c r="F199" s="243">
        <f>(F40+F41)*'Data - P&amp;L'!$C$10</f>
        <v>90</v>
      </c>
      <c r="G199" s="243">
        <f>(G40+G41)*'Data - P&amp;L'!$C$10</f>
        <v>108</v>
      </c>
      <c r="H199" s="243">
        <f>(H40+H41)*'Data - P&amp;L'!$C$10</f>
        <v>84</v>
      </c>
      <c r="I199" s="243">
        <f>(I40+I41)*'Data - P&amp;L'!$C$10</f>
        <v>96</v>
      </c>
      <c r="J199" s="243">
        <f>(J40+J41)*'Data - P&amp;L'!$C$10</f>
        <v>198</v>
      </c>
      <c r="K199" s="243">
        <f>(K40+K41)*'Data - P&amp;L'!$C$10</f>
        <v>150</v>
      </c>
      <c r="L199" s="243">
        <f>(L40+L41)*'Data - P&amp;L'!$C$10</f>
        <v>66</v>
      </c>
      <c r="M199" s="243">
        <f>(M40+M41)*'Data - P&amp;L'!$C$10</f>
        <v>36</v>
      </c>
      <c r="N199" s="243">
        <f>(N40+N41)*'Data - P&amp;L'!$C$10</f>
        <v>48</v>
      </c>
      <c r="O199" s="243">
        <f>(O40+O41)*'Data - P&amp;L'!$C$10</f>
        <v>30</v>
      </c>
      <c r="P199" s="243">
        <f>(P40+P41)*'Data - P&amp;L'!$C$10</f>
        <v>12</v>
      </c>
      <c r="Q199" s="243">
        <f>(Q40+Q41)*'Data - P&amp;L'!$C$10</f>
        <v>48</v>
      </c>
      <c r="R199" s="243">
        <f>(R40+R41)*'Data - P&amp;L'!$C$10</f>
        <v>36</v>
      </c>
      <c r="S199" s="243">
        <f>(S40+S41)*'Data - P&amp;L'!$C$10</f>
        <v>54</v>
      </c>
      <c r="T199" s="243">
        <f>(T40+T41)*'Data - P&amp;L'!$C$10</f>
        <v>30</v>
      </c>
      <c r="U199" s="243">
        <f>(U40+U41)*'Data - P&amp;L'!$C$10</f>
        <v>48</v>
      </c>
      <c r="V199" s="243">
        <f>(V40+V41)*'Data - P&amp;L'!$C$10</f>
        <v>36</v>
      </c>
      <c r="W199" s="243">
        <f>(W40+W41)*'Data - P&amp;L'!$C$10</f>
        <v>30</v>
      </c>
      <c r="X199" s="243">
        <f>(X40+X41)*'Data - P&amp;L'!$C$10</f>
        <v>120</v>
      </c>
      <c r="Y199" s="243">
        <f>(Y40+Y41)*'Data - P&amp;L'!$C$10</f>
        <v>132</v>
      </c>
      <c r="Z199" s="243">
        <f>(Z40+Z41)*'Data - P&amp;L'!$C$10</f>
        <v>60</v>
      </c>
      <c r="AA199" s="243">
        <f>(AA40+AA41)*'Data - P&amp;L'!$C$10</f>
        <v>96</v>
      </c>
      <c r="AB199" s="243">
        <f>(AB40+AB41)*'Data - P&amp;L'!$C$10</f>
        <v>54</v>
      </c>
      <c r="AC199" s="243">
        <f>(AC40+AC41)*'Data - P&amp;L'!$C$10</f>
        <v>66</v>
      </c>
      <c r="AD199" s="243">
        <f>(AD40+AD41)*'Data - P&amp;L'!$C$10</f>
        <v>60</v>
      </c>
      <c r="AE199" s="243">
        <f>(AE40+AE41)*'Data - P&amp;L'!$C$10</f>
        <v>144</v>
      </c>
      <c r="AF199" s="243">
        <f>(AF40+AF41)*'Data - P&amp;L'!$C$10</f>
        <v>126</v>
      </c>
      <c r="AG199" s="95">
        <f t="shared" si="52"/>
        <v>2670</v>
      </c>
    </row>
    <row r="200">
      <c r="A200" s="353" t="s">
        <v>427</v>
      </c>
      <c r="B200" s="137">
        <f>B32*'Data - P&amp;L'!$C$43</f>
        <v>931.32</v>
      </c>
      <c r="C200" s="137">
        <f>C32*'Data - P&amp;L'!$C$43</f>
        <v>1086.54</v>
      </c>
      <c r="D200" s="137">
        <f>D32*'Data - P&amp;L'!$C$43</f>
        <v>776.1</v>
      </c>
      <c r="E200" s="137">
        <f>E32*'Data - P&amp;L'!$C$43</f>
        <v>453.72</v>
      </c>
      <c r="F200" s="137">
        <f>F32*'Data - P&amp;L'!$C$43</f>
        <v>322.38</v>
      </c>
      <c r="G200" s="137">
        <f>G32*'Data - P&amp;L'!$C$43</f>
        <v>620.88</v>
      </c>
      <c r="H200" s="137">
        <f>H32*'Data - P&amp;L'!$C$43</f>
        <v>883.56</v>
      </c>
      <c r="I200" s="137">
        <f>I32*'Data - P&amp;L'!$C$43</f>
        <v>847.74</v>
      </c>
      <c r="J200" s="137">
        <f>J32*'Data - P&amp;L'!$C$43</f>
        <v>1026.84</v>
      </c>
      <c r="K200" s="137">
        <f>K32*'Data - P&amp;L'!$C$43</f>
        <v>1146.24</v>
      </c>
      <c r="L200" s="137">
        <f>L32*'Data - P&amp;L'!$C$43</f>
        <v>417.9</v>
      </c>
      <c r="M200" s="137">
        <f>M32*'Data - P&amp;L'!$C$43</f>
        <v>322.38</v>
      </c>
      <c r="N200" s="137">
        <f>N32*'Data - P&amp;L'!$C$43</f>
        <v>382.08</v>
      </c>
      <c r="O200" s="137">
        <f>O32*'Data - P&amp;L'!$C$43</f>
        <v>417.9</v>
      </c>
      <c r="P200" s="137">
        <f>P32*'Data - P&amp;L'!$C$43</f>
        <v>513.42</v>
      </c>
      <c r="Q200" s="137">
        <f>Q32*'Data - P&amp;L'!$C$43</f>
        <v>394.02</v>
      </c>
      <c r="R200" s="137">
        <f>R32*'Data - P&amp;L'!$C$43</f>
        <v>489.54</v>
      </c>
      <c r="S200" s="137">
        <f>S32*'Data - P&amp;L'!$C$43</f>
        <v>250.74</v>
      </c>
      <c r="T200" s="137">
        <f>T32*'Data - P&amp;L'!$C$43</f>
        <v>453.72</v>
      </c>
      <c r="U200" s="137">
        <f>U32*'Data - P&amp;L'!$C$43</f>
        <v>513.42</v>
      </c>
      <c r="V200" s="137">
        <f>V32*'Data - P&amp;L'!$C$43</f>
        <v>417.9</v>
      </c>
      <c r="W200" s="137">
        <f>W32*'Data - P&amp;L'!$C$43</f>
        <v>346.26</v>
      </c>
      <c r="X200" s="137">
        <f>X32*'Data - P&amp;L'!$C$43</f>
        <v>394.02</v>
      </c>
      <c r="Y200" s="137">
        <f>Y32*'Data - P&amp;L'!$C$43</f>
        <v>429.84</v>
      </c>
      <c r="Z200" s="137">
        <f>Z32*'Data - P&amp;L'!$C$43</f>
        <v>310.44</v>
      </c>
      <c r="AA200" s="137">
        <f>AA32*'Data - P&amp;L'!$C$43</f>
        <v>334.32</v>
      </c>
      <c r="AB200" s="137">
        <f>AB32*'Data - P&amp;L'!$C$43</f>
        <v>298.5</v>
      </c>
      <c r="AC200" s="137">
        <f>AC32*'Data - P&amp;L'!$C$43</f>
        <v>286.56</v>
      </c>
      <c r="AD200" s="137">
        <f>AD32*'Data - P&amp;L'!$C$43</f>
        <v>250.74</v>
      </c>
      <c r="AE200" s="137">
        <f>AE32*'Data - P&amp;L'!$C$43</f>
        <v>226.86</v>
      </c>
      <c r="AF200" s="137">
        <f>AF32*'Data - P&amp;L'!$C$43</f>
        <v>131.34</v>
      </c>
      <c r="AG200" s="95">
        <f t="shared" si="52"/>
        <v>15677.22</v>
      </c>
    </row>
    <row r="201">
      <c r="A201" s="208" t="s">
        <v>584</v>
      </c>
      <c r="B201" s="243">
        <f>(B32*'Data - P&amp;L'!$C$46)+(B32*'Data - P&amp;L'!$C$50)</f>
        <v>1867.32</v>
      </c>
      <c r="C201" s="243">
        <f>(C32*'Data - P&amp;L'!$C$46)+(C32*'Data - P&amp;L'!$C$50)</f>
        <v>2178.54</v>
      </c>
      <c r="D201" s="243">
        <f>(D32*'Data - P&amp;L'!$C$46)+(D32*'Data - P&amp;L'!$C$50)</f>
        <v>1556.1</v>
      </c>
      <c r="E201" s="243">
        <f>(E32*'Data - P&amp;L'!$C$46)+(E32*'Data - P&amp;L'!$C$50)</f>
        <v>909.72</v>
      </c>
      <c r="F201" s="243">
        <f>(F32*'Data - P&amp;L'!$C$46)+(F32*'Data - P&amp;L'!$C$50)</f>
        <v>646.38</v>
      </c>
      <c r="G201" s="243">
        <f>(G32*'Data - P&amp;L'!$C$46)+(G32*'Data - P&amp;L'!$C$50)</f>
        <v>1244.88</v>
      </c>
      <c r="H201" s="243">
        <f>(H32*'Data - P&amp;L'!$C$46)+(H32*'Data - P&amp;L'!$C$50)</f>
        <v>1771.56</v>
      </c>
      <c r="I201" s="243">
        <f>(I32*'Data - P&amp;L'!$C$46)+(I32*'Data - P&amp;L'!$C$50)</f>
        <v>1699.74</v>
      </c>
      <c r="J201" s="243">
        <f>(J32*'Data - P&amp;L'!$C$46)+(J32*'Data - P&amp;L'!$C$50)</f>
        <v>2058.84</v>
      </c>
      <c r="K201" s="243">
        <f>(K32*'Data - P&amp;L'!$C$46)+(K32*'Data - P&amp;L'!$C$50)</f>
        <v>2298.24</v>
      </c>
      <c r="L201" s="243">
        <f>(L32*'Data - P&amp;L'!$C$46)+(L32*'Data - P&amp;L'!$C$50)</f>
        <v>837.9</v>
      </c>
      <c r="M201" s="243">
        <f>(M32*'Data - P&amp;L'!$C$46)+(M32*'Data - P&amp;L'!$C$50)</f>
        <v>646.38</v>
      </c>
      <c r="N201" s="243">
        <f>(N32*'Data - P&amp;L'!$C$46)+(N32*'Data - P&amp;L'!$C$50)</f>
        <v>766.08</v>
      </c>
      <c r="O201" s="243">
        <f>(O32*'Data - P&amp;L'!$C$46)+(O32*'Data - P&amp;L'!$C$50)</f>
        <v>837.9</v>
      </c>
      <c r="P201" s="243">
        <f>(P32*'Data - P&amp;L'!$C$46)+(P32*'Data - P&amp;L'!$C$50)</f>
        <v>1029.42</v>
      </c>
      <c r="Q201" s="243">
        <f>(Q32*'Data - P&amp;L'!$C$46)+(Q32*'Data - P&amp;L'!$C$50)</f>
        <v>790.02</v>
      </c>
      <c r="R201" s="243">
        <f>(R32*'Data - P&amp;L'!$C$46)+(R32*'Data - P&amp;L'!$C$50)</f>
        <v>981.54</v>
      </c>
      <c r="S201" s="243">
        <f>(S32*'Data - P&amp;L'!$C$46)+(S32*'Data - P&amp;L'!$C$50)</f>
        <v>502.74</v>
      </c>
      <c r="T201" s="243">
        <f>(T32*'Data - P&amp;L'!$C$46)+(T32*'Data - P&amp;L'!$C$50)</f>
        <v>909.72</v>
      </c>
      <c r="U201" s="243">
        <f>(U32*'Data - P&amp;L'!$C$46)+(U32*'Data - P&amp;L'!$C$50)</f>
        <v>1029.42</v>
      </c>
      <c r="V201" s="243">
        <f>(V32*'Data - P&amp;L'!$C$46)+(V32*'Data - P&amp;L'!$C$50)</f>
        <v>837.9</v>
      </c>
      <c r="W201" s="243">
        <f>(W32*'Data - P&amp;L'!$C$46)+(W32*'Data - P&amp;L'!$C$50)</f>
        <v>694.26</v>
      </c>
      <c r="X201" s="243">
        <f>(X32*'Data - P&amp;L'!$C$46)+(X32*'Data - P&amp;L'!$C$50)</f>
        <v>790.02</v>
      </c>
      <c r="Y201" s="243">
        <f>(Y32*'Data - P&amp;L'!$C$46)+(Y32*'Data - P&amp;L'!$C$50)</f>
        <v>861.84</v>
      </c>
      <c r="Z201" s="243">
        <f>(Z32*'Data - P&amp;L'!$C$46)+(Z32*'Data - P&amp;L'!$C$50)</f>
        <v>622.44</v>
      </c>
      <c r="AA201" s="243">
        <f>(AA32*'Data - P&amp;L'!$C$46)+(AA32*'Data - P&amp;L'!$C$50)</f>
        <v>670.32</v>
      </c>
      <c r="AB201" s="243">
        <f>(AB32*'Data - P&amp;L'!$C$46)+(AB32*'Data - P&amp;L'!$C$50)</f>
        <v>598.5</v>
      </c>
      <c r="AC201" s="243">
        <f>(AC32*'Data - P&amp;L'!$C$46)+(AC32*'Data - P&amp;L'!$C$50)</f>
        <v>574.56</v>
      </c>
      <c r="AD201" s="243">
        <f>(AD32*'Data - P&amp;L'!$C$46)+(AD32*'Data - P&amp;L'!$C$50)</f>
        <v>502.74</v>
      </c>
      <c r="AE201" s="243">
        <f>(AE32*'Data - P&amp;L'!$C$46)+(AE32*'Data - P&amp;L'!$C$50)</f>
        <v>454.86</v>
      </c>
      <c r="AF201" s="243">
        <f>(AF32*'Data - P&amp;L'!$C$46)+(AF32*'Data - P&amp;L'!$C$50)</f>
        <v>263.34</v>
      </c>
      <c r="AG201" s="95">
        <f t="shared" si="52"/>
        <v>31433.22</v>
      </c>
    </row>
    <row r="202">
      <c r="A202" s="208" t="s">
        <v>585</v>
      </c>
      <c r="B202" s="250">
        <f>B42*'Data - P&amp;L'!$D$43</f>
        <v>83.23</v>
      </c>
      <c r="C202" s="250">
        <f>C42*'Data - P&amp;L'!$D$43</f>
        <v>124.845</v>
      </c>
      <c r="D202" s="250">
        <f>D42*'Data - P&amp;L'!$D$43</f>
        <v>136.325</v>
      </c>
      <c r="E202" s="250">
        <f>E42*'Data - P&amp;L'!$D$43</f>
        <v>87.535</v>
      </c>
      <c r="F202" s="250">
        <f>F42*'Data - P&amp;L'!$D$43</f>
        <v>73.185</v>
      </c>
      <c r="G202" s="250">
        <f>G42*'Data - P&amp;L'!$D$43</f>
        <v>70.315</v>
      </c>
      <c r="H202" s="250">
        <f>H42*'Data - P&amp;L'!$D$43</f>
        <v>74.62</v>
      </c>
      <c r="I202" s="250">
        <f>I42*'Data - P&amp;L'!$D$43</f>
        <v>68.88</v>
      </c>
      <c r="J202" s="250">
        <f>J42*'Data - P&amp;L'!$D$43</f>
        <v>149.24</v>
      </c>
      <c r="K202" s="250">
        <f>K42*'Data - P&amp;L'!$D$43</f>
        <v>116.235</v>
      </c>
      <c r="L202" s="250">
        <f>L42*'Data - P&amp;L'!$D$43</f>
        <v>47.355</v>
      </c>
      <c r="M202" s="250">
        <f>M42*'Data - P&amp;L'!$D$43</f>
        <v>48.79</v>
      </c>
      <c r="N202" s="250">
        <f>N42*'Data - P&amp;L'!$D$43</f>
        <v>51.66</v>
      </c>
      <c r="O202" s="250">
        <f>O42*'Data - P&amp;L'!$D$43</f>
        <v>40.18</v>
      </c>
      <c r="P202" s="250">
        <f>P42*'Data - P&amp;L'!$D$43</f>
        <v>44.485</v>
      </c>
      <c r="Q202" s="250">
        <f>Q42*'Data - P&amp;L'!$D$43</f>
        <v>74.62</v>
      </c>
      <c r="R202" s="250">
        <f>R42*'Data - P&amp;L'!$D$43</f>
        <v>57.4</v>
      </c>
      <c r="S202" s="250">
        <f>S42*'Data - P&amp;L'!$D$43</f>
        <v>51.66</v>
      </c>
      <c r="T202" s="250">
        <f>T42*'Data - P&amp;L'!$D$43</f>
        <v>44.485</v>
      </c>
      <c r="U202" s="250">
        <f>U42*'Data - P&amp;L'!$D$43</f>
        <v>57.4</v>
      </c>
      <c r="V202" s="250">
        <f>V42*'Data - P&amp;L'!$D$43</f>
        <v>57.4</v>
      </c>
      <c r="W202" s="250">
        <f>W42*'Data - P&amp;L'!$D$43</f>
        <v>44.485</v>
      </c>
      <c r="X202" s="250">
        <f>X42*'Data - P&amp;L'!$D$43</f>
        <v>70.315</v>
      </c>
      <c r="Y202" s="250">
        <f>Y42*'Data - P&amp;L'!$D$43</f>
        <v>77.49</v>
      </c>
      <c r="Z202" s="250">
        <f>Z42*'Data - P&amp;L'!$D$43</f>
        <v>44.485</v>
      </c>
      <c r="AA202" s="250">
        <f>AA42*'Data - P&amp;L'!$D$43</f>
        <v>44.485</v>
      </c>
      <c r="AB202" s="250">
        <f>AB42*'Data - P&amp;L'!$D$43</f>
        <v>37.31</v>
      </c>
      <c r="AC202" s="250">
        <f>AC42*'Data - P&amp;L'!$D$43</f>
        <v>51.66</v>
      </c>
      <c r="AD202" s="250">
        <f>AD42*'Data - P&amp;L'!$D$43</f>
        <v>44.485</v>
      </c>
      <c r="AE202" s="250">
        <f>AE42*'Data - P&amp;L'!$D$43</f>
        <v>107.625</v>
      </c>
      <c r="AF202" s="250">
        <f>AF42*'Data - P&amp;L'!$D$43</f>
        <v>57.4</v>
      </c>
      <c r="AG202" s="95">
        <f t="shared" si="52"/>
        <v>2139.585</v>
      </c>
    </row>
    <row r="203">
      <c r="A203" s="208" t="s">
        <v>586</v>
      </c>
      <c r="B203" s="250">
        <f>(B42*'Data - P&amp;L'!$C$47)+(B42*'Data - P&amp;L'!$C$51)</f>
        <v>687.59</v>
      </c>
      <c r="C203" s="250">
        <f>(C42*'Data - P&amp;L'!$C$47)+(C42*'Data - P&amp;L'!$C$51)</f>
        <v>1031.385</v>
      </c>
      <c r="D203" s="250">
        <f>(D42*'Data - P&amp;L'!$C$47)+(D42*'Data - P&amp;L'!$C$51)</f>
        <v>1126.225</v>
      </c>
      <c r="E203" s="250">
        <f>(E42*'Data - P&amp;L'!$C$47)+(E42*'Data - P&amp;L'!$C$51)</f>
        <v>723.155</v>
      </c>
      <c r="F203" s="250">
        <f>(F42*'Data - P&amp;L'!$C$47)+(F42*'Data - P&amp;L'!$C$51)</f>
        <v>604.605</v>
      </c>
      <c r="G203" s="250">
        <f>(G42*'Data - P&amp;L'!$C$47)+(G42*'Data - P&amp;L'!$C$51)</f>
        <v>580.895</v>
      </c>
      <c r="H203" s="250">
        <f>(H42*'Data - P&amp;L'!$C$47)+(H42*'Data - P&amp;L'!$C$51)</f>
        <v>616.46</v>
      </c>
      <c r="I203" s="250">
        <f>(I42*'Data - P&amp;L'!$C$47)+(I42*'Data - P&amp;L'!$C$51)</f>
        <v>569.04</v>
      </c>
      <c r="J203" s="250">
        <f>(J42*'Data - P&amp;L'!$C$47)+(J42*'Data - P&amp;L'!$C$51)</f>
        <v>1232.92</v>
      </c>
      <c r="K203" s="250">
        <f>(K42*'Data - P&amp;L'!$C$47)+(K42*'Data - P&amp;L'!$C$51)</f>
        <v>960.255</v>
      </c>
      <c r="L203" s="250">
        <f>(L42*'Data - P&amp;L'!$C$47)+(L42*'Data - P&amp;L'!$C$51)</f>
        <v>391.215</v>
      </c>
      <c r="M203" s="250">
        <f>(M42*'Data - P&amp;L'!$C$47)+(M42*'Data - P&amp;L'!$C$51)</f>
        <v>403.07</v>
      </c>
      <c r="N203" s="250">
        <f>(N42*'Data - P&amp;L'!$C$47)+(N42*'Data - P&amp;L'!$C$51)</f>
        <v>426.78</v>
      </c>
      <c r="O203" s="250">
        <f>(O42*'Data - P&amp;L'!$C$47)+(O42*'Data - P&amp;L'!$C$51)</f>
        <v>331.94</v>
      </c>
      <c r="P203" s="250">
        <f>(P42*'Data - P&amp;L'!$C$47)+(P42*'Data - P&amp;L'!$C$51)</f>
        <v>367.505</v>
      </c>
      <c r="Q203" s="250">
        <f>(Q42*'Data - P&amp;L'!$C$47)+(Q42*'Data - P&amp;L'!$C$51)</f>
        <v>616.46</v>
      </c>
      <c r="R203" s="250">
        <f>(R42*'Data - P&amp;L'!$C$47)+(R42*'Data - P&amp;L'!$C$51)</f>
        <v>474.2</v>
      </c>
      <c r="S203" s="250">
        <f>(S42*'Data - P&amp;L'!$C$47)+(S42*'Data - P&amp;L'!$C$51)</f>
        <v>426.78</v>
      </c>
      <c r="T203" s="250">
        <f>(T42*'Data - P&amp;L'!$C$47)+(T42*'Data - P&amp;L'!$C$51)</f>
        <v>367.505</v>
      </c>
      <c r="U203" s="250">
        <f>(U42*'Data - P&amp;L'!$C$47)+(U42*'Data - P&amp;L'!$C$51)</f>
        <v>474.2</v>
      </c>
      <c r="V203" s="250">
        <f>(V42*'Data - P&amp;L'!$C$47)+(V42*'Data - P&amp;L'!$C$51)</f>
        <v>474.2</v>
      </c>
      <c r="W203" s="250">
        <f>(W42*'Data - P&amp;L'!$C$47)+(W42*'Data - P&amp;L'!$C$51)</f>
        <v>367.505</v>
      </c>
      <c r="X203" s="250">
        <f>(X42*'Data - P&amp;L'!$C$47)+(X42*'Data - P&amp;L'!$C$51)</f>
        <v>580.895</v>
      </c>
      <c r="Y203" s="250">
        <f>(Y42*'Data - P&amp;L'!$C$47)+(Y42*'Data - P&amp;L'!$C$51)</f>
        <v>640.17</v>
      </c>
      <c r="Z203" s="250">
        <f>(Z42*'Data - P&amp;L'!$C$47)+(Z42*'Data - P&amp;L'!$C$51)</f>
        <v>367.505</v>
      </c>
      <c r="AA203" s="250">
        <f>(AA42*'Data - P&amp;L'!$C$47)+(AA42*'Data - P&amp;L'!$C$51)</f>
        <v>367.505</v>
      </c>
      <c r="AB203" s="250">
        <f>(AB42*'Data - P&amp;L'!$C$47)+(AB42*'Data - P&amp;L'!$C$51)</f>
        <v>308.23</v>
      </c>
      <c r="AC203" s="250">
        <f>(AC42*'Data - P&amp;L'!$C$47)+(AC42*'Data - P&amp;L'!$C$51)</f>
        <v>426.78</v>
      </c>
      <c r="AD203" s="250">
        <f>(AD42*'Data - P&amp;L'!$C$47)+(AD42*'Data - P&amp;L'!$C$51)</f>
        <v>367.505</v>
      </c>
      <c r="AE203" s="250">
        <f>(AE42*'Data - P&amp;L'!$C$47)+(AE42*'Data - P&amp;L'!$C$51)</f>
        <v>889.125</v>
      </c>
      <c r="AF203" s="250">
        <f>(AF42*'Data - P&amp;L'!$C$47)+(AF42*'Data - P&amp;L'!$C$51)</f>
        <v>474.2</v>
      </c>
      <c r="AG203" s="95">
        <f t="shared" si="52"/>
        <v>17675.805</v>
      </c>
    </row>
    <row r="204">
      <c r="A204" s="208" t="s">
        <v>587</v>
      </c>
      <c r="B204" s="250">
        <f>(B32*'Data - P&amp;L'!$C$44)+(B42*'Data - P&amp;L'!$D$44)</f>
        <v>32.64</v>
      </c>
      <c r="C204" s="250">
        <f>(C32*'Data - P&amp;L'!$C$44)+(C42*'Data - P&amp;L'!$D$44)</f>
        <v>42.72</v>
      </c>
      <c r="D204" s="250">
        <f>(D32*'Data - P&amp;L'!$C$44)+(D42*'Data - P&amp;L'!$D$44)</f>
        <v>38.4</v>
      </c>
      <c r="E204" s="250">
        <f>(E32*'Data - P&amp;L'!$C$44)+(E42*'Data - P&amp;L'!$D$44)</f>
        <v>23.76</v>
      </c>
      <c r="F204" s="250">
        <f>(F32*'Data - P&amp;L'!$C$44)+(F42*'Data - P&amp;L'!$D$44)</f>
        <v>18.72</v>
      </c>
      <c r="G204" s="250">
        <f>(G32*'Data - P&amp;L'!$C$44)+(G42*'Data - P&amp;L'!$D$44)</f>
        <v>24.24</v>
      </c>
      <c r="H204" s="250">
        <f>(H32*'Data - P&amp;L'!$C$44)+(H42*'Data - P&amp;L'!$D$44)</f>
        <v>30.24</v>
      </c>
      <c r="I204" s="250">
        <f>(I32*'Data - P&amp;L'!$C$44)+(I42*'Data - P&amp;L'!$D$44)</f>
        <v>28.56</v>
      </c>
      <c r="J204" s="250">
        <f>(J32*'Data - P&amp;L'!$C$44)+(J42*'Data - P&amp;L'!$D$44)</f>
        <v>45.6</v>
      </c>
      <c r="K204" s="250">
        <f>(K32*'Data - P&amp;L'!$C$44)+(K42*'Data - P&amp;L'!$D$44)</f>
        <v>42.48</v>
      </c>
      <c r="L204" s="250">
        <f>(L32*'Data - P&amp;L'!$C$44)+(L42*'Data - P&amp;L'!$D$44)</f>
        <v>16.32</v>
      </c>
      <c r="M204" s="250">
        <f>(M32*'Data - P&amp;L'!$C$44)+(M42*'Data - P&amp;L'!$D$44)</f>
        <v>14.64</v>
      </c>
      <c r="N204" s="250">
        <f>(N32*'Data - P&amp;L'!$C$44)+(N42*'Data - P&amp;L'!$D$44)</f>
        <v>16.32</v>
      </c>
      <c r="O204" s="250">
        <f>(O32*'Data - P&amp;L'!$C$44)+(O42*'Data - P&amp;L'!$D$44)</f>
        <v>15.12</v>
      </c>
      <c r="P204" s="250">
        <f>(P32*'Data - P&amp;L'!$C$44)+(P42*'Data - P&amp;L'!$D$44)</f>
        <v>17.76</v>
      </c>
      <c r="Q204" s="250">
        <f>(Q32*'Data - P&amp;L'!$C$44)+(Q42*'Data - P&amp;L'!$D$44)</f>
        <v>20.4</v>
      </c>
      <c r="R204" s="250">
        <f>(R32*'Data - P&amp;L'!$C$44)+(R42*'Data - P&amp;L'!$D$44)</f>
        <v>19.44</v>
      </c>
      <c r="S204" s="250">
        <f>(S32*'Data - P&amp;L'!$C$44)+(S42*'Data - P&amp;L'!$D$44)</f>
        <v>13.68</v>
      </c>
      <c r="T204" s="250">
        <f>(T32*'Data - P&amp;L'!$C$44)+(T42*'Data - P&amp;L'!$D$44)</f>
        <v>16.56</v>
      </c>
      <c r="U204" s="250">
        <f>(U32*'Data - P&amp;L'!$C$44)+(U42*'Data - P&amp;L'!$D$44)</f>
        <v>19.92</v>
      </c>
      <c r="V204" s="250">
        <f>(V32*'Data - P&amp;L'!$C$44)+(V42*'Data - P&amp;L'!$D$44)</f>
        <v>18</v>
      </c>
      <c r="W204" s="250">
        <f>(W32*'Data - P&amp;L'!$C$44)+(W42*'Data - P&amp;L'!$D$44)</f>
        <v>14.4</v>
      </c>
      <c r="X204" s="250">
        <f>(X32*'Data - P&amp;L'!$C$44)+(X42*'Data - P&amp;L'!$D$44)</f>
        <v>19.68</v>
      </c>
      <c r="Y204" s="250">
        <f>(Y32*'Data - P&amp;L'!$C$44)+(Y42*'Data - P&amp;L'!$D$44)</f>
        <v>21.6</v>
      </c>
      <c r="Z204" s="250">
        <f>(Z32*'Data - P&amp;L'!$C$44)+(Z42*'Data - P&amp;L'!$D$44)</f>
        <v>13.68</v>
      </c>
      <c r="AA204" s="250">
        <f>(AA32*'Data - P&amp;L'!$C$44)+(AA42*'Data - P&amp;L'!$D$44)</f>
        <v>14.16</v>
      </c>
      <c r="AB204" s="250">
        <f>(AB32*'Data - P&amp;L'!$C$44)+(AB42*'Data - P&amp;L'!$D$44)</f>
        <v>12.24</v>
      </c>
      <c r="AC204" s="250">
        <f>(AC32*'Data - P&amp;L'!$C$44)+(AC42*'Data - P&amp;L'!$D$44)</f>
        <v>14.4</v>
      </c>
      <c r="AD204" s="250">
        <f>(AD32*'Data - P&amp;L'!$C$44)+(AD42*'Data - P&amp;L'!$D$44)</f>
        <v>12.48</v>
      </c>
      <c r="AE204" s="250">
        <f>(AE32*'Data - P&amp;L'!$C$44)+(AE42*'Data - P&amp;L'!$D$44)</f>
        <v>22.56</v>
      </c>
      <c r="AF204" s="250">
        <f>(AF32*'Data - P&amp;L'!$C$44)+(AF42*'Data - P&amp;L'!$D$44)</f>
        <v>12.24</v>
      </c>
      <c r="AG204" s="95">
        <f t="shared" si="52"/>
        <v>672.96</v>
      </c>
    </row>
    <row r="205">
      <c r="A205" s="354" t="s">
        <v>588</v>
      </c>
      <c r="B205" s="250">
        <f t="shared" ref="B205:AF205" si="53">B22</f>
        <v>1193.49</v>
      </c>
      <c r="C205" s="250">
        <f t="shared" si="53"/>
        <v>1464.05</v>
      </c>
      <c r="D205" s="250">
        <f t="shared" si="53"/>
        <v>1131.65</v>
      </c>
      <c r="E205" s="250">
        <f t="shared" si="53"/>
        <v>586.52</v>
      </c>
      <c r="F205" s="250">
        <f t="shared" si="53"/>
        <v>392.02</v>
      </c>
      <c r="G205" s="250">
        <f t="shared" si="53"/>
        <v>741.83</v>
      </c>
      <c r="H205" s="250">
        <f t="shared" si="53"/>
        <v>1064.89</v>
      </c>
      <c r="I205" s="250">
        <f t="shared" si="53"/>
        <v>1027.39</v>
      </c>
      <c r="J205" s="250">
        <f t="shared" si="53"/>
        <v>1409.3</v>
      </c>
      <c r="K205" s="250">
        <f t="shared" si="53"/>
        <v>1407.52</v>
      </c>
      <c r="L205" s="250">
        <f t="shared" si="53"/>
        <v>554.12</v>
      </c>
      <c r="M205" s="250">
        <f t="shared" si="53"/>
        <v>553.37</v>
      </c>
      <c r="N205" s="250">
        <f t="shared" si="53"/>
        <v>641.76</v>
      </c>
      <c r="O205" s="250">
        <f t="shared" si="53"/>
        <v>827.5</v>
      </c>
      <c r="P205" s="250">
        <f t="shared" si="53"/>
        <v>790.79</v>
      </c>
      <c r="Q205" s="250">
        <f t="shared" si="53"/>
        <v>881.92</v>
      </c>
      <c r="R205" s="250">
        <f t="shared" si="53"/>
        <v>879.12</v>
      </c>
      <c r="S205" s="250">
        <f t="shared" si="53"/>
        <v>450.62</v>
      </c>
      <c r="T205" s="250">
        <f t="shared" si="53"/>
        <v>777.17</v>
      </c>
      <c r="U205" s="250">
        <f t="shared" si="53"/>
        <v>818.35</v>
      </c>
      <c r="V205" s="250">
        <f t="shared" si="53"/>
        <v>740.37</v>
      </c>
      <c r="W205" s="250">
        <f t="shared" si="53"/>
        <v>598.37</v>
      </c>
      <c r="X205" s="250">
        <f t="shared" si="53"/>
        <v>683.95</v>
      </c>
      <c r="Y205" s="250">
        <f t="shared" si="53"/>
        <v>760.41</v>
      </c>
      <c r="Z205" s="250">
        <f t="shared" si="53"/>
        <v>571.28</v>
      </c>
      <c r="AA205" s="250">
        <f t="shared" si="53"/>
        <v>579.31</v>
      </c>
      <c r="AB205" s="250">
        <f t="shared" si="53"/>
        <v>510.61</v>
      </c>
      <c r="AC205" s="250">
        <f t="shared" si="53"/>
        <v>493.53</v>
      </c>
      <c r="AD205" s="250">
        <f t="shared" si="53"/>
        <v>479.38</v>
      </c>
      <c r="AE205" s="250">
        <f t="shared" si="53"/>
        <v>491.05</v>
      </c>
      <c r="AF205" s="250">
        <f t="shared" si="53"/>
        <v>320.74</v>
      </c>
      <c r="AG205" s="95">
        <f t="shared" si="52"/>
        <v>23822.38</v>
      </c>
    </row>
    <row r="206">
      <c r="A206" s="88" t="s">
        <v>589</v>
      </c>
      <c r="B206" s="255">
        <f t="shared" ref="B206:AF206" si="54">B23</f>
        <v>26.65</v>
      </c>
      <c r="C206" s="255">
        <f t="shared" si="54"/>
        <v>21.21</v>
      </c>
      <c r="D206" s="255">
        <f t="shared" si="54"/>
        <v>7.47</v>
      </c>
      <c r="E206" s="255">
        <f t="shared" si="54"/>
        <v>10.42</v>
      </c>
      <c r="F206" s="255">
        <f t="shared" si="54"/>
        <v>0.08</v>
      </c>
      <c r="G206" s="255">
        <f t="shared" si="54"/>
        <v>0</v>
      </c>
      <c r="H206" s="255">
        <f t="shared" si="54"/>
        <v>29.06</v>
      </c>
      <c r="I206" s="255">
        <f t="shared" si="54"/>
        <v>51.99</v>
      </c>
      <c r="J206" s="255">
        <f t="shared" si="54"/>
        <v>10.3</v>
      </c>
      <c r="K206" s="255">
        <f t="shared" si="54"/>
        <v>56.22</v>
      </c>
      <c r="L206" s="255">
        <f t="shared" si="54"/>
        <v>0.32</v>
      </c>
      <c r="M206" s="255">
        <f t="shared" si="54"/>
        <v>12.99</v>
      </c>
      <c r="N206" s="255">
        <f t="shared" si="54"/>
        <v>0</v>
      </c>
      <c r="O206" s="255">
        <f t="shared" si="54"/>
        <v>13.41</v>
      </c>
      <c r="P206" s="255">
        <f t="shared" si="54"/>
        <v>0.16</v>
      </c>
      <c r="Q206" s="255">
        <f t="shared" si="54"/>
        <v>0.4</v>
      </c>
      <c r="R206" s="255">
        <f t="shared" si="54"/>
        <v>0.32</v>
      </c>
      <c r="S206" s="255">
        <f t="shared" si="54"/>
        <v>0</v>
      </c>
      <c r="T206" s="255">
        <f t="shared" si="54"/>
        <v>0</v>
      </c>
      <c r="U206" s="255">
        <f t="shared" si="54"/>
        <v>44.42</v>
      </c>
      <c r="V206" s="255">
        <f t="shared" si="54"/>
        <v>0.24</v>
      </c>
      <c r="W206" s="255">
        <f t="shared" si="54"/>
        <v>0</v>
      </c>
      <c r="X206" s="255">
        <f t="shared" si="54"/>
        <v>0.24</v>
      </c>
      <c r="Y206" s="255">
        <f t="shared" si="54"/>
        <v>31.84</v>
      </c>
      <c r="Z206" s="255">
        <f t="shared" si="54"/>
        <v>0.95</v>
      </c>
      <c r="AA206" s="255">
        <f t="shared" si="54"/>
        <v>18.69</v>
      </c>
      <c r="AB206" s="255">
        <f t="shared" si="54"/>
        <v>7.31</v>
      </c>
      <c r="AC206" s="255">
        <f t="shared" si="54"/>
        <v>7.31</v>
      </c>
      <c r="AD206" s="255">
        <f t="shared" si="54"/>
        <v>0</v>
      </c>
      <c r="AE206" s="255">
        <f t="shared" si="54"/>
        <v>37.42</v>
      </c>
      <c r="AF206" s="255">
        <f t="shared" si="54"/>
        <v>6.99</v>
      </c>
      <c r="AG206" s="95">
        <f t="shared" si="52"/>
        <v>396.41</v>
      </c>
    </row>
    <row r="207">
      <c r="A207" s="88" t="s">
        <v>590</v>
      </c>
      <c r="B207" s="255">
        <f t="shared" ref="B207:AF207" si="55">B24</f>
        <v>13.99</v>
      </c>
      <c r="C207" s="255">
        <f t="shared" si="55"/>
        <v>27.45</v>
      </c>
      <c r="D207" s="255">
        <f t="shared" si="55"/>
        <v>10</v>
      </c>
      <c r="E207" s="255">
        <f t="shared" si="55"/>
        <v>5.84</v>
      </c>
      <c r="F207" s="255">
        <f t="shared" si="55"/>
        <v>14.14</v>
      </c>
      <c r="G207" s="255">
        <f t="shared" si="55"/>
        <v>9.98</v>
      </c>
      <c r="H207" s="255">
        <f t="shared" si="55"/>
        <v>17.3</v>
      </c>
      <c r="I207" s="255">
        <f t="shared" si="55"/>
        <v>14.48</v>
      </c>
      <c r="J207" s="255">
        <f t="shared" si="55"/>
        <v>22.63</v>
      </c>
      <c r="K207" s="255">
        <f t="shared" si="55"/>
        <v>4.83</v>
      </c>
      <c r="L207" s="255">
        <f t="shared" si="55"/>
        <v>5.17</v>
      </c>
      <c r="M207" s="255">
        <f t="shared" si="55"/>
        <v>4.99</v>
      </c>
      <c r="N207" s="255">
        <f t="shared" si="55"/>
        <v>8.98</v>
      </c>
      <c r="O207" s="255">
        <f t="shared" si="55"/>
        <v>9.49</v>
      </c>
      <c r="P207" s="255">
        <f t="shared" si="55"/>
        <v>4.83</v>
      </c>
      <c r="Q207" s="255">
        <f t="shared" si="55"/>
        <v>9.83</v>
      </c>
      <c r="R207" s="255">
        <f t="shared" si="55"/>
        <v>19.14</v>
      </c>
      <c r="S207" s="255">
        <f t="shared" si="55"/>
        <v>0</v>
      </c>
      <c r="T207" s="255">
        <f t="shared" si="55"/>
        <v>17.96</v>
      </c>
      <c r="U207" s="255">
        <f t="shared" si="55"/>
        <v>14.65</v>
      </c>
      <c r="V207" s="255">
        <f t="shared" si="55"/>
        <v>5.5</v>
      </c>
      <c r="W207" s="255">
        <f t="shared" si="55"/>
        <v>8.48</v>
      </c>
      <c r="X207" s="255">
        <f t="shared" si="55"/>
        <v>14.48</v>
      </c>
      <c r="Y207" s="255">
        <f t="shared" si="55"/>
        <v>29.43</v>
      </c>
      <c r="Z207" s="255">
        <f t="shared" si="55"/>
        <v>0.34</v>
      </c>
      <c r="AA207" s="255">
        <f t="shared" si="55"/>
        <v>9.32</v>
      </c>
      <c r="AB207" s="255">
        <f t="shared" si="55"/>
        <v>5.17</v>
      </c>
      <c r="AC207" s="255">
        <f t="shared" si="55"/>
        <v>9.66</v>
      </c>
      <c r="AD207" s="255">
        <f t="shared" si="55"/>
        <v>13.47</v>
      </c>
      <c r="AE207" s="255">
        <f t="shared" si="55"/>
        <v>0</v>
      </c>
      <c r="AF207" s="255">
        <f t="shared" si="55"/>
        <v>4.49</v>
      </c>
      <c r="AG207" s="95">
        <f t="shared" si="52"/>
        <v>336.02</v>
      </c>
    </row>
    <row r="208">
      <c r="A208" s="88"/>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95"/>
    </row>
    <row r="209">
      <c r="A209" s="107" t="s">
        <v>591</v>
      </c>
      <c r="B209" s="255">
        <f t="shared" ref="B209:AF209" si="56">SUM(B191:B207)</f>
        <v>16863.2335</v>
      </c>
      <c r="C209" s="255">
        <f t="shared" si="56"/>
        <v>19892.9085</v>
      </c>
      <c r="D209" s="255">
        <f t="shared" si="56"/>
        <v>14839.792</v>
      </c>
      <c r="E209" s="255">
        <f t="shared" si="56"/>
        <v>8642.047</v>
      </c>
      <c r="F209" s="255">
        <f t="shared" si="56"/>
        <v>6342.73</v>
      </c>
      <c r="G209" s="255">
        <f t="shared" si="56"/>
        <v>12203.7915</v>
      </c>
      <c r="H209" s="255">
        <f t="shared" si="56"/>
        <v>17654.5155</v>
      </c>
      <c r="I209" s="255">
        <f t="shared" si="56"/>
        <v>16383.991</v>
      </c>
      <c r="J209" s="255">
        <f t="shared" si="56"/>
        <v>20700.1105</v>
      </c>
      <c r="K209" s="255">
        <f t="shared" si="56"/>
        <v>21785.5935</v>
      </c>
      <c r="L209" s="255">
        <f t="shared" si="56"/>
        <v>8712.0875</v>
      </c>
      <c r="M209" s="255">
        <f t="shared" si="56"/>
        <v>7895.7525</v>
      </c>
      <c r="N209" s="255">
        <f t="shared" si="56"/>
        <v>8922.491</v>
      </c>
      <c r="O209" s="255">
        <f t="shared" si="56"/>
        <v>9685.652</v>
      </c>
      <c r="P209" s="255">
        <f t="shared" si="56"/>
        <v>11210.725</v>
      </c>
      <c r="Q209" s="255">
        <f t="shared" si="56"/>
        <v>10496.9525</v>
      </c>
      <c r="R209" s="255">
        <f t="shared" si="56"/>
        <v>11472.973</v>
      </c>
      <c r="S209" s="255">
        <f t="shared" si="56"/>
        <v>6676.473</v>
      </c>
      <c r="T209" s="255">
        <f t="shared" si="56"/>
        <v>9741.7995</v>
      </c>
      <c r="U209" s="255">
        <f t="shared" si="56"/>
        <v>11538.869</v>
      </c>
      <c r="V209" s="255">
        <f t="shared" si="56"/>
        <v>9852.3085</v>
      </c>
      <c r="W209" s="255">
        <f t="shared" si="56"/>
        <v>8273.8275</v>
      </c>
      <c r="X209" s="255">
        <f t="shared" si="56"/>
        <v>9782.7825</v>
      </c>
      <c r="Y209" s="255">
        <f t="shared" si="56"/>
        <v>10255.562</v>
      </c>
      <c r="Z209" s="255">
        <f t="shared" si="56"/>
        <v>6293.3935</v>
      </c>
      <c r="AA209" s="255">
        <f t="shared" si="56"/>
        <v>6607.746</v>
      </c>
      <c r="AB209" s="255">
        <f t="shared" si="56"/>
        <v>5804.0895</v>
      </c>
      <c r="AC209" s="255">
        <f t="shared" si="56"/>
        <v>5674.561</v>
      </c>
      <c r="AD209" s="255">
        <f t="shared" si="56"/>
        <v>5187.5575</v>
      </c>
      <c r="AE209" s="255">
        <f t="shared" si="56"/>
        <v>5971.6505</v>
      </c>
      <c r="AF209" s="255">
        <f t="shared" si="56"/>
        <v>3599.943</v>
      </c>
      <c r="AG209" s="95">
        <f>SUM(B209:AF209)</f>
        <v>328965.9095</v>
      </c>
    </row>
    <row r="210">
      <c r="A210" s="100"/>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95"/>
    </row>
    <row r="211">
      <c r="A211" s="88"/>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95"/>
    </row>
    <row r="212">
      <c r="A212" s="258" t="s">
        <v>414</v>
      </c>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60"/>
    </row>
    <row r="213">
      <c r="A213" s="355">
        <f>AG25</f>
        <v>371798.13</v>
      </c>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95"/>
    </row>
    <row r="214">
      <c r="A214" s="262" t="s">
        <v>415</v>
      </c>
      <c r="B214" s="255">
        <f t="shared" ref="B214:AF214" si="57">B25-B209</f>
        <v>2485.2565</v>
      </c>
      <c r="C214" s="255">
        <f t="shared" si="57"/>
        <v>2429.4815</v>
      </c>
      <c r="D214" s="255">
        <f t="shared" si="57"/>
        <v>1269.688</v>
      </c>
      <c r="E214" s="255">
        <f t="shared" si="57"/>
        <v>774.533</v>
      </c>
      <c r="F214" s="255">
        <f t="shared" si="57"/>
        <v>23.07</v>
      </c>
      <c r="G214" s="255">
        <f t="shared" si="57"/>
        <v>-696.9815</v>
      </c>
      <c r="H214" s="255">
        <f t="shared" si="57"/>
        <v>-84.1455</v>
      </c>
      <c r="I214" s="255">
        <f t="shared" si="57"/>
        <v>258.549</v>
      </c>
      <c r="J214" s="255">
        <f t="shared" si="57"/>
        <v>643.3595</v>
      </c>
      <c r="K214" s="255">
        <f t="shared" si="57"/>
        <v>473.0965</v>
      </c>
      <c r="L214" s="255">
        <f t="shared" si="57"/>
        <v>541.7625</v>
      </c>
      <c r="M214" s="255">
        <f t="shared" si="57"/>
        <v>1234.5975</v>
      </c>
      <c r="N214" s="255">
        <f t="shared" si="57"/>
        <v>1531.249</v>
      </c>
      <c r="O214" s="255">
        <f t="shared" si="57"/>
        <v>2209.428</v>
      </c>
      <c r="P214" s="255">
        <f t="shared" si="57"/>
        <v>2059.175</v>
      </c>
      <c r="Q214" s="255">
        <f t="shared" si="57"/>
        <v>1917.9975</v>
      </c>
      <c r="R214" s="255">
        <f t="shared" si="57"/>
        <v>2844.847</v>
      </c>
      <c r="S214" s="255">
        <f t="shared" si="57"/>
        <v>188.147</v>
      </c>
      <c r="T214" s="255">
        <f t="shared" si="57"/>
        <v>2366.3305</v>
      </c>
      <c r="U214" s="255">
        <f t="shared" si="57"/>
        <v>2695.791</v>
      </c>
      <c r="V214" s="255">
        <f t="shared" si="57"/>
        <v>1053.4815</v>
      </c>
      <c r="W214" s="255">
        <f t="shared" si="57"/>
        <v>993.0225</v>
      </c>
      <c r="X214" s="255">
        <f t="shared" si="57"/>
        <v>1226.5675</v>
      </c>
      <c r="Y214" s="255">
        <f t="shared" si="57"/>
        <v>1258.118</v>
      </c>
      <c r="Z214" s="255">
        <f t="shared" si="57"/>
        <v>2057.2965</v>
      </c>
      <c r="AA214" s="255">
        <f t="shared" si="57"/>
        <v>2575.694</v>
      </c>
      <c r="AB214" s="255">
        <f t="shared" si="57"/>
        <v>2188.2405</v>
      </c>
      <c r="AC214" s="255">
        <f t="shared" si="57"/>
        <v>1896.179</v>
      </c>
      <c r="AD214" s="255">
        <f t="shared" si="57"/>
        <v>1873.2925</v>
      </c>
      <c r="AE214" s="255">
        <f t="shared" si="57"/>
        <v>1693.8195</v>
      </c>
      <c r="AF214" s="255">
        <f t="shared" si="57"/>
        <v>851.277</v>
      </c>
      <c r="AG214" s="95">
        <f>SUM(B214:AF214)</f>
        <v>42832.2205</v>
      </c>
    </row>
    <row r="215">
      <c r="A215" s="356">
        <f>SUM(B214:AF214)</f>
        <v>42832.2205</v>
      </c>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95"/>
    </row>
    <row r="216">
      <c r="A216" s="262" t="s">
        <v>416</v>
      </c>
      <c r="B216" s="264">
        <f t="shared" ref="B216:AF216" si="58">B214/B25</f>
        <v>0.1284470519</v>
      </c>
      <c r="C216" s="264">
        <f t="shared" si="58"/>
        <v>0.1088360834</v>
      </c>
      <c r="D216" s="264">
        <f t="shared" si="58"/>
        <v>0.07881620015</v>
      </c>
      <c r="E216" s="264">
        <f t="shared" si="58"/>
        <v>0.08225204905</v>
      </c>
      <c r="F216" s="264">
        <f t="shared" si="58"/>
        <v>0.003624053536</v>
      </c>
      <c r="G216" s="264">
        <f t="shared" si="58"/>
        <v>-0.06057121826</v>
      </c>
      <c r="H216" s="264">
        <f t="shared" si="58"/>
        <v>-0.004789056804</v>
      </c>
      <c r="I216" s="264">
        <f t="shared" si="58"/>
        <v>0.01553542909</v>
      </c>
      <c r="J216" s="264">
        <f t="shared" si="58"/>
        <v>0.03014315385</v>
      </c>
      <c r="K216" s="264">
        <f t="shared" si="58"/>
        <v>0.02125446286</v>
      </c>
      <c r="L216" s="264">
        <f t="shared" si="58"/>
        <v>0.05854455173</v>
      </c>
      <c r="M216" s="264">
        <f t="shared" si="58"/>
        <v>0.135219077</v>
      </c>
      <c r="N216" s="264">
        <f t="shared" si="58"/>
        <v>0.1464785809</v>
      </c>
      <c r="O216" s="264">
        <f t="shared" si="58"/>
        <v>0.1857430131</v>
      </c>
      <c r="P216" s="264">
        <f t="shared" si="58"/>
        <v>0.1551763766</v>
      </c>
      <c r="Q216" s="264">
        <f t="shared" si="58"/>
        <v>0.1544909565</v>
      </c>
      <c r="R216" s="264">
        <f t="shared" si="58"/>
        <v>0.1986927479</v>
      </c>
      <c r="S216" s="264">
        <f t="shared" si="58"/>
        <v>0.02740821779</v>
      </c>
      <c r="T216" s="264">
        <f t="shared" si="58"/>
        <v>0.1954331924</v>
      </c>
      <c r="U216" s="264">
        <f t="shared" si="58"/>
        <v>0.189382184</v>
      </c>
      <c r="V216" s="264">
        <f t="shared" si="58"/>
        <v>0.09659836656</v>
      </c>
      <c r="W216" s="264">
        <f t="shared" si="58"/>
        <v>0.1071585814</v>
      </c>
      <c r="X216" s="264">
        <f t="shared" si="58"/>
        <v>0.1114114366</v>
      </c>
      <c r="Y216" s="264">
        <f t="shared" si="58"/>
        <v>0.1092715795</v>
      </c>
      <c r="Z216" s="264">
        <f t="shared" si="58"/>
        <v>0.2463624563</v>
      </c>
      <c r="AA216" s="264">
        <f t="shared" si="58"/>
        <v>0.280471588</v>
      </c>
      <c r="AB216" s="264">
        <f t="shared" si="58"/>
        <v>0.2737925611</v>
      </c>
      <c r="AC216" s="264">
        <f t="shared" si="58"/>
        <v>0.2504615137</v>
      </c>
      <c r="AD216" s="264">
        <f t="shared" si="58"/>
        <v>0.265306939</v>
      </c>
      <c r="AE216" s="264">
        <f t="shared" si="58"/>
        <v>0.2209674684</v>
      </c>
      <c r="AF216" s="264">
        <f t="shared" si="58"/>
        <v>0.1912457708</v>
      </c>
      <c r="AG216" s="95"/>
    </row>
    <row r="217">
      <c r="A217" s="265">
        <f>A215/A213</f>
        <v>0.1152028938</v>
      </c>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95"/>
    </row>
    <row r="218">
      <c r="A218" s="266" t="s">
        <v>417</v>
      </c>
      <c r="B218" s="267">
        <f>Summary!B98</f>
        <v>14.35049841</v>
      </c>
      <c r="C218" s="267">
        <f>Summary!C98</f>
        <v>16.11224674</v>
      </c>
      <c r="D218" s="267">
        <f>Summary!D98</f>
        <v>14.61230339</v>
      </c>
      <c r="E218" s="267">
        <f>Summary!E98</f>
        <v>12.50724541</v>
      </c>
      <c r="F218" s="267">
        <f>Summary!F98</f>
        <v>9.082452311</v>
      </c>
      <c r="G218" s="267">
        <f>Summary!G98</f>
        <v>5.317871337</v>
      </c>
      <c r="H218" s="267">
        <f>Summary!H98</f>
        <v>5.495927406</v>
      </c>
      <c r="I218" s="267">
        <f>Summary!I98</f>
        <v>6.437572044</v>
      </c>
      <c r="J218" s="267">
        <f>Summary!J98</f>
        <v>7.460195458</v>
      </c>
      <c r="K218" s="267">
        <f>Summary!K98</f>
        <v>7.760860091</v>
      </c>
      <c r="L218" s="267">
        <f>Summary!L98</f>
        <v>5.872961978</v>
      </c>
      <c r="M218" s="267">
        <f>Summary!M98</f>
        <v>5.034046049</v>
      </c>
      <c r="N218" s="267">
        <f>Summary!N98</f>
        <v>5.634042232</v>
      </c>
      <c r="O218" s="267">
        <f>Summary!O98</f>
        <v>6.100698024</v>
      </c>
      <c r="P218" s="267">
        <f>Summary!P98</f>
        <v>6.093706949</v>
      </c>
      <c r="Q218" s="267">
        <f>Summary!Q98</f>
        <v>5.052889703</v>
      </c>
      <c r="R218" s="267">
        <f>Summary!R98</f>
        <v>6.1855516</v>
      </c>
      <c r="S218" s="267">
        <f>Summary!S98</f>
        <v>3.716793364</v>
      </c>
      <c r="T218" s="267">
        <f>Summary!T98</f>
        <v>7.610294025</v>
      </c>
      <c r="U218" s="267">
        <f>Summary!U98</f>
        <v>6.57605492</v>
      </c>
      <c r="V218" s="267">
        <f>Summary!V98</f>
        <v>4.92576433</v>
      </c>
      <c r="W218" s="267">
        <f>Summary!W98</f>
        <v>4.648602688</v>
      </c>
      <c r="X218" s="267">
        <f>Summary!X98</f>
        <v>4.813945963</v>
      </c>
      <c r="Y218" s="267">
        <f>Summary!Y98</f>
        <v>5.4551433</v>
      </c>
      <c r="Z218" s="267">
        <f>Summary!Z98</f>
        <v>13.44435142</v>
      </c>
      <c r="AA218" s="267">
        <f>Summary!AA98</f>
        <v>22.12397311</v>
      </c>
      <c r="AB218" s="267">
        <f>Summary!AB98</f>
        <v>20.46167435</v>
      </c>
      <c r="AC218" s="267">
        <f>Summary!AC98</f>
        <v>20.44709123</v>
      </c>
      <c r="AD218" s="267">
        <f>Summary!AD98</f>
        <v>19.63638133</v>
      </c>
      <c r="AE218" s="267">
        <f>Summary!AE98</f>
        <v>17.26690544</v>
      </c>
      <c r="AF218" s="267">
        <f>Summary!AF98</f>
        <v>10.34662142</v>
      </c>
      <c r="AG218" s="268"/>
    </row>
    <row r="219">
      <c r="A219" s="88"/>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95"/>
    </row>
    <row r="220">
      <c r="A220" s="88"/>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95"/>
    </row>
    <row r="221">
      <c r="A221" s="357" t="s">
        <v>592</v>
      </c>
      <c r="B221" s="254" t="str">
        <f t="shared" ref="B221:AF221" si="59">iferror(#REF!+#REF!+#REF!+#REF!+#REF!,"")</f>
        <v/>
      </c>
      <c r="C221" s="254" t="str">
        <f t="shared" si="59"/>
        <v/>
      </c>
      <c r="D221" s="254" t="str">
        <f t="shared" si="59"/>
        <v/>
      </c>
      <c r="E221" s="254" t="str">
        <f t="shared" si="59"/>
        <v/>
      </c>
      <c r="F221" s="254" t="str">
        <f t="shared" si="59"/>
        <v/>
      </c>
      <c r="G221" s="254" t="str">
        <f t="shared" si="59"/>
        <v/>
      </c>
      <c r="H221" s="254" t="str">
        <f t="shared" si="59"/>
        <v/>
      </c>
      <c r="I221" s="254" t="str">
        <f t="shared" si="59"/>
        <v/>
      </c>
      <c r="J221" s="254" t="str">
        <f t="shared" si="59"/>
        <v/>
      </c>
      <c r="K221" s="254" t="str">
        <f t="shared" si="59"/>
        <v/>
      </c>
      <c r="L221" s="254" t="str">
        <f t="shared" si="59"/>
        <v/>
      </c>
      <c r="M221" s="254" t="str">
        <f t="shared" si="59"/>
        <v/>
      </c>
      <c r="N221" s="254" t="str">
        <f t="shared" si="59"/>
        <v/>
      </c>
      <c r="O221" s="254" t="str">
        <f t="shared" si="59"/>
        <v/>
      </c>
      <c r="P221" s="254" t="str">
        <f t="shared" si="59"/>
        <v/>
      </c>
      <c r="Q221" s="254" t="str">
        <f t="shared" si="59"/>
        <v/>
      </c>
      <c r="R221" s="254" t="str">
        <f t="shared" si="59"/>
        <v/>
      </c>
      <c r="S221" s="254" t="str">
        <f t="shared" si="59"/>
        <v/>
      </c>
      <c r="T221" s="254" t="str">
        <f t="shared" si="59"/>
        <v/>
      </c>
      <c r="U221" s="254" t="str">
        <f t="shared" si="59"/>
        <v/>
      </c>
      <c r="V221" s="254" t="str">
        <f t="shared" si="59"/>
        <v/>
      </c>
      <c r="W221" s="254" t="str">
        <f t="shared" si="59"/>
        <v/>
      </c>
      <c r="X221" s="254" t="str">
        <f t="shared" si="59"/>
        <v/>
      </c>
      <c r="Y221" s="254" t="str">
        <f t="shared" si="59"/>
        <v/>
      </c>
      <c r="Z221" s="254" t="str">
        <f t="shared" si="59"/>
        <v/>
      </c>
      <c r="AA221" s="254" t="str">
        <f t="shared" si="59"/>
        <v/>
      </c>
      <c r="AB221" s="254" t="str">
        <f t="shared" si="59"/>
        <v/>
      </c>
      <c r="AC221" s="254" t="str">
        <f t="shared" si="59"/>
        <v/>
      </c>
      <c r="AD221" s="254" t="str">
        <f t="shared" si="59"/>
        <v/>
      </c>
      <c r="AE221" s="254" t="str">
        <f t="shared" si="59"/>
        <v/>
      </c>
      <c r="AF221" s="254" t="str">
        <f t="shared" si="59"/>
        <v/>
      </c>
      <c r="AG221" s="95">
        <f>SUM(B221:AD221)</f>
        <v>0</v>
      </c>
    </row>
    <row r="222">
      <c r="A222" s="235" t="s">
        <v>593</v>
      </c>
      <c r="B222" s="269">
        <f t="shared" ref="B222:AF222" si="60">SUM(B223:B231)-B232</f>
        <v>-442.52</v>
      </c>
      <c r="C222" s="269">
        <f t="shared" si="60"/>
        <v>-181.18</v>
      </c>
      <c r="D222" s="269">
        <f t="shared" si="60"/>
        <v>-282.05</v>
      </c>
      <c r="E222" s="269">
        <f t="shared" si="60"/>
        <v>-259.77</v>
      </c>
      <c r="F222" s="269">
        <f t="shared" si="60"/>
        <v>0</v>
      </c>
      <c r="G222" s="269">
        <f t="shared" si="60"/>
        <v>-80.16</v>
      </c>
      <c r="H222" s="269">
        <f t="shared" si="60"/>
        <v>0</v>
      </c>
      <c r="I222" s="269">
        <f t="shared" si="60"/>
        <v>-280.63</v>
      </c>
      <c r="J222" s="269">
        <f t="shared" si="60"/>
        <v>-202.04</v>
      </c>
      <c r="K222" s="269">
        <f t="shared" si="60"/>
        <v>-198.9</v>
      </c>
      <c r="L222" s="269">
        <f t="shared" si="60"/>
        <v>-99.45</v>
      </c>
      <c r="M222" s="269">
        <f t="shared" si="60"/>
        <v>0</v>
      </c>
      <c r="N222" s="269">
        <f t="shared" si="60"/>
        <v>0</v>
      </c>
      <c r="O222" s="269">
        <f t="shared" si="60"/>
        <v>-5.87</v>
      </c>
      <c r="P222" s="269">
        <f t="shared" si="60"/>
        <v>-79.9</v>
      </c>
      <c r="Q222" s="269">
        <f t="shared" si="60"/>
        <v>-34.88</v>
      </c>
      <c r="R222" s="269">
        <f t="shared" si="60"/>
        <v>-402.04</v>
      </c>
      <c r="S222" s="269">
        <f t="shared" si="60"/>
        <v>0</v>
      </c>
      <c r="T222" s="269">
        <f t="shared" si="60"/>
        <v>0</v>
      </c>
      <c r="U222" s="269">
        <f t="shared" si="60"/>
        <v>-519.06</v>
      </c>
      <c r="V222" s="269">
        <f t="shared" si="60"/>
        <v>-390.64</v>
      </c>
      <c r="W222" s="269">
        <f t="shared" si="60"/>
        <v>0</v>
      </c>
      <c r="X222" s="269">
        <f t="shared" si="60"/>
        <v>-200.51</v>
      </c>
      <c r="Y222" s="269">
        <f t="shared" si="60"/>
        <v>-140.16</v>
      </c>
      <c r="Z222" s="269">
        <f t="shared" si="60"/>
        <v>-11.57</v>
      </c>
      <c r="AA222" s="269">
        <f t="shared" si="60"/>
        <v>-469.77</v>
      </c>
      <c r="AB222" s="269">
        <f t="shared" si="60"/>
        <v>-588.51</v>
      </c>
      <c r="AC222" s="269">
        <f t="shared" si="60"/>
        <v>-171.62</v>
      </c>
      <c r="AD222" s="269">
        <f t="shared" si="60"/>
        <v>-140.16</v>
      </c>
      <c r="AE222" s="269">
        <f t="shared" si="60"/>
        <v>0</v>
      </c>
      <c r="AF222" s="269">
        <f t="shared" si="60"/>
        <v>0</v>
      </c>
      <c r="AG222" s="95">
        <f t="shared" ref="AG222:AG268" si="61">SUM(B222:AF222)</f>
        <v>-5181.39</v>
      </c>
    </row>
    <row r="223">
      <c r="A223" s="213" t="s">
        <v>420</v>
      </c>
      <c r="B223" s="255">
        <f>(B111+B112)*'Data - P&amp;L'!$C$3</f>
        <v>260.7</v>
      </c>
      <c r="C223" s="255">
        <f>(C111+C112)*'Data - P&amp;L'!$C$3</f>
        <v>86.9</v>
      </c>
      <c r="D223" s="255">
        <f>(D111+D112)*'Data - P&amp;L'!$C$3</f>
        <v>86.9</v>
      </c>
      <c r="E223" s="255">
        <f>(E111+E112)*'Data - P&amp;L'!$C$3</f>
        <v>173.8</v>
      </c>
      <c r="F223" s="255">
        <f>(F111+F112)*'Data - P&amp;L'!$C$3</f>
        <v>0</v>
      </c>
      <c r="G223" s="255">
        <f>(G111+G112)*'Data - P&amp;L'!$C$3</f>
        <v>86.9</v>
      </c>
      <c r="H223" s="255">
        <f>(H111+H112)*'Data - P&amp;L'!$C$3</f>
        <v>0</v>
      </c>
      <c r="I223" s="255">
        <f>(I111+I112)*'Data - P&amp;L'!$C$3</f>
        <v>86.9</v>
      </c>
      <c r="J223" s="255">
        <f>(J111+J112)*'Data - P&amp;L'!$C$3</f>
        <v>0</v>
      </c>
      <c r="K223" s="255">
        <f>(K111+K112)*'Data - P&amp;L'!$C$3</f>
        <v>0</v>
      </c>
      <c r="L223" s="255">
        <f>(L111+L112)*'Data - P&amp;L'!$C$3</f>
        <v>0</v>
      </c>
      <c r="M223" s="255">
        <f>(M111+M112)*'Data - P&amp;L'!$C$3</f>
        <v>0</v>
      </c>
      <c r="N223" s="255">
        <f>(N111+N112)*'Data - P&amp;L'!$C$3</f>
        <v>0</v>
      </c>
      <c r="O223" s="255">
        <f>(O111+O112)*'Data - P&amp;L'!$C$3</f>
        <v>0</v>
      </c>
      <c r="P223" s="255">
        <f>(P111+P112)*'Data - P&amp;L'!$C$3</f>
        <v>0</v>
      </c>
      <c r="Q223" s="255">
        <f>(Q111+Q112)*'Data - P&amp;L'!$C$3</f>
        <v>0</v>
      </c>
      <c r="R223" s="255">
        <f>(R111+R112)*'Data - P&amp;L'!$C$3</f>
        <v>0</v>
      </c>
      <c r="S223" s="255">
        <f>(S111+S112)*'Data - P&amp;L'!$C$3</f>
        <v>0</v>
      </c>
      <c r="T223" s="255">
        <f>(T111+T112)*'Data - P&amp;L'!$C$3</f>
        <v>0</v>
      </c>
      <c r="U223" s="255">
        <f>(U111+U112)*'Data - P&amp;L'!$C$3</f>
        <v>86.9</v>
      </c>
      <c r="V223" s="255">
        <f>(V111+V112)*'Data - P&amp;L'!$C$3</f>
        <v>0</v>
      </c>
      <c r="W223" s="255">
        <f>(W111+W112)*'Data - P&amp;L'!$C$3</f>
        <v>0</v>
      </c>
      <c r="X223" s="255">
        <f>(X111+X112)*'Data - P&amp;L'!$C$3</f>
        <v>0</v>
      </c>
      <c r="Y223" s="255">
        <f>(Y111+Y112)*'Data - P&amp;L'!$C$3</f>
        <v>86.9</v>
      </c>
      <c r="Z223" s="255">
        <f>(Z111+Z112)*'Data - P&amp;L'!$C$3</f>
        <v>0</v>
      </c>
      <c r="AA223" s="255">
        <f>(AA111+AA112)*'Data - P&amp;L'!$C$3</f>
        <v>173.8</v>
      </c>
      <c r="AB223" s="255">
        <f>(AB111+AB112)*'Data - P&amp;L'!$C$3</f>
        <v>86.9</v>
      </c>
      <c r="AC223" s="255">
        <f>(AC111+AC112)*'Data - P&amp;L'!$C$3</f>
        <v>86.9</v>
      </c>
      <c r="AD223" s="255">
        <f>(AD111+AD112)*'Data - P&amp;L'!$C$3</f>
        <v>86.9</v>
      </c>
      <c r="AE223" s="255">
        <f>(AE111+AE112)*'Data - P&amp;L'!$C$3</f>
        <v>0</v>
      </c>
      <c r="AF223" s="255">
        <f>(AF111+AF112)*'Data - P&amp;L'!$C$3</f>
        <v>0</v>
      </c>
      <c r="AG223" s="95">
        <f t="shared" si="61"/>
        <v>1390.4</v>
      </c>
    </row>
    <row r="224">
      <c r="A224" s="213" t="s">
        <v>421</v>
      </c>
      <c r="B224" s="255">
        <f>(B113+B114)*'Data - P&amp;L'!$C$4</f>
        <v>195.22</v>
      </c>
      <c r="C224" s="255">
        <f>(C113+C114)*'Data - P&amp;L'!$C$4</f>
        <v>97.61</v>
      </c>
      <c r="D224" s="255">
        <f>(D113+D114)*'Data - P&amp;L'!$C$4</f>
        <v>195.22</v>
      </c>
      <c r="E224" s="255">
        <f>(E113+E114)*'Data - P&amp;L'!$C$4</f>
        <v>97.61</v>
      </c>
      <c r="F224" s="255">
        <f>(F113+F114)*'Data - P&amp;L'!$C$4</f>
        <v>0</v>
      </c>
      <c r="G224" s="255">
        <f>(G113+G114)*'Data - P&amp;L'!$C$4</f>
        <v>0</v>
      </c>
      <c r="H224" s="255">
        <f>(H113+H114)*'Data - P&amp;L'!$C$4</f>
        <v>0</v>
      </c>
      <c r="I224" s="255">
        <f>(I113+I114)*'Data - P&amp;L'!$C$4</f>
        <v>195.22</v>
      </c>
      <c r="J224" s="255">
        <f>(J113+J114)*'Data - P&amp;L'!$C$4</f>
        <v>195.22</v>
      </c>
      <c r="K224" s="255">
        <f>(K113+K114)*'Data - P&amp;L'!$C$4</f>
        <v>195.22</v>
      </c>
      <c r="L224" s="255">
        <f>(L113+L114)*'Data - P&amp;L'!$C$4</f>
        <v>97.61</v>
      </c>
      <c r="M224" s="255">
        <f>(M113+M114)*'Data - P&amp;L'!$C$4</f>
        <v>0</v>
      </c>
      <c r="N224" s="255">
        <f>(N113+N114)*'Data - P&amp;L'!$C$4</f>
        <v>0</v>
      </c>
      <c r="O224" s="255">
        <f>(O113+O114)*'Data - P&amp;L'!$C$4</f>
        <v>0</v>
      </c>
      <c r="P224" s="255">
        <f>(P113+P114)*'Data - P&amp;L'!$C$4</f>
        <v>195.22</v>
      </c>
      <c r="Q224" s="255">
        <f>(Q113+Q114)*'Data - P&amp;L'!$C$4</f>
        <v>0</v>
      </c>
      <c r="R224" s="255">
        <f>(R113+R114)*'Data - P&amp;L'!$C$4</f>
        <v>195.22</v>
      </c>
      <c r="S224" s="255">
        <f>(S113+S114)*'Data - P&amp;L'!$C$4</f>
        <v>0</v>
      </c>
      <c r="T224" s="255">
        <f>(T113+T114)*'Data - P&amp;L'!$C$4</f>
        <v>0</v>
      </c>
      <c r="U224" s="255">
        <f>(U113+U114)*'Data - P&amp;L'!$C$4</f>
        <v>195.22</v>
      </c>
      <c r="V224" s="255">
        <f>(V113+V114)*'Data - P&amp;L'!$C$4</f>
        <v>195.22</v>
      </c>
      <c r="W224" s="255">
        <f>(W113+W114)*'Data - P&amp;L'!$C$4</f>
        <v>0</v>
      </c>
      <c r="X224" s="255">
        <f>(X113+X114)*'Data - P&amp;L'!$C$4</f>
        <v>97.61</v>
      </c>
      <c r="Y224" s="255">
        <f>(Y113+Y114)*'Data - P&amp;L'!$C$4</f>
        <v>0</v>
      </c>
      <c r="Z224" s="255">
        <f>(Z113+Z114)*'Data - P&amp;L'!$C$4</f>
        <v>0</v>
      </c>
      <c r="AA224" s="255">
        <f>(AA113+AA114)*'Data - P&amp;L'!$C$4</f>
        <v>97.61</v>
      </c>
      <c r="AB224" s="255">
        <f>(AB113+AB114)*'Data - P&amp;L'!$C$4</f>
        <v>292.83</v>
      </c>
      <c r="AC224" s="255">
        <f>(AC113+AC114)*'Data - P&amp;L'!$C$4</f>
        <v>0</v>
      </c>
      <c r="AD224" s="255">
        <f>(AD113+AD114)*'Data - P&amp;L'!$C$4</f>
        <v>0</v>
      </c>
      <c r="AE224" s="255">
        <f>(AE113+AE114)*'Data - P&amp;L'!$C$4</f>
        <v>0</v>
      </c>
      <c r="AF224" s="255">
        <f>(AF113+AF114)*'Data - P&amp;L'!$C$4</f>
        <v>0</v>
      </c>
      <c r="AG224" s="95">
        <f t="shared" si="61"/>
        <v>2537.86</v>
      </c>
    </row>
    <row r="225">
      <c r="A225" s="213" t="s">
        <v>422</v>
      </c>
      <c r="B225" s="255">
        <f>(B118)*'Data - P&amp;L'!$C$6</f>
        <v>10.98</v>
      </c>
      <c r="C225" s="255">
        <f>(C118)*'Data - P&amp;L'!$C$6</f>
        <v>5.49</v>
      </c>
      <c r="D225" s="255">
        <f>(D118)*'Data - P&amp;L'!$C$6</f>
        <v>0</v>
      </c>
      <c r="E225" s="255">
        <f>(E118)*'Data - P&amp;L'!$C$6</f>
        <v>0</v>
      </c>
      <c r="F225" s="255">
        <f>(F118)*'Data - P&amp;L'!$C$6</f>
        <v>0</v>
      </c>
      <c r="G225" s="255">
        <f>(G118)*'Data - P&amp;L'!$C$6</f>
        <v>0</v>
      </c>
      <c r="H225" s="255">
        <f>(H118)*'Data - P&amp;L'!$C$6</f>
        <v>0</v>
      </c>
      <c r="I225" s="255">
        <f>(I118)*'Data - P&amp;L'!$C$6</f>
        <v>5.49</v>
      </c>
      <c r="J225" s="255">
        <f>(J118)*'Data - P&amp;L'!$C$6</f>
        <v>10.98</v>
      </c>
      <c r="K225" s="255">
        <f>(K118)*'Data - P&amp;L'!$C$6</f>
        <v>0</v>
      </c>
      <c r="L225" s="255">
        <f>(L118)*'Data - P&amp;L'!$C$6</f>
        <v>0</v>
      </c>
      <c r="M225" s="255">
        <f>(M118)*'Data - P&amp;L'!$C$6</f>
        <v>0</v>
      </c>
      <c r="N225" s="255">
        <f>(N118)*'Data - P&amp;L'!$C$6</f>
        <v>0</v>
      </c>
      <c r="O225" s="255">
        <f>(O118)*'Data - P&amp;L'!$C$6</f>
        <v>0</v>
      </c>
      <c r="P225" s="255">
        <f>(P118)*'Data - P&amp;L'!$C$6</f>
        <v>0</v>
      </c>
      <c r="Q225" s="255">
        <f>(Q118)*'Data - P&amp;L'!$C$6</f>
        <v>10.98</v>
      </c>
      <c r="R225" s="255">
        <f>(R118)*'Data - P&amp;L'!$C$6</f>
        <v>10.98</v>
      </c>
      <c r="S225" s="255">
        <f>(S118)*'Data - P&amp;L'!$C$6</f>
        <v>0</v>
      </c>
      <c r="T225" s="255">
        <f>(T118)*'Data - P&amp;L'!$C$6</f>
        <v>0</v>
      </c>
      <c r="U225" s="255">
        <f>(U118)*'Data - P&amp;L'!$C$6</f>
        <v>0</v>
      </c>
      <c r="V225" s="255">
        <f>(V118)*'Data - P&amp;L'!$C$6</f>
        <v>0</v>
      </c>
      <c r="W225" s="255">
        <f>(W118)*'Data - P&amp;L'!$C$6</f>
        <v>0</v>
      </c>
      <c r="X225" s="255">
        <f>(X118)*'Data - P&amp;L'!$C$6</f>
        <v>0</v>
      </c>
      <c r="Y225" s="255">
        <f>(Y118)*'Data - P&amp;L'!$C$6</f>
        <v>0</v>
      </c>
      <c r="Z225" s="255">
        <f>(Z118)*'Data - P&amp;L'!$C$6</f>
        <v>5.49</v>
      </c>
      <c r="AA225" s="255">
        <f>(AA118)*'Data - P&amp;L'!$C$6</f>
        <v>0</v>
      </c>
      <c r="AB225" s="255">
        <f>(AB118)*'Data - P&amp;L'!$C$6</f>
        <v>0</v>
      </c>
      <c r="AC225" s="255">
        <f>(AC118)*'Data - P&amp;L'!$C$6</f>
        <v>0</v>
      </c>
      <c r="AD225" s="255">
        <f>(AD118)*'Data - P&amp;L'!$C$6</f>
        <v>0</v>
      </c>
      <c r="AE225" s="255">
        <f>(AE118)*'Data - P&amp;L'!$C$6</f>
        <v>0</v>
      </c>
      <c r="AF225" s="255">
        <f>(AF118)*'Data - P&amp;L'!$C$6</f>
        <v>0</v>
      </c>
      <c r="AG225" s="95">
        <f t="shared" si="61"/>
        <v>60.39</v>
      </c>
    </row>
    <row r="226">
      <c r="A226" s="213" t="s">
        <v>423</v>
      </c>
      <c r="B226" s="255">
        <f>(B119)*'Data - P&amp;L'!$C$8</f>
        <v>0</v>
      </c>
      <c r="C226" s="255">
        <f>(C119)*'Data - P&amp;L'!$C$8</f>
        <v>0</v>
      </c>
      <c r="D226" s="255">
        <f>(D119)*'Data - P&amp;L'!$C$8</f>
        <v>1.19</v>
      </c>
      <c r="E226" s="255">
        <f>(E119)*'Data - P&amp;L'!$C$8</f>
        <v>0</v>
      </c>
      <c r="F226" s="255">
        <f>(F119)*'Data - P&amp;L'!$C$8</f>
        <v>0</v>
      </c>
      <c r="G226" s="255">
        <f>(G119)*'Data - P&amp;L'!$C$8</f>
        <v>0</v>
      </c>
      <c r="H226" s="255">
        <f>(H119)*'Data - P&amp;L'!$C$8</f>
        <v>0</v>
      </c>
      <c r="I226" s="255">
        <f>(I119)*'Data - P&amp;L'!$C$8</f>
        <v>0</v>
      </c>
      <c r="J226" s="255">
        <f>(J119)*'Data - P&amp;L'!$C$8</f>
        <v>0</v>
      </c>
      <c r="K226" s="255">
        <f>(K119)*'Data - P&amp;L'!$C$8</f>
        <v>0</v>
      </c>
      <c r="L226" s="255">
        <f>(L119)*'Data - P&amp;L'!$C$8</f>
        <v>0</v>
      </c>
      <c r="M226" s="255">
        <f>(M119)*'Data - P&amp;L'!$C$8</f>
        <v>0</v>
      </c>
      <c r="N226" s="255">
        <f>(N119)*'Data - P&amp;L'!$C$8</f>
        <v>0</v>
      </c>
      <c r="O226" s="255">
        <f>(O119)*'Data - P&amp;L'!$C$8</f>
        <v>1.19</v>
      </c>
      <c r="P226" s="255">
        <f>(P119)*'Data - P&amp;L'!$C$8</f>
        <v>0</v>
      </c>
      <c r="Q226" s="255">
        <f>(Q119)*'Data - P&amp;L'!$C$8</f>
        <v>2.38</v>
      </c>
      <c r="R226" s="255">
        <f>(R119)*'Data - P&amp;L'!$C$8</f>
        <v>0</v>
      </c>
      <c r="S226" s="255">
        <f>(S119)*'Data - P&amp;L'!$C$8</f>
        <v>0</v>
      </c>
      <c r="T226" s="255">
        <f>(T119)*'Data - P&amp;L'!$C$8</f>
        <v>0</v>
      </c>
      <c r="U226" s="255">
        <f>(U119)*'Data - P&amp;L'!$C$8</f>
        <v>0</v>
      </c>
      <c r="V226" s="255">
        <f>(V119)*'Data - P&amp;L'!$C$8</f>
        <v>2.38</v>
      </c>
      <c r="W226" s="255">
        <f>(W119)*'Data - P&amp;L'!$C$8</f>
        <v>0</v>
      </c>
      <c r="X226" s="255">
        <f>(X119)*'Data - P&amp;L'!$C$8</f>
        <v>0</v>
      </c>
      <c r="Y226" s="255">
        <f>(Y119)*'Data - P&amp;L'!$C$8</f>
        <v>0</v>
      </c>
      <c r="Z226" s="255">
        <f>(Z119)*'Data - P&amp;L'!$C$8</f>
        <v>0</v>
      </c>
      <c r="AA226" s="255">
        <f>(AA119)*'Data - P&amp;L'!$C$8</f>
        <v>0</v>
      </c>
      <c r="AB226" s="255">
        <f>(AB119)*'Data - P&amp;L'!$C$8</f>
        <v>0</v>
      </c>
      <c r="AC226" s="255">
        <f>(AC119)*'Data - P&amp;L'!$C$8</f>
        <v>0</v>
      </c>
      <c r="AD226" s="255">
        <f>(AD119)*'Data - P&amp;L'!$C$8</f>
        <v>0</v>
      </c>
      <c r="AE226" s="255">
        <f>(AE119)*'Data - P&amp;L'!$C$8</f>
        <v>0</v>
      </c>
      <c r="AF226" s="255">
        <f>(AF119)*'Data - P&amp;L'!$C$8</f>
        <v>0</v>
      </c>
      <c r="AG226" s="95">
        <f t="shared" si="61"/>
        <v>7.14</v>
      </c>
    </row>
    <row r="227">
      <c r="A227" s="213" t="s">
        <v>424</v>
      </c>
      <c r="B227" s="255">
        <f>(B120+B121)*'Data - P&amp;L'!$C$9</f>
        <v>0</v>
      </c>
      <c r="C227" s="255">
        <f>(C120+C121)*'Data - P&amp;L'!$C$9</f>
        <v>0</v>
      </c>
      <c r="D227" s="255">
        <f>(D120+D121)*'Data - P&amp;L'!$C$9</f>
        <v>0</v>
      </c>
      <c r="E227" s="255">
        <f>(E120+E121)*'Data - P&amp;L'!$C$9</f>
        <v>0</v>
      </c>
      <c r="F227" s="255">
        <f>(F120+F121)*'Data - P&amp;L'!$C$9</f>
        <v>0</v>
      </c>
      <c r="G227" s="255">
        <f>(G120+G121)*'Data - P&amp;L'!$C$9</f>
        <v>0</v>
      </c>
      <c r="H227" s="255">
        <f>(H120+H121)*'Data - P&amp;L'!$C$9</f>
        <v>0</v>
      </c>
      <c r="I227" s="255">
        <f>(I120+I121)*'Data - P&amp;L'!$C$9</f>
        <v>0</v>
      </c>
      <c r="J227" s="255">
        <f>(J120+J121)*'Data - P&amp;L'!$C$9</f>
        <v>0</v>
      </c>
      <c r="K227" s="255">
        <f>(K120+K121)*'Data - P&amp;L'!$C$9</f>
        <v>0</v>
      </c>
      <c r="L227" s="255">
        <f>(L120+L121)*'Data - P&amp;L'!$C$9</f>
        <v>0</v>
      </c>
      <c r="M227" s="255">
        <f>(M120+M121)*'Data - P&amp;L'!$C$9</f>
        <v>0</v>
      </c>
      <c r="N227" s="255">
        <f>(N120+N121)*'Data - P&amp;L'!$C$9</f>
        <v>0</v>
      </c>
      <c r="O227" s="255">
        <f>(O120+O121)*'Data - P&amp;L'!$C$9</f>
        <v>0</v>
      </c>
      <c r="P227" s="255">
        <f>(P120+P121)*'Data - P&amp;L'!$C$9</f>
        <v>0</v>
      </c>
      <c r="Q227" s="255">
        <f>(Q120+Q121)*'Data - P&amp;L'!$C$9</f>
        <v>0</v>
      </c>
      <c r="R227" s="255">
        <f>(R120+R121)*'Data - P&amp;L'!$C$9</f>
        <v>0</v>
      </c>
      <c r="S227" s="255">
        <f>(S120+S121)*'Data - P&amp;L'!$C$9</f>
        <v>0</v>
      </c>
      <c r="T227" s="255">
        <f>(T120+T121)*'Data - P&amp;L'!$C$9</f>
        <v>0</v>
      </c>
      <c r="U227" s="255">
        <f>(U120+U121)*'Data - P&amp;L'!$C$9</f>
        <v>0</v>
      </c>
      <c r="V227" s="255">
        <f>(V120+V121)*'Data - P&amp;L'!$C$9</f>
        <v>0</v>
      </c>
      <c r="W227" s="255">
        <f>(W120+W121)*'Data - P&amp;L'!$C$9</f>
        <v>0</v>
      </c>
      <c r="X227" s="255">
        <f>(X120+X121)*'Data - P&amp;L'!$C$9</f>
        <v>0</v>
      </c>
      <c r="Y227" s="255">
        <f>(Y120+Y121)*'Data - P&amp;L'!$C$9</f>
        <v>0</v>
      </c>
      <c r="Z227" s="255">
        <f>(Z120+Z121)*'Data - P&amp;L'!$C$9</f>
        <v>0</v>
      </c>
      <c r="AA227" s="255">
        <f>(AA120+AA121)*'Data - P&amp;L'!$C$9</f>
        <v>0</v>
      </c>
      <c r="AB227" s="255">
        <f>(AB120+AB121)*'Data - P&amp;L'!$C$9</f>
        <v>0</v>
      </c>
      <c r="AC227" s="255">
        <f>(AC120+AC121)*'Data - P&amp;L'!$C$9</f>
        <v>6.66</v>
      </c>
      <c r="AD227" s="255">
        <f>(AD120+AD121)*'Data - P&amp;L'!$C$9</f>
        <v>0</v>
      </c>
      <c r="AE227" s="255">
        <f>(AE120+AE121)*'Data - P&amp;L'!$C$9</f>
        <v>0</v>
      </c>
      <c r="AF227" s="255">
        <f>(AF120+AF121)*'Data - P&amp;L'!$C$9</f>
        <v>0</v>
      </c>
      <c r="AG227" s="95">
        <f t="shared" si="61"/>
        <v>6.66</v>
      </c>
    </row>
    <row r="228">
      <c r="A228" s="213" t="s">
        <v>425</v>
      </c>
      <c r="B228" s="255">
        <f>(B122+B1574)*'Data - P&amp;L'!$C$5</f>
        <v>0</v>
      </c>
      <c r="C228" s="255">
        <f>(C122+C1574)*'Data - P&amp;L'!$C$5</f>
        <v>0</v>
      </c>
      <c r="D228" s="255">
        <f>(D122+D1574)*'Data - P&amp;L'!$C$5</f>
        <v>0</v>
      </c>
      <c r="E228" s="255">
        <f>(E122+E1574)*'Data - P&amp;L'!$C$5</f>
        <v>0</v>
      </c>
      <c r="F228" s="255">
        <f>(F122+F1574)*'Data - P&amp;L'!$C$5</f>
        <v>0</v>
      </c>
      <c r="G228" s="255">
        <f>(G122+G1574)*'Data - P&amp;L'!$C$5</f>
        <v>0</v>
      </c>
      <c r="H228" s="255">
        <f>(H122+H1574)*'Data - P&amp;L'!$C$5</f>
        <v>0</v>
      </c>
      <c r="I228" s="255">
        <f>(I122+I1574)*'Data - P&amp;L'!$C$5</f>
        <v>0</v>
      </c>
      <c r="J228" s="255">
        <f>(J122+J1574)*'Data - P&amp;L'!$C$5</f>
        <v>0</v>
      </c>
      <c r="K228" s="255">
        <f>(K122+K1574)*'Data - P&amp;L'!$C$5</f>
        <v>0</v>
      </c>
      <c r="L228" s="255">
        <f>(L122+L1574)*'Data - P&amp;L'!$C$5</f>
        <v>0</v>
      </c>
      <c r="M228" s="255">
        <f>(M122+M1574)*'Data - P&amp;L'!$C$5</f>
        <v>0</v>
      </c>
      <c r="N228" s="255">
        <f>(N122+N1574)*'Data - P&amp;L'!$C$5</f>
        <v>0</v>
      </c>
      <c r="O228" s="255">
        <f>(O122+O1574)*'Data - P&amp;L'!$C$5</f>
        <v>0</v>
      </c>
      <c r="P228" s="255">
        <f>(P122+P1574)*'Data - P&amp;L'!$C$5</f>
        <v>0</v>
      </c>
      <c r="Q228" s="255">
        <f>(Q122+Q1574)*'Data - P&amp;L'!$C$5</f>
        <v>0</v>
      </c>
      <c r="R228" s="255">
        <f>(R122+R1574)*'Data - P&amp;L'!$C$5</f>
        <v>0</v>
      </c>
      <c r="S228" s="255">
        <f>(S122+S1574)*'Data - P&amp;L'!$C$5</f>
        <v>0</v>
      </c>
      <c r="T228" s="255">
        <f>(T122+T1574)*'Data - P&amp;L'!$C$5</f>
        <v>0</v>
      </c>
      <c r="U228" s="255">
        <f>(U122+U1574)*'Data - P&amp;L'!$C$5</f>
        <v>0</v>
      </c>
      <c r="V228" s="255">
        <f>(V122+V1574)*'Data - P&amp;L'!$C$5</f>
        <v>0</v>
      </c>
      <c r="W228" s="255">
        <f>(W122+W1574)*'Data - P&amp;L'!$C$5</f>
        <v>0</v>
      </c>
      <c r="X228" s="255">
        <f>(X122+X1574)*'Data - P&amp;L'!$C$5</f>
        <v>0</v>
      </c>
      <c r="Y228" s="255">
        <f>(Y122+Y1574)*'Data - P&amp;L'!$C$5</f>
        <v>0</v>
      </c>
      <c r="Z228" s="255">
        <f>(Z122+Z1574)*'Data - P&amp;L'!$C$5</f>
        <v>0</v>
      </c>
      <c r="AA228" s="255">
        <f>(AA122+AA1574)*'Data - P&amp;L'!$C$5</f>
        <v>0</v>
      </c>
      <c r="AB228" s="255">
        <f>(AB122+AB1574)*'Data - P&amp;L'!$C$5</f>
        <v>0</v>
      </c>
      <c r="AC228" s="255">
        <f>(AC122+AC1574)*'Data - P&amp;L'!$C$5</f>
        <v>0</v>
      </c>
      <c r="AD228" s="255">
        <f>(AD122+AD1574)*'Data - P&amp;L'!$C$5</f>
        <v>0</v>
      </c>
      <c r="AE228" s="255">
        <f>(AE122+AE1574)*'Data - P&amp;L'!$C$5</f>
        <v>0</v>
      </c>
      <c r="AF228" s="255">
        <f>(AF122+AF1574)*'Data - P&amp;L'!$C$5</f>
        <v>0</v>
      </c>
      <c r="AG228" s="95">
        <f t="shared" si="61"/>
        <v>0</v>
      </c>
    </row>
    <row r="229">
      <c r="A229" s="213" t="s">
        <v>426</v>
      </c>
      <c r="B229" s="255">
        <f>(B124+B125)*'Data - P&amp;L'!$C$10</f>
        <v>0</v>
      </c>
      <c r="C229" s="255">
        <f>(C124+C125)*'Data - P&amp;L'!$C$10</f>
        <v>0</v>
      </c>
      <c r="D229" s="255">
        <f>(D124+D125)*'Data - P&amp;L'!$C$10</f>
        <v>12</v>
      </c>
      <c r="E229" s="255">
        <f>(E124+E125)*'Data - P&amp;L'!$C$10</f>
        <v>0</v>
      </c>
      <c r="F229" s="255">
        <f>(F124+F125)*'Data - P&amp;L'!$C$10</f>
        <v>0</v>
      </c>
      <c r="G229" s="255">
        <f>(G124+G125)*'Data - P&amp;L'!$C$10</f>
        <v>0</v>
      </c>
      <c r="H229" s="255">
        <f>(H124+H125)*'Data - P&amp;L'!$C$10</f>
        <v>0</v>
      </c>
      <c r="I229" s="255">
        <f>(I124+I125)*'Data - P&amp;L'!$C$10</f>
        <v>0</v>
      </c>
      <c r="J229" s="255">
        <f>(J124+J125)*'Data - P&amp;L'!$C$10</f>
        <v>0</v>
      </c>
      <c r="K229" s="255">
        <f>(K124+K125)*'Data - P&amp;L'!$C$10</f>
        <v>0</v>
      </c>
      <c r="L229" s="255">
        <f>(L124+L125)*'Data - P&amp;L'!$C$10</f>
        <v>0</v>
      </c>
      <c r="M229" s="255">
        <f>(M124+M125)*'Data - P&amp;L'!$C$10</f>
        <v>0</v>
      </c>
      <c r="N229" s="255">
        <f>(N124+N125)*'Data - P&amp;L'!$C$10</f>
        <v>0</v>
      </c>
      <c r="O229" s="255">
        <f>(O124+O125)*'Data - P&amp;L'!$C$10</f>
        <v>0</v>
      </c>
      <c r="P229" s="255">
        <f>(P124+P125)*'Data - P&amp;L'!$C$10</f>
        <v>0</v>
      </c>
      <c r="Q229" s="255">
        <f>(Q124+Q125)*'Data - P&amp;L'!$C$10</f>
        <v>0</v>
      </c>
      <c r="R229" s="255">
        <f>(R124+R125)*'Data - P&amp;L'!$C$10</f>
        <v>0</v>
      </c>
      <c r="S229" s="255">
        <f>(S124+S125)*'Data - P&amp;L'!$C$10</f>
        <v>0</v>
      </c>
      <c r="T229" s="255">
        <f>(T124+T125)*'Data - P&amp;L'!$C$10</f>
        <v>0</v>
      </c>
      <c r="U229" s="255">
        <f>(U124+U125)*'Data - P&amp;L'!$C$10</f>
        <v>0</v>
      </c>
      <c r="V229" s="255">
        <f>(V124+V125)*'Data - P&amp;L'!$C$10</f>
        <v>0</v>
      </c>
      <c r="W229" s="255">
        <f>(W124+W125)*'Data - P&amp;L'!$C$10</f>
        <v>0</v>
      </c>
      <c r="X229" s="255">
        <f>(X124+X125)*'Data - P&amp;L'!$C$10</f>
        <v>6</v>
      </c>
      <c r="Y229" s="255">
        <f>(Y124+Y125)*'Data - P&amp;L'!$C$10</f>
        <v>0</v>
      </c>
      <c r="Z229" s="255">
        <f>(Z124+Z125)*'Data - P&amp;L'!$C$10</f>
        <v>0</v>
      </c>
      <c r="AA229" s="255">
        <f>(AA124+AA125)*'Data - P&amp;L'!$C$10</f>
        <v>0</v>
      </c>
      <c r="AB229" s="255">
        <f>(AB124+AB125)*'Data - P&amp;L'!$C$10</f>
        <v>0</v>
      </c>
      <c r="AC229" s="255">
        <f>(AC124+AC125)*'Data - P&amp;L'!$C$10</f>
        <v>6</v>
      </c>
      <c r="AD229" s="255">
        <f>(AD124+AD125)*'Data - P&amp;L'!$C$10</f>
        <v>0</v>
      </c>
      <c r="AE229" s="255">
        <f>(AE124+AE125)*'Data - P&amp;L'!$C$10</f>
        <v>0</v>
      </c>
      <c r="AF229" s="255">
        <f>(AF124+AF125)*'Data - P&amp;L'!$C$10</f>
        <v>0</v>
      </c>
      <c r="AG229" s="95">
        <f t="shared" si="61"/>
        <v>24</v>
      </c>
    </row>
    <row r="230">
      <c r="A230" s="213" t="s">
        <v>427</v>
      </c>
      <c r="B230" s="255">
        <f>(B115+B116)*'Data - P&amp;L'!$C$43</f>
        <v>59.7</v>
      </c>
      <c r="C230" s="255">
        <f>(C115+C116)*'Data - P&amp;L'!$C$43</f>
        <v>23.88</v>
      </c>
      <c r="D230" s="255">
        <f>(D115+D116)*'Data - P&amp;L'!$C$43</f>
        <v>35.82</v>
      </c>
      <c r="E230" s="255">
        <f>(E115+E116)*'Data - P&amp;L'!$C$43</f>
        <v>35.82</v>
      </c>
      <c r="F230" s="255">
        <f>(F115+F116)*'Data - P&amp;L'!$C$43</f>
        <v>0</v>
      </c>
      <c r="G230" s="255">
        <f>(G115+G116)*'Data - P&amp;L'!$C$43</f>
        <v>11.94</v>
      </c>
      <c r="H230" s="255">
        <f>(H115+H116)*'Data - P&amp;L'!$C$43</f>
        <v>0</v>
      </c>
      <c r="I230" s="255">
        <f>(I115+I116)*'Data - P&amp;L'!$C$43</f>
        <v>35.82</v>
      </c>
      <c r="J230" s="255">
        <f>(J115+J116)*'Data - P&amp;L'!$C$43</f>
        <v>23.88</v>
      </c>
      <c r="K230" s="255">
        <f>(K115+K116)*'Data - P&amp;L'!$C$43</f>
        <v>23.88</v>
      </c>
      <c r="L230" s="255">
        <f>(L115+L116)*'Data - P&amp;L'!$C$43</f>
        <v>11.94</v>
      </c>
      <c r="M230" s="255">
        <f>(M115+M116)*'Data - P&amp;L'!$C$43</f>
        <v>0</v>
      </c>
      <c r="N230" s="255">
        <f>(N115+N116)*'Data - P&amp;L'!$C$43</f>
        <v>0</v>
      </c>
      <c r="O230" s="255">
        <f>(O115+O116)*'Data - P&amp;L'!$C$43</f>
        <v>0</v>
      </c>
      <c r="P230" s="255">
        <f>(P115+P116)*'Data - P&amp;L'!$C$43</f>
        <v>23.88</v>
      </c>
      <c r="Q230" s="255">
        <f>(Q115+Q116)*'Data - P&amp;L'!$C$43</f>
        <v>0</v>
      </c>
      <c r="R230" s="255">
        <f>(R115+R116)*'Data - P&amp;L'!$C$43</f>
        <v>23.88</v>
      </c>
      <c r="S230" s="255">
        <f>(S115+S116)*'Data - P&amp;L'!$C$43</f>
        <v>0</v>
      </c>
      <c r="T230" s="255">
        <f>(T115+T116)*'Data - P&amp;L'!$C$43</f>
        <v>0</v>
      </c>
      <c r="U230" s="255">
        <f>(U115+U116)*'Data - P&amp;L'!$C$43</f>
        <v>35.82</v>
      </c>
      <c r="V230" s="255">
        <f>(V115+V116)*'Data - P&amp;L'!$C$43</f>
        <v>23.88</v>
      </c>
      <c r="W230" s="255">
        <f>(W115+W116)*'Data - P&amp;L'!$C$43</f>
        <v>0</v>
      </c>
      <c r="X230" s="255">
        <f>(X115+X116)*'Data - P&amp;L'!$C$43</f>
        <v>11.94</v>
      </c>
      <c r="Y230" s="255">
        <f>(Y115+Y116)*'Data - P&amp;L'!$C$43</f>
        <v>11.94</v>
      </c>
      <c r="Z230" s="255">
        <f>(Z115+Z116)*'Data - P&amp;L'!$C$43</f>
        <v>0</v>
      </c>
      <c r="AA230" s="255">
        <f>(AA115+AA116)*'Data - P&amp;L'!$C$43</f>
        <v>35.82</v>
      </c>
      <c r="AB230" s="255">
        <f>(AB115+AB116)*'Data - P&amp;L'!$C$43</f>
        <v>47.76</v>
      </c>
      <c r="AC230" s="255">
        <f>(AC115+AC116)*'Data - P&amp;L'!$C$43</f>
        <v>11.94</v>
      </c>
      <c r="AD230" s="255">
        <f>(AD115+AD116)*'Data - P&amp;L'!$C$43</f>
        <v>11.94</v>
      </c>
      <c r="AE230" s="255">
        <f>(AE115+AE116)*'Data - P&amp;L'!$C$43</f>
        <v>0</v>
      </c>
      <c r="AF230" s="255">
        <f>(AF115+AF116)*'Data - P&amp;L'!$C$43</f>
        <v>0</v>
      </c>
      <c r="AG230" s="95">
        <f t="shared" si="61"/>
        <v>501.48</v>
      </c>
    </row>
    <row r="231">
      <c r="A231" s="213" t="s">
        <v>429</v>
      </c>
      <c r="B231" s="255">
        <f>B126*'Data - P&amp;L'!$C$43</f>
        <v>23.88</v>
      </c>
      <c r="C231" s="255">
        <f>C126*'Data - P&amp;L'!$C$43</f>
        <v>11.94</v>
      </c>
      <c r="D231" s="255">
        <f>D126*'Data - P&amp;L'!$C$43</f>
        <v>35.82</v>
      </c>
      <c r="E231" s="255">
        <f>E126*'Data - P&amp;L'!$C$43</f>
        <v>0</v>
      </c>
      <c r="F231" s="255">
        <f>F126*'Data - P&amp;L'!$C$43</f>
        <v>0</v>
      </c>
      <c r="G231" s="255">
        <f>G126*'Data - P&amp;L'!$C$43</f>
        <v>0</v>
      </c>
      <c r="H231" s="255">
        <f>H126*'Data - P&amp;L'!$C$43</f>
        <v>0</v>
      </c>
      <c r="I231" s="255">
        <f>I126*'Data - P&amp;L'!$C$43</f>
        <v>11.94</v>
      </c>
      <c r="J231" s="255">
        <f>J126*'Data - P&amp;L'!$C$43</f>
        <v>23.88</v>
      </c>
      <c r="K231" s="255">
        <f>K126*'Data - P&amp;L'!$C$43</f>
        <v>0</v>
      </c>
      <c r="L231" s="255">
        <f>L126*'Data - P&amp;L'!$C$43</f>
        <v>0</v>
      </c>
      <c r="M231" s="255">
        <f>M126*'Data - P&amp;L'!$C$43</f>
        <v>0</v>
      </c>
      <c r="N231" s="255">
        <f>N126*'Data - P&amp;L'!$C$43</f>
        <v>0</v>
      </c>
      <c r="O231" s="255">
        <f>O126*'Data - P&amp;L'!$C$43</f>
        <v>11.94</v>
      </c>
      <c r="P231" s="255">
        <f>P126*'Data - P&amp;L'!$C$43</f>
        <v>0</v>
      </c>
      <c r="Q231" s="255">
        <f>Q126*'Data - P&amp;L'!$C$43</f>
        <v>47.76</v>
      </c>
      <c r="R231" s="255">
        <f>R126*'Data - P&amp;L'!$C$43</f>
        <v>23.88</v>
      </c>
      <c r="S231" s="255">
        <f>S126*'Data - P&amp;L'!$C$43</f>
        <v>0</v>
      </c>
      <c r="T231" s="255">
        <f>T126*'Data - P&amp;L'!$C$43</f>
        <v>0</v>
      </c>
      <c r="U231" s="255">
        <f>U126*'Data - P&amp;L'!$C$43</f>
        <v>0</v>
      </c>
      <c r="V231" s="255">
        <f>V126*'Data - P&amp;L'!$C$43</f>
        <v>23.88</v>
      </c>
      <c r="W231" s="255">
        <f>W126*'Data - P&amp;L'!$C$43</f>
        <v>0</v>
      </c>
      <c r="X231" s="255">
        <f>X126*'Data - P&amp;L'!$C$43</f>
        <v>11.94</v>
      </c>
      <c r="Y231" s="255">
        <f>Y126*'Data - P&amp;L'!$C$43</f>
        <v>0</v>
      </c>
      <c r="Z231" s="255">
        <f>Z126*'Data - P&amp;L'!$C$43</f>
        <v>11.94</v>
      </c>
      <c r="AA231" s="255">
        <f>AA126*'Data - P&amp;L'!$C$43</f>
        <v>0</v>
      </c>
      <c r="AB231" s="255">
        <f>AB126*'Data - P&amp;L'!$C$43</f>
        <v>0</v>
      </c>
      <c r="AC231" s="255">
        <f>AC126*'Data - P&amp;L'!$C$43</f>
        <v>23.88</v>
      </c>
      <c r="AD231" s="255">
        <f>AD126*'Data - P&amp;L'!$C$43</f>
        <v>0</v>
      </c>
      <c r="AE231" s="255">
        <f>AE126*'Data - P&amp;L'!$C$43</f>
        <v>0</v>
      </c>
      <c r="AF231" s="255">
        <f>AF126*'Data - P&amp;L'!$C$43</f>
        <v>0</v>
      </c>
      <c r="AG231" s="95">
        <f t="shared" si="61"/>
        <v>262.68</v>
      </c>
    </row>
    <row r="232">
      <c r="A232" s="213" t="s">
        <v>431</v>
      </c>
      <c r="B232" s="255">
        <f t="shared" ref="B232:AF232" si="62">B148</f>
        <v>993</v>
      </c>
      <c r="C232" s="255">
        <f t="shared" si="62"/>
        <v>407</v>
      </c>
      <c r="D232" s="255">
        <f t="shared" si="62"/>
        <v>649</v>
      </c>
      <c r="E232" s="255">
        <f t="shared" si="62"/>
        <v>567</v>
      </c>
      <c r="F232" s="255">
        <f t="shared" si="62"/>
        <v>0</v>
      </c>
      <c r="G232" s="255">
        <f t="shared" si="62"/>
        <v>179</v>
      </c>
      <c r="H232" s="255">
        <f t="shared" si="62"/>
        <v>0</v>
      </c>
      <c r="I232" s="255">
        <f t="shared" si="62"/>
        <v>616</v>
      </c>
      <c r="J232" s="255">
        <f t="shared" si="62"/>
        <v>456</v>
      </c>
      <c r="K232" s="255">
        <f t="shared" si="62"/>
        <v>418</v>
      </c>
      <c r="L232" s="255">
        <f t="shared" si="62"/>
        <v>209</v>
      </c>
      <c r="M232" s="255">
        <f t="shared" si="62"/>
        <v>0</v>
      </c>
      <c r="N232" s="255">
        <f t="shared" si="62"/>
        <v>0</v>
      </c>
      <c r="O232" s="255">
        <f t="shared" si="62"/>
        <v>19</v>
      </c>
      <c r="P232" s="255">
        <f t="shared" si="62"/>
        <v>299</v>
      </c>
      <c r="Q232" s="255">
        <f t="shared" si="62"/>
        <v>96</v>
      </c>
      <c r="R232" s="255">
        <f t="shared" si="62"/>
        <v>656</v>
      </c>
      <c r="S232" s="255">
        <f t="shared" si="62"/>
        <v>0</v>
      </c>
      <c r="T232" s="255">
        <f t="shared" si="62"/>
        <v>0</v>
      </c>
      <c r="U232" s="255">
        <f t="shared" si="62"/>
        <v>837</v>
      </c>
      <c r="V232" s="255">
        <f t="shared" si="62"/>
        <v>636</v>
      </c>
      <c r="W232" s="255">
        <f t="shared" si="62"/>
        <v>0</v>
      </c>
      <c r="X232" s="255">
        <f t="shared" si="62"/>
        <v>328</v>
      </c>
      <c r="Y232" s="255">
        <f t="shared" si="62"/>
        <v>239</v>
      </c>
      <c r="Z232" s="255">
        <f t="shared" si="62"/>
        <v>29</v>
      </c>
      <c r="AA232" s="255">
        <f t="shared" si="62"/>
        <v>777</v>
      </c>
      <c r="AB232" s="255">
        <f t="shared" si="62"/>
        <v>1016</v>
      </c>
      <c r="AC232" s="255">
        <f t="shared" si="62"/>
        <v>307</v>
      </c>
      <c r="AD232" s="255">
        <f t="shared" si="62"/>
        <v>239</v>
      </c>
      <c r="AE232" s="255">
        <f t="shared" si="62"/>
        <v>0</v>
      </c>
      <c r="AF232" s="255">
        <f t="shared" si="62"/>
        <v>0</v>
      </c>
      <c r="AG232" s="95">
        <f t="shared" si="61"/>
        <v>9972</v>
      </c>
    </row>
    <row r="233">
      <c r="A233" s="235" t="s">
        <v>594</v>
      </c>
      <c r="B233" s="269">
        <f t="shared" ref="B233:AF233" si="63">SUM(B234:B242)-B243-B244</f>
        <v>-1532.6835</v>
      </c>
      <c r="C233" s="269">
        <f t="shared" si="63"/>
        <v>-1031.448244</v>
      </c>
      <c r="D233" s="269">
        <f t="shared" si="63"/>
        <v>-875.658256</v>
      </c>
      <c r="E233" s="269">
        <f t="shared" si="63"/>
        <v>-874.703</v>
      </c>
      <c r="F233" s="269">
        <f t="shared" si="63"/>
        <v>-1655.490204</v>
      </c>
      <c r="G233" s="269">
        <f t="shared" si="63"/>
        <v>-1301.997612</v>
      </c>
      <c r="H233" s="269">
        <f t="shared" si="63"/>
        <v>-555.703564</v>
      </c>
      <c r="I233" s="269">
        <f t="shared" si="63"/>
        <v>-2833.876064</v>
      </c>
      <c r="J233" s="269">
        <f t="shared" si="63"/>
        <v>-580.434128</v>
      </c>
      <c r="K233" s="269">
        <f t="shared" si="63"/>
        <v>-519.629332</v>
      </c>
      <c r="L233" s="269">
        <f t="shared" si="63"/>
        <v>-553.62218</v>
      </c>
      <c r="M233" s="269">
        <f t="shared" si="63"/>
        <v>-950.086308</v>
      </c>
      <c r="N233" s="269">
        <f t="shared" si="63"/>
        <v>-437.869884</v>
      </c>
      <c r="O233" s="269">
        <f t="shared" si="63"/>
        <v>-658.334128</v>
      </c>
      <c r="P233" s="269">
        <f t="shared" si="63"/>
        <v>-862.826064</v>
      </c>
      <c r="Q233" s="269">
        <f t="shared" si="63"/>
        <v>-600.316024</v>
      </c>
      <c r="R233" s="269">
        <f t="shared" si="63"/>
        <v>-1442.404128</v>
      </c>
      <c r="S233" s="269">
        <f t="shared" si="63"/>
        <v>-436.236832</v>
      </c>
      <c r="T233" s="269">
        <f t="shared" si="63"/>
        <v>-2114.79596</v>
      </c>
      <c r="U233" s="269">
        <f t="shared" si="63"/>
        <v>-386.282692</v>
      </c>
      <c r="V233" s="269">
        <f t="shared" si="63"/>
        <v>120.768988</v>
      </c>
      <c r="W233" s="269">
        <f t="shared" si="63"/>
        <v>-629.481628</v>
      </c>
      <c r="X233" s="269">
        <f t="shared" si="63"/>
        <v>-481.553308</v>
      </c>
      <c r="Y233" s="269">
        <f t="shared" si="63"/>
        <v>-169.441332</v>
      </c>
      <c r="Z233" s="269">
        <f t="shared" si="63"/>
        <v>27.810308</v>
      </c>
      <c r="AA233" s="269">
        <f t="shared" si="63"/>
        <v>-1125.090756</v>
      </c>
      <c r="AB233" s="269">
        <f t="shared" si="63"/>
        <v>-400.343308</v>
      </c>
      <c r="AC233" s="269">
        <f t="shared" si="63"/>
        <v>-960.422408</v>
      </c>
      <c r="AD233" s="269">
        <f t="shared" si="63"/>
        <v>-401.810512</v>
      </c>
      <c r="AE233" s="269">
        <f t="shared" si="63"/>
        <v>-648.341076</v>
      </c>
      <c r="AF233" s="269">
        <f t="shared" si="63"/>
        <v>78.295872</v>
      </c>
      <c r="AG233" s="95">
        <f t="shared" si="61"/>
        <v>-24794.00726</v>
      </c>
    </row>
    <row r="234">
      <c r="A234" s="213" t="s">
        <v>433</v>
      </c>
      <c r="B234" s="255">
        <f>((B129+B130)*'Data - P&amp;L'!$C$3)*'Data - P&amp;L'!$C$54</f>
        <v>21.725</v>
      </c>
      <c r="C234" s="255">
        <f>((C129+C130)*'Data - P&amp;L'!$C$3)*'Data - P&amp;L'!$C$54</f>
        <v>21.725</v>
      </c>
      <c r="D234" s="255">
        <f>((D129+D130)*'Data - P&amp;L'!$C$3)*'Data - P&amp;L'!$C$54</f>
        <v>0</v>
      </c>
      <c r="E234" s="255">
        <f>((E129+E130)*'Data - P&amp;L'!$C$3)*'Data - P&amp;L'!$C$54</f>
        <v>0</v>
      </c>
      <c r="F234" s="255">
        <f>((F129+F130)*'Data - P&amp;L'!$C$3)*'Data - P&amp;L'!$C$54</f>
        <v>0</v>
      </c>
      <c r="G234" s="255">
        <f>((G129+G130)*'Data - P&amp;L'!$C$3)*'Data - P&amp;L'!$C$54</f>
        <v>0</v>
      </c>
      <c r="H234" s="255">
        <f>((H129+H130)*'Data - P&amp;L'!$C$3)*'Data - P&amp;L'!$C$54</f>
        <v>0</v>
      </c>
      <c r="I234" s="255">
        <f>((I129+I130)*'Data - P&amp;L'!$C$3)*'Data - P&amp;L'!$C$54</f>
        <v>21.725</v>
      </c>
      <c r="J234" s="255">
        <f>((J129+J130)*'Data - P&amp;L'!$C$3)*'Data - P&amp;L'!$C$54</f>
        <v>0</v>
      </c>
      <c r="K234" s="255">
        <f>((K129+K130)*'Data - P&amp;L'!$C$3)*'Data - P&amp;L'!$C$54</f>
        <v>43.45</v>
      </c>
      <c r="L234" s="255">
        <f>((L129+L130)*'Data - P&amp;L'!$C$3)*'Data - P&amp;L'!$C$54</f>
        <v>0</v>
      </c>
      <c r="M234" s="255">
        <f>((M129+M130)*'Data - P&amp;L'!$C$3)*'Data - P&amp;L'!$C$54</f>
        <v>0</v>
      </c>
      <c r="N234" s="255">
        <f>((N129+N130)*'Data - P&amp;L'!$C$3)*'Data - P&amp;L'!$C$54</f>
        <v>43.45</v>
      </c>
      <c r="O234" s="255">
        <f>((O129+O130)*'Data - P&amp;L'!$C$3)*'Data - P&amp;L'!$C$54</f>
        <v>0</v>
      </c>
      <c r="P234" s="255">
        <f>((P129+P130)*'Data - P&amp;L'!$C$3)*'Data - P&amp;L'!$C$54</f>
        <v>21.725</v>
      </c>
      <c r="Q234" s="255">
        <f>((Q129+Q130)*'Data - P&amp;L'!$C$3)*'Data - P&amp;L'!$C$54</f>
        <v>21.725</v>
      </c>
      <c r="R234" s="255">
        <f>((R129+R130)*'Data - P&amp;L'!$C$3)*'Data - P&amp;L'!$C$54</f>
        <v>0</v>
      </c>
      <c r="S234" s="255">
        <f>((S129+S130)*'Data - P&amp;L'!$C$3)*'Data - P&amp;L'!$C$54</f>
        <v>65.175</v>
      </c>
      <c r="T234" s="255">
        <f>((T129+T130)*'Data - P&amp;L'!$C$3)*'Data - P&amp;L'!$C$54</f>
        <v>43.45</v>
      </c>
      <c r="U234" s="255">
        <f>((U129+U130)*'Data - P&amp;L'!$C$3)*'Data - P&amp;L'!$C$54</f>
        <v>21.725</v>
      </c>
      <c r="V234" s="255">
        <f>((V129+V130)*'Data - P&amp;L'!$C$3)*'Data - P&amp;L'!$C$54</f>
        <v>43.45</v>
      </c>
      <c r="W234" s="255">
        <f>((W129+W130)*'Data - P&amp;L'!$C$3)*'Data - P&amp;L'!$C$54</f>
        <v>21.725</v>
      </c>
      <c r="X234" s="255">
        <f>((X129+X130)*'Data - P&amp;L'!$C$3)*'Data - P&amp;L'!$C$54</f>
        <v>0</v>
      </c>
      <c r="Y234" s="255">
        <f>((Y129+Y130)*'Data - P&amp;L'!$C$3)*'Data - P&amp;L'!$C$54</f>
        <v>21.725</v>
      </c>
      <c r="Z234" s="255">
        <f>((Z129+Z130)*'Data - P&amp;L'!$C$3)*'Data - P&amp;L'!$C$54</f>
        <v>0</v>
      </c>
      <c r="AA234" s="255">
        <f>((AA129+AA130)*'Data - P&amp;L'!$C$3)*'Data - P&amp;L'!$C$54</f>
        <v>43.45</v>
      </c>
      <c r="AB234" s="255">
        <f>((AB129+AB130)*'Data - P&amp;L'!$C$3)*'Data - P&amp;L'!$C$54</f>
        <v>0</v>
      </c>
      <c r="AC234" s="255">
        <f>((AC129+AC130)*'Data - P&amp;L'!$C$3)*'Data - P&amp;L'!$C$54</f>
        <v>21.725</v>
      </c>
      <c r="AD234" s="255">
        <f>((AD129+AD130)*'Data - P&amp;L'!$C$3)*'Data - P&amp;L'!$C$54</f>
        <v>0</v>
      </c>
      <c r="AE234" s="255">
        <f>((AE129+AE130)*'Data - P&amp;L'!$C$3)*'Data - P&amp;L'!$C$54</f>
        <v>0</v>
      </c>
      <c r="AF234" s="255">
        <f>((AF129+AF130)*'Data - P&amp;L'!$C$3)*'Data - P&amp;L'!$C$54</f>
        <v>0</v>
      </c>
      <c r="AG234" s="95">
        <f t="shared" si="61"/>
        <v>477.95</v>
      </c>
    </row>
    <row r="235">
      <c r="A235" s="213" t="s">
        <v>434</v>
      </c>
      <c r="B235" s="255">
        <f>(B131+B132)*'Data - P&amp;L'!$C$4*'Data - P&amp;L'!$C$54</f>
        <v>219.6225</v>
      </c>
      <c r="C235" s="255">
        <f>(C131+C132)*'Data - P&amp;L'!$C$4*'Data - P&amp;L'!$C$54</f>
        <v>195.22</v>
      </c>
      <c r="D235" s="255">
        <f>(D131+D132)*'Data - P&amp;L'!$C$4*'Data - P&amp;L'!$C$54</f>
        <v>146.415</v>
      </c>
      <c r="E235" s="255">
        <f>(E131+E132)*'Data - P&amp;L'!$C$4*'Data - P&amp;L'!$C$54</f>
        <v>122.0125</v>
      </c>
      <c r="F235" s="255">
        <f>(F131+F132)*'Data - P&amp;L'!$C$4*'Data - P&amp;L'!$C$54</f>
        <v>97.61</v>
      </c>
      <c r="G235" s="255">
        <f>(G131+G132)*'Data - P&amp;L'!$C$4*'Data - P&amp;L'!$C$54</f>
        <v>170.8175</v>
      </c>
      <c r="H235" s="255">
        <f>(H131+H132)*'Data - P&amp;L'!$C$4*'Data - P&amp;L'!$C$54</f>
        <v>97.61</v>
      </c>
      <c r="I235" s="255">
        <f>(I131+I132)*'Data - P&amp;L'!$C$4*'Data - P&amp;L'!$C$54</f>
        <v>73.2075</v>
      </c>
      <c r="J235" s="255">
        <f>(J131+J132)*'Data - P&amp;L'!$C$4*'Data - P&amp;L'!$C$54</f>
        <v>73.2075</v>
      </c>
      <c r="K235" s="255">
        <f>(K131+K132)*'Data - P&amp;L'!$C$4*'Data - P&amp;L'!$C$54</f>
        <v>122.0125</v>
      </c>
      <c r="L235" s="255">
        <f>(L131+L132)*'Data - P&amp;L'!$C$4*'Data - P&amp;L'!$C$54</f>
        <v>122.0125</v>
      </c>
      <c r="M235" s="255">
        <f>(M131+M132)*'Data - P&amp;L'!$C$4*'Data - P&amp;L'!$C$54</f>
        <v>195.22</v>
      </c>
      <c r="N235" s="255">
        <f>(N131+N132)*'Data - P&amp;L'!$C$4*'Data - P&amp;L'!$C$54</f>
        <v>170.8175</v>
      </c>
      <c r="O235" s="255">
        <f>(O131+O132)*'Data - P&amp;L'!$C$4*'Data - P&amp;L'!$C$54</f>
        <v>73.2075</v>
      </c>
      <c r="P235" s="255">
        <f>(P131+P132)*'Data - P&amp;L'!$C$4*'Data - P&amp;L'!$C$54</f>
        <v>73.2075</v>
      </c>
      <c r="Q235" s="255">
        <f>(Q131+Q132)*'Data - P&amp;L'!$C$4*'Data - P&amp;L'!$C$54</f>
        <v>73.2075</v>
      </c>
      <c r="R235" s="255">
        <f>(R131+R132)*'Data - P&amp;L'!$C$4*'Data - P&amp;L'!$C$54</f>
        <v>73.2075</v>
      </c>
      <c r="S235" s="255">
        <f>(S131+S132)*'Data - P&amp;L'!$C$4*'Data - P&amp;L'!$C$54</f>
        <v>97.61</v>
      </c>
      <c r="T235" s="255">
        <f>(T131+T132)*'Data - P&amp;L'!$C$4*'Data - P&amp;L'!$C$54</f>
        <v>195.22</v>
      </c>
      <c r="U235" s="255">
        <f>(U131+U132)*'Data - P&amp;L'!$C$4*'Data - P&amp;L'!$C$54</f>
        <v>146.415</v>
      </c>
      <c r="V235" s="255">
        <f>(V131+V132)*'Data - P&amp;L'!$C$4*'Data - P&amp;L'!$C$54</f>
        <v>122.0125</v>
      </c>
      <c r="W235" s="255">
        <f>(W131+W132)*'Data - P&amp;L'!$C$4*'Data - P&amp;L'!$C$54</f>
        <v>48.805</v>
      </c>
      <c r="X235" s="255">
        <f>(X131+X132)*'Data - P&amp;L'!$C$4*'Data - P&amp;L'!$C$54</f>
        <v>73.2075</v>
      </c>
      <c r="Y235" s="255">
        <f>(Y131+Y132)*'Data - P&amp;L'!$C$4*'Data - P&amp;L'!$C$54</f>
        <v>24.4025</v>
      </c>
      <c r="Z235" s="255">
        <f>(Z131+Z132)*'Data - P&amp;L'!$C$4*'Data - P&amp;L'!$C$54</f>
        <v>48.805</v>
      </c>
      <c r="AA235" s="255">
        <f>(AA131+AA132)*'Data - P&amp;L'!$C$4*'Data - P&amp;L'!$C$54</f>
        <v>97.61</v>
      </c>
      <c r="AB235" s="255">
        <f>(AB131+AB132)*'Data - P&amp;L'!$C$4*'Data - P&amp;L'!$C$54</f>
        <v>73.2075</v>
      </c>
      <c r="AC235" s="255">
        <f>(AC131+AC132)*'Data - P&amp;L'!$C$4*'Data - P&amp;L'!$C$54</f>
        <v>48.805</v>
      </c>
      <c r="AD235" s="255">
        <f>(AD131+AD132)*'Data - P&amp;L'!$C$4*'Data - P&amp;L'!$C$54</f>
        <v>48.805</v>
      </c>
      <c r="AE235" s="255">
        <f>(AE131+AE132)*'Data - P&amp;L'!$C$4*'Data - P&amp;L'!$C$54</f>
        <v>24.4025</v>
      </c>
      <c r="AF235" s="255">
        <f>(AF131+AF132)*'Data - P&amp;L'!$C$4*'Data - P&amp;L'!$C$54</f>
        <v>73.2075</v>
      </c>
      <c r="AG235" s="95">
        <f t="shared" si="61"/>
        <v>3221.13</v>
      </c>
    </row>
    <row r="236">
      <c r="A236" s="213" t="s">
        <v>435</v>
      </c>
      <c r="B236" s="255">
        <f>B136*'Data - P&amp;L'!$C$6*'Data - P&amp;L'!$C$54</f>
        <v>2.745</v>
      </c>
      <c r="C236" s="255">
        <f>C136*'Data - P&amp;L'!$C$6*'Data - P&amp;L'!$C$54</f>
        <v>1.3725</v>
      </c>
      <c r="D236" s="255">
        <f>D136*'Data - P&amp;L'!$C$6*'Data - P&amp;L'!$C$54</f>
        <v>2.745</v>
      </c>
      <c r="E236" s="255">
        <f>E136*'Data - P&amp;L'!$C$6*'Data - P&amp;L'!$C$54</f>
        <v>1.3725</v>
      </c>
      <c r="F236" s="255">
        <f>F136*'Data - P&amp;L'!$C$6*'Data - P&amp;L'!$C$54</f>
        <v>4.1175</v>
      </c>
      <c r="G236" s="255">
        <f>G136*'Data - P&amp;L'!$C$6*'Data - P&amp;L'!$C$54</f>
        <v>10.98</v>
      </c>
      <c r="H236" s="255">
        <f>H136*'Data - P&amp;L'!$C$6*'Data - P&amp;L'!$C$54</f>
        <v>0</v>
      </c>
      <c r="I236" s="255">
        <f>I136*'Data - P&amp;L'!$C$6*'Data - P&amp;L'!$C$54</f>
        <v>1.3725</v>
      </c>
      <c r="J236" s="255">
        <f>J136*'Data - P&amp;L'!$C$6*'Data - P&amp;L'!$C$54</f>
        <v>1.3725</v>
      </c>
      <c r="K236" s="255">
        <f>K136*'Data - P&amp;L'!$C$6*'Data - P&amp;L'!$C$54</f>
        <v>5.49</v>
      </c>
      <c r="L236" s="255">
        <f>L136*'Data - P&amp;L'!$C$6*'Data - P&amp;L'!$C$54</f>
        <v>0</v>
      </c>
      <c r="M236" s="255">
        <f>M136*'Data - P&amp;L'!$C$6*'Data - P&amp;L'!$C$54</f>
        <v>1.3725</v>
      </c>
      <c r="N236" s="255">
        <f>N136*'Data - P&amp;L'!$C$6*'Data - P&amp;L'!$C$54</f>
        <v>2.745</v>
      </c>
      <c r="O236" s="255">
        <f>O136*'Data - P&amp;L'!$C$6*'Data - P&amp;L'!$C$54</f>
        <v>1.3725</v>
      </c>
      <c r="P236" s="255">
        <f>P136*'Data - P&amp;L'!$C$6*'Data - P&amp;L'!$C$54</f>
        <v>1.3725</v>
      </c>
      <c r="Q236" s="255">
        <f>Q136*'Data - P&amp;L'!$C$6*'Data - P&amp;L'!$C$54</f>
        <v>0</v>
      </c>
      <c r="R236" s="255">
        <f>R136*'Data - P&amp;L'!$C$6*'Data - P&amp;L'!$C$54</f>
        <v>1.3725</v>
      </c>
      <c r="S236" s="255">
        <f>S136*'Data - P&amp;L'!$C$6*'Data - P&amp;L'!$C$54</f>
        <v>0</v>
      </c>
      <c r="T236" s="255">
        <f>T136*'Data - P&amp;L'!$C$6*'Data - P&amp;L'!$C$54</f>
        <v>5.49</v>
      </c>
      <c r="U236" s="255">
        <f>U136*'Data - P&amp;L'!$C$6*'Data - P&amp;L'!$C$54</f>
        <v>1.3725</v>
      </c>
      <c r="V236" s="255">
        <f>V136*'Data - P&amp;L'!$C$6*'Data - P&amp;L'!$C$54</f>
        <v>2.745</v>
      </c>
      <c r="W236" s="255">
        <f>W136*'Data - P&amp;L'!$C$6*'Data - P&amp;L'!$C$54</f>
        <v>1.3725</v>
      </c>
      <c r="X236" s="255">
        <f>X136*'Data - P&amp;L'!$C$6*'Data - P&amp;L'!$C$54</f>
        <v>0</v>
      </c>
      <c r="Y236" s="255">
        <f>Y136*'Data - P&amp;L'!$C$6*'Data - P&amp;L'!$C$54</f>
        <v>0</v>
      </c>
      <c r="Z236" s="255">
        <f>Z136*'Data - P&amp;L'!$C$6*'Data - P&amp;L'!$C$54</f>
        <v>1.3725</v>
      </c>
      <c r="AA236" s="255">
        <f>AA136*'Data - P&amp;L'!$C$6*'Data - P&amp;L'!$C$54</f>
        <v>1.3725</v>
      </c>
      <c r="AB236" s="255">
        <f>AB136*'Data - P&amp;L'!$C$6*'Data - P&amp;L'!$C$54</f>
        <v>0</v>
      </c>
      <c r="AC236" s="255">
        <f>AC136*'Data - P&amp;L'!$C$6*'Data - P&amp;L'!$C$54</f>
        <v>4.1175</v>
      </c>
      <c r="AD236" s="255">
        <f>AD136*'Data - P&amp;L'!$C$6*'Data - P&amp;L'!$C$54</f>
        <v>2.745</v>
      </c>
      <c r="AE236" s="255">
        <f>AE136*'Data - P&amp;L'!$C$6*'Data - P&amp;L'!$C$54</f>
        <v>1.3725</v>
      </c>
      <c r="AF236" s="255">
        <f>AF136*'Data - P&amp;L'!$C$6*'Data - P&amp;L'!$C$54</f>
        <v>1.3725</v>
      </c>
      <c r="AG236" s="95">
        <f t="shared" si="61"/>
        <v>63.135</v>
      </c>
    </row>
    <row r="237">
      <c r="A237" s="213" t="s">
        <v>436</v>
      </c>
      <c r="B237" s="255">
        <f>B137*'Data - P&amp;L'!$C$8*'Data - P&amp;L'!$C$54</f>
        <v>0</v>
      </c>
      <c r="C237" s="255">
        <f>C137*'Data - P&amp;L'!$C$8*'Data - P&amp;L'!$C$54</f>
        <v>0</v>
      </c>
      <c r="D237" s="255">
        <f>D137*'Data - P&amp;L'!$C$8*'Data - P&amp;L'!$C$54</f>
        <v>0</v>
      </c>
      <c r="E237" s="255">
        <f>E137*'Data - P&amp;L'!$C$8*'Data - P&amp;L'!$C$54</f>
        <v>0</v>
      </c>
      <c r="F237" s="255">
        <f>F137*'Data - P&amp;L'!$C$8*'Data - P&amp;L'!$C$54</f>
        <v>0</v>
      </c>
      <c r="G237" s="255">
        <f>G137*'Data - P&amp;L'!$C$8*'Data - P&amp;L'!$C$54</f>
        <v>0</v>
      </c>
      <c r="H237" s="255">
        <f>H137*'Data - P&amp;L'!$C$8*'Data - P&amp;L'!$C$54</f>
        <v>0.2975</v>
      </c>
      <c r="I237" s="255">
        <f>I137*'Data - P&amp;L'!$C$8*'Data - P&amp;L'!$C$54</f>
        <v>0</v>
      </c>
      <c r="J237" s="255">
        <f>J137*'Data - P&amp;L'!$C$8*'Data - P&amp;L'!$C$54</f>
        <v>0</v>
      </c>
      <c r="K237" s="255">
        <f>K137*'Data - P&amp;L'!$C$8*'Data - P&amp;L'!$C$54</f>
        <v>0</v>
      </c>
      <c r="L237" s="255">
        <f>L137*'Data - P&amp;L'!$C$8*'Data - P&amp;L'!$C$54</f>
        <v>0</v>
      </c>
      <c r="M237" s="255">
        <f>M137*'Data - P&amp;L'!$C$8*'Data - P&amp;L'!$C$54</f>
        <v>0</v>
      </c>
      <c r="N237" s="255">
        <f>N137*'Data - P&amp;L'!$C$8*'Data - P&amp;L'!$C$54</f>
        <v>0</v>
      </c>
      <c r="O237" s="255">
        <f>O137*'Data - P&amp;L'!$C$8*'Data - P&amp;L'!$C$54</f>
        <v>0</v>
      </c>
      <c r="P237" s="255">
        <f>P137*'Data - P&amp;L'!$C$8*'Data - P&amp;L'!$C$54</f>
        <v>0</v>
      </c>
      <c r="Q237" s="255">
        <f>Q137*'Data - P&amp;L'!$C$8*'Data - P&amp;L'!$C$54</f>
        <v>0.2975</v>
      </c>
      <c r="R237" s="255">
        <f>R137*'Data - P&amp;L'!$C$8*'Data - P&amp;L'!$C$54</f>
        <v>0</v>
      </c>
      <c r="S237" s="255">
        <f>S137*'Data - P&amp;L'!$C$8*'Data - P&amp;L'!$C$54</f>
        <v>0.595</v>
      </c>
      <c r="T237" s="255">
        <f>T137*'Data - P&amp;L'!$C$8*'Data - P&amp;L'!$C$54</f>
        <v>0</v>
      </c>
      <c r="U237" s="255">
        <f>U137*'Data - P&amp;L'!$C$8*'Data - P&amp;L'!$C$54</f>
        <v>0</v>
      </c>
      <c r="V237" s="255">
        <f>V137*'Data - P&amp;L'!$C$8*'Data - P&amp;L'!$C$54</f>
        <v>0</v>
      </c>
      <c r="W237" s="255">
        <f>W137*'Data - P&amp;L'!$C$8*'Data - P&amp;L'!$C$54</f>
        <v>0</v>
      </c>
      <c r="X237" s="255">
        <f>X137*'Data - P&amp;L'!$C$8*'Data - P&amp;L'!$C$54</f>
        <v>0</v>
      </c>
      <c r="Y237" s="255">
        <f>Y137*'Data - P&amp;L'!$C$8*'Data - P&amp;L'!$C$54</f>
        <v>0.595</v>
      </c>
      <c r="Z237" s="255">
        <f>Z137*'Data - P&amp;L'!$C$8*'Data - P&amp;L'!$C$54</f>
        <v>0</v>
      </c>
      <c r="AA237" s="255">
        <f>AA137*'Data - P&amp;L'!$C$8*'Data - P&amp;L'!$C$54</f>
        <v>0</v>
      </c>
      <c r="AB237" s="255">
        <f>AB137*'Data - P&amp;L'!$C$8*'Data - P&amp;L'!$C$54</f>
        <v>0</v>
      </c>
      <c r="AC237" s="255">
        <f>AC137*'Data - P&amp;L'!$C$8*'Data - P&amp;L'!$C$54</f>
        <v>0.2975</v>
      </c>
      <c r="AD237" s="255">
        <f>AD137*'Data - P&amp;L'!$C$8*'Data - P&amp;L'!$C$54</f>
        <v>0</v>
      </c>
      <c r="AE237" s="255">
        <f>AE137*'Data - P&amp;L'!$C$8*'Data - P&amp;L'!$C$54</f>
        <v>0.2975</v>
      </c>
      <c r="AF237" s="255">
        <f>AF137*'Data - P&amp;L'!$C$8*'Data - P&amp;L'!$C$54</f>
        <v>0</v>
      </c>
      <c r="AG237" s="95">
        <f t="shared" si="61"/>
        <v>2.38</v>
      </c>
    </row>
    <row r="238">
      <c r="A238" s="213" t="s">
        <v>424</v>
      </c>
      <c r="B238" s="255">
        <f>(B138+B139)*'Data - P&amp;L'!$C$9*'Data - P&amp;L'!$C$54</f>
        <v>0</v>
      </c>
      <c r="C238" s="255">
        <f>(C138+C139)*'Data - P&amp;L'!$C$9*'Data - P&amp;L'!$C$54</f>
        <v>0</v>
      </c>
      <c r="D238" s="255">
        <f>(D138+D139)*'Data - P&amp;L'!$C$9*'Data - P&amp;L'!$C$54</f>
        <v>0</v>
      </c>
      <c r="E238" s="255">
        <f>(E138+E139)*'Data - P&amp;L'!$C$9*'Data - P&amp;L'!$C$54</f>
        <v>0</v>
      </c>
      <c r="F238" s="255">
        <f>(F138+F139)*'Data - P&amp;L'!$C$9*'Data - P&amp;L'!$C$54</f>
        <v>0</v>
      </c>
      <c r="G238" s="255">
        <f>(G138+G139)*'Data - P&amp;L'!$C$9*'Data - P&amp;L'!$C$54</f>
        <v>0</v>
      </c>
      <c r="H238" s="255">
        <f>(H138+H139)*'Data - P&amp;L'!$C$9*'Data - P&amp;L'!$C$54</f>
        <v>0</v>
      </c>
      <c r="I238" s="255">
        <f>(I138+I139)*'Data - P&amp;L'!$C$9*'Data - P&amp;L'!$C$54</f>
        <v>0</v>
      </c>
      <c r="J238" s="255">
        <f>(J138+J139)*'Data - P&amp;L'!$C$9*'Data - P&amp;L'!$C$54</f>
        <v>0</v>
      </c>
      <c r="K238" s="255">
        <f>(K138+K139)*'Data - P&amp;L'!$C$9*'Data - P&amp;L'!$C$54</f>
        <v>0</v>
      </c>
      <c r="L238" s="255">
        <f>(L138+L139)*'Data - P&amp;L'!$C$9*'Data - P&amp;L'!$C$54</f>
        <v>0</v>
      </c>
      <c r="M238" s="255">
        <f>(M138+M139)*'Data - P&amp;L'!$C$9*'Data - P&amp;L'!$C$54</f>
        <v>0</v>
      </c>
      <c r="N238" s="255">
        <f>(N138+N139)*'Data - P&amp;L'!$C$9*'Data - P&amp;L'!$C$54</f>
        <v>0</v>
      </c>
      <c r="O238" s="255">
        <f>(O138+O139)*'Data - P&amp;L'!$C$9*'Data - P&amp;L'!$C$54</f>
        <v>0</v>
      </c>
      <c r="P238" s="255">
        <f>(P138+P139)*'Data - P&amp;L'!$C$9*'Data - P&amp;L'!$C$54</f>
        <v>0</v>
      </c>
      <c r="Q238" s="255">
        <f>(Q138+Q139)*'Data - P&amp;L'!$C$9*'Data - P&amp;L'!$C$54</f>
        <v>1.665</v>
      </c>
      <c r="R238" s="255">
        <f>(R138+R139)*'Data - P&amp;L'!$C$9*'Data - P&amp;L'!$C$54</f>
        <v>0</v>
      </c>
      <c r="S238" s="255">
        <f>(S138+S139)*'Data - P&amp;L'!$C$9*'Data - P&amp;L'!$C$54</f>
        <v>1.665</v>
      </c>
      <c r="T238" s="255">
        <f>(T138+T139)*'Data - P&amp;L'!$C$9*'Data - P&amp;L'!$C$54</f>
        <v>0</v>
      </c>
      <c r="U238" s="255">
        <f>(U138+U139)*'Data - P&amp;L'!$C$9*'Data - P&amp;L'!$C$54</f>
        <v>0</v>
      </c>
      <c r="V238" s="255">
        <f>(V138+V139)*'Data - P&amp;L'!$C$9*'Data - P&amp;L'!$C$54</f>
        <v>0</v>
      </c>
      <c r="W238" s="255">
        <f>(W138+W139)*'Data - P&amp;L'!$C$9*'Data - P&amp;L'!$C$54</f>
        <v>0</v>
      </c>
      <c r="X238" s="255">
        <f>(X138+X139)*'Data - P&amp;L'!$C$9*'Data - P&amp;L'!$C$54</f>
        <v>0</v>
      </c>
      <c r="Y238" s="255">
        <f>(Y138+Y139)*'Data - P&amp;L'!$C$9*'Data - P&amp;L'!$C$54</f>
        <v>0</v>
      </c>
      <c r="Z238" s="255">
        <f>(Z138+Z139)*'Data - P&amp;L'!$C$9*'Data - P&amp;L'!$C$54</f>
        <v>0</v>
      </c>
      <c r="AA238" s="255">
        <f>(AA138+AA139)*'Data - P&amp;L'!$C$9*'Data - P&amp;L'!$C$54</f>
        <v>1.665</v>
      </c>
      <c r="AB238" s="255">
        <f>(AB138+AB139)*'Data - P&amp;L'!$C$9*'Data - P&amp;L'!$C$54</f>
        <v>0</v>
      </c>
      <c r="AC238" s="255">
        <f>(AC138+AC139)*'Data - P&amp;L'!$C$9*'Data - P&amp;L'!$C$54</f>
        <v>0</v>
      </c>
      <c r="AD238" s="255">
        <f>(AD138+AD139)*'Data - P&amp;L'!$C$9*'Data - P&amp;L'!$C$54</f>
        <v>0</v>
      </c>
      <c r="AE238" s="255">
        <f>(AE138+AE139)*'Data - P&amp;L'!$C$9*'Data - P&amp;L'!$C$54</f>
        <v>0</v>
      </c>
      <c r="AF238" s="255">
        <f>(AF138+AF139)*'Data - P&amp;L'!$C$9*'Data - P&amp;L'!$C$54</f>
        <v>0</v>
      </c>
      <c r="AG238" s="95">
        <f t="shared" si="61"/>
        <v>4.995</v>
      </c>
    </row>
    <row r="239">
      <c r="A239" s="213" t="s">
        <v>425</v>
      </c>
      <c r="B239" s="255">
        <f>(B140+B141)*'Data - P&amp;L'!$C$5*'Data - P&amp;L'!$C$54</f>
        <v>0</v>
      </c>
      <c r="C239" s="255">
        <f>(C140+C141)*'Data - P&amp;L'!$C$5*'Data - P&amp;L'!$C$54</f>
        <v>0</v>
      </c>
      <c r="D239" s="255">
        <f>(D140+D141)*'Data - P&amp;L'!$C$5*'Data - P&amp;L'!$C$54</f>
        <v>0</v>
      </c>
      <c r="E239" s="255">
        <f>(E140+E141)*'Data - P&amp;L'!$C$5*'Data - P&amp;L'!$C$54</f>
        <v>0</v>
      </c>
      <c r="F239" s="255">
        <f>(F140+F141)*'Data - P&amp;L'!$C$5*'Data - P&amp;L'!$C$54</f>
        <v>0</v>
      </c>
      <c r="G239" s="255">
        <f>(G140+G141)*'Data - P&amp;L'!$C$5*'Data - P&amp;L'!$C$54</f>
        <v>0</v>
      </c>
      <c r="H239" s="255">
        <f>(H140+H141)*'Data - P&amp;L'!$C$5*'Data - P&amp;L'!$C$54</f>
        <v>0</v>
      </c>
      <c r="I239" s="255">
        <f>(I140+I141)*'Data - P&amp;L'!$C$5*'Data - P&amp;L'!$C$54</f>
        <v>0</v>
      </c>
      <c r="J239" s="255">
        <f>(J140+J141)*'Data - P&amp;L'!$C$5*'Data - P&amp;L'!$C$54</f>
        <v>0</v>
      </c>
      <c r="K239" s="255">
        <f>(K140+K141)*'Data - P&amp;L'!$C$5*'Data - P&amp;L'!$C$54</f>
        <v>0</v>
      </c>
      <c r="L239" s="255">
        <f>(L140+L141)*'Data - P&amp;L'!$C$5*'Data - P&amp;L'!$C$54</f>
        <v>0</v>
      </c>
      <c r="M239" s="255">
        <f>(M140+M141)*'Data - P&amp;L'!$C$5*'Data - P&amp;L'!$C$54</f>
        <v>0</v>
      </c>
      <c r="N239" s="255">
        <f>(N140+N141)*'Data - P&amp;L'!$C$5*'Data - P&amp;L'!$C$54</f>
        <v>0</v>
      </c>
      <c r="O239" s="255">
        <f>(O140+O141)*'Data - P&amp;L'!$C$5*'Data - P&amp;L'!$C$54</f>
        <v>0</v>
      </c>
      <c r="P239" s="255">
        <f>(P140+P141)*'Data - P&amp;L'!$C$5*'Data - P&amp;L'!$C$54</f>
        <v>0</v>
      </c>
      <c r="Q239" s="255">
        <f>(Q140+Q141)*'Data - P&amp;L'!$C$5*'Data - P&amp;L'!$C$54</f>
        <v>0</v>
      </c>
      <c r="R239" s="255">
        <f>(R140+R141)*'Data - P&amp;L'!$C$5*'Data - P&amp;L'!$C$54</f>
        <v>0</v>
      </c>
      <c r="S239" s="255">
        <f>(S140+S141)*'Data - P&amp;L'!$C$5*'Data - P&amp;L'!$C$54</f>
        <v>0</v>
      </c>
      <c r="T239" s="255">
        <f>(T140+T141)*'Data - P&amp;L'!$C$5*'Data - P&amp;L'!$C$54</f>
        <v>0</v>
      </c>
      <c r="U239" s="255">
        <f>(U140+U141)*'Data - P&amp;L'!$C$5*'Data - P&amp;L'!$C$54</f>
        <v>0</v>
      </c>
      <c r="V239" s="255">
        <f>(V140+V141)*'Data - P&amp;L'!$C$5*'Data - P&amp;L'!$C$54</f>
        <v>0</v>
      </c>
      <c r="W239" s="255">
        <f>(W140+W141)*'Data - P&amp;L'!$C$5*'Data - P&amp;L'!$C$54</f>
        <v>0</v>
      </c>
      <c r="X239" s="255">
        <f>(X140+X141)*'Data - P&amp;L'!$C$5*'Data - P&amp;L'!$C$54</f>
        <v>0</v>
      </c>
      <c r="Y239" s="255">
        <f>(Y140+Y141)*'Data - P&amp;L'!$C$5*'Data - P&amp;L'!$C$54</f>
        <v>0</v>
      </c>
      <c r="Z239" s="255">
        <f>(Z140+Z141)*'Data - P&amp;L'!$C$5*'Data - P&amp;L'!$C$54</f>
        <v>0</v>
      </c>
      <c r="AA239" s="255">
        <f>(AA140+AA141)*'Data - P&amp;L'!$C$5*'Data - P&amp;L'!$C$54</f>
        <v>0</v>
      </c>
      <c r="AB239" s="255">
        <f>(AB140+AB141)*'Data - P&amp;L'!$C$5*'Data - P&amp;L'!$C$54</f>
        <v>0</v>
      </c>
      <c r="AC239" s="255">
        <f>(AC140+AC141)*'Data - P&amp;L'!$C$5*'Data - P&amp;L'!$C$54</f>
        <v>0</v>
      </c>
      <c r="AD239" s="255">
        <f>(AD140+AD141)*'Data - P&amp;L'!$C$5*'Data - P&amp;L'!$C$54</f>
        <v>0</v>
      </c>
      <c r="AE239" s="255">
        <f>(AE140+AE141)*'Data - P&amp;L'!$C$5*'Data - P&amp;L'!$C$54</f>
        <v>0</v>
      </c>
      <c r="AF239" s="255">
        <f>(AF140+AF141)*'Data - P&amp;L'!$C$5*'Data - P&amp;L'!$C$54</f>
        <v>0</v>
      </c>
      <c r="AG239" s="95">
        <f t="shared" si="61"/>
        <v>0</v>
      </c>
    </row>
    <row r="240">
      <c r="A240" s="213" t="s">
        <v>426</v>
      </c>
      <c r="B240" s="255">
        <f>(B142+B143)*'Data - P&amp;L'!$C$10*'Data - P&amp;L'!$C$54</f>
        <v>0</v>
      </c>
      <c r="C240" s="255">
        <f>(C142+C143)*'Data - P&amp;L'!$C$10*'Data - P&amp;L'!$C$54</f>
        <v>0</v>
      </c>
      <c r="D240" s="255">
        <f>(D142+D143)*'Data - P&amp;L'!$C$10*'Data - P&amp;L'!$C$54</f>
        <v>0</v>
      </c>
      <c r="E240" s="255">
        <f>(E142+E143)*'Data - P&amp;L'!$C$10*'Data - P&amp;L'!$C$54</f>
        <v>0</v>
      </c>
      <c r="F240" s="255">
        <f>(F142+F143)*'Data - P&amp;L'!$C$10*'Data - P&amp;L'!$C$54</f>
        <v>0</v>
      </c>
      <c r="G240" s="255">
        <f>(G142+G143)*'Data - P&amp;L'!$C$10*'Data - P&amp;L'!$C$54</f>
        <v>0</v>
      </c>
      <c r="H240" s="255">
        <f>(H142+H143)*'Data - P&amp;L'!$C$10*'Data - P&amp;L'!$C$54</f>
        <v>0</v>
      </c>
      <c r="I240" s="255">
        <f>(I142+I143)*'Data - P&amp;L'!$C$10*'Data - P&amp;L'!$C$54</f>
        <v>0</v>
      </c>
      <c r="J240" s="255">
        <f>(J142+J143)*'Data - P&amp;L'!$C$10*'Data - P&amp;L'!$C$54</f>
        <v>0</v>
      </c>
      <c r="K240" s="255">
        <f>(K142+K143)*'Data - P&amp;L'!$C$10*'Data - P&amp;L'!$C$54</f>
        <v>0</v>
      </c>
      <c r="L240" s="255">
        <f>(L142+L143)*'Data - P&amp;L'!$C$10*'Data - P&amp;L'!$C$54</f>
        <v>0</v>
      </c>
      <c r="M240" s="255">
        <f>(M142+M143)*'Data - P&amp;L'!$C$10*'Data - P&amp;L'!$C$54</f>
        <v>0</v>
      </c>
      <c r="N240" s="255">
        <f>(N142+N143)*'Data - P&amp;L'!$C$10*'Data - P&amp;L'!$C$54</f>
        <v>1.5</v>
      </c>
      <c r="O240" s="255">
        <f>(O142+O143)*'Data - P&amp;L'!$C$10*'Data - P&amp;L'!$C$54</f>
        <v>0</v>
      </c>
      <c r="P240" s="255">
        <f>(P142+P143)*'Data - P&amp;L'!$C$10*'Data - P&amp;L'!$C$54</f>
        <v>0</v>
      </c>
      <c r="Q240" s="255">
        <f>(Q142+Q143)*'Data - P&amp;L'!$C$10*'Data - P&amp;L'!$C$54</f>
        <v>3</v>
      </c>
      <c r="R240" s="255">
        <f>(R142+R143)*'Data - P&amp;L'!$C$10*'Data - P&amp;L'!$C$54</f>
        <v>0</v>
      </c>
      <c r="S240" s="255">
        <f>(S142+S143)*'Data - P&amp;L'!$C$10*'Data - P&amp;L'!$C$54</f>
        <v>1.5</v>
      </c>
      <c r="T240" s="255">
        <f>(T142+T143)*'Data - P&amp;L'!$C$10*'Data - P&amp;L'!$C$54</f>
        <v>1.5</v>
      </c>
      <c r="U240" s="255">
        <f>(U142+U143)*'Data - P&amp;L'!$C$10*'Data - P&amp;L'!$C$54</f>
        <v>1.5</v>
      </c>
      <c r="V240" s="255">
        <f>(V142+V143)*'Data - P&amp;L'!$C$10*'Data - P&amp;L'!$C$54</f>
        <v>1.5</v>
      </c>
      <c r="W240" s="255">
        <f>(W142+W143)*'Data - P&amp;L'!$C$10*'Data - P&amp;L'!$C$54</f>
        <v>0</v>
      </c>
      <c r="X240" s="255">
        <f>(X142+X143)*'Data - P&amp;L'!$C$10*'Data - P&amp;L'!$C$54</f>
        <v>0</v>
      </c>
      <c r="Y240" s="255">
        <f>(Y142+Y143)*'Data - P&amp;L'!$C$10*'Data - P&amp;L'!$C$54</f>
        <v>1.5</v>
      </c>
      <c r="Z240" s="255">
        <f>(Z142+Z143)*'Data - P&amp;L'!$C$10*'Data - P&amp;L'!$C$54</f>
        <v>0</v>
      </c>
      <c r="AA240" s="255">
        <f>(AA142+AA143)*'Data - P&amp;L'!$C$10*'Data - P&amp;L'!$C$54</f>
        <v>0</v>
      </c>
      <c r="AB240" s="255">
        <f>(AB142+AB143)*'Data - P&amp;L'!$C$10*'Data - P&amp;L'!$C$54</f>
        <v>0</v>
      </c>
      <c r="AC240" s="255">
        <f>(AC142+AC143)*'Data - P&amp;L'!$C$10*'Data - P&amp;L'!$C$54</f>
        <v>1.5</v>
      </c>
      <c r="AD240" s="255">
        <f>(AD142+AD143)*'Data - P&amp;L'!$C$10*'Data - P&amp;L'!$C$54</f>
        <v>0</v>
      </c>
      <c r="AE240" s="255">
        <f>(AE142+AE143)*'Data - P&amp;L'!$C$10*'Data - P&amp;L'!$C$54</f>
        <v>0</v>
      </c>
      <c r="AF240" s="255">
        <f>(AF142+AF143)*'Data - P&amp;L'!$C$10*'Data - P&amp;L'!$C$54</f>
        <v>0</v>
      </c>
      <c r="AG240" s="95">
        <f t="shared" si="61"/>
        <v>13.5</v>
      </c>
    </row>
    <row r="241">
      <c r="A241" s="358" t="s">
        <v>427</v>
      </c>
      <c r="B241" s="255">
        <f>(B133+B134)*'Data - P&amp;L'!$C$43*'Data - P&amp;L'!$C$54</f>
        <v>29.85</v>
      </c>
      <c r="C241" s="255">
        <f>(C133+C134)*'Data - P&amp;L'!$C$43*'Data - P&amp;L'!$C$54</f>
        <v>26.865</v>
      </c>
      <c r="D241" s="255">
        <f>(D133+D134)*'Data - P&amp;L'!$C$43*'Data - P&amp;L'!$C$54</f>
        <v>17.91</v>
      </c>
      <c r="E241" s="255">
        <f>(E133+E134)*'Data - P&amp;L'!$C$43*'Data - P&amp;L'!$C$54</f>
        <v>14.925</v>
      </c>
      <c r="F241" s="255">
        <f>(F133+F134)*'Data - P&amp;L'!$C$43*'Data - P&amp;L'!$C$54</f>
        <v>11.94</v>
      </c>
      <c r="G241" s="255">
        <f>(G133+G134)*'Data - P&amp;L'!$C$43*'Data - P&amp;L'!$C$54</f>
        <v>20.895</v>
      </c>
      <c r="H241" s="255">
        <f>(H133+H134)*'Data - P&amp;L'!$C$43*'Data - P&amp;L'!$C$54</f>
        <v>11.94</v>
      </c>
      <c r="I241" s="255">
        <f>(I133+I134)*'Data - P&amp;L'!$C$43*'Data - P&amp;L'!$C$54</f>
        <v>11.94</v>
      </c>
      <c r="J241" s="255">
        <f>(J133+J134)*'Data - P&amp;L'!$C$43*'Data - P&amp;L'!$C$54</f>
        <v>8.955</v>
      </c>
      <c r="K241" s="255">
        <f>(K133+K134)*'Data - P&amp;L'!$C$43*'Data - P&amp;L'!$C$54</f>
        <v>20.895</v>
      </c>
      <c r="L241" s="255">
        <f>(L133+L134)*'Data - P&amp;L'!$C$43*'Data - P&amp;L'!$C$54</f>
        <v>14.925</v>
      </c>
      <c r="M241" s="255">
        <f>(M133+M134)*'Data - P&amp;L'!$C$43*'Data - P&amp;L'!$C$54</f>
        <v>23.88</v>
      </c>
      <c r="N241" s="255">
        <f>(N133+N134)*'Data - P&amp;L'!$C$43*'Data - P&amp;L'!$C$54</f>
        <v>26.865</v>
      </c>
      <c r="O241" s="255">
        <f>(O133+O134)*'Data - P&amp;L'!$C$43*'Data - P&amp;L'!$C$54</f>
        <v>8.955</v>
      </c>
      <c r="P241" s="255">
        <f>(P133+P134)*'Data - P&amp;L'!$C$43*'Data - P&amp;L'!$C$54</f>
        <v>11.94</v>
      </c>
      <c r="Q241" s="255">
        <f>(Q133+Q134)*'Data - P&amp;L'!$C$43*'Data - P&amp;L'!$C$54</f>
        <v>11.94</v>
      </c>
      <c r="R241" s="255">
        <f>(R133+R134)*'Data - P&amp;L'!$C$43*'Data - P&amp;L'!$C$54</f>
        <v>8.955</v>
      </c>
      <c r="S241" s="255">
        <f>(S133+S134)*'Data - P&amp;L'!$C$43*'Data - P&amp;L'!$C$54</f>
        <v>20.895</v>
      </c>
      <c r="T241" s="255">
        <f>(T133+T134)*'Data - P&amp;L'!$C$43*'Data - P&amp;L'!$C$54</f>
        <v>29.85</v>
      </c>
      <c r="U241" s="255">
        <f>(U133+U134)*'Data - P&amp;L'!$C$43*'Data - P&amp;L'!$C$54</f>
        <v>20.895</v>
      </c>
      <c r="V241" s="255">
        <f>(V133+V134)*'Data - P&amp;L'!$C$43*'Data - P&amp;L'!$C$54</f>
        <v>20.895</v>
      </c>
      <c r="W241" s="255">
        <f>(W133+W134)*'Data - P&amp;L'!$C$43*'Data - P&amp;L'!$C$54</f>
        <v>8.955</v>
      </c>
      <c r="X241" s="255">
        <f>(X133+X134)*'Data - P&amp;L'!$C$43*'Data - P&amp;L'!$C$54</f>
        <v>8.955</v>
      </c>
      <c r="Y241" s="255">
        <f>(Y133+Y134)*'Data - P&amp;L'!$C$43*'Data - P&amp;L'!$C$54</f>
        <v>5.97</v>
      </c>
      <c r="Z241" s="255">
        <f>(Z133+Z134)*'Data - P&amp;L'!$C$43*'Data - P&amp;L'!$C$54</f>
        <v>5.97</v>
      </c>
      <c r="AA241" s="255">
        <f>(AA133+AA134)*'Data - P&amp;L'!$C$43*'Data - P&amp;L'!$C$54</f>
        <v>17.91</v>
      </c>
      <c r="AB241" s="255">
        <f>(AB133+AB134)*'Data - P&amp;L'!$C$43*'Data - P&amp;L'!$C$54</f>
        <v>8.955</v>
      </c>
      <c r="AC241" s="255">
        <f>(AC133+AC134)*'Data - P&amp;L'!$C$43*'Data - P&amp;L'!$C$54</f>
        <v>8.955</v>
      </c>
      <c r="AD241" s="255">
        <f>(AD133+AD134)*'Data - P&amp;L'!$C$43*'Data - P&amp;L'!$C$54</f>
        <v>5.97</v>
      </c>
      <c r="AE241" s="255">
        <f>(AE133+AE134)*'Data - P&amp;L'!$C$43*'Data - P&amp;L'!$C$54</f>
        <v>2.985</v>
      </c>
      <c r="AF241" s="255">
        <f>(AF133+AF134)*'Data - P&amp;L'!$C$43*'Data - P&amp;L'!$C$54</f>
        <v>8.955</v>
      </c>
      <c r="AG241" s="95">
        <f t="shared" si="61"/>
        <v>459.69</v>
      </c>
    </row>
    <row r="242">
      <c r="A242" s="358" t="s">
        <v>429</v>
      </c>
      <c r="B242" s="255">
        <f>(B144)*'Data - P&amp;L'!$C$43*'Data - P&amp;L'!$C$54</f>
        <v>5.97</v>
      </c>
      <c r="C242" s="255">
        <f>(C144)*'Data - P&amp;L'!$C$43*'Data - P&amp;L'!$C$54</f>
        <v>2.985</v>
      </c>
      <c r="D242" s="255">
        <f>(D144)*'Data - P&amp;L'!$C$43*'Data - P&amp;L'!$C$54</f>
        <v>5.97</v>
      </c>
      <c r="E242" s="255">
        <f>(E144)*'Data - P&amp;L'!$C$43*'Data - P&amp;L'!$C$54</f>
        <v>2.985</v>
      </c>
      <c r="F242" s="255">
        <f>(F144)*'Data - P&amp;L'!$C$43*'Data - P&amp;L'!$C$54</f>
        <v>8.955</v>
      </c>
      <c r="G242" s="255">
        <f>(G144)*'Data - P&amp;L'!$C$43*'Data - P&amp;L'!$C$54</f>
        <v>23.88</v>
      </c>
      <c r="H242" s="255">
        <f>(H144)*'Data - P&amp;L'!$C$43*'Data - P&amp;L'!$C$54</f>
        <v>2.985</v>
      </c>
      <c r="I242" s="255">
        <f>(I144)*'Data - P&amp;L'!$C$43*'Data - P&amp;L'!$C$54</f>
        <v>2.985</v>
      </c>
      <c r="J242" s="255">
        <f>(J144)*'Data - P&amp;L'!$C$43*'Data - P&amp;L'!$C$54</f>
        <v>2.985</v>
      </c>
      <c r="K242" s="255">
        <f>(K144)*'Data - P&amp;L'!$C$43*'Data - P&amp;L'!$C$54</f>
        <v>11.94</v>
      </c>
      <c r="L242" s="255">
        <f>(L144)*'Data - P&amp;L'!$C$43*'Data - P&amp;L'!$C$54</f>
        <v>0</v>
      </c>
      <c r="M242" s="255">
        <f>(M144)*'Data - P&amp;L'!$C$43*'Data - P&amp;L'!$C$54</f>
        <v>2.985</v>
      </c>
      <c r="N242" s="255">
        <f>(N144)*'Data - P&amp;L'!$C$43*'Data - P&amp;L'!$C$54</f>
        <v>8.955</v>
      </c>
      <c r="O242" s="255">
        <f>(O144)*'Data - P&amp;L'!$C$43*'Data - P&amp;L'!$C$54</f>
        <v>2.985</v>
      </c>
      <c r="P242" s="255">
        <f>(P144)*'Data - P&amp;L'!$C$43*'Data - P&amp;L'!$C$54</f>
        <v>2.985</v>
      </c>
      <c r="Q242" s="255">
        <f>(Q144)*'Data - P&amp;L'!$C$43*'Data - P&amp;L'!$C$54</f>
        <v>11.94</v>
      </c>
      <c r="R242" s="255">
        <f>(R144)*'Data - P&amp;L'!$C$43*'Data - P&amp;L'!$C$54</f>
        <v>2.985</v>
      </c>
      <c r="S242" s="255">
        <f>(S144)*'Data - P&amp;L'!$C$43*'Data - P&amp;L'!$C$54</f>
        <v>11.94</v>
      </c>
      <c r="T242" s="255">
        <f>(T144)*'Data - P&amp;L'!$C$43*'Data - P&amp;L'!$C$54</f>
        <v>14.925</v>
      </c>
      <c r="U242" s="255">
        <f>(U144)*'Data - P&amp;L'!$C$43*'Data - P&amp;L'!$C$54</f>
        <v>5.97</v>
      </c>
      <c r="V242" s="255">
        <f>(V144)*'Data - P&amp;L'!$C$43*'Data - P&amp;L'!$C$54</f>
        <v>8.955</v>
      </c>
      <c r="W242" s="255">
        <f>(W144)*'Data - P&amp;L'!$C$43*'Data - P&amp;L'!$C$54</f>
        <v>2.985</v>
      </c>
      <c r="X242" s="255">
        <f>(X144)*'Data - P&amp;L'!$C$43*'Data - P&amp;L'!$C$54</f>
        <v>0</v>
      </c>
      <c r="Y242" s="255">
        <f>(Y144)*'Data - P&amp;L'!$C$43*'Data - P&amp;L'!$C$54</f>
        <v>8.955</v>
      </c>
      <c r="Z242" s="255">
        <f>(Z144)*'Data - P&amp;L'!$C$43*'Data - P&amp;L'!$C$54</f>
        <v>2.985</v>
      </c>
      <c r="AA242" s="255">
        <f>(AA144)*'Data - P&amp;L'!$C$43*'Data - P&amp;L'!$C$54</f>
        <v>5.97</v>
      </c>
      <c r="AB242" s="255">
        <f>(AB144)*'Data - P&amp;L'!$C$43*'Data - P&amp;L'!$C$54</f>
        <v>0</v>
      </c>
      <c r="AC242" s="255">
        <f>(AC144)*'Data - P&amp;L'!$C$43*'Data - P&amp;L'!$C$54</f>
        <v>14.925</v>
      </c>
      <c r="AD242" s="255">
        <f>(AD144)*'Data - P&amp;L'!$C$43*'Data - P&amp;L'!$C$54</f>
        <v>5.97</v>
      </c>
      <c r="AE242" s="255">
        <f>(AE144)*'Data - P&amp;L'!$C$43*'Data - P&amp;L'!$C$54</f>
        <v>5.97</v>
      </c>
      <c r="AF242" s="255">
        <f>(AF144)*'Data - P&amp;L'!$C$43*'Data - P&amp;L'!$C$54</f>
        <v>2.985</v>
      </c>
      <c r="AG242" s="95">
        <f t="shared" si="61"/>
        <v>197.01</v>
      </c>
    </row>
    <row r="243">
      <c r="A243" s="359" t="s">
        <v>595</v>
      </c>
      <c r="B243" s="255">
        <f>(((B133+B134)*'Data - P&amp;L'!$C$62)*(1-'Data - P&amp;L'!$C$58))+((B144*'Data - P&amp;L'!$C$63)*(1-'Data - P&amp;L'!$C$58))</f>
        <v>26.136</v>
      </c>
      <c r="C243" s="255">
        <f>(((C133+C134)*'Data - P&amp;L'!$C$62)*(1-'Data - P&amp;L'!$C$58))+((C144*'Data - P&amp;L'!$C$63)*(1-'Data - P&amp;L'!$C$58))</f>
        <v>22.755744</v>
      </c>
      <c r="D243" s="255">
        <f>(((D133+D134)*'Data - P&amp;L'!$C$62)*(1-'Data - P&amp;L'!$C$58))+((D144*'Data - P&amp;L'!$C$63)*(1-'Data - P&amp;L'!$C$58))</f>
        <v>16.448256</v>
      </c>
      <c r="E243" s="255">
        <f>(((E133+E134)*'Data - P&amp;L'!$C$62)*(1-'Data - P&amp;L'!$C$58))+((E144*'Data - P&amp;L'!$C$63)*(1-'Data - P&amp;L'!$C$58))</f>
        <v>13.068</v>
      </c>
      <c r="F243" s="255">
        <f>(((F133+F134)*'Data - P&amp;L'!$C$62)*(1-'Data - P&amp;L'!$C$58))+((F144*'Data - P&amp;L'!$C$63)*(1-'Data - P&amp;L'!$C$58))</f>
        <v>12.562704</v>
      </c>
      <c r="G243" s="255">
        <f>(((G133+G134)*'Data - P&amp;L'!$C$62)*(1-'Data - P&amp;L'!$C$58))+((G144*'Data - P&amp;L'!$C$63)*(1-'Data - P&amp;L'!$C$58))</f>
        <v>24.620112</v>
      </c>
      <c r="H243" s="255">
        <f>(((H133+H134)*'Data - P&amp;L'!$C$62)*(1-'Data - P&amp;L'!$C$58))+((H144*'Data - P&amp;L'!$C$63)*(1-'Data - P&amp;L'!$C$58))</f>
        <v>10.646064</v>
      </c>
      <c r="I243" s="255">
        <f>(((I133+I134)*'Data - P&amp;L'!$C$62)*(1-'Data - P&amp;L'!$C$58))+((I144*'Data - P&amp;L'!$C$63)*(1-'Data - P&amp;L'!$C$58))</f>
        <v>10.646064</v>
      </c>
      <c r="J243" s="255">
        <f>(((J133+J134)*'Data - P&amp;L'!$C$62)*(1-'Data - P&amp;L'!$C$58))+((J144*'Data - P&amp;L'!$C$63)*(1-'Data - P&amp;L'!$C$58))</f>
        <v>8.224128</v>
      </c>
      <c r="K243" s="255">
        <f>(((K133+K134)*'Data - P&amp;L'!$C$62)*(1-'Data - P&amp;L'!$C$58))+((K144*'Data - P&amp;L'!$C$63)*(1-'Data - P&amp;L'!$C$58))</f>
        <v>20.786832</v>
      </c>
      <c r="L243" s="255">
        <f>(((L133+L134)*'Data - P&amp;L'!$C$62)*(1-'Data - P&amp;L'!$C$58))+((L144*'Data - P&amp;L'!$C$63)*(1-'Data - P&amp;L'!$C$58))</f>
        <v>12.10968</v>
      </c>
      <c r="M243" s="255">
        <f>(((M133+M134)*'Data - P&amp;L'!$C$62)*(1-'Data - P&amp;L'!$C$58))+((M144*'Data - P&amp;L'!$C$63)*(1-'Data - P&amp;L'!$C$58))</f>
        <v>20.333808</v>
      </c>
      <c r="N243" s="255">
        <f>(((N133+N134)*'Data - P&amp;L'!$C$62)*(1-'Data - P&amp;L'!$C$58))+((N144*'Data - P&amp;L'!$C$63)*(1-'Data - P&amp;L'!$C$58))</f>
        <v>24.672384</v>
      </c>
      <c r="O243" s="255">
        <f>(((O133+O134)*'Data - P&amp;L'!$C$62)*(1-'Data - P&amp;L'!$C$58))+((O144*'Data - P&amp;L'!$C$63)*(1-'Data - P&amp;L'!$C$58))</f>
        <v>8.224128</v>
      </c>
      <c r="P243" s="255">
        <f>(((P133+P134)*'Data - P&amp;L'!$C$62)*(1-'Data - P&amp;L'!$C$58))+((P144*'Data - P&amp;L'!$C$63)*(1-'Data - P&amp;L'!$C$58))</f>
        <v>10.646064</v>
      </c>
      <c r="Q243" s="255">
        <f>(((Q133+Q134)*'Data - P&amp;L'!$C$62)*(1-'Data - P&amp;L'!$C$58))+((Q144*'Data - P&amp;L'!$C$63)*(1-'Data - P&amp;L'!$C$58))</f>
        <v>13.521024</v>
      </c>
      <c r="R243" s="255">
        <f>(((R133+R134)*'Data - P&amp;L'!$C$62)*(1-'Data - P&amp;L'!$C$58))+((R144*'Data - P&amp;L'!$C$63)*(1-'Data - P&amp;L'!$C$58))</f>
        <v>8.224128</v>
      </c>
      <c r="S243" s="255">
        <f>(((S133+S134)*'Data - P&amp;L'!$C$62)*(1-'Data - P&amp;L'!$C$58))+((S144*'Data - P&amp;L'!$C$63)*(1-'Data - P&amp;L'!$C$58))</f>
        <v>20.786832</v>
      </c>
      <c r="T243" s="255">
        <f>(((T133+T134)*'Data - P&amp;L'!$C$62)*(1-'Data - P&amp;L'!$C$58))+((T144*'Data - P&amp;L'!$C$63)*(1-'Data - P&amp;L'!$C$58))</f>
        <v>29.01096</v>
      </c>
      <c r="U243" s="255">
        <f>(((U133+U134)*'Data - P&amp;L'!$C$62)*(1-'Data - P&amp;L'!$C$58))+((U144*'Data - P&amp;L'!$C$63)*(1-'Data - P&amp;L'!$C$58))</f>
        <v>18.870192</v>
      </c>
      <c r="V243" s="255">
        <f>(((V133+V134)*'Data - P&amp;L'!$C$62)*(1-'Data - P&amp;L'!$C$58))+((V144*'Data - P&amp;L'!$C$63)*(1-'Data - P&amp;L'!$C$58))</f>
        <v>19.828512</v>
      </c>
      <c r="W243" s="255">
        <f>(((W133+W134)*'Data - P&amp;L'!$C$62)*(1-'Data - P&amp;L'!$C$58))+((W144*'Data - P&amp;L'!$C$63)*(1-'Data - P&amp;L'!$C$58))</f>
        <v>8.224128</v>
      </c>
      <c r="X243" s="255">
        <f>(((X133+X134)*'Data - P&amp;L'!$C$62)*(1-'Data - P&amp;L'!$C$58))+((X144*'Data - P&amp;L'!$C$63)*(1-'Data - P&amp;L'!$C$58))</f>
        <v>7.265808</v>
      </c>
      <c r="Y243" s="255">
        <f>(((Y133+Y134)*'Data - P&amp;L'!$C$62)*(1-'Data - P&amp;L'!$C$58))+((Y144*'Data - P&amp;L'!$C$63)*(1-'Data - P&amp;L'!$C$58))</f>
        <v>7.718832</v>
      </c>
      <c r="Z243" s="255">
        <f>(((Z133+Z134)*'Data - P&amp;L'!$C$62)*(1-'Data - P&amp;L'!$C$58))+((Z144*'Data - P&amp;L'!$C$63)*(1-'Data - P&amp;L'!$C$58))</f>
        <v>5.802192</v>
      </c>
      <c r="AA243" s="255">
        <f>(((AA133+AA134)*'Data - P&amp;L'!$C$62)*(1-'Data - P&amp;L'!$C$58))+((AA144*'Data - P&amp;L'!$C$63)*(1-'Data - P&amp;L'!$C$58))</f>
        <v>16.448256</v>
      </c>
      <c r="AB243" s="255">
        <f>(((AB133+AB134)*'Data - P&amp;L'!$C$62)*(1-'Data - P&amp;L'!$C$58))+((AB144*'Data - P&amp;L'!$C$63)*(1-'Data - P&amp;L'!$C$58))</f>
        <v>7.265808</v>
      </c>
      <c r="AC243" s="255">
        <f>(((AC133+AC134)*'Data - P&amp;L'!$C$62)*(1-'Data - P&amp;L'!$C$58))+((AC144*'Data - P&amp;L'!$C$63)*(1-'Data - P&amp;L'!$C$58))</f>
        <v>12.057408</v>
      </c>
      <c r="AD243" s="255">
        <f>(((AD133+AD134)*'Data - P&amp;L'!$C$62)*(1-'Data - P&amp;L'!$C$58))+((AD144*'Data - P&amp;L'!$C$63)*(1-'Data - P&amp;L'!$C$58))</f>
        <v>6.760512</v>
      </c>
      <c r="AE243" s="255">
        <f>(((AE133+AE134)*'Data - P&amp;L'!$C$62)*(1-'Data - P&amp;L'!$C$58))+((AE144*'Data - P&amp;L'!$C$63)*(1-'Data - P&amp;L'!$C$58))</f>
        <v>4.338576</v>
      </c>
      <c r="AF243" s="255">
        <f>(((AF133+AF134)*'Data - P&amp;L'!$C$62)*(1-'Data - P&amp;L'!$C$58))+((AF144*'Data - P&amp;L'!$C$63)*(1-'Data - P&amp;L'!$C$58))</f>
        <v>8.224128</v>
      </c>
      <c r="AG243" s="95">
        <f t="shared" si="61"/>
        <v>436.227264</v>
      </c>
    </row>
    <row r="244">
      <c r="A244" s="359" t="s">
        <v>438</v>
      </c>
      <c r="B244" s="255">
        <f t="shared" ref="B244:AF244" si="64">B155</f>
        <v>1786.46</v>
      </c>
      <c r="C244" s="255">
        <f t="shared" si="64"/>
        <v>1256.86</v>
      </c>
      <c r="D244" s="255">
        <f t="shared" si="64"/>
        <v>1032.25</v>
      </c>
      <c r="E244" s="255">
        <f t="shared" si="64"/>
        <v>1002.93</v>
      </c>
      <c r="F244" s="255">
        <f t="shared" si="64"/>
        <v>1765.55</v>
      </c>
      <c r="G244" s="255">
        <f t="shared" si="64"/>
        <v>1503.95</v>
      </c>
      <c r="H244" s="255">
        <f t="shared" si="64"/>
        <v>657.89</v>
      </c>
      <c r="I244" s="255">
        <f t="shared" si="64"/>
        <v>2934.46</v>
      </c>
      <c r="J244" s="255">
        <f t="shared" si="64"/>
        <v>658.73</v>
      </c>
      <c r="K244" s="255">
        <f t="shared" si="64"/>
        <v>702.63</v>
      </c>
      <c r="L244" s="255">
        <f t="shared" si="64"/>
        <v>678.45</v>
      </c>
      <c r="M244" s="255">
        <f t="shared" si="64"/>
        <v>1153.21</v>
      </c>
      <c r="N244" s="255">
        <f t="shared" si="64"/>
        <v>667.53</v>
      </c>
      <c r="O244" s="255">
        <f t="shared" si="64"/>
        <v>736.63</v>
      </c>
      <c r="P244" s="255">
        <f t="shared" si="64"/>
        <v>963.41</v>
      </c>
      <c r="Q244" s="255">
        <f t="shared" si="64"/>
        <v>710.57</v>
      </c>
      <c r="R244" s="255">
        <f t="shared" si="64"/>
        <v>1520.7</v>
      </c>
      <c r="S244" s="255">
        <f t="shared" si="64"/>
        <v>614.83</v>
      </c>
      <c r="T244" s="255">
        <f t="shared" si="64"/>
        <v>2376.22</v>
      </c>
      <c r="U244" s="255">
        <f t="shared" si="64"/>
        <v>565.29</v>
      </c>
      <c r="V244" s="255">
        <f t="shared" si="64"/>
        <v>58.96</v>
      </c>
      <c r="W244" s="255">
        <f t="shared" si="64"/>
        <v>705.1</v>
      </c>
      <c r="X244" s="255">
        <f t="shared" si="64"/>
        <v>556.45</v>
      </c>
      <c r="Y244" s="255">
        <f t="shared" si="64"/>
        <v>224.87</v>
      </c>
      <c r="Z244" s="255">
        <f t="shared" si="64"/>
        <v>25.52</v>
      </c>
      <c r="AA244" s="255">
        <f t="shared" si="64"/>
        <v>1276.62</v>
      </c>
      <c r="AB244" s="255">
        <f t="shared" si="64"/>
        <v>475.24</v>
      </c>
      <c r="AC244" s="255">
        <f t="shared" si="64"/>
        <v>1048.69</v>
      </c>
      <c r="AD244" s="255">
        <f t="shared" si="64"/>
        <v>458.54</v>
      </c>
      <c r="AE244" s="255">
        <f t="shared" si="64"/>
        <v>679.03</v>
      </c>
      <c r="AF244" s="255">
        <f t="shared" si="64"/>
        <v>0</v>
      </c>
      <c r="AG244" s="95">
        <f t="shared" si="61"/>
        <v>28797.57</v>
      </c>
    </row>
    <row r="245">
      <c r="A245" s="235" t="s">
        <v>596</v>
      </c>
      <c r="B245" s="269">
        <f t="shared" ref="B245:AF245" si="65">sum(B246:B254)-B255</f>
        <v>0</v>
      </c>
      <c r="C245" s="269">
        <f t="shared" si="65"/>
        <v>0</v>
      </c>
      <c r="D245" s="269">
        <f t="shared" si="65"/>
        <v>0</v>
      </c>
      <c r="E245" s="269">
        <f t="shared" si="65"/>
        <v>1.35066</v>
      </c>
      <c r="F245" s="269">
        <f t="shared" si="65"/>
        <v>0</v>
      </c>
      <c r="G245" s="269">
        <f t="shared" si="65"/>
        <v>0</v>
      </c>
      <c r="H245" s="269">
        <f t="shared" si="65"/>
        <v>0</v>
      </c>
      <c r="I245" s="269">
        <f t="shared" si="65"/>
        <v>0</v>
      </c>
      <c r="J245" s="269">
        <f t="shared" si="65"/>
        <v>0</v>
      </c>
      <c r="K245" s="269">
        <f t="shared" si="65"/>
        <v>0</v>
      </c>
      <c r="L245" s="269">
        <f t="shared" si="65"/>
        <v>0</v>
      </c>
      <c r="M245" s="269">
        <f t="shared" si="65"/>
        <v>0</v>
      </c>
      <c r="N245" s="269">
        <f t="shared" si="65"/>
        <v>0</v>
      </c>
      <c r="O245" s="269">
        <f t="shared" si="65"/>
        <v>0</v>
      </c>
      <c r="P245" s="269">
        <f t="shared" si="65"/>
        <v>0</v>
      </c>
      <c r="Q245" s="269">
        <f t="shared" si="65"/>
        <v>0</v>
      </c>
      <c r="R245" s="269">
        <f t="shared" si="65"/>
        <v>0</v>
      </c>
      <c r="S245" s="269">
        <f t="shared" si="65"/>
        <v>0</v>
      </c>
      <c r="T245" s="269">
        <f t="shared" si="65"/>
        <v>7.954268</v>
      </c>
      <c r="U245" s="269">
        <f t="shared" si="65"/>
        <v>1.35066</v>
      </c>
      <c r="V245" s="269">
        <f t="shared" si="65"/>
        <v>0</v>
      </c>
      <c r="W245" s="269">
        <f t="shared" si="65"/>
        <v>0</v>
      </c>
      <c r="X245" s="269">
        <f t="shared" si="65"/>
        <v>0</v>
      </c>
      <c r="Y245" s="269">
        <f t="shared" si="65"/>
        <v>0</v>
      </c>
      <c r="Z245" s="269">
        <f t="shared" si="65"/>
        <v>0</v>
      </c>
      <c r="AA245" s="269">
        <f t="shared" si="65"/>
        <v>0</v>
      </c>
      <c r="AB245" s="269">
        <f t="shared" si="65"/>
        <v>0</v>
      </c>
      <c r="AC245" s="269">
        <f t="shared" si="65"/>
        <v>0</v>
      </c>
      <c r="AD245" s="269">
        <f t="shared" si="65"/>
        <v>0</v>
      </c>
      <c r="AE245" s="269">
        <f t="shared" si="65"/>
        <v>0</v>
      </c>
      <c r="AF245" s="269">
        <f t="shared" si="65"/>
        <v>0</v>
      </c>
      <c r="AG245" s="95">
        <f t="shared" si="61"/>
        <v>10.655588</v>
      </c>
    </row>
    <row r="246">
      <c r="A246" s="213" t="s">
        <v>420</v>
      </c>
      <c r="B246" s="255">
        <f>B167*'Data - P&amp;L'!$C$3*'Data - P&amp;L'!$C$55</f>
        <v>0</v>
      </c>
      <c r="C246" s="255">
        <f>C167*'Data - P&amp;L'!$C$3*'Data - P&amp;L'!$C$55</f>
        <v>0</v>
      </c>
      <c r="D246" s="255">
        <f>D167*'Data - P&amp;L'!$C$3*'Data - P&amp;L'!$C$55</f>
        <v>0</v>
      </c>
      <c r="E246" s="255">
        <f>E167*'Data - P&amp;L'!$C$3*'Data - P&amp;L'!$C$55</f>
        <v>0</v>
      </c>
      <c r="F246" s="255">
        <f>F167*'Data - P&amp;L'!$C$3*'Data - P&amp;L'!$C$55</f>
        <v>0</v>
      </c>
      <c r="G246" s="255">
        <f>G167*'Data - P&amp;L'!$C$3*'Data - P&amp;L'!$C$55</f>
        <v>0</v>
      </c>
      <c r="H246" s="255">
        <f>H167*'Data - P&amp;L'!$C$3*'Data - P&amp;L'!$C$55</f>
        <v>0</v>
      </c>
      <c r="I246" s="255">
        <f>I167*'Data - P&amp;L'!$C$3*'Data - P&amp;L'!$C$55</f>
        <v>0</v>
      </c>
      <c r="J246" s="255">
        <f>J167*'Data - P&amp;L'!$C$3*'Data - P&amp;L'!$C$55</f>
        <v>0</v>
      </c>
      <c r="K246" s="255">
        <f>K167*'Data - P&amp;L'!$C$3*'Data - P&amp;L'!$C$55</f>
        <v>0</v>
      </c>
      <c r="L246" s="255">
        <f>L167*'Data - P&amp;L'!$C$3*'Data - P&amp;L'!$C$55</f>
        <v>0</v>
      </c>
      <c r="M246" s="255">
        <f>M167*'Data - P&amp;L'!$C$3*'Data - P&amp;L'!$C$55</f>
        <v>0</v>
      </c>
      <c r="N246" s="255">
        <f>N167*'Data - P&amp;L'!$C$3*'Data - P&amp;L'!$C$55</f>
        <v>0</v>
      </c>
      <c r="O246" s="255">
        <f>O167*'Data - P&amp;L'!$C$3*'Data - P&amp;L'!$C$55</f>
        <v>0</v>
      </c>
      <c r="P246" s="255">
        <f>P167*'Data - P&amp;L'!$C$3*'Data - P&amp;L'!$C$55</f>
        <v>0</v>
      </c>
      <c r="Q246" s="255">
        <f>Q167*'Data - P&amp;L'!$C$3*'Data - P&amp;L'!$C$55</f>
        <v>0</v>
      </c>
      <c r="R246" s="255">
        <f>R167*'Data - P&amp;L'!$C$3*'Data - P&amp;L'!$C$55</f>
        <v>0</v>
      </c>
      <c r="S246" s="255">
        <f>S167*'Data - P&amp;L'!$C$3*'Data - P&amp;L'!$C$55</f>
        <v>0</v>
      </c>
      <c r="T246" s="255">
        <f>T167*'Data - P&amp;L'!$C$3*'Data - P&amp;L'!$C$55</f>
        <v>0</v>
      </c>
      <c r="U246" s="255">
        <f>U167*'Data - P&amp;L'!$C$3*'Data - P&amp;L'!$C$55</f>
        <v>0</v>
      </c>
      <c r="V246" s="255">
        <f>V167*'Data - P&amp;L'!$C$3*'Data - P&amp;L'!$C$55</f>
        <v>0</v>
      </c>
      <c r="W246" s="255">
        <f>W167*'Data - P&amp;L'!$C$3*'Data - P&amp;L'!$C$55</f>
        <v>0</v>
      </c>
      <c r="X246" s="255">
        <f>X167*'Data - P&amp;L'!$C$3*'Data - P&amp;L'!$C$55</f>
        <v>0</v>
      </c>
      <c r="Y246" s="255">
        <f>Y167*'Data - P&amp;L'!$C$3*'Data - P&amp;L'!$C$55</f>
        <v>0</v>
      </c>
      <c r="Z246" s="255">
        <f>Z167*'Data - P&amp;L'!$C$3*'Data - P&amp;L'!$C$55</f>
        <v>0</v>
      </c>
      <c r="AA246" s="255">
        <f>AA167*'Data - P&amp;L'!$C$3*'Data - P&amp;L'!$C$55</f>
        <v>0</v>
      </c>
      <c r="AB246" s="255">
        <f>AB167*'Data - P&amp;L'!$C$3*'Data - P&amp;L'!$C$55</f>
        <v>0</v>
      </c>
      <c r="AC246" s="255">
        <f>AC167*'Data - P&amp;L'!$C$3*'Data - P&amp;L'!$C$55</f>
        <v>0</v>
      </c>
      <c r="AD246" s="255">
        <f>AD167*'Data - P&amp;L'!$C$3*'Data - P&amp;L'!$C$55</f>
        <v>0</v>
      </c>
      <c r="AE246" s="255">
        <f>AE167*'Data - P&amp;L'!$C$3*'Data - P&amp;L'!$C$55</f>
        <v>0</v>
      </c>
      <c r="AF246" s="255">
        <f>AF167*'Data - P&amp;L'!$C$3*'Data - P&amp;L'!$C$55</f>
        <v>0</v>
      </c>
      <c r="AG246" s="95">
        <f t="shared" si="61"/>
        <v>0</v>
      </c>
    </row>
    <row r="247">
      <c r="A247" s="213" t="s">
        <v>421</v>
      </c>
      <c r="B247" s="255">
        <f>B168*'Data - P&amp;L'!$C$4*'Data - P&amp;L'!$C$55</f>
        <v>0</v>
      </c>
      <c r="C247" s="255">
        <f>C168*'Data - P&amp;L'!$C$4*'Data - P&amp;L'!$C$55</f>
        <v>0</v>
      </c>
      <c r="D247" s="255">
        <f>D168*'Data - P&amp;L'!$C$4*'Data - P&amp;L'!$C$55</f>
        <v>0</v>
      </c>
      <c r="E247" s="255">
        <f>E168*'Data - P&amp;L'!$C$4*'Data - P&amp;L'!$C$55</f>
        <v>0</v>
      </c>
      <c r="F247" s="255">
        <f>F168*'Data - P&amp;L'!$C$4*'Data - P&amp;L'!$C$55</f>
        <v>0</v>
      </c>
      <c r="G247" s="255">
        <f>G168*'Data - P&amp;L'!$C$4*'Data - P&amp;L'!$C$55</f>
        <v>0</v>
      </c>
      <c r="H247" s="255">
        <f>H168*'Data - P&amp;L'!$C$4*'Data - P&amp;L'!$C$55</f>
        <v>0</v>
      </c>
      <c r="I247" s="255">
        <f>I168*'Data - P&amp;L'!$C$4*'Data - P&amp;L'!$C$55</f>
        <v>0</v>
      </c>
      <c r="J247" s="255">
        <f>J168*'Data - P&amp;L'!$C$4*'Data - P&amp;L'!$C$55</f>
        <v>0</v>
      </c>
      <c r="K247" s="255">
        <f>K168*'Data - P&amp;L'!$C$4*'Data - P&amp;L'!$C$55</f>
        <v>0</v>
      </c>
      <c r="L247" s="255">
        <f>L168*'Data - P&amp;L'!$C$4*'Data - P&amp;L'!$C$55</f>
        <v>0</v>
      </c>
      <c r="M247" s="255">
        <f>M168*'Data - P&amp;L'!$C$4*'Data - P&amp;L'!$C$55</f>
        <v>0</v>
      </c>
      <c r="N247" s="255">
        <f>N168*'Data - P&amp;L'!$C$4*'Data - P&amp;L'!$C$55</f>
        <v>0</v>
      </c>
      <c r="O247" s="255">
        <f>O168*'Data - P&amp;L'!$C$4*'Data - P&amp;L'!$C$55</f>
        <v>0</v>
      </c>
      <c r="P247" s="255">
        <f>P168*'Data - P&amp;L'!$C$4*'Data - P&amp;L'!$C$55</f>
        <v>0</v>
      </c>
      <c r="Q247" s="255">
        <f>Q168*'Data - P&amp;L'!$C$4*'Data - P&amp;L'!$C$55</f>
        <v>0</v>
      </c>
      <c r="R247" s="255">
        <f>R168*'Data - P&amp;L'!$C$4*'Data - P&amp;L'!$C$55</f>
        <v>0</v>
      </c>
      <c r="S247" s="255">
        <f>S168*'Data - P&amp;L'!$C$4*'Data - P&amp;L'!$C$55</f>
        <v>0</v>
      </c>
      <c r="T247" s="255">
        <f>T168*'Data - P&amp;L'!$C$4*'Data - P&amp;L'!$C$55</f>
        <v>9.761</v>
      </c>
      <c r="U247" s="255">
        <f>U168*'Data - P&amp;L'!$C$4*'Data - P&amp;L'!$C$55</f>
        <v>0</v>
      </c>
      <c r="V247" s="255">
        <f>V168*'Data - P&amp;L'!$C$4*'Data - P&amp;L'!$C$55</f>
        <v>0</v>
      </c>
      <c r="W247" s="255">
        <f>W168*'Data - P&amp;L'!$C$4*'Data - P&amp;L'!$C$55</f>
        <v>0</v>
      </c>
      <c r="X247" s="255">
        <f>X168*'Data - P&amp;L'!$C$4*'Data - P&amp;L'!$C$55</f>
        <v>0</v>
      </c>
      <c r="Y247" s="255">
        <f>Y168*'Data - P&amp;L'!$C$4*'Data - P&amp;L'!$C$55</f>
        <v>0</v>
      </c>
      <c r="Z247" s="255">
        <f>Z168*'Data - P&amp;L'!$C$4*'Data - P&amp;L'!$C$55</f>
        <v>0</v>
      </c>
      <c r="AA247" s="255">
        <f>AA168*'Data - P&amp;L'!$C$4*'Data - P&amp;L'!$C$55</f>
        <v>0</v>
      </c>
      <c r="AB247" s="255">
        <f>AB168*'Data - P&amp;L'!$C$4*'Data - P&amp;L'!$C$55</f>
        <v>0</v>
      </c>
      <c r="AC247" s="255">
        <f>AC168*'Data - P&amp;L'!$C$4*'Data - P&amp;L'!$C$55</f>
        <v>0</v>
      </c>
      <c r="AD247" s="255">
        <f>AD168*'Data - P&amp;L'!$C$4*'Data - P&amp;L'!$C$55</f>
        <v>0</v>
      </c>
      <c r="AE247" s="255">
        <f>AE168*'Data - P&amp;L'!$C$4*'Data - P&amp;L'!$C$55</f>
        <v>0</v>
      </c>
      <c r="AF247" s="255">
        <f>AF168*'Data - P&amp;L'!$C$4*'Data - P&amp;L'!$C$55</f>
        <v>0</v>
      </c>
      <c r="AG247" s="95">
        <f t="shared" si="61"/>
        <v>9.761</v>
      </c>
    </row>
    <row r="248">
      <c r="A248" s="213" t="s">
        <v>422</v>
      </c>
      <c r="B248" s="255">
        <f>B170*'Data - P&amp;L'!$C$6*'Data - P&amp;L'!$C$55</f>
        <v>0</v>
      </c>
      <c r="C248" s="255">
        <f>C170*'Data - P&amp;L'!$C$6*'Data - P&amp;L'!$C$55</f>
        <v>0</v>
      </c>
      <c r="D248" s="255">
        <f>D170*'Data - P&amp;L'!$C$6*'Data - P&amp;L'!$C$55</f>
        <v>0</v>
      </c>
      <c r="E248" s="255">
        <f>E170*'Data - P&amp;L'!$C$6*'Data - P&amp;L'!$C$55</f>
        <v>0</v>
      </c>
      <c r="F248" s="255">
        <f>F170*'Data - P&amp;L'!$C$6*'Data - P&amp;L'!$C$55</f>
        <v>0</v>
      </c>
      <c r="G248" s="255">
        <f>G170*'Data - P&amp;L'!$C$6*'Data - P&amp;L'!$C$55</f>
        <v>0</v>
      </c>
      <c r="H248" s="255">
        <f>H170*'Data - P&amp;L'!$C$6*'Data - P&amp;L'!$C$55</f>
        <v>0</v>
      </c>
      <c r="I248" s="255">
        <f>I170*'Data - P&amp;L'!$C$6*'Data - P&amp;L'!$C$55</f>
        <v>0</v>
      </c>
      <c r="J248" s="255">
        <f>J170*'Data - P&amp;L'!$C$6*'Data - P&amp;L'!$C$55</f>
        <v>0</v>
      </c>
      <c r="K248" s="255">
        <f>K170*'Data - P&amp;L'!$C$6*'Data - P&amp;L'!$C$55</f>
        <v>0</v>
      </c>
      <c r="L248" s="255">
        <f>L170*'Data - P&amp;L'!$C$6*'Data - P&amp;L'!$C$55</f>
        <v>0</v>
      </c>
      <c r="M248" s="255">
        <f>M170*'Data - P&amp;L'!$C$6*'Data - P&amp;L'!$C$55</f>
        <v>0</v>
      </c>
      <c r="N248" s="255">
        <f>N170*'Data - P&amp;L'!$C$6*'Data - P&amp;L'!$C$55</f>
        <v>0</v>
      </c>
      <c r="O248" s="255">
        <f>O170*'Data - P&amp;L'!$C$6*'Data - P&amp;L'!$C$55</f>
        <v>0</v>
      </c>
      <c r="P248" s="255">
        <f>P170*'Data - P&amp;L'!$C$6*'Data - P&amp;L'!$C$55</f>
        <v>0</v>
      </c>
      <c r="Q248" s="255">
        <f>Q170*'Data - P&amp;L'!$C$6*'Data - P&amp;L'!$C$55</f>
        <v>0</v>
      </c>
      <c r="R248" s="255">
        <f>R170*'Data - P&amp;L'!$C$6*'Data - P&amp;L'!$C$55</f>
        <v>0</v>
      </c>
      <c r="S248" s="255">
        <f>S170*'Data - P&amp;L'!$C$6*'Data - P&amp;L'!$C$55</f>
        <v>0</v>
      </c>
      <c r="T248" s="255">
        <f>T170*'Data - P&amp;L'!$C$6*'Data - P&amp;L'!$C$55</f>
        <v>0</v>
      </c>
      <c r="U248" s="255">
        <f>U170*'Data - P&amp;L'!$C$6*'Data - P&amp;L'!$C$55</f>
        <v>0</v>
      </c>
      <c r="V248" s="255">
        <f>V170*'Data - P&amp;L'!$C$6*'Data - P&amp;L'!$C$55</f>
        <v>0</v>
      </c>
      <c r="W248" s="255">
        <f>W170*'Data - P&amp;L'!$C$6*'Data - P&amp;L'!$C$55</f>
        <v>0</v>
      </c>
      <c r="X248" s="255">
        <f>X170*'Data - P&amp;L'!$C$6*'Data - P&amp;L'!$C$55</f>
        <v>0</v>
      </c>
      <c r="Y248" s="255">
        <f>Y170*'Data - P&amp;L'!$C$6*'Data - P&amp;L'!$C$55</f>
        <v>0</v>
      </c>
      <c r="Z248" s="255">
        <f>Z170*'Data - P&amp;L'!$C$6*'Data - P&amp;L'!$C$55</f>
        <v>0</v>
      </c>
      <c r="AA248" s="255">
        <f>AA170*'Data - P&amp;L'!$C$6*'Data - P&amp;L'!$C$55</f>
        <v>0</v>
      </c>
      <c r="AB248" s="255">
        <f>AB170*'Data - P&amp;L'!$C$6*'Data - P&amp;L'!$C$55</f>
        <v>0</v>
      </c>
      <c r="AC248" s="255">
        <f>AC170*'Data - P&amp;L'!$C$6*'Data - P&amp;L'!$C$55</f>
        <v>0</v>
      </c>
      <c r="AD248" s="255">
        <f>AD170*'Data - P&amp;L'!$C$6*'Data - P&amp;L'!$C$55</f>
        <v>0</v>
      </c>
      <c r="AE248" s="255">
        <f>AE170*'Data - P&amp;L'!$C$6*'Data - P&amp;L'!$C$55</f>
        <v>0</v>
      </c>
      <c r="AF248" s="255">
        <f>AF170*'Data - P&amp;L'!$C$6*'Data - P&amp;L'!$C$55</f>
        <v>0</v>
      </c>
      <c r="AG248" s="95">
        <f t="shared" si="61"/>
        <v>0</v>
      </c>
    </row>
    <row r="249">
      <c r="A249" s="213" t="s">
        <v>423</v>
      </c>
      <c r="B249" s="255">
        <f>B171*'Data - P&amp;L'!$C$8*'Data - P&amp;L'!$C$55</f>
        <v>0</v>
      </c>
      <c r="C249" s="255">
        <f>C171*'Data - P&amp;L'!$C$8*'Data - P&amp;L'!$C$55</f>
        <v>0</v>
      </c>
      <c r="D249" s="255">
        <f>D171*'Data - P&amp;L'!$C$8*'Data - P&amp;L'!$C$55</f>
        <v>0</v>
      </c>
      <c r="E249" s="255">
        <f>E171*'Data - P&amp;L'!$C$8*'Data - P&amp;L'!$C$55</f>
        <v>0</v>
      </c>
      <c r="F249" s="255">
        <f>F171*'Data - P&amp;L'!$C$8*'Data - P&amp;L'!$C$55</f>
        <v>0</v>
      </c>
      <c r="G249" s="255">
        <f>G171*'Data - P&amp;L'!$C$8*'Data - P&amp;L'!$C$55</f>
        <v>0</v>
      </c>
      <c r="H249" s="255">
        <f>H171*'Data - P&amp;L'!$C$8*'Data - P&amp;L'!$C$55</f>
        <v>0</v>
      </c>
      <c r="I249" s="255">
        <f>I171*'Data - P&amp;L'!$C$8*'Data - P&amp;L'!$C$55</f>
        <v>0</v>
      </c>
      <c r="J249" s="255">
        <f>J171*'Data - P&amp;L'!$C$8*'Data - P&amp;L'!$C$55</f>
        <v>0</v>
      </c>
      <c r="K249" s="255">
        <f>K171*'Data - P&amp;L'!$C$8*'Data - P&amp;L'!$C$55</f>
        <v>0</v>
      </c>
      <c r="L249" s="255">
        <f>L171*'Data - P&amp;L'!$C$8*'Data - P&amp;L'!$C$55</f>
        <v>0</v>
      </c>
      <c r="M249" s="255">
        <f>M171*'Data - P&amp;L'!$C$8*'Data - P&amp;L'!$C$55</f>
        <v>0</v>
      </c>
      <c r="N249" s="255">
        <f>N171*'Data - P&amp;L'!$C$8*'Data - P&amp;L'!$C$55</f>
        <v>0</v>
      </c>
      <c r="O249" s="255">
        <f>O171*'Data - P&amp;L'!$C$8*'Data - P&amp;L'!$C$55</f>
        <v>0</v>
      </c>
      <c r="P249" s="255">
        <f>P171*'Data - P&amp;L'!$C$8*'Data - P&amp;L'!$C$55</f>
        <v>0</v>
      </c>
      <c r="Q249" s="255">
        <f>Q171*'Data - P&amp;L'!$C$8*'Data - P&amp;L'!$C$55</f>
        <v>0</v>
      </c>
      <c r="R249" s="255">
        <f>R171*'Data - P&amp;L'!$C$8*'Data - P&amp;L'!$C$55</f>
        <v>0</v>
      </c>
      <c r="S249" s="255">
        <f>S171*'Data - P&amp;L'!$C$8*'Data - P&amp;L'!$C$55</f>
        <v>0</v>
      </c>
      <c r="T249" s="255">
        <f>T171*'Data - P&amp;L'!$C$8*'Data - P&amp;L'!$C$55</f>
        <v>0</v>
      </c>
      <c r="U249" s="255">
        <f>U171*'Data - P&amp;L'!$C$8*'Data - P&amp;L'!$C$55</f>
        <v>0</v>
      </c>
      <c r="V249" s="255">
        <f>V171*'Data - P&amp;L'!$C$8*'Data - P&amp;L'!$C$55</f>
        <v>0</v>
      </c>
      <c r="W249" s="255">
        <f>W171*'Data - P&amp;L'!$C$8*'Data - P&amp;L'!$C$55</f>
        <v>0</v>
      </c>
      <c r="X249" s="255">
        <f>X171*'Data - P&amp;L'!$C$8*'Data - P&amp;L'!$C$55</f>
        <v>0</v>
      </c>
      <c r="Y249" s="255">
        <f>Y171*'Data - P&amp;L'!$C$8*'Data - P&amp;L'!$C$55</f>
        <v>0</v>
      </c>
      <c r="Z249" s="255">
        <f>Z171*'Data - P&amp;L'!$C$8*'Data - P&amp;L'!$C$55</f>
        <v>0</v>
      </c>
      <c r="AA249" s="255">
        <f>AA171*'Data - P&amp;L'!$C$8*'Data - P&amp;L'!$C$55</f>
        <v>0</v>
      </c>
      <c r="AB249" s="255">
        <f>AB171*'Data - P&amp;L'!$C$8*'Data - P&amp;L'!$C$55</f>
        <v>0</v>
      </c>
      <c r="AC249" s="255">
        <f>AC171*'Data - P&amp;L'!$C$8*'Data - P&amp;L'!$C$55</f>
        <v>0</v>
      </c>
      <c r="AD249" s="255">
        <f>AD171*'Data - P&amp;L'!$C$8*'Data - P&amp;L'!$C$55</f>
        <v>0</v>
      </c>
      <c r="AE249" s="255">
        <f>AE171*'Data - P&amp;L'!$C$8*'Data - P&amp;L'!$C$55</f>
        <v>0</v>
      </c>
      <c r="AF249" s="255">
        <f>AF171*'Data - P&amp;L'!$C$8*'Data - P&amp;L'!$C$55</f>
        <v>0</v>
      </c>
      <c r="AG249" s="95">
        <f t="shared" si="61"/>
        <v>0</v>
      </c>
    </row>
    <row r="250">
      <c r="A250" s="213" t="s">
        <v>424</v>
      </c>
      <c r="B250" s="255">
        <f>(B172+B173)*'Data - P&amp;L'!$C$9*'Data - P&amp;L'!$C$55</f>
        <v>0</v>
      </c>
      <c r="C250" s="255">
        <f>(C172+C173)*'Data - P&amp;L'!$C$9*'Data - P&amp;L'!$C$55</f>
        <v>0</v>
      </c>
      <c r="D250" s="255">
        <f>(D172+D173)*'Data - P&amp;L'!$C$9*'Data - P&amp;L'!$C$55</f>
        <v>0</v>
      </c>
      <c r="E250" s="255">
        <f>(E172+E173)*'Data - P&amp;L'!$C$9*'Data - P&amp;L'!$C$55</f>
        <v>0</v>
      </c>
      <c r="F250" s="255">
        <f>(F172+F173)*'Data - P&amp;L'!$C$9*'Data - P&amp;L'!$C$55</f>
        <v>0</v>
      </c>
      <c r="G250" s="255">
        <f>(G172+G173)*'Data - P&amp;L'!$C$9*'Data - P&amp;L'!$C$55</f>
        <v>0</v>
      </c>
      <c r="H250" s="255">
        <f>(H172+H173)*'Data - P&amp;L'!$C$9*'Data - P&amp;L'!$C$55</f>
        <v>0</v>
      </c>
      <c r="I250" s="255">
        <f>(I172+I173)*'Data - P&amp;L'!$C$9*'Data - P&amp;L'!$C$55</f>
        <v>0</v>
      </c>
      <c r="J250" s="255">
        <f>(J172+J173)*'Data - P&amp;L'!$C$9*'Data - P&amp;L'!$C$55</f>
        <v>0</v>
      </c>
      <c r="K250" s="255">
        <f>(K172+K173)*'Data - P&amp;L'!$C$9*'Data - P&amp;L'!$C$55</f>
        <v>0</v>
      </c>
      <c r="L250" s="255">
        <f>(L172+L173)*'Data - P&amp;L'!$C$9*'Data - P&amp;L'!$C$55</f>
        <v>0</v>
      </c>
      <c r="M250" s="255">
        <f>(M172+M173)*'Data - P&amp;L'!$C$9*'Data - P&amp;L'!$C$55</f>
        <v>0</v>
      </c>
      <c r="N250" s="255">
        <f>(N172+N173)*'Data - P&amp;L'!$C$9*'Data - P&amp;L'!$C$55</f>
        <v>0</v>
      </c>
      <c r="O250" s="255">
        <f>(O172+O173)*'Data - P&amp;L'!$C$9*'Data - P&amp;L'!$C$55</f>
        <v>0</v>
      </c>
      <c r="P250" s="255">
        <f>(P172+P173)*'Data - P&amp;L'!$C$9*'Data - P&amp;L'!$C$55</f>
        <v>0</v>
      </c>
      <c r="Q250" s="255">
        <f>(Q172+Q173)*'Data - P&amp;L'!$C$9*'Data - P&amp;L'!$C$55</f>
        <v>0</v>
      </c>
      <c r="R250" s="255">
        <f>(R172+R173)*'Data - P&amp;L'!$C$9*'Data - P&amp;L'!$C$55</f>
        <v>0</v>
      </c>
      <c r="S250" s="255">
        <f>(S172+S173)*'Data - P&amp;L'!$C$9*'Data - P&amp;L'!$C$55</f>
        <v>0</v>
      </c>
      <c r="T250" s="255">
        <f>(T172+T173)*'Data - P&amp;L'!$C$9*'Data - P&amp;L'!$C$55</f>
        <v>0</v>
      </c>
      <c r="U250" s="255">
        <f>(U172+U173)*'Data - P&amp;L'!$C$9*'Data - P&amp;L'!$C$55</f>
        <v>0</v>
      </c>
      <c r="V250" s="255">
        <f>(V172+V173)*'Data - P&amp;L'!$C$9*'Data - P&amp;L'!$C$55</f>
        <v>0</v>
      </c>
      <c r="W250" s="255">
        <f>(W172+W173)*'Data - P&amp;L'!$C$9*'Data - P&amp;L'!$C$55</f>
        <v>0</v>
      </c>
      <c r="X250" s="255">
        <f>(X172+X173)*'Data - P&amp;L'!$C$9*'Data - P&amp;L'!$C$55</f>
        <v>0</v>
      </c>
      <c r="Y250" s="255">
        <f>(Y172+Y173)*'Data - P&amp;L'!$C$9*'Data - P&amp;L'!$C$55</f>
        <v>0</v>
      </c>
      <c r="Z250" s="255">
        <f>(Z172+Z173)*'Data - P&amp;L'!$C$9*'Data - P&amp;L'!$C$55</f>
        <v>0</v>
      </c>
      <c r="AA250" s="255">
        <f>(AA172+AA173)*'Data - P&amp;L'!$C$9*'Data - P&amp;L'!$C$55</f>
        <v>0</v>
      </c>
      <c r="AB250" s="255">
        <f>(AB172+AB173)*'Data - P&amp;L'!$C$9*'Data - P&amp;L'!$C$55</f>
        <v>0</v>
      </c>
      <c r="AC250" s="255">
        <f>(AC172+AC173)*'Data - P&amp;L'!$C$9*'Data - P&amp;L'!$C$55</f>
        <v>0</v>
      </c>
      <c r="AD250" s="255">
        <f>(AD172+AD173)*'Data - P&amp;L'!$C$9*'Data - P&amp;L'!$C$55</f>
        <v>0</v>
      </c>
      <c r="AE250" s="255">
        <f>(AE172+AE173)*'Data - P&amp;L'!$C$9*'Data - P&amp;L'!$C$55</f>
        <v>0</v>
      </c>
      <c r="AF250" s="255">
        <f>(AF172+AF173)*'Data - P&amp;L'!$C$9*'Data - P&amp;L'!$C$55</f>
        <v>0</v>
      </c>
      <c r="AG250" s="95">
        <f t="shared" si="61"/>
        <v>0</v>
      </c>
    </row>
    <row r="251">
      <c r="A251" s="213" t="s">
        <v>425</v>
      </c>
      <c r="B251" s="255">
        <f>(B174+B175)*'Data - P&amp;L'!$C$5*'Data - P&amp;L'!$C$55</f>
        <v>0</v>
      </c>
      <c r="C251" s="255">
        <f>(C174+C175)*'Data - P&amp;L'!$C$5*'Data - P&amp;L'!$C$55</f>
        <v>0</v>
      </c>
      <c r="D251" s="255">
        <f>(D174+D175)*'Data - P&amp;L'!$C$5*'Data - P&amp;L'!$C$55</f>
        <v>0</v>
      </c>
      <c r="E251" s="255">
        <f>(E174+E175)*'Data - P&amp;L'!$C$5*'Data - P&amp;L'!$C$55</f>
        <v>1.344</v>
      </c>
      <c r="F251" s="255">
        <f>(F174+F175)*'Data - P&amp;L'!$C$5*'Data - P&amp;L'!$C$55</f>
        <v>0</v>
      </c>
      <c r="G251" s="255">
        <f>(G174+G175)*'Data - P&amp;L'!$C$5*'Data - P&amp;L'!$C$55</f>
        <v>0</v>
      </c>
      <c r="H251" s="255">
        <f>(H174+H175)*'Data - P&amp;L'!$C$5*'Data - P&amp;L'!$C$55</f>
        <v>0</v>
      </c>
      <c r="I251" s="255">
        <f>(I174+I175)*'Data - P&amp;L'!$C$5*'Data - P&amp;L'!$C$55</f>
        <v>0</v>
      </c>
      <c r="J251" s="255">
        <f>(J174+J175)*'Data - P&amp;L'!$C$5*'Data - P&amp;L'!$C$55</f>
        <v>0</v>
      </c>
      <c r="K251" s="255">
        <f>(K174+K175)*'Data - P&amp;L'!$C$5*'Data - P&amp;L'!$C$55</f>
        <v>0</v>
      </c>
      <c r="L251" s="255">
        <f>(L174+L175)*'Data - P&amp;L'!$C$5*'Data - P&amp;L'!$C$55</f>
        <v>0</v>
      </c>
      <c r="M251" s="255">
        <f>(M174+M175)*'Data - P&amp;L'!$C$5*'Data - P&amp;L'!$C$55</f>
        <v>0</v>
      </c>
      <c r="N251" s="255">
        <f>(N174+N175)*'Data - P&amp;L'!$C$5*'Data - P&amp;L'!$C$55</f>
        <v>0</v>
      </c>
      <c r="O251" s="255">
        <f>(O174+O175)*'Data - P&amp;L'!$C$5*'Data - P&amp;L'!$C$55</f>
        <v>0</v>
      </c>
      <c r="P251" s="255">
        <f>(P174+P175)*'Data - P&amp;L'!$C$5*'Data - P&amp;L'!$C$55</f>
        <v>0</v>
      </c>
      <c r="Q251" s="255">
        <f>(Q174+Q175)*'Data - P&amp;L'!$C$5*'Data - P&amp;L'!$C$55</f>
        <v>0</v>
      </c>
      <c r="R251" s="255">
        <f>(R174+R175)*'Data - P&amp;L'!$C$5*'Data - P&amp;L'!$C$55</f>
        <v>0</v>
      </c>
      <c r="S251" s="255">
        <f>(S174+S175)*'Data - P&amp;L'!$C$5*'Data - P&amp;L'!$C$55</f>
        <v>0</v>
      </c>
      <c r="T251" s="255">
        <f>(T174+T175)*'Data - P&amp;L'!$C$5*'Data - P&amp;L'!$C$55</f>
        <v>0</v>
      </c>
      <c r="U251" s="255">
        <f>(U174+U175)*'Data - P&amp;L'!$C$5*'Data - P&amp;L'!$C$55</f>
        <v>1.344</v>
      </c>
      <c r="V251" s="255">
        <f>(V174+V175)*'Data - P&amp;L'!$C$5*'Data - P&amp;L'!$C$55</f>
        <v>0</v>
      </c>
      <c r="W251" s="255">
        <f>(W174+W175)*'Data - P&amp;L'!$C$5*'Data - P&amp;L'!$C$55</f>
        <v>0</v>
      </c>
      <c r="X251" s="255">
        <f>(X174+X175)*'Data - P&amp;L'!$C$5*'Data - P&amp;L'!$C$55</f>
        <v>0</v>
      </c>
      <c r="Y251" s="255">
        <f>(Y174+Y175)*'Data - P&amp;L'!$C$5*'Data - P&amp;L'!$C$55</f>
        <v>0</v>
      </c>
      <c r="Z251" s="255">
        <f>(Z174+Z175)*'Data - P&amp;L'!$C$5*'Data - P&amp;L'!$C$55</f>
        <v>0</v>
      </c>
      <c r="AA251" s="255">
        <f>(AA174+AA175)*'Data - P&amp;L'!$C$5*'Data - P&amp;L'!$C$55</f>
        <v>0</v>
      </c>
      <c r="AB251" s="255">
        <f>(AB174+AB175)*'Data - P&amp;L'!$C$5*'Data - P&amp;L'!$C$55</f>
        <v>0</v>
      </c>
      <c r="AC251" s="255">
        <f>(AC174+AC175)*'Data - P&amp;L'!$C$5*'Data - P&amp;L'!$C$55</f>
        <v>0</v>
      </c>
      <c r="AD251" s="255">
        <f>(AD174+AD175)*'Data - P&amp;L'!$C$5*'Data - P&amp;L'!$C$55</f>
        <v>0</v>
      </c>
      <c r="AE251" s="255">
        <f>(AE174+AE175)*'Data - P&amp;L'!$C$5*'Data - P&amp;L'!$C$55</f>
        <v>0</v>
      </c>
      <c r="AF251" s="255">
        <f>(AF174+AF175)*'Data - P&amp;L'!$C$5*'Data - P&amp;L'!$C$55</f>
        <v>0</v>
      </c>
      <c r="AG251" s="95">
        <f t="shared" si="61"/>
        <v>2.688</v>
      </c>
    </row>
    <row r="252">
      <c r="A252" s="213" t="s">
        <v>426</v>
      </c>
      <c r="B252" s="255">
        <f>(B176+B177)*'Data - P&amp;L'!$C$10*'Data - P&amp;L'!$C$55</f>
        <v>0</v>
      </c>
      <c r="C252" s="255">
        <f>(C176+C177)*'Data - P&amp;L'!$C$10*'Data - P&amp;L'!$C$55</f>
        <v>0</v>
      </c>
      <c r="D252" s="255">
        <f>(D176+D177)*'Data - P&amp;L'!$C$10*'Data - P&amp;L'!$C$55</f>
        <v>0</v>
      </c>
      <c r="E252" s="255">
        <f>(E176+E177)*'Data - P&amp;L'!$C$10*'Data - P&amp;L'!$C$55</f>
        <v>0</v>
      </c>
      <c r="F252" s="255">
        <f>(F176+F177)*'Data - P&amp;L'!$C$10*'Data - P&amp;L'!$C$55</f>
        <v>0</v>
      </c>
      <c r="G252" s="255">
        <f>(G176+G177)*'Data - P&amp;L'!$C$10*'Data - P&amp;L'!$C$55</f>
        <v>0</v>
      </c>
      <c r="H252" s="255">
        <f>(H176+H177)*'Data - P&amp;L'!$C$10*'Data - P&amp;L'!$C$55</f>
        <v>0</v>
      </c>
      <c r="I252" s="255">
        <f>(I176+I177)*'Data - P&amp;L'!$C$10*'Data - P&amp;L'!$C$55</f>
        <v>0</v>
      </c>
      <c r="J252" s="255">
        <f>(J176+J177)*'Data - P&amp;L'!$C$10*'Data - P&amp;L'!$C$55</f>
        <v>0</v>
      </c>
      <c r="K252" s="255">
        <f>(K176+K177)*'Data - P&amp;L'!$C$10*'Data - P&amp;L'!$C$55</f>
        <v>0</v>
      </c>
      <c r="L252" s="255">
        <f>(L176+L177)*'Data - P&amp;L'!$C$10*'Data - P&amp;L'!$C$55</f>
        <v>0</v>
      </c>
      <c r="M252" s="255">
        <f>(M176+M177)*'Data - P&amp;L'!$C$10*'Data - P&amp;L'!$C$55</f>
        <v>0</v>
      </c>
      <c r="N252" s="255">
        <f>(N176+N177)*'Data - P&amp;L'!$C$10*'Data - P&amp;L'!$C$55</f>
        <v>0</v>
      </c>
      <c r="O252" s="255">
        <f>(O176+O177)*'Data - P&amp;L'!$C$10*'Data - P&amp;L'!$C$55</f>
        <v>0</v>
      </c>
      <c r="P252" s="255">
        <f>(P176+P177)*'Data - P&amp;L'!$C$10*'Data - P&amp;L'!$C$55</f>
        <v>0</v>
      </c>
      <c r="Q252" s="255">
        <f>(Q176+Q177)*'Data - P&amp;L'!$C$10*'Data - P&amp;L'!$C$55</f>
        <v>0</v>
      </c>
      <c r="R252" s="255">
        <f>(R176+R177)*'Data - P&amp;L'!$C$10*'Data - P&amp;L'!$C$55</f>
        <v>0</v>
      </c>
      <c r="S252" s="255">
        <f>(S176+S177)*'Data - P&amp;L'!$C$10*'Data - P&amp;L'!$C$55</f>
        <v>0</v>
      </c>
      <c r="T252" s="255">
        <f>(T176+T177)*'Data - P&amp;L'!$C$10*'Data - P&amp;L'!$C$55</f>
        <v>0</v>
      </c>
      <c r="U252" s="255">
        <f>(U176+U177)*'Data - P&amp;L'!$C$10*'Data - P&amp;L'!$C$55</f>
        <v>0</v>
      </c>
      <c r="V252" s="255">
        <f>(V176+V177)*'Data - P&amp;L'!$C$10*'Data - P&amp;L'!$C$55</f>
        <v>0</v>
      </c>
      <c r="W252" s="255">
        <f>(W176+W177)*'Data - P&amp;L'!$C$10*'Data - P&amp;L'!$C$55</f>
        <v>0</v>
      </c>
      <c r="X252" s="255">
        <f>(X176+X177)*'Data - P&amp;L'!$C$10*'Data - P&amp;L'!$C$55</f>
        <v>0</v>
      </c>
      <c r="Y252" s="255">
        <f>(Y176+Y177)*'Data - P&amp;L'!$C$10*'Data - P&amp;L'!$C$55</f>
        <v>0</v>
      </c>
      <c r="Z252" s="255">
        <f>(Z176+Z177)*'Data - P&amp;L'!$C$10*'Data - P&amp;L'!$C$55</f>
        <v>0</v>
      </c>
      <c r="AA252" s="255">
        <f>(AA176+AA177)*'Data - P&amp;L'!$C$10*'Data - P&amp;L'!$C$55</f>
        <v>0</v>
      </c>
      <c r="AB252" s="255">
        <f>(AB176+AB177)*'Data - P&amp;L'!$C$10*'Data - P&amp;L'!$C$55</f>
        <v>0</v>
      </c>
      <c r="AC252" s="255">
        <f>(AC176+AC177)*'Data - P&amp;L'!$C$10*'Data - P&amp;L'!$C$55</f>
        <v>0</v>
      </c>
      <c r="AD252" s="255">
        <f>(AD176+AD177)*'Data - P&amp;L'!$C$10*'Data - P&amp;L'!$C$55</f>
        <v>0</v>
      </c>
      <c r="AE252" s="255">
        <f>(AE176+AE177)*'Data - P&amp;L'!$C$10*'Data - P&amp;L'!$C$55</f>
        <v>0</v>
      </c>
      <c r="AF252" s="255">
        <f>(AF176+AF177)*'Data - P&amp;L'!$C$10*'Data - P&amp;L'!$C$55</f>
        <v>0</v>
      </c>
      <c r="AG252" s="95">
        <f t="shared" si="61"/>
        <v>0</v>
      </c>
    </row>
    <row r="253">
      <c r="A253" s="358" t="s">
        <v>427</v>
      </c>
      <c r="B253" s="255">
        <f>(B167+B168)*'Data - P&amp;L'!$C$43*'Data - P&amp;L'!$C$55</f>
        <v>0</v>
      </c>
      <c r="C253" s="255">
        <f>(C167+C168)*'Data - P&amp;L'!$C$43*'Data - P&amp;L'!$C$55</f>
        <v>0</v>
      </c>
      <c r="D253" s="255">
        <f>(D167+D168)*'Data - P&amp;L'!$C$43*'Data - P&amp;L'!$C$55</f>
        <v>0</v>
      </c>
      <c r="E253" s="255">
        <f>(E167+E168)*'Data - P&amp;L'!$C$43*'Data - P&amp;L'!$C$55</f>
        <v>0</v>
      </c>
      <c r="F253" s="255">
        <f>(F167+F168)*'Data - P&amp;L'!$C$43*'Data - P&amp;L'!$C$55</f>
        <v>0</v>
      </c>
      <c r="G253" s="255">
        <f>(G167+G168)*'Data - P&amp;L'!$C$43*'Data - P&amp;L'!$C$55</f>
        <v>0</v>
      </c>
      <c r="H253" s="255">
        <f>(H167+H168)*'Data - P&amp;L'!$C$43*'Data - P&amp;L'!$C$55</f>
        <v>0</v>
      </c>
      <c r="I253" s="255">
        <f>(I167+I168)*'Data - P&amp;L'!$C$43*'Data - P&amp;L'!$C$55</f>
        <v>0</v>
      </c>
      <c r="J253" s="255">
        <f>(J167+J168)*'Data - P&amp;L'!$C$43*'Data - P&amp;L'!$C$55</f>
        <v>0</v>
      </c>
      <c r="K253" s="255">
        <f>(K167+K168)*'Data - P&amp;L'!$C$43*'Data - P&amp;L'!$C$55</f>
        <v>0</v>
      </c>
      <c r="L253" s="255">
        <f>(L167+L168)*'Data - P&amp;L'!$C$43*'Data - P&amp;L'!$C$55</f>
        <v>0</v>
      </c>
      <c r="M253" s="255">
        <f>(M167+M168)*'Data - P&amp;L'!$C$43*'Data - P&amp;L'!$C$55</f>
        <v>0</v>
      </c>
      <c r="N253" s="255">
        <f>(N167+N168)*'Data - P&amp;L'!$C$43*'Data - P&amp;L'!$C$55</f>
        <v>0</v>
      </c>
      <c r="O253" s="255">
        <f>(O167+O168)*'Data - P&amp;L'!$C$43*'Data - P&amp;L'!$C$55</f>
        <v>0</v>
      </c>
      <c r="P253" s="255">
        <f>(P167+P168)*'Data - P&amp;L'!$C$43*'Data - P&amp;L'!$C$55</f>
        <v>0</v>
      </c>
      <c r="Q253" s="255">
        <f>(Q167+Q168)*'Data - P&amp;L'!$C$43*'Data - P&amp;L'!$C$55</f>
        <v>0</v>
      </c>
      <c r="R253" s="255">
        <f>(R167+R168)*'Data - P&amp;L'!$C$43*'Data - P&amp;L'!$C$55</f>
        <v>0</v>
      </c>
      <c r="S253" s="255">
        <f>(S167+S168)*'Data - P&amp;L'!$C$43*'Data - P&amp;L'!$C$55</f>
        <v>0</v>
      </c>
      <c r="T253" s="255">
        <f>(T167+T168)*'Data - P&amp;L'!$C$43*'Data - P&amp;L'!$C$55</f>
        <v>1.194</v>
      </c>
      <c r="U253" s="255">
        <f>(U167+U168)*'Data - P&amp;L'!$C$43*'Data - P&amp;L'!$C$55</f>
        <v>0</v>
      </c>
      <c r="V253" s="255">
        <f>(V167+V168)*'Data - P&amp;L'!$C$43*'Data - P&amp;L'!$C$55</f>
        <v>0</v>
      </c>
      <c r="W253" s="255">
        <f>(W167+W168)*'Data - P&amp;L'!$C$43*'Data - P&amp;L'!$C$55</f>
        <v>0</v>
      </c>
      <c r="X253" s="255">
        <f>(X167+X168)*'Data - P&amp;L'!$C$43*'Data - P&amp;L'!$C$55</f>
        <v>0</v>
      </c>
      <c r="Y253" s="255">
        <f>(Y167+Y168)*'Data - P&amp;L'!$C$43*'Data - P&amp;L'!$C$55</f>
        <v>0</v>
      </c>
      <c r="Z253" s="255">
        <f>(Z167+Z168)*'Data - P&amp;L'!$C$43*'Data - P&amp;L'!$C$55</f>
        <v>0</v>
      </c>
      <c r="AA253" s="255">
        <f>(AA167+AA168)*'Data - P&amp;L'!$C$43*'Data - P&amp;L'!$C$55</f>
        <v>0</v>
      </c>
      <c r="AB253" s="255">
        <f>(AB167+AB168)*'Data - P&amp;L'!$C$43*'Data - P&amp;L'!$C$55</f>
        <v>0</v>
      </c>
      <c r="AC253" s="255">
        <f>(AC167+AC168)*'Data - P&amp;L'!$C$43*'Data - P&amp;L'!$C$55</f>
        <v>0</v>
      </c>
      <c r="AD253" s="255">
        <f>(AD167+AD168)*'Data - P&amp;L'!$C$43*'Data - P&amp;L'!$C$55</f>
        <v>0</v>
      </c>
      <c r="AE253" s="255">
        <f>(AE167+AE168)*'Data - P&amp;L'!$C$43*'Data - P&amp;L'!$C$55</f>
        <v>0</v>
      </c>
      <c r="AF253" s="255">
        <f>(AF167+AF168)*'Data - P&amp;L'!$C$43*'Data - P&amp;L'!$C$55</f>
        <v>0</v>
      </c>
      <c r="AG253" s="95">
        <f t="shared" si="61"/>
        <v>1.194</v>
      </c>
    </row>
    <row r="254">
      <c r="A254" s="358" t="s">
        <v>429</v>
      </c>
      <c r="B254" s="255">
        <f>B178*'Data - P&amp;L'!$C$43*'Data - P&amp;L'!$C$55</f>
        <v>0</v>
      </c>
      <c r="C254" s="255">
        <f>C178*'Data - P&amp;L'!$C$43*'Data - P&amp;L'!$C$55</f>
        <v>0</v>
      </c>
      <c r="D254" s="255">
        <f>D178*'Data - P&amp;L'!$C$43*'Data - P&amp;L'!$C$55</f>
        <v>0</v>
      </c>
      <c r="E254" s="255">
        <f>E178*'Data - P&amp;L'!$C$43*'Data - P&amp;L'!$C$55</f>
        <v>1.194</v>
      </c>
      <c r="F254" s="255">
        <f>F178*'Data - P&amp;L'!$C$43*'Data - P&amp;L'!$C$55</f>
        <v>0</v>
      </c>
      <c r="G254" s="255">
        <f>G178*'Data - P&amp;L'!$C$43*'Data - P&amp;L'!$C$55</f>
        <v>0</v>
      </c>
      <c r="H254" s="255">
        <f>H178*'Data - P&amp;L'!$C$43*'Data - P&amp;L'!$C$55</f>
        <v>0</v>
      </c>
      <c r="I254" s="255">
        <f>I178*'Data - P&amp;L'!$C$43*'Data - P&amp;L'!$C$55</f>
        <v>0</v>
      </c>
      <c r="J254" s="255">
        <f>J178*'Data - P&amp;L'!$C$43*'Data - P&amp;L'!$C$55</f>
        <v>0</v>
      </c>
      <c r="K254" s="255">
        <f>K178*'Data - P&amp;L'!$C$43*'Data - P&amp;L'!$C$55</f>
        <v>0</v>
      </c>
      <c r="L254" s="255">
        <f>L178*'Data - P&amp;L'!$C$43*'Data - P&amp;L'!$C$55</f>
        <v>0</v>
      </c>
      <c r="M254" s="255">
        <f>M178*'Data - P&amp;L'!$C$43*'Data - P&amp;L'!$C$55</f>
        <v>0</v>
      </c>
      <c r="N254" s="255">
        <f>N178*'Data - P&amp;L'!$C$43*'Data - P&amp;L'!$C$55</f>
        <v>0</v>
      </c>
      <c r="O254" s="255">
        <f>O178*'Data - P&amp;L'!$C$43*'Data - P&amp;L'!$C$55</f>
        <v>0</v>
      </c>
      <c r="P254" s="255">
        <f>P178*'Data - P&amp;L'!$C$43*'Data - P&amp;L'!$C$55</f>
        <v>0</v>
      </c>
      <c r="Q254" s="255">
        <f>Q178*'Data - P&amp;L'!$C$43*'Data - P&amp;L'!$C$55</f>
        <v>0</v>
      </c>
      <c r="R254" s="255">
        <f>R178*'Data - P&amp;L'!$C$43*'Data - P&amp;L'!$C$55</f>
        <v>0</v>
      </c>
      <c r="S254" s="255">
        <f>S178*'Data - P&amp;L'!$C$43*'Data - P&amp;L'!$C$55</f>
        <v>0</v>
      </c>
      <c r="T254" s="255">
        <f>T178*'Data - P&amp;L'!$C$43*'Data - P&amp;L'!$C$55</f>
        <v>0</v>
      </c>
      <c r="U254" s="255">
        <f>U178*'Data - P&amp;L'!$C$43*'Data - P&amp;L'!$C$55</f>
        <v>1.194</v>
      </c>
      <c r="V254" s="255">
        <f>V178*'Data - P&amp;L'!$C$43*'Data - P&amp;L'!$C$55</f>
        <v>0</v>
      </c>
      <c r="W254" s="255">
        <f>W178*'Data - P&amp;L'!$C$43*'Data - P&amp;L'!$C$55</f>
        <v>0</v>
      </c>
      <c r="X254" s="255">
        <f>X178*'Data - P&amp;L'!$C$43*'Data - P&amp;L'!$C$55</f>
        <v>0</v>
      </c>
      <c r="Y254" s="255">
        <f>Y178*'Data - P&amp;L'!$C$43*'Data - P&amp;L'!$C$55</f>
        <v>0</v>
      </c>
      <c r="Z254" s="255">
        <f>Z178*'Data - P&amp;L'!$C$43*'Data - P&amp;L'!$C$55</f>
        <v>0</v>
      </c>
      <c r="AA254" s="255">
        <f>AA178*'Data - P&amp;L'!$C$43*'Data - P&amp;L'!$C$55</f>
        <v>0</v>
      </c>
      <c r="AB254" s="255">
        <f>AB178*'Data - P&amp;L'!$C$43*'Data - P&amp;L'!$C$55</f>
        <v>0</v>
      </c>
      <c r="AC254" s="255">
        <f>AC178*'Data - P&amp;L'!$C$43*'Data - P&amp;L'!$C$55</f>
        <v>0</v>
      </c>
      <c r="AD254" s="255">
        <f>AD178*'Data - P&amp;L'!$C$43*'Data - P&amp;L'!$C$55</f>
        <v>0</v>
      </c>
      <c r="AE254" s="255">
        <f>AE178*'Data - P&amp;L'!$C$43*'Data - P&amp;L'!$C$55</f>
        <v>0</v>
      </c>
      <c r="AF254" s="255">
        <f>AF178*'Data - P&amp;L'!$C$43*'Data - P&amp;L'!$C$55</f>
        <v>0</v>
      </c>
      <c r="AG254" s="95">
        <f t="shared" si="61"/>
        <v>2.388</v>
      </c>
    </row>
    <row r="255">
      <c r="A255" s="213" t="s">
        <v>595</v>
      </c>
      <c r="B255" s="255">
        <f>(((B167+B168)*'Data - P&amp;L'!$C$62)*(1-'Data - P&amp;L'!$C$59))+((B178*'Data - P&amp;L'!$C$63)*(1-'Data - P&amp;L'!$C$59))</f>
        <v>0</v>
      </c>
      <c r="C255" s="255">
        <f>(((C167+C168)*'Data - P&amp;L'!$C$62)*(1-'Data - P&amp;L'!$C$59))+((C178*'Data - P&amp;L'!$C$63)*(1-'Data - P&amp;L'!$C$59))</f>
        <v>0</v>
      </c>
      <c r="D255" s="255">
        <f>(((D167+D168)*'Data - P&amp;L'!$C$62)*(1-'Data - P&amp;L'!$C$59))+((D178*'Data - P&amp;L'!$C$63)*(1-'Data - P&amp;L'!$C$59))</f>
        <v>0</v>
      </c>
      <c r="E255" s="255">
        <f>(((E167+E168)*'Data - P&amp;L'!$C$62)*(1-'Data - P&amp;L'!$C$59))+((E178*'Data - P&amp;L'!$C$63)*(1-'Data - P&amp;L'!$C$59))</f>
        <v>1.18734</v>
      </c>
      <c r="F255" s="255">
        <f>(((F167+F168)*'Data - P&amp;L'!$C$62)*(1-'Data - P&amp;L'!$C$59))+((F178*'Data - P&amp;L'!$C$63)*(1-'Data - P&amp;L'!$C$59))</f>
        <v>0</v>
      </c>
      <c r="G255" s="255">
        <f>(((G167+G168)*'Data - P&amp;L'!$C$62)*(1-'Data - P&amp;L'!$C$59))+((G178*'Data - P&amp;L'!$C$63)*(1-'Data - P&amp;L'!$C$59))</f>
        <v>0</v>
      </c>
      <c r="H255" s="255">
        <f>(((H167+H168)*'Data - P&amp;L'!$C$62)*(1-'Data - P&amp;L'!$C$59))+((H178*'Data - P&amp;L'!$C$63)*(1-'Data - P&amp;L'!$C$59))</f>
        <v>0</v>
      </c>
      <c r="I255" s="255">
        <f>(((I167+I168)*'Data - P&amp;L'!$C$62)*(1-'Data - P&amp;L'!$C$59))+((I178*'Data - P&amp;L'!$C$63)*(1-'Data - P&amp;L'!$C$59))</f>
        <v>0</v>
      </c>
      <c r="J255" s="255">
        <f>(((J167+J168)*'Data - P&amp;L'!$C$62)*(1-'Data - P&amp;L'!$C$59))+((J178*'Data - P&amp;L'!$C$63)*(1-'Data - P&amp;L'!$C$59))</f>
        <v>0</v>
      </c>
      <c r="K255" s="255">
        <f>(((K167+K168)*'Data - P&amp;L'!$C$62)*(1-'Data - P&amp;L'!$C$59))+((K178*'Data - P&amp;L'!$C$63)*(1-'Data - P&amp;L'!$C$59))</f>
        <v>0</v>
      </c>
      <c r="L255" s="255">
        <f>(((L167+L168)*'Data - P&amp;L'!$C$62)*(1-'Data - P&amp;L'!$C$59))+((L178*'Data - P&amp;L'!$C$63)*(1-'Data - P&amp;L'!$C$59))</f>
        <v>0</v>
      </c>
      <c r="M255" s="255">
        <f>(((M167+M168)*'Data - P&amp;L'!$C$62)*(1-'Data - P&amp;L'!$C$59))+((M178*'Data - P&amp;L'!$C$63)*(1-'Data - P&amp;L'!$C$59))</f>
        <v>0</v>
      </c>
      <c r="N255" s="255">
        <f>(((N167+N168)*'Data - P&amp;L'!$C$62)*(1-'Data - P&amp;L'!$C$59))+((N178*'Data - P&amp;L'!$C$63)*(1-'Data - P&amp;L'!$C$59))</f>
        <v>0</v>
      </c>
      <c r="O255" s="255">
        <f>(((O167+O168)*'Data - P&amp;L'!$C$62)*(1-'Data - P&amp;L'!$C$59))+((O178*'Data - P&amp;L'!$C$63)*(1-'Data - P&amp;L'!$C$59))</f>
        <v>0</v>
      </c>
      <c r="P255" s="255">
        <f>(((P167+P168)*'Data - P&amp;L'!$C$62)*(1-'Data - P&amp;L'!$C$59))+((P178*'Data - P&amp;L'!$C$63)*(1-'Data - P&amp;L'!$C$59))</f>
        <v>0</v>
      </c>
      <c r="Q255" s="255">
        <f>(((Q167+Q168)*'Data - P&amp;L'!$C$62)*(1-'Data - P&amp;L'!$C$59))+((Q178*'Data - P&amp;L'!$C$63)*(1-'Data - P&amp;L'!$C$59))</f>
        <v>0</v>
      </c>
      <c r="R255" s="255">
        <f>(((R167+R168)*'Data - P&amp;L'!$C$62)*(1-'Data - P&amp;L'!$C$59))+((R178*'Data - P&amp;L'!$C$63)*(1-'Data - P&amp;L'!$C$59))</f>
        <v>0</v>
      </c>
      <c r="S255" s="255">
        <f>(((S167+S168)*'Data - P&amp;L'!$C$62)*(1-'Data - P&amp;L'!$C$59))+((S178*'Data - P&amp;L'!$C$63)*(1-'Data - P&amp;L'!$C$59))</f>
        <v>0</v>
      </c>
      <c r="T255" s="255">
        <f>(((T167+T168)*'Data - P&amp;L'!$C$62)*(1-'Data - P&amp;L'!$C$59))+((T178*'Data - P&amp;L'!$C$63)*(1-'Data - P&amp;L'!$C$59))</f>
        <v>3.000732</v>
      </c>
      <c r="U255" s="255">
        <f>(((U167+U168)*'Data - P&amp;L'!$C$62)*(1-'Data - P&amp;L'!$C$59))+((U178*'Data - P&amp;L'!$C$63)*(1-'Data - P&amp;L'!$C$59))</f>
        <v>1.18734</v>
      </c>
      <c r="V255" s="255">
        <f>(((V167+V168)*'Data - P&amp;L'!$C$62)*(1-'Data - P&amp;L'!$C$59))+((V178*'Data - P&amp;L'!$C$63)*(1-'Data - P&amp;L'!$C$59))</f>
        <v>0</v>
      </c>
      <c r="W255" s="255">
        <f>(((W167+W168)*'Data - P&amp;L'!$C$62)*(1-'Data - P&amp;L'!$C$59))+((W178*'Data - P&amp;L'!$C$63)*(1-'Data - P&amp;L'!$C$59))</f>
        <v>0</v>
      </c>
      <c r="X255" s="255">
        <f>(((X167+X168)*'Data - P&amp;L'!$C$62)*(1-'Data - P&amp;L'!$C$59))+((X178*'Data - P&amp;L'!$C$63)*(1-'Data - P&amp;L'!$C$59))</f>
        <v>0</v>
      </c>
      <c r="Y255" s="255">
        <f>(((Y167+Y168)*'Data - P&amp;L'!$C$62)*(1-'Data - P&amp;L'!$C$59))+((Y178*'Data - P&amp;L'!$C$63)*(1-'Data - P&amp;L'!$C$59))</f>
        <v>0</v>
      </c>
      <c r="Z255" s="255">
        <f>(((Z167+Z168)*'Data - P&amp;L'!$C$62)*(1-'Data - P&amp;L'!$C$59))+((Z178*'Data - P&amp;L'!$C$63)*(1-'Data - P&amp;L'!$C$59))</f>
        <v>0</v>
      </c>
      <c r="AA255" s="255">
        <f>(((AA167+AA168)*'Data - P&amp;L'!$C$62)*(1-'Data - P&amp;L'!$C$59))+((AA178*'Data - P&amp;L'!$C$63)*(1-'Data - P&amp;L'!$C$59))</f>
        <v>0</v>
      </c>
      <c r="AB255" s="255">
        <f>(((AB167+AB168)*'Data - P&amp;L'!$C$62)*(1-'Data - P&amp;L'!$C$59))+((AB178*'Data - P&amp;L'!$C$63)*(1-'Data - P&amp;L'!$C$59))</f>
        <v>0</v>
      </c>
      <c r="AC255" s="255">
        <f>(((AC167+AC168)*'Data - P&amp;L'!$C$62)*(1-'Data - P&amp;L'!$C$59))+((AC178*'Data - P&amp;L'!$C$63)*(1-'Data - P&amp;L'!$C$59))</f>
        <v>0</v>
      </c>
      <c r="AD255" s="255">
        <f>(((AD167+AD168)*'Data - P&amp;L'!$C$62)*(1-'Data - P&amp;L'!$C$59))+((AD178*'Data - P&amp;L'!$C$63)*(1-'Data - P&amp;L'!$C$59))</f>
        <v>0</v>
      </c>
      <c r="AE255" s="255">
        <f>(((AE167+AE168)*'Data - P&amp;L'!$C$62)*(1-'Data - P&amp;L'!$C$59))+((AE178*'Data - P&amp;L'!$C$63)*(1-'Data - P&amp;L'!$C$59))</f>
        <v>0</v>
      </c>
      <c r="AF255" s="255">
        <f>(((AF167+AF168)*'Data - P&amp;L'!$C$62)*(1-'Data - P&amp;L'!$C$59))+((AF178*'Data - P&amp;L'!$C$63)*(1-'Data - P&amp;L'!$C$59))</f>
        <v>0</v>
      </c>
      <c r="AG255" s="95">
        <f t="shared" si="61"/>
        <v>5.375412</v>
      </c>
    </row>
    <row r="256">
      <c r="A256" s="235" t="s">
        <v>597</v>
      </c>
      <c r="B256" s="269">
        <f t="shared" ref="B256:AF256" si="66">sum(B257:B265)</f>
        <v>0</v>
      </c>
      <c r="C256" s="269">
        <f t="shared" si="66"/>
        <v>0</v>
      </c>
      <c r="D256" s="269">
        <f t="shared" si="66"/>
        <v>0</v>
      </c>
      <c r="E256" s="269">
        <f t="shared" si="66"/>
        <v>14.634</v>
      </c>
      <c r="F256" s="269">
        <f t="shared" si="66"/>
        <v>0</v>
      </c>
      <c r="G256" s="269">
        <f t="shared" si="66"/>
        <v>0</v>
      </c>
      <c r="H256" s="269">
        <f t="shared" si="66"/>
        <v>0</v>
      </c>
      <c r="I256" s="269">
        <f t="shared" si="66"/>
        <v>0</v>
      </c>
      <c r="J256" s="269">
        <f t="shared" si="66"/>
        <v>0</v>
      </c>
      <c r="K256" s="269">
        <f t="shared" si="66"/>
        <v>0</v>
      </c>
      <c r="L256" s="269">
        <f t="shared" si="66"/>
        <v>0</v>
      </c>
      <c r="M256" s="269">
        <f t="shared" si="66"/>
        <v>0</v>
      </c>
      <c r="N256" s="269">
        <f t="shared" si="66"/>
        <v>0</v>
      </c>
      <c r="O256" s="269">
        <f t="shared" si="66"/>
        <v>0</v>
      </c>
      <c r="P256" s="269">
        <f t="shared" si="66"/>
        <v>0</v>
      </c>
      <c r="Q256" s="269">
        <f t="shared" si="66"/>
        <v>0</v>
      </c>
      <c r="R256" s="269">
        <f t="shared" si="66"/>
        <v>0</v>
      </c>
      <c r="S256" s="269">
        <f t="shared" si="66"/>
        <v>0</v>
      </c>
      <c r="T256" s="269">
        <f t="shared" si="66"/>
        <v>98.804</v>
      </c>
      <c r="U256" s="269">
        <f t="shared" si="66"/>
        <v>14.634</v>
      </c>
      <c r="V256" s="269">
        <f t="shared" si="66"/>
        <v>0</v>
      </c>
      <c r="W256" s="269">
        <f t="shared" si="66"/>
        <v>0</v>
      </c>
      <c r="X256" s="269">
        <f t="shared" si="66"/>
        <v>0</v>
      </c>
      <c r="Y256" s="269">
        <f t="shared" si="66"/>
        <v>0</v>
      </c>
      <c r="Z256" s="269">
        <f t="shared" si="66"/>
        <v>0</v>
      </c>
      <c r="AA256" s="269">
        <f t="shared" si="66"/>
        <v>0</v>
      </c>
      <c r="AB256" s="269">
        <f t="shared" si="66"/>
        <v>0</v>
      </c>
      <c r="AC256" s="269">
        <f t="shared" si="66"/>
        <v>0</v>
      </c>
      <c r="AD256" s="269">
        <f t="shared" si="66"/>
        <v>0</v>
      </c>
      <c r="AE256" s="269">
        <f t="shared" si="66"/>
        <v>0</v>
      </c>
      <c r="AF256" s="269">
        <f t="shared" si="66"/>
        <v>0</v>
      </c>
      <c r="AG256" s="95">
        <f t="shared" si="61"/>
        <v>128.072</v>
      </c>
    </row>
    <row r="257">
      <c r="A257" s="213" t="s">
        <v>420</v>
      </c>
      <c r="B257" s="255">
        <f>B167*'Data - P&amp;L'!$C$3</f>
        <v>0</v>
      </c>
      <c r="C257" s="255">
        <f>C167*'Data - P&amp;L'!$C$3</f>
        <v>0</v>
      </c>
      <c r="D257" s="255">
        <f>D167*'Data - P&amp;L'!$C$3</f>
        <v>0</v>
      </c>
      <c r="E257" s="255">
        <f>E167*'Data - P&amp;L'!$C$3</f>
        <v>0</v>
      </c>
      <c r="F257" s="255">
        <f>F167*'Data - P&amp;L'!$C$3</f>
        <v>0</v>
      </c>
      <c r="G257" s="255">
        <f>G167*'Data - P&amp;L'!$C$3</f>
        <v>0</v>
      </c>
      <c r="H257" s="255">
        <f>H167*'Data - P&amp;L'!$C$3</f>
        <v>0</v>
      </c>
      <c r="I257" s="255">
        <f>I167*'Data - P&amp;L'!$C$3</f>
        <v>0</v>
      </c>
      <c r="J257" s="255">
        <f>J167*'Data - P&amp;L'!$C$3</f>
        <v>0</v>
      </c>
      <c r="K257" s="255">
        <f>K167*'Data - P&amp;L'!$C$3</f>
        <v>0</v>
      </c>
      <c r="L257" s="255">
        <f>L167*'Data - P&amp;L'!$C$3</f>
        <v>0</v>
      </c>
      <c r="M257" s="255">
        <f>M167*'Data - P&amp;L'!$C$3</f>
        <v>0</v>
      </c>
      <c r="N257" s="255">
        <f>N167*'Data - P&amp;L'!$C$3</f>
        <v>0</v>
      </c>
      <c r="O257" s="255">
        <f>O167*'Data - P&amp;L'!$C$3</f>
        <v>0</v>
      </c>
      <c r="P257" s="255">
        <f>P167*'Data - P&amp;L'!$C$3</f>
        <v>0</v>
      </c>
      <c r="Q257" s="255">
        <f>Q167*'Data - P&amp;L'!$C$3</f>
        <v>0</v>
      </c>
      <c r="R257" s="255">
        <f>R167*'Data - P&amp;L'!$C$3</f>
        <v>0</v>
      </c>
      <c r="S257" s="255">
        <f>S167*'Data - P&amp;L'!$C$3</f>
        <v>0</v>
      </c>
      <c r="T257" s="255">
        <f>T167*'Data - P&amp;L'!$C$3</f>
        <v>0</v>
      </c>
      <c r="U257" s="255">
        <f>U167*'Data - P&amp;L'!$C$3</f>
        <v>0</v>
      </c>
      <c r="V257" s="255">
        <f>V167*'Data - P&amp;L'!$C$3</f>
        <v>0</v>
      </c>
      <c r="W257" s="255">
        <f>W167*'Data - P&amp;L'!$C$3</f>
        <v>0</v>
      </c>
      <c r="X257" s="255">
        <f>X167*'Data - P&amp;L'!$C$3</f>
        <v>0</v>
      </c>
      <c r="Y257" s="255">
        <f>Y167*'Data - P&amp;L'!$C$3</f>
        <v>0</v>
      </c>
      <c r="Z257" s="255">
        <f>Z167*'Data - P&amp;L'!$C$3</f>
        <v>0</v>
      </c>
      <c r="AA257" s="255">
        <f>AA167*'Data - P&amp;L'!$C$3</f>
        <v>0</v>
      </c>
      <c r="AB257" s="255">
        <f>AB167*'Data - P&amp;L'!$C$3</f>
        <v>0</v>
      </c>
      <c r="AC257" s="255">
        <f>AC167*'Data - P&amp;L'!$C$3</f>
        <v>0</v>
      </c>
      <c r="AD257" s="255">
        <f>AD167*'Data - P&amp;L'!$C$3</f>
        <v>0</v>
      </c>
      <c r="AE257" s="255">
        <f>AE167*'Data - P&amp;L'!$C$3</f>
        <v>0</v>
      </c>
      <c r="AF257" s="255">
        <f>AF167*'Data - P&amp;L'!$C$3</f>
        <v>0</v>
      </c>
      <c r="AG257" s="95">
        <f t="shared" si="61"/>
        <v>0</v>
      </c>
    </row>
    <row r="258">
      <c r="A258" s="213" t="s">
        <v>421</v>
      </c>
      <c r="B258" s="255">
        <f>B168*'Data - P&amp;L'!$C$4</f>
        <v>0</v>
      </c>
      <c r="C258" s="255">
        <f>C168*'Data - P&amp;L'!$C$4</f>
        <v>0</v>
      </c>
      <c r="D258" s="255">
        <f>D168*'Data - P&amp;L'!$C$4</f>
        <v>0</v>
      </c>
      <c r="E258" s="255">
        <f>E168*'Data - P&amp;L'!$C$4</f>
        <v>0</v>
      </c>
      <c r="F258" s="255">
        <f>F168*'Data - P&amp;L'!$C$4</f>
        <v>0</v>
      </c>
      <c r="G258" s="255">
        <f>G168*'Data - P&amp;L'!$C$4</f>
        <v>0</v>
      </c>
      <c r="H258" s="255">
        <f>H168*'Data - P&amp;L'!$C$4</f>
        <v>0</v>
      </c>
      <c r="I258" s="255">
        <f>I168*'Data - P&amp;L'!$C$4</f>
        <v>0</v>
      </c>
      <c r="J258" s="255">
        <f>J168*'Data - P&amp;L'!$C$4</f>
        <v>0</v>
      </c>
      <c r="K258" s="255">
        <f>K168*'Data - P&amp;L'!$C$4</f>
        <v>0</v>
      </c>
      <c r="L258" s="255">
        <f>L168*'Data - P&amp;L'!$C$4</f>
        <v>0</v>
      </c>
      <c r="M258" s="255">
        <f>M168*'Data - P&amp;L'!$C$4</f>
        <v>0</v>
      </c>
      <c r="N258" s="255">
        <f>N168*'Data - P&amp;L'!$C$4</f>
        <v>0</v>
      </c>
      <c r="O258" s="255">
        <f>O168*'Data - P&amp;L'!$C$4</f>
        <v>0</v>
      </c>
      <c r="P258" s="255">
        <f>P168*'Data - P&amp;L'!$C$4</f>
        <v>0</v>
      </c>
      <c r="Q258" s="255">
        <f>Q168*'Data - P&amp;L'!$C$4</f>
        <v>0</v>
      </c>
      <c r="R258" s="255">
        <f>R168*'Data - P&amp;L'!$C$4</f>
        <v>0</v>
      </c>
      <c r="S258" s="255">
        <f>S168*'Data - P&amp;L'!$C$4</f>
        <v>0</v>
      </c>
      <c r="T258" s="255">
        <f>T168*'Data - P&amp;L'!$C$4</f>
        <v>97.61</v>
      </c>
      <c r="U258" s="255">
        <f>U168*'Data - P&amp;L'!$C$4</f>
        <v>0</v>
      </c>
      <c r="V258" s="255">
        <f>V168*'Data - P&amp;L'!$C$4</f>
        <v>0</v>
      </c>
      <c r="W258" s="255">
        <f>W168*'Data - P&amp;L'!$C$4</f>
        <v>0</v>
      </c>
      <c r="X258" s="255">
        <f>X168*'Data - P&amp;L'!$C$4</f>
        <v>0</v>
      </c>
      <c r="Y258" s="255">
        <f>Y168*'Data - P&amp;L'!$C$4</f>
        <v>0</v>
      </c>
      <c r="Z258" s="255">
        <f>Z168*'Data - P&amp;L'!$C$4</f>
        <v>0</v>
      </c>
      <c r="AA258" s="255">
        <f>AA168*'Data - P&amp;L'!$C$4</f>
        <v>0</v>
      </c>
      <c r="AB258" s="255">
        <f>AB168*'Data - P&amp;L'!$C$4</f>
        <v>0</v>
      </c>
      <c r="AC258" s="255">
        <f>AC168*'Data - P&amp;L'!$C$4</f>
        <v>0</v>
      </c>
      <c r="AD258" s="255">
        <f>AD168*'Data - P&amp;L'!$C$4</f>
        <v>0</v>
      </c>
      <c r="AE258" s="255">
        <f>AE168*'Data - P&amp;L'!$C$4</f>
        <v>0</v>
      </c>
      <c r="AF258" s="255">
        <f>AF168*'Data - P&amp;L'!$C$4</f>
        <v>0</v>
      </c>
      <c r="AG258" s="95">
        <f t="shared" si="61"/>
        <v>97.61</v>
      </c>
    </row>
    <row r="259">
      <c r="A259" s="213" t="s">
        <v>422</v>
      </c>
      <c r="B259" s="255">
        <f>B170*'Data - P&amp;L'!$C$6</f>
        <v>0</v>
      </c>
      <c r="C259" s="255">
        <f>C170*'Data - P&amp;L'!$C$6</f>
        <v>0</v>
      </c>
      <c r="D259" s="255">
        <f>D170*'Data - P&amp;L'!$C$6</f>
        <v>0</v>
      </c>
      <c r="E259" s="255">
        <f>E170*'Data - P&amp;L'!$C$6</f>
        <v>0</v>
      </c>
      <c r="F259" s="255">
        <f>F170*'Data - P&amp;L'!$C$6</f>
        <v>0</v>
      </c>
      <c r="G259" s="255">
        <f>G170*'Data - P&amp;L'!$C$6</f>
        <v>0</v>
      </c>
      <c r="H259" s="255">
        <f>H170*'Data - P&amp;L'!$C$6</f>
        <v>0</v>
      </c>
      <c r="I259" s="255">
        <f>I170*'Data - P&amp;L'!$C$6</f>
        <v>0</v>
      </c>
      <c r="J259" s="255">
        <f>J170*'Data - P&amp;L'!$C$6</f>
        <v>0</v>
      </c>
      <c r="K259" s="255">
        <f>K170*'Data - P&amp;L'!$C$6</f>
        <v>0</v>
      </c>
      <c r="L259" s="255">
        <f>L170*'Data - P&amp;L'!$C$6</f>
        <v>0</v>
      </c>
      <c r="M259" s="255">
        <f>M170*'Data - P&amp;L'!$C$6</f>
        <v>0</v>
      </c>
      <c r="N259" s="255">
        <f>N170*'Data - P&amp;L'!$C$6</f>
        <v>0</v>
      </c>
      <c r="O259" s="255">
        <f>O170*'Data - P&amp;L'!$C$6</f>
        <v>0</v>
      </c>
      <c r="P259" s="255">
        <f>P170*'Data - P&amp;L'!$C$6</f>
        <v>0</v>
      </c>
      <c r="Q259" s="255">
        <f>Q170*'Data - P&amp;L'!$C$6</f>
        <v>0</v>
      </c>
      <c r="R259" s="255">
        <f>R170*'Data - P&amp;L'!$C$6</f>
        <v>0</v>
      </c>
      <c r="S259" s="255">
        <f>S170*'Data - P&amp;L'!$C$6</f>
        <v>0</v>
      </c>
      <c r="T259" s="255">
        <f>T170*'Data - P&amp;L'!$C$6</f>
        <v>0</v>
      </c>
      <c r="U259" s="255">
        <f>U170*'Data - P&amp;L'!$C$6</f>
        <v>0</v>
      </c>
      <c r="V259" s="255">
        <f>V170*'Data - P&amp;L'!$C$6</f>
        <v>0</v>
      </c>
      <c r="W259" s="255">
        <f>W170*'Data - P&amp;L'!$C$6</f>
        <v>0</v>
      </c>
      <c r="X259" s="255">
        <f>X170*'Data - P&amp;L'!$C$6</f>
        <v>0</v>
      </c>
      <c r="Y259" s="255">
        <f>Y170*'Data - P&amp;L'!$C$6</f>
        <v>0</v>
      </c>
      <c r="Z259" s="255">
        <f>Z170*'Data - P&amp;L'!$C$6</f>
        <v>0</v>
      </c>
      <c r="AA259" s="255">
        <f>AA170*'Data - P&amp;L'!$C$6</f>
        <v>0</v>
      </c>
      <c r="AB259" s="255">
        <f>AB170*'Data - P&amp;L'!$C$6</f>
        <v>0</v>
      </c>
      <c r="AC259" s="255">
        <f>AC170*'Data - P&amp;L'!$C$6</f>
        <v>0</v>
      </c>
      <c r="AD259" s="255">
        <f>AD170*'Data - P&amp;L'!$C$6</f>
        <v>0</v>
      </c>
      <c r="AE259" s="255">
        <f>AE170*'Data - P&amp;L'!$C$6</f>
        <v>0</v>
      </c>
      <c r="AF259" s="255">
        <f>AF170*'Data - P&amp;L'!$C$6</f>
        <v>0</v>
      </c>
      <c r="AG259" s="95">
        <f t="shared" si="61"/>
        <v>0</v>
      </c>
    </row>
    <row r="260">
      <c r="A260" s="213" t="s">
        <v>423</v>
      </c>
      <c r="B260" s="255">
        <f>B171*'Data - P&amp;L'!$C$8</f>
        <v>0</v>
      </c>
      <c r="C260" s="255">
        <f>C171*'Data - P&amp;L'!$C$8</f>
        <v>0</v>
      </c>
      <c r="D260" s="255">
        <f>D171*'Data - P&amp;L'!$C$8</f>
        <v>0</v>
      </c>
      <c r="E260" s="255">
        <f>E171*'Data - P&amp;L'!$C$8</f>
        <v>0</v>
      </c>
      <c r="F260" s="255">
        <f>F171*'Data - P&amp;L'!$C$8</f>
        <v>0</v>
      </c>
      <c r="G260" s="255">
        <f>G171*'Data - P&amp;L'!$C$8</f>
        <v>0</v>
      </c>
      <c r="H260" s="255">
        <f>H171*'Data - P&amp;L'!$C$8</f>
        <v>0</v>
      </c>
      <c r="I260" s="255">
        <f>I171*'Data - P&amp;L'!$C$8</f>
        <v>0</v>
      </c>
      <c r="J260" s="255">
        <f>J171*'Data - P&amp;L'!$C$8</f>
        <v>0</v>
      </c>
      <c r="K260" s="255">
        <f>K171*'Data - P&amp;L'!$C$8</f>
        <v>0</v>
      </c>
      <c r="L260" s="255">
        <f>L171*'Data - P&amp;L'!$C$8</f>
        <v>0</v>
      </c>
      <c r="M260" s="255">
        <f>M171*'Data - P&amp;L'!$C$8</f>
        <v>0</v>
      </c>
      <c r="N260" s="255">
        <f>N171*'Data - P&amp;L'!$C$8</f>
        <v>0</v>
      </c>
      <c r="O260" s="255">
        <f>O171*'Data - P&amp;L'!$C$8</f>
        <v>0</v>
      </c>
      <c r="P260" s="255">
        <f>P171*'Data - P&amp;L'!$C$8</f>
        <v>0</v>
      </c>
      <c r="Q260" s="255">
        <f>Q171*'Data - P&amp;L'!$C$8</f>
        <v>0</v>
      </c>
      <c r="R260" s="255">
        <f>R171*'Data - P&amp;L'!$C$8</f>
        <v>0</v>
      </c>
      <c r="S260" s="255">
        <f>S171*'Data - P&amp;L'!$C$8</f>
        <v>0</v>
      </c>
      <c r="T260" s="255">
        <f>T171*'Data - P&amp;L'!$C$8</f>
        <v>0</v>
      </c>
      <c r="U260" s="255">
        <f>U171*'Data - P&amp;L'!$C$8</f>
        <v>0</v>
      </c>
      <c r="V260" s="255">
        <f>V171*'Data - P&amp;L'!$C$8</f>
        <v>0</v>
      </c>
      <c r="W260" s="255">
        <f>W171*'Data - P&amp;L'!$C$8</f>
        <v>0</v>
      </c>
      <c r="X260" s="255">
        <f>X171*'Data - P&amp;L'!$C$8</f>
        <v>0</v>
      </c>
      <c r="Y260" s="255">
        <f>Y171*'Data - P&amp;L'!$C$8</f>
        <v>0</v>
      </c>
      <c r="Z260" s="255">
        <f>Z171*'Data - P&amp;L'!$C$8</f>
        <v>0</v>
      </c>
      <c r="AA260" s="255">
        <f>AA171*'Data - P&amp;L'!$C$8</f>
        <v>0</v>
      </c>
      <c r="AB260" s="255">
        <f>AB171*'Data - P&amp;L'!$C$8</f>
        <v>0</v>
      </c>
      <c r="AC260" s="255">
        <f>AC171*'Data - P&amp;L'!$C$8</f>
        <v>0</v>
      </c>
      <c r="AD260" s="255">
        <f>AD171*'Data - P&amp;L'!$C$8</f>
        <v>0</v>
      </c>
      <c r="AE260" s="255">
        <f>AE171*'Data - P&amp;L'!$C$8</f>
        <v>0</v>
      </c>
      <c r="AF260" s="255">
        <f>AF171*'Data - P&amp;L'!$C$8</f>
        <v>0</v>
      </c>
      <c r="AG260" s="95">
        <f t="shared" si="61"/>
        <v>0</v>
      </c>
    </row>
    <row r="261">
      <c r="A261" s="213" t="s">
        <v>424</v>
      </c>
      <c r="B261" s="255">
        <f>(B172+B173)*'Data - P&amp;L'!$C$9</f>
        <v>0</v>
      </c>
      <c r="C261" s="255">
        <f>(C172+C173)*'Data - P&amp;L'!$C$9</f>
        <v>0</v>
      </c>
      <c r="D261" s="255">
        <f>(D172+D173)*'Data - P&amp;L'!$C$9</f>
        <v>0</v>
      </c>
      <c r="E261" s="255">
        <f>(E172+E173)*'Data - P&amp;L'!$C$9</f>
        <v>0</v>
      </c>
      <c r="F261" s="255">
        <f>(F172+F173)*'Data - P&amp;L'!$C$9</f>
        <v>0</v>
      </c>
      <c r="G261" s="255">
        <f>(G172+G173)*'Data - P&amp;L'!$C$9</f>
        <v>0</v>
      </c>
      <c r="H261" s="255">
        <f>(H172+H173)*'Data - P&amp;L'!$C$9</f>
        <v>0</v>
      </c>
      <c r="I261" s="255">
        <f>(I172+I173)*'Data - P&amp;L'!$C$9</f>
        <v>0</v>
      </c>
      <c r="J261" s="255">
        <f>(J172+J173)*'Data - P&amp;L'!$C$9</f>
        <v>0</v>
      </c>
      <c r="K261" s="255">
        <f>(K172+K173)*'Data - P&amp;L'!$C$9</f>
        <v>0</v>
      </c>
      <c r="L261" s="255">
        <f>(L172+L173)*'Data - P&amp;L'!$C$9</f>
        <v>0</v>
      </c>
      <c r="M261" s="255">
        <f>(M172+M173)*'Data - P&amp;L'!$C$9</f>
        <v>0</v>
      </c>
      <c r="N261" s="255">
        <f>(N172+N173)*'Data - P&amp;L'!$C$9</f>
        <v>0</v>
      </c>
      <c r="O261" s="255">
        <f>(O172+O173)*'Data - P&amp;L'!$C$9</f>
        <v>0</v>
      </c>
      <c r="P261" s="255">
        <f>(P172+P173)*'Data - P&amp;L'!$C$9</f>
        <v>0</v>
      </c>
      <c r="Q261" s="255">
        <f>(Q172+Q173)*'Data - P&amp;L'!$C$9</f>
        <v>0</v>
      </c>
      <c r="R261" s="255">
        <f>(R172+R173)*'Data - P&amp;L'!$C$9</f>
        <v>0</v>
      </c>
      <c r="S261" s="255">
        <f>(S172+S173)*'Data - P&amp;L'!$C$9</f>
        <v>0</v>
      </c>
      <c r="T261" s="255">
        <f>(T172+T173)*'Data - P&amp;L'!$C$9</f>
        <v>0</v>
      </c>
      <c r="U261" s="255">
        <f>(U172+U173)*'Data - P&amp;L'!$C$9</f>
        <v>0</v>
      </c>
      <c r="V261" s="255">
        <f>(V172+V173)*'Data - P&amp;L'!$C$9</f>
        <v>0</v>
      </c>
      <c r="W261" s="255">
        <f>(W172+W173)*'Data - P&amp;L'!$C$9</f>
        <v>0</v>
      </c>
      <c r="X261" s="255">
        <f>(X172+X173)*'Data - P&amp;L'!$C$9</f>
        <v>0</v>
      </c>
      <c r="Y261" s="255">
        <f>(Y172+Y173)*'Data - P&amp;L'!$C$9</f>
        <v>0</v>
      </c>
      <c r="Z261" s="255">
        <f>(Z172+Z173)*'Data - P&amp;L'!$C$9</f>
        <v>0</v>
      </c>
      <c r="AA261" s="255">
        <f>(AA172+AA173)*'Data - P&amp;L'!$C$9</f>
        <v>0</v>
      </c>
      <c r="AB261" s="255">
        <f>(AB172+AB173)*'Data - P&amp;L'!$C$9</f>
        <v>0</v>
      </c>
      <c r="AC261" s="255">
        <f>(AC172+AC173)*'Data - P&amp;L'!$C$9</f>
        <v>0</v>
      </c>
      <c r="AD261" s="255">
        <f>(AD172+AD173)*'Data - P&amp;L'!$C$9</f>
        <v>0</v>
      </c>
      <c r="AE261" s="255">
        <f>(AE172+AE173)*'Data - P&amp;L'!$C$9</f>
        <v>0</v>
      </c>
      <c r="AF261" s="255">
        <f>(AF172+AF173)*'Data - P&amp;L'!$C$9</f>
        <v>0</v>
      </c>
      <c r="AG261" s="95">
        <f t="shared" si="61"/>
        <v>0</v>
      </c>
    </row>
    <row r="262">
      <c r="A262" s="213" t="s">
        <v>425</v>
      </c>
      <c r="B262" s="255">
        <f>(B174+B175)*'Data - P&amp;L'!$C$5</f>
        <v>0</v>
      </c>
      <c r="C262" s="255">
        <f>(C174+C175)*'Data - P&amp;L'!$C$5</f>
        <v>0</v>
      </c>
      <c r="D262" s="255">
        <f>(D174+D175)*'Data - P&amp;L'!$C$5</f>
        <v>0</v>
      </c>
      <c r="E262" s="255">
        <f>(E174+E175)*'Data - P&amp;L'!$C$5</f>
        <v>13.44</v>
      </c>
      <c r="F262" s="255">
        <f>(F174+F175)*'Data - P&amp;L'!$C$5</f>
        <v>0</v>
      </c>
      <c r="G262" s="255">
        <f>(G174+G175)*'Data - P&amp;L'!$C$5</f>
        <v>0</v>
      </c>
      <c r="H262" s="255">
        <f>(H174+H175)*'Data - P&amp;L'!$C$5</f>
        <v>0</v>
      </c>
      <c r="I262" s="255">
        <f>(I174+I175)*'Data - P&amp;L'!$C$5</f>
        <v>0</v>
      </c>
      <c r="J262" s="255">
        <f>(J174+J175)*'Data - P&amp;L'!$C$5</f>
        <v>0</v>
      </c>
      <c r="K262" s="255">
        <f>(K174+K175)*'Data - P&amp;L'!$C$5</f>
        <v>0</v>
      </c>
      <c r="L262" s="255">
        <f>(L174+L175)*'Data - P&amp;L'!$C$5</f>
        <v>0</v>
      </c>
      <c r="M262" s="255">
        <f>(M174+M175)*'Data - P&amp;L'!$C$5</f>
        <v>0</v>
      </c>
      <c r="N262" s="255">
        <f>(N174+N175)*'Data - P&amp;L'!$C$5</f>
        <v>0</v>
      </c>
      <c r="O262" s="255">
        <f>(O174+O175)*'Data - P&amp;L'!$C$5</f>
        <v>0</v>
      </c>
      <c r="P262" s="255">
        <f>(P174+P175)*'Data - P&amp;L'!$C$5</f>
        <v>0</v>
      </c>
      <c r="Q262" s="255">
        <f>(Q174+Q175)*'Data - P&amp;L'!$C$5</f>
        <v>0</v>
      </c>
      <c r="R262" s="255">
        <f>(R174+R175)*'Data - P&amp;L'!$C$5</f>
        <v>0</v>
      </c>
      <c r="S262" s="255">
        <f>(S174+S175)*'Data - P&amp;L'!$C$5</f>
        <v>0</v>
      </c>
      <c r="T262" s="255">
        <f>(T174+T175)*'Data - P&amp;L'!$C$5</f>
        <v>0</v>
      </c>
      <c r="U262" s="255">
        <f>(U174+U175)*'Data - P&amp;L'!$C$5</f>
        <v>13.44</v>
      </c>
      <c r="V262" s="255">
        <f>(V174+V175)*'Data - P&amp;L'!$C$5</f>
        <v>0</v>
      </c>
      <c r="W262" s="255">
        <f>(W174+W175)*'Data - P&amp;L'!$C$5</f>
        <v>0</v>
      </c>
      <c r="X262" s="255">
        <f>(X174+X175)*'Data - P&amp;L'!$C$5</f>
        <v>0</v>
      </c>
      <c r="Y262" s="255">
        <f>(Y174+Y175)*'Data - P&amp;L'!$C$5</f>
        <v>0</v>
      </c>
      <c r="Z262" s="255">
        <f>(Z174+Z175)*'Data - P&amp;L'!$C$5</f>
        <v>0</v>
      </c>
      <c r="AA262" s="255">
        <f>(AA174+AA175)*'Data - P&amp;L'!$C$5</f>
        <v>0</v>
      </c>
      <c r="AB262" s="255">
        <f>(AB174+AB175)*'Data - P&amp;L'!$C$5</f>
        <v>0</v>
      </c>
      <c r="AC262" s="255">
        <f>(AC174+AC175)*'Data - P&amp;L'!$C$5</f>
        <v>0</v>
      </c>
      <c r="AD262" s="255">
        <f>(AD174+AD175)*'Data - P&amp;L'!$C$5</f>
        <v>0</v>
      </c>
      <c r="AE262" s="255">
        <f>(AE174+AE175)*'Data - P&amp;L'!$C$5</f>
        <v>0</v>
      </c>
      <c r="AF262" s="255">
        <f>(AF174+AF175)*'Data - P&amp;L'!$C$5</f>
        <v>0</v>
      </c>
      <c r="AG262" s="95">
        <f t="shared" si="61"/>
        <v>26.88</v>
      </c>
    </row>
    <row r="263">
      <c r="A263" s="213" t="s">
        <v>426</v>
      </c>
      <c r="B263" s="255">
        <f>(B176+B177)*'Data - P&amp;L'!$C$10</f>
        <v>0</v>
      </c>
      <c r="C263" s="255">
        <f>(C176+C177)*'Data - P&amp;L'!$C$10</f>
        <v>0</v>
      </c>
      <c r="D263" s="255">
        <f>(D176+D177)*'Data - P&amp;L'!$C$10</f>
        <v>0</v>
      </c>
      <c r="E263" s="255">
        <f>(E176+E177)*'Data - P&amp;L'!$C$10</f>
        <v>0</v>
      </c>
      <c r="F263" s="255">
        <f>(F176+F177)*'Data - P&amp;L'!$C$10</f>
        <v>0</v>
      </c>
      <c r="G263" s="255">
        <f>(G176+G177)*'Data - P&amp;L'!$C$10</f>
        <v>0</v>
      </c>
      <c r="H263" s="255">
        <f>(H176+H177)*'Data - P&amp;L'!$C$10</f>
        <v>0</v>
      </c>
      <c r="I263" s="255">
        <f>(I176+I177)*'Data - P&amp;L'!$C$10</f>
        <v>0</v>
      </c>
      <c r="J263" s="255">
        <f>(J176+J177)*'Data - P&amp;L'!$C$10</f>
        <v>0</v>
      </c>
      <c r="K263" s="255">
        <f>(K176+K177)*'Data - P&amp;L'!$C$10</f>
        <v>0</v>
      </c>
      <c r="L263" s="255">
        <f>(L176+L177)*'Data - P&amp;L'!$C$10</f>
        <v>0</v>
      </c>
      <c r="M263" s="255">
        <f>(M176+M177)*'Data - P&amp;L'!$C$10</f>
        <v>0</v>
      </c>
      <c r="N263" s="255">
        <f>(N176+N177)*'Data - P&amp;L'!$C$10</f>
        <v>0</v>
      </c>
      <c r="O263" s="255">
        <f>(O176+O177)*'Data - P&amp;L'!$C$10</f>
        <v>0</v>
      </c>
      <c r="P263" s="255">
        <f>(P176+P177)*'Data - P&amp;L'!$C$10</f>
        <v>0</v>
      </c>
      <c r="Q263" s="255">
        <f>(Q176+Q177)*'Data - P&amp;L'!$C$10</f>
        <v>0</v>
      </c>
      <c r="R263" s="255">
        <f>(R176+R177)*'Data - P&amp;L'!$C$10</f>
        <v>0</v>
      </c>
      <c r="S263" s="255">
        <f>(S176+S177)*'Data - P&amp;L'!$C$10</f>
        <v>0</v>
      </c>
      <c r="T263" s="255">
        <f>(T176+T177)*'Data - P&amp;L'!$C$10</f>
        <v>0</v>
      </c>
      <c r="U263" s="255">
        <f>(U176+U177)*'Data - P&amp;L'!$C$10</f>
        <v>0</v>
      </c>
      <c r="V263" s="255">
        <f>(V176+V177)*'Data - P&amp;L'!$C$10</f>
        <v>0</v>
      </c>
      <c r="W263" s="255">
        <f>(W176+W177)*'Data - P&amp;L'!$C$10</f>
        <v>0</v>
      </c>
      <c r="X263" s="255">
        <f>(X176+X177)*'Data - P&amp;L'!$C$10</f>
        <v>0</v>
      </c>
      <c r="Y263" s="255">
        <f>(Y176+Y177)*'Data - P&amp;L'!$C$10</f>
        <v>0</v>
      </c>
      <c r="Z263" s="255">
        <f>(Z176+Z177)*'Data - P&amp;L'!$C$10</f>
        <v>0</v>
      </c>
      <c r="AA263" s="255">
        <f>(AA176+AA177)*'Data - P&amp;L'!$C$10</f>
        <v>0</v>
      </c>
      <c r="AB263" s="255">
        <f>(AB176+AB177)*'Data - P&amp;L'!$C$10</f>
        <v>0</v>
      </c>
      <c r="AC263" s="255">
        <f>(AC176+AC177)*'Data - P&amp;L'!$C$10</f>
        <v>0</v>
      </c>
      <c r="AD263" s="255">
        <f>(AD176+AD177)*'Data - P&amp;L'!$C$10</f>
        <v>0</v>
      </c>
      <c r="AE263" s="255">
        <f>(AE176+AE177)*'Data - P&amp;L'!$C$10</f>
        <v>0</v>
      </c>
      <c r="AF263" s="255">
        <f>(AF176+AF177)*'Data - P&amp;L'!$C$10</f>
        <v>0</v>
      </c>
      <c r="AG263" s="95">
        <f t="shared" si="61"/>
        <v>0</v>
      </c>
    </row>
    <row r="264">
      <c r="A264" s="213" t="s">
        <v>427</v>
      </c>
      <c r="B264" s="255">
        <f>(B167+B168)*'Data - P&amp;L'!$C$43*'Data - P&amp;L'!$C$55</f>
        <v>0</v>
      </c>
      <c r="C264" s="255">
        <f>(C167+C168)*'Data - P&amp;L'!$C$43*'Data - P&amp;L'!$C$55</f>
        <v>0</v>
      </c>
      <c r="D264" s="255">
        <f>(D167+D168)*'Data - P&amp;L'!$C$43*'Data - P&amp;L'!$C$55</f>
        <v>0</v>
      </c>
      <c r="E264" s="255">
        <f>(E167+E168)*'Data - P&amp;L'!$C$43*'Data - P&amp;L'!$C$55</f>
        <v>0</v>
      </c>
      <c r="F264" s="255">
        <f>(F167+F168)*'Data - P&amp;L'!$C$43*'Data - P&amp;L'!$C$55</f>
        <v>0</v>
      </c>
      <c r="G264" s="255">
        <f>(G167+G168)*'Data - P&amp;L'!$C$43*'Data - P&amp;L'!$C$55</f>
        <v>0</v>
      </c>
      <c r="H264" s="255">
        <f>(H167+H168)*'Data - P&amp;L'!$C$43*'Data - P&amp;L'!$C$55</f>
        <v>0</v>
      </c>
      <c r="I264" s="255">
        <f>(I167+I168)*'Data - P&amp;L'!$C$43*'Data - P&amp;L'!$C$55</f>
        <v>0</v>
      </c>
      <c r="J264" s="255">
        <f>(J167+J168)*'Data - P&amp;L'!$C$43*'Data - P&amp;L'!$C$55</f>
        <v>0</v>
      </c>
      <c r="K264" s="255">
        <f>(K167+K168)*'Data - P&amp;L'!$C$43*'Data - P&amp;L'!$C$55</f>
        <v>0</v>
      </c>
      <c r="L264" s="255">
        <f>(L167+L168)*'Data - P&amp;L'!$C$43*'Data - P&amp;L'!$C$55</f>
        <v>0</v>
      </c>
      <c r="M264" s="255">
        <f>(M167+M168)*'Data - P&amp;L'!$C$43*'Data - P&amp;L'!$C$55</f>
        <v>0</v>
      </c>
      <c r="N264" s="255">
        <f>(N167+N168)*'Data - P&amp;L'!$C$43*'Data - P&amp;L'!$C$55</f>
        <v>0</v>
      </c>
      <c r="O264" s="255">
        <f>(O167+O168)*'Data - P&amp;L'!$C$43*'Data - P&amp;L'!$C$55</f>
        <v>0</v>
      </c>
      <c r="P264" s="255">
        <f>(P167+P168)*'Data - P&amp;L'!$C$43*'Data - P&amp;L'!$C$55</f>
        <v>0</v>
      </c>
      <c r="Q264" s="255">
        <f>(Q167+Q168)*'Data - P&amp;L'!$C$43*'Data - P&amp;L'!$C$55</f>
        <v>0</v>
      </c>
      <c r="R264" s="255">
        <f>(R167+R168)*'Data - P&amp;L'!$C$43*'Data - P&amp;L'!$C$55</f>
        <v>0</v>
      </c>
      <c r="S264" s="255">
        <f>(S167+S168)*'Data - P&amp;L'!$C$43*'Data - P&amp;L'!$C$55</f>
        <v>0</v>
      </c>
      <c r="T264" s="255">
        <f>(T167+T168)*'Data - P&amp;L'!$C$43*'Data - P&amp;L'!$C$55</f>
        <v>1.194</v>
      </c>
      <c r="U264" s="255">
        <f>(U167+U168)*'Data - P&amp;L'!$C$43*'Data - P&amp;L'!$C$55</f>
        <v>0</v>
      </c>
      <c r="V264" s="255">
        <f>(V167+V168)*'Data - P&amp;L'!$C$43*'Data - P&amp;L'!$C$55</f>
        <v>0</v>
      </c>
      <c r="W264" s="255">
        <f>(W167+W168)*'Data - P&amp;L'!$C$43*'Data - P&amp;L'!$C$55</f>
        <v>0</v>
      </c>
      <c r="X264" s="255">
        <f>(X167+X168)*'Data - P&amp;L'!$C$43*'Data - P&amp;L'!$C$55</f>
        <v>0</v>
      </c>
      <c r="Y264" s="255">
        <f>(Y167+Y168)*'Data - P&amp;L'!$C$43*'Data - P&amp;L'!$C$55</f>
        <v>0</v>
      </c>
      <c r="Z264" s="255">
        <f>(Z167+Z168)*'Data - P&amp;L'!$C$43*'Data - P&amp;L'!$C$55</f>
        <v>0</v>
      </c>
      <c r="AA264" s="255">
        <f>(AA167+AA168)*'Data - P&amp;L'!$C$43*'Data - P&amp;L'!$C$55</f>
        <v>0</v>
      </c>
      <c r="AB264" s="255">
        <f>(AB167+AB168)*'Data - P&amp;L'!$C$43*'Data - P&amp;L'!$C$55</f>
        <v>0</v>
      </c>
      <c r="AC264" s="255">
        <f>(AC167+AC168)*'Data - P&amp;L'!$C$43*'Data - P&amp;L'!$C$55</f>
        <v>0</v>
      </c>
      <c r="AD264" s="255">
        <f>(AD167+AD168)*'Data - P&amp;L'!$C$43*'Data - P&amp;L'!$C$55</f>
        <v>0</v>
      </c>
      <c r="AE264" s="255">
        <f>(AE167+AE168)*'Data - P&amp;L'!$C$43*'Data - P&amp;L'!$C$55</f>
        <v>0</v>
      </c>
      <c r="AF264" s="255">
        <f>(AF167+AF168)*'Data - P&amp;L'!$C$43*'Data - P&amp;L'!$C$55</f>
        <v>0</v>
      </c>
      <c r="AG264" s="95">
        <f t="shared" si="61"/>
        <v>1.194</v>
      </c>
    </row>
    <row r="265">
      <c r="A265" s="213" t="s">
        <v>429</v>
      </c>
      <c r="B265" s="255">
        <f>B178*'Data - P&amp;L'!$C$43*'Data - P&amp;L'!$C$55</f>
        <v>0</v>
      </c>
      <c r="C265" s="255">
        <f>C178*'Data - P&amp;L'!$C$43*'Data - P&amp;L'!$C$55</f>
        <v>0</v>
      </c>
      <c r="D265" s="255">
        <f>D178*'Data - P&amp;L'!$C$43*'Data - P&amp;L'!$C$55</f>
        <v>0</v>
      </c>
      <c r="E265" s="255">
        <f>E178*'Data - P&amp;L'!$C$43*'Data - P&amp;L'!$C$55</f>
        <v>1.194</v>
      </c>
      <c r="F265" s="255">
        <f>F178*'Data - P&amp;L'!$C$43*'Data - P&amp;L'!$C$55</f>
        <v>0</v>
      </c>
      <c r="G265" s="255">
        <f>G178*'Data - P&amp;L'!$C$43*'Data - P&amp;L'!$C$55</f>
        <v>0</v>
      </c>
      <c r="H265" s="255">
        <f>H178*'Data - P&amp;L'!$C$43*'Data - P&amp;L'!$C$55</f>
        <v>0</v>
      </c>
      <c r="I265" s="255">
        <f>I178*'Data - P&amp;L'!$C$43*'Data - P&amp;L'!$C$55</f>
        <v>0</v>
      </c>
      <c r="J265" s="255">
        <f>J178*'Data - P&amp;L'!$C$43*'Data - P&amp;L'!$C$55</f>
        <v>0</v>
      </c>
      <c r="K265" s="255">
        <f>K178*'Data - P&amp;L'!$C$43*'Data - P&amp;L'!$C$55</f>
        <v>0</v>
      </c>
      <c r="L265" s="255">
        <f>L178*'Data - P&amp;L'!$C$43*'Data - P&amp;L'!$C$55</f>
        <v>0</v>
      </c>
      <c r="M265" s="255">
        <f>M178*'Data - P&amp;L'!$C$43*'Data - P&amp;L'!$C$55</f>
        <v>0</v>
      </c>
      <c r="N265" s="255">
        <f>N178*'Data - P&amp;L'!$C$43*'Data - P&amp;L'!$C$55</f>
        <v>0</v>
      </c>
      <c r="O265" s="255">
        <f>O178*'Data - P&amp;L'!$C$43*'Data - P&amp;L'!$C$55</f>
        <v>0</v>
      </c>
      <c r="P265" s="255">
        <f>P178*'Data - P&amp;L'!$C$43*'Data - P&amp;L'!$C$55</f>
        <v>0</v>
      </c>
      <c r="Q265" s="255">
        <f>Q178*'Data - P&amp;L'!$C$43*'Data - P&amp;L'!$C$55</f>
        <v>0</v>
      </c>
      <c r="R265" s="255">
        <f>R178*'Data - P&amp;L'!$C$43*'Data - P&amp;L'!$C$55</f>
        <v>0</v>
      </c>
      <c r="S265" s="255">
        <f>S178*'Data - P&amp;L'!$C$43*'Data - P&amp;L'!$C$55</f>
        <v>0</v>
      </c>
      <c r="T265" s="255">
        <f>T178*'Data - P&amp;L'!$C$43*'Data - P&amp;L'!$C$55</f>
        <v>0</v>
      </c>
      <c r="U265" s="255">
        <f>U178*'Data - P&amp;L'!$C$43*'Data - P&amp;L'!$C$55</f>
        <v>1.194</v>
      </c>
      <c r="V265" s="255">
        <f>V178*'Data - P&amp;L'!$C$43*'Data - P&amp;L'!$C$55</f>
        <v>0</v>
      </c>
      <c r="W265" s="255">
        <f>W178*'Data - P&amp;L'!$C$43*'Data - P&amp;L'!$C$55</f>
        <v>0</v>
      </c>
      <c r="X265" s="255">
        <f>X178*'Data - P&amp;L'!$C$43*'Data - P&amp;L'!$C$55</f>
        <v>0</v>
      </c>
      <c r="Y265" s="255">
        <f>Y178*'Data - P&amp;L'!$C$43*'Data - P&amp;L'!$C$55</f>
        <v>0</v>
      </c>
      <c r="Z265" s="255">
        <f>Z178*'Data - P&amp;L'!$C$43*'Data - P&amp;L'!$C$55</f>
        <v>0</v>
      </c>
      <c r="AA265" s="255">
        <f>AA178*'Data - P&amp;L'!$C$43*'Data - P&amp;L'!$C$55</f>
        <v>0</v>
      </c>
      <c r="AB265" s="255">
        <f>AB178*'Data - P&amp;L'!$C$43*'Data - P&amp;L'!$C$55</f>
        <v>0</v>
      </c>
      <c r="AC265" s="255">
        <f>AC178*'Data - P&amp;L'!$C$43*'Data - P&amp;L'!$C$55</f>
        <v>0</v>
      </c>
      <c r="AD265" s="255">
        <f>AD178*'Data - P&amp;L'!$C$43*'Data - P&amp;L'!$C$55</f>
        <v>0</v>
      </c>
      <c r="AE265" s="255">
        <f>AE178*'Data - P&amp;L'!$C$43*'Data - P&amp;L'!$C$55</f>
        <v>0</v>
      </c>
      <c r="AF265" s="255">
        <f>AF178*'Data - P&amp;L'!$C$43*'Data - P&amp;L'!$C$55</f>
        <v>0</v>
      </c>
      <c r="AG265" s="95">
        <f t="shared" si="61"/>
        <v>2.388</v>
      </c>
    </row>
    <row r="266">
      <c r="A266" s="235" t="s">
        <v>385</v>
      </c>
      <c r="B266" s="255">
        <v>0.0</v>
      </c>
      <c r="C266" s="255">
        <v>0.0</v>
      </c>
      <c r="D266" s="255">
        <v>0.0</v>
      </c>
      <c r="E266" s="255">
        <v>0.0</v>
      </c>
      <c r="F266" s="255">
        <v>0.0</v>
      </c>
      <c r="G266" s="255">
        <v>0.0</v>
      </c>
      <c r="H266" s="255">
        <v>0.0</v>
      </c>
      <c r="I266" s="255">
        <v>0.0</v>
      </c>
      <c r="J266" s="255">
        <v>0.0</v>
      </c>
      <c r="K266" s="255">
        <v>0.0</v>
      </c>
      <c r="L266" s="255">
        <v>0.0</v>
      </c>
      <c r="M266" s="255">
        <v>0.0</v>
      </c>
      <c r="N266" s="255">
        <v>0.0</v>
      </c>
      <c r="O266" s="255">
        <v>0.0</v>
      </c>
      <c r="P266" s="255">
        <v>0.0</v>
      </c>
      <c r="Q266" s="255">
        <v>0.0</v>
      </c>
      <c r="R266" s="255">
        <v>0.0</v>
      </c>
      <c r="S266" s="255">
        <v>0.0</v>
      </c>
      <c r="T266" s="255">
        <v>0.0</v>
      </c>
      <c r="U266" s="255">
        <v>0.0</v>
      </c>
      <c r="V266" s="255">
        <v>0.0</v>
      </c>
      <c r="W266" s="255">
        <v>0.0</v>
      </c>
      <c r="X266" s="255">
        <v>0.0</v>
      </c>
      <c r="Y266" s="255">
        <v>0.0</v>
      </c>
      <c r="Z266" s="255">
        <v>0.0</v>
      </c>
      <c r="AA266" s="255">
        <v>0.0</v>
      </c>
      <c r="AB266" s="255">
        <v>0.0</v>
      </c>
      <c r="AC266" s="255">
        <v>0.0</v>
      </c>
      <c r="AD266" s="255">
        <v>0.0</v>
      </c>
      <c r="AE266" s="255">
        <v>0.0</v>
      </c>
      <c r="AF266" s="255">
        <v>0.0</v>
      </c>
      <c r="AG266" s="95">
        <f t="shared" si="61"/>
        <v>0</v>
      </c>
    </row>
    <row r="267">
      <c r="A267" s="235" t="s">
        <v>598</v>
      </c>
      <c r="B267" s="255">
        <f t="shared" ref="B267:AF267" si="67">B188*15</f>
        <v>0</v>
      </c>
      <c r="C267" s="255">
        <f t="shared" si="67"/>
        <v>0</v>
      </c>
      <c r="D267" s="255">
        <f t="shared" si="67"/>
        <v>0</v>
      </c>
      <c r="E267" s="255">
        <f t="shared" si="67"/>
        <v>0</v>
      </c>
      <c r="F267" s="255">
        <f t="shared" si="67"/>
        <v>0</v>
      </c>
      <c r="G267" s="255">
        <f t="shared" si="67"/>
        <v>0</v>
      </c>
      <c r="H267" s="255">
        <f t="shared" si="67"/>
        <v>0</v>
      </c>
      <c r="I267" s="255">
        <f t="shared" si="67"/>
        <v>0</v>
      </c>
      <c r="J267" s="255">
        <f t="shared" si="67"/>
        <v>0</v>
      </c>
      <c r="K267" s="255">
        <f t="shared" si="67"/>
        <v>0</v>
      </c>
      <c r="L267" s="255">
        <f t="shared" si="67"/>
        <v>0</v>
      </c>
      <c r="M267" s="255">
        <f t="shared" si="67"/>
        <v>0</v>
      </c>
      <c r="N267" s="255">
        <f t="shared" si="67"/>
        <v>0</v>
      </c>
      <c r="O267" s="255">
        <f t="shared" si="67"/>
        <v>0</v>
      </c>
      <c r="P267" s="255">
        <f t="shared" si="67"/>
        <v>0</v>
      </c>
      <c r="Q267" s="255">
        <f t="shared" si="67"/>
        <v>0</v>
      </c>
      <c r="R267" s="255">
        <f t="shared" si="67"/>
        <v>0</v>
      </c>
      <c r="S267" s="255">
        <f t="shared" si="67"/>
        <v>0</v>
      </c>
      <c r="T267" s="255">
        <f t="shared" si="67"/>
        <v>0</v>
      </c>
      <c r="U267" s="255">
        <f t="shared" si="67"/>
        <v>0</v>
      </c>
      <c r="V267" s="255">
        <f t="shared" si="67"/>
        <v>0</v>
      </c>
      <c r="W267" s="255">
        <f t="shared" si="67"/>
        <v>0</v>
      </c>
      <c r="X267" s="255">
        <f t="shared" si="67"/>
        <v>0</v>
      </c>
      <c r="Y267" s="255">
        <f t="shared" si="67"/>
        <v>0</v>
      </c>
      <c r="Z267" s="255">
        <f t="shared" si="67"/>
        <v>0</v>
      </c>
      <c r="AA267" s="255">
        <f t="shared" si="67"/>
        <v>0</v>
      </c>
      <c r="AB267" s="255">
        <f t="shared" si="67"/>
        <v>0</v>
      </c>
      <c r="AC267" s="255">
        <f t="shared" si="67"/>
        <v>0</v>
      </c>
      <c r="AD267" s="255">
        <f t="shared" si="67"/>
        <v>0</v>
      </c>
      <c r="AE267" s="255">
        <f t="shared" si="67"/>
        <v>0</v>
      </c>
      <c r="AF267" s="255">
        <f t="shared" si="67"/>
        <v>0</v>
      </c>
      <c r="AG267" s="95">
        <f t="shared" si="61"/>
        <v>0</v>
      </c>
    </row>
    <row r="268">
      <c r="A268" s="235" t="s">
        <v>469</v>
      </c>
      <c r="B268" s="360">
        <v>0.0</v>
      </c>
      <c r="C268" s="360">
        <v>0.0</v>
      </c>
      <c r="D268" s="360">
        <v>0.0</v>
      </c>
      <c r="E268" s="360">
        <v>0.0</v>
      </c>
      <c r="F268" s="360">
        <v>0.0</v>
      </c>
      <c r="G268" s="360">
        <v>0.0</v>
      </c>
      <c r="H268" s="360">
        <v>0.0</v>
      </c>
      <c r="I268" s="360">
        <v>0.0</v>
      </c>
      <c r="J268" s="360">
        <v>0.0</v>
      </c>
      <c r="K268" s="360">
        <v>0.0</v>
      </c>
      <c r="L268" s="360">
        <v>0.0</v>
      </c>
      <c r="M268" s="360">
        <v>0.0</v>
      </c>
      <c r="N268" s="360">
        <v>0.0</v>
      </c>
      <c r="O268" s="360">
        <v>0.0</v>
      </c>
      <c r="P268" s="360"/>
      <c r="Q268" s="360"/>
      <c r="R268" s="360"/>
      <c r="S268" s="360"/>
      <c r="T268" s="360"/>
      <c r="U268" s="360"/>
      <c r="V268" s="360"/>
      <c r="W268" s="360"/>
      <c r="X268" s="360"/>
      <c r="Y268" s="360"/>
      <c r="Z268" s="360"/>
      <c r="AA268" s="360"/>
      <c r="AB268" s="360"/>
      <c r="AC268" s="360"/>
      <c r="AD268" s="360"/>
      <c r="AE268" s="360"/>
      <c r="AF268" s="360"/>
      <c r="AG268" s="95">
        <f t="shared" si="61"/>
        <v>0</v>
      </c>
    </row>
    <row r="269">
      <c r="A269" s="107"/>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95"/>
    </row>
    <row r="270">
      <c r="A270" s="361" t="s">
        <v>470</v>
      </c>
      <c r="B270" s="250">
        <f t="shared" ref="B270:AF270" si="68">B232+B244+B266+B267+B268</f>
        <v>2779.46</v>
      </c>
      <c r="C270" s="250">
        <f t="shared" si="68"/>
        <v>1663.86</v>
      </c>
      <c r="D270" s="250">
        <f t="shared" si="68"/>
        <v>1681.25</v>
      </c>
      <c r="E270" s="250">
        <f t="shared" si="68"/>
        <v>1569.93</v>
      </c>
      <c r="F270" s="250">
        <f t="shared" si="68"/>
        <v>1765.55</v>
      </c>
      <c r="G270" s="250">
        <f t="shared" si="68"/>
        <v>1682.95</v>
      </c>
      <c r="H270" s="250">
        <f t="shared" si="68"/>
        <v>657.89</v>
      </c>
      <c r="I270" s="250">
        <f t="shared" si="68"/>
        <v>3550.46</v>
      </c>
      <c r="J270" s="250">
        <f t="shared" si="68"/>
        <v>1114.73</v>
      </c>
      <c r="K270" s="250">
        <f t="shared" si="68"/>
        <v>1120.63</v>
      </c>
      <c r="L270" s="250">
        <f t="shared" si="68"/>
        <v>887.45</v>
      </c>
      <c r="M270" s="250">
        <f t="shared" si="68"/>
        <v>1153.21</v>
      </c>
      <c r="N270" s="250">
        <f t="shared" si="68"/>
        <v>667.53</v>
      </c>
      <c r="O270" s="250">
        <f t="shared" si="68"/>
        <v>755.63</v>
      </c>
      <c r="P270" s="250">
        <f t="shared" si="68"/>
        <v>1262.41</v>
      </c>
      <c r="Q270" s="250">
        <f t="shared" si="68"/>
        <v>806.57</v>
      </c>
      <c r="R270" s="250">
        <f t="shared" si="68"/>
        <v>2176.7</v>
      </c>
      <c r="S270" s="250">
        <f t="shared" si="68"/>
        <v>614.83</v>
      </c>
      <c r="T270" s="250">
        <f t="shared" si="68"/>
        <v>2376.22</v>
      </c>
      <c r="U270" s="250">
        <f t="shared" si="68"/>
        <v>1402.29</v>
      </c>
      <c r="V270" s="250">
        <f t="shared" si="68"/>
        <v>694.96</v>
      </c>
      <c r="W270" s="250">
        <f t="shared" si="68"/>
        <v>705.1</v>
      </c>
      <c r="X270" s="250">
        <f t="shared" si="68"/>
        <v>884.45</v>
      </c>
      <c r="Y270" s="250">
        <f t="shared" si="68"/>
        <v>463.87</v>
      </c>
      <c r="Z270" s="250">
        <f t="shared" si="68"/>
        <v>54.52</v>
      </c>
      <c r="AA270" s="250">
        <f t="shared" si="68"/>
        <v>2053.62</v>
      </c>
      <c r="AB270" s="250">
        <f t="shared" si="68"/>
        <v>1491.24</v>
      </c>
      <c r="AC270" s="250">
        <f t="shared" si="68"/>
        <v>1355.69</v>
      </c>
      <c r="AD270" s="250">
        <f t="shared" si="68"/>
        <v>697.54</v>
      </c>
      <c r="AE270" s="250">
        <f t="shared" si="68"/>
        <v>679.03</v>
      </c>
      <c r="AF270" s="250">
        <f t="shared" si="68"/>
        <v>0</v>
      </c>
      <c r="AG270" s="95">
        <f>SUM(B270:AF270)</f>
        <v>38769.57</v>
      </c>
    </row>
    <row r="271">
      <c r="A271" s="107"/>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95"/>
    </row>
    <row r="272">
      <c r="A272" s="215" t="s">
        <v>413</v>
      </c>
      <c r="B272" s="362">
        <f t="shared" ref="B272:AF272" si="69">B222+B233+B245-B256-B266-B268</f>
        <v>-1975.2035</v>
      </c>
      <c r="C272" s="362">
        <f t="shared" si="69"/>
        <v>-1212.628244</v>
      </c>
      <c r="D272" s="362">
        <f t="shared" si="69"/>
        <v>-1157.708256</v>
      </c>
      <c r="E272" s="362">
        <f t="shared" si="69"/>
        <v>-1147.75634</v>
      </c>
      <c r="F272" s="362">
        <f t="shared" si="69"/>
        <v>-1655.490204</v>
      </c>
      <c r="G272" s="362">
        <f t="shared" si="69"/>
        <v>-1382.157612</v>
      </c>
      <c r="H272" s="362">
        <f t="shared" si="69"/>
        <v>-555.703564</v>
      </c>
      <c r="I272" s="362">
        <f t="shared" si="69"/>
        <v>-3114.506064</v>
      </c>
      <c r="J272" s="362">
        <f t="shared" si="69"/>
        <v>-782.474128</v>
      </c>
      <c r="K272" s="362">
        <f t="shared" si="69"/>
        <v>-718.529332</v>
      </c>
      <c r="L272" s="362">
        <f t="shared" si="69"/>
        <v>-653.07218</v>
      </c>
      <c r="M272" s="362">
        <f t="shared" si="69"/>
        <v>-950.086308</v>
      </c>
      <c r="N272" s="362">
        <f t="shared" si="69"/>
        <v>-437.869884</v>
      </c>
      <c r="O272" s="362">
        <f t="shared" si="69"/>
        <v>-664.204128</v>
      </c>
      <c r="P272" s="362">
        <f t="shared" si="69"/>
        <v>-942.726064</v>
      </c>
      <c r="Q272" s="362">
        <f t="shared" si="69"/>
        <v>-635.196024</v>
      </c>
      <c r="R272" s="362">
        <f t="shared" si="69"/>
        <v>-1844.444128</v>
      </c>
      <c r="S272" s="362">
        <f t="shared" si="69"/>
        <v>-436.236832</v>
      </c>
      <c r="T272" s="362">
        <f t="shared" si="69"/>
        <v>-2205.645692</v>
      </c>
      <c r="U272" s="362">
        <f t="shared" si="69"/>
        <v>-918.626032</v>
      </c>
      <c r="V272" s="362">
        <f t="shared" si="69"/>
        <v>-269.871012</v>
      </c>
      <c r="W272" s="362">
        <f t="shared" si="69"/>
        <v>-629.481628</v>
      </c>
      <c r="X272" s="362">
        <f t="shared" si="69"/>
        <v>-682.063308</v>
      </c>
      <c r="Y272" s="362">
        <f t="shared" si="69"/>
        <v>-309.601332</v>
      </c>
      <c r="Z272" s="362">
        <f t="shared" si="69"/>
        <v>16.240308</v>
      </c>
      <c r="AA272" s="362">
        <f t="shared" si="69"/>
        <v>-1594.860756</v>
      </c>
      <c r="AB272" s="362">
        <f t="shared" si="69"/>
        <v>-988.853308</v>
      </c>
      <c r="AC272" s="362">
        <f t="shared" si="69"/>
        <v>-1132.042408</v>
      </c>
      <c r="AD272" s="362">
        <f t="shared" si="69"/>
        <v>-541.970512</v>
      </c>
      <c r="AE272" s="362">
        <f t="shared" si="69"/>
        <v>-648.341076</v>
      </c>
      <c r="AF272" s="362">
        <f t="shared" si="69"/>
        <v>78.295872</v>
      </c>
      <c r="AG272" s="95">
        <f>SUM(B272:AF272)</f>
        <v>-30092.81368</v>
      </c>
    </row>
    <row r="273">
      <c r="A273" s="100"/>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95">
        <f>SUM(B273:AD273)</f>
        <v>0</v>
      </c>
    </row>
    <row r="274">
      <c r="A274" s="100"/>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c r="AD274" s="255"/>
      <c r="AE274" s="255"/>
      <c r="AF274" s="255"/>
      <c r="AG274" s="95"/>
    </row>
    <row r="275">
      <c r="A275" s="258" t="s">
        <v>414</v>
      </c>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60"/>
    </row>
    <row r="276">
      <c r="A276" s="363">
        <f>A213</f>
        <v>371798.13</v>
      </c>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c r="AD276" s="255"/>
      <c r="AE276" s="255"/>
      <c r="AF276" s="255"/>
      <c r="AG276" s="95"/>
    </row>
    <row r="277">
      <c r="A277" s="364" t="s">
        <v>471</v>
      </c>
      <c r="B277" s="255">
        <f t="shared" ref="B277:AF277" si="70">B214+B272</f>
        <v>510.053</v>
      </c>
      <c r="C277" s="255">
        <f t="shared" si="70"/>
        <v>1216.853256</v>
      </c>
      <c r="D277" s="255">
        <f t="shared" si="70"/>
        <v>111.979744</v>
      </c>
      <c r="E277" s="255">
        <f t="shared" si="70"/>
        <v>-373.22334</v>
      </c>
      <c r="F277" s="255">
        <f t="shared" si="70"/>
        <v>-1632.420204</v>
      </c>
      <c r="G277" s="255">
        <f t="shared" si="70"/>
        <v>-2079.139112</v>
      </c>
      <c r="H277" s="255">
        <f t="shared" si="70"/>
        <v>-639.849064</v>
      </c>
      <c r="I277" s="255">
        <f t="shared" si="70"/>
        <v>-2855.957064</v>
      </c>
      <c r="J277" s="255">
        <f t="shared" si="70"/>
        <v>-139.114628</v>
      </c>
      <c r="K277" s="255">
        <f t="shared" si="70"/>
        <v>-245.432832</v>
      </c>
      <c r="L277" s="255">
        <f t="shared" si="70"/>
        <v>-111.30968</v>
      </c>
      <c r="M277" s="255">
        <f t="shared" si="70"/>
        <v>284.511192</v>
      </c>
      <c r="N277" s="255">
        <f t="shared" si="70"/>
        <v>1093.379116</v>
      </c>
      <c r="O277" s="255">
        <f t="shared" si="70"/>
        <v>1545.223872</v>
      </c>
      <c r="P277" s="255">
        <f t="shared" si="70"/>
        <v>1116.448936</v>
      </c>
      <c r="Q277" s="255">
        <f t="shared" si="70"/>
        <v>1282.801476</v>
      </c>
      <c r="R277" s="255">
        <f t="shared" si="70"/>
        <v>1000.402872</v>
      </c>
      <c r="S277" s="255">
        <f t="shared" si="70"/>
        <v>-248.089832</v>
      </c>
      <c r="T277" s="255">
        <f t="shared" si="70"/>
        <v>160.684808</v>
      </c>
      <c r="U277" s="255">
        <f t="shared" si="70"/>
        <v>1777.164968</v>
      </c>
      <c r="V277" s="255">
        <f t="shared" si="70"/>
        <v>783.610488</v>
      </c>
      <c r="W277" s="255">
        <f t="shared" si="70"/>
        <v>363.540872</v>
      </c>
      <c r="X277" s="255">
        <f t="shared" si="70"/>
        <v>544.504192</v>
      </c>
      <c r="Y277" s="255">
        <f t="shared" si="70"/>
        <v>948.516668</v>
      </c>
      <c r="Z277" s="255">
        <f t="shared" si="70"/>
        <v>2073.536808</v>
      </c>
      <c r="AA277" s="255">
        <f t="shared" si="70"/>
        <v>980.833244</v>
      </c>
      <c r="AB277" s="255">
        <f t="shared" si="70"/>
        <v>1199.387192</v>
      </c>
      <c r="AC277" s="255">
        <f t="shared" si="70"/>
        <v>764.136592</v>
      </c>
      <c r="AD277" s="255">
        <f t="shared" si="70"/>
        <v>1331.321988</v>
      </c>
      <c r="AE277" s="255">
        <f t="shared" si="70"/>
        <v>1045.478424</v>
      </c>
      <c r="AF277" s="255">
        <f t="shared" si="70"/>
        <v>929.572872</v>
      </c>
      <c r="AG277" s="365">
        <f>SUM(B277:AF277)</f>
        <v>12739.40682</v>
      </c>
    </row>
    <row r="278">
      <c r="A278" s="363">
        <f>SUM(B277:AF277)</f>
        <v>12739.40682</v>
      </c>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95"/>
    </row>
    <row r="279">
      <c r="A279" s="10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95"/>
    </row>
    <row r="280">
      <c r="A280" s="276" t="s">
        <v>472</v>
      </c>
      <c r="B280" s="264">
        <f t="shared" ref="B280:AF280" si="71">B277/(B20+B21)</f>
        <v>0.02815738453</v>
      </c>
      <c r="C280" s="264">
        <f t="shared" si="71"/>
        <v>0.05847534686</v>
      </c>
      <c r="D280" s="264">
        <f t="shared" si="71"/>
        <v>0.007485096883</v>
      </c>
      <c r="E280" s="264">
        <f t="shared" si="71"/>
        <v>-0.04234533799</v>
      </c>
      <c r="F280" s="264">
        <f t="shared" si="71"/>
        <v>-0.2739162294</v>
      </c>
      <c r="G280" s="264">
        <f t="shared" si="71"/>
        <v>-0.193318374</v>
      </c>
      <c r="H280" s="264">
        <f t="shared" si="71"/>
        <v>-0.03887504703</v>
      </c>
      <c r="I280" s="264">
        <f t="shared" si="71"/>
        <v>-0.1836784257</v>
      </c>
      <c r="J280" s="264">
        <f t="shared" si="71"/>
        <v>-0.006990249251</v>
      </c>
      <c r="K280" s="264">
        <f t="shared" si="71"/>
        <v>-0.01180526288</v>
      </c>
      <c r="L280" s="264">
        <f t="shared" si="71"/>
        <v>-0.01280269236</v>
      </c>
      <c r="M280" s="264">
        <f t="shared" si="71"/>
        <v>0.0332411721</v>
      </c>
      <c r="N280" s="264">
        <f t="shared" si="71"/>
        <v>0.1115351541</v>
      </c>
      <c r="O280" s="264">
        <f t="shared" si="71"/>
        <v>0.1399066222</v>
      </c>
      <c r="P280" s="264">
        <f t="shared" si="71"/>
        <v>0.0895012182</v>
      </c>
      <c r="Q280" s="264">
        <f t="shared" si="71"/>
        <v>0.1113272361</v>
      </c>
      <c r="R280" s="264">
        <f t="shared" si="71"/>
        <v>0.07454989046</v>
      </c>
      <c r="S280" s="264">
        <f t="shared" si="71"/>
        <v>-0.03867942501</v>
      </c>
      <c r="T280" s="264">
        <f t="shared" si="71"/>
        <v>0.01420355414</v>
      </c>
      <c r="U280" s="264">
        <f t="shared" si="71"/>
        <v>0.1330488161</v>
      </c>
      <c r="V280" s="264">
        <f t="shared" si="71"/>
        <v>0.07712944581</v>
      </c>
      <c r="W280" s="264">
        <f t="shared" si="71"/>
        <v>0.04197931547</v>
      </c>
      <c r="X280" s="264">
        <f t="shared" si="71"/>
        <v>0.05280972661</v>
      </c>
      <c r="Y280" s="264">
        <f t="shared" si="71"/>
        <v>0.08871274486</v>
      </c>
      <c r="Z280" s="264">
        <f t="shared" si="71"/>
        <v>0.2665858598</v>
      </c>
      <c r="AA280" s="264">
        <f t="shared" si="71"/>
        <v>0.1143679477</v>
      </c>
      <c r="AB280" s="264">
        <f t="shared" si="71"/>
        <v>0.1605768715</v>
      </c>
      <c r="AC280" s="264">
        <f t="shared" si="71"/>
        <v>0.1082309655</v>
      </c>
      <c r="AD280" s="264">
        <f t="shared" si="71"/>
        <v>0.202698232</v>
      </c>
      <c r="AE280" s="264">
        <f t="shared" si="71"/>
        <v>0.1464870988</v>
      </c>
      <c r="AF280" s="264">
        <f t="shared" si="71"/>
        <v>0.22567926</v>
      </c>
      <c r="AG280" s="95"/>
    </row>
    <row r="281">
      <c r="A281" s="286">
        <f>A278/A213</f>
        <v>0.03426431118</v>
      </c>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95"/>
    </row>
    <row r="282">
      <c r="A282" s="266" t="s">
        <v>417</v>
      </c>
      <c r="B282" s="267">
        <f t="shared" ref="B282:AF282" si="72">B218</f>
        <v>14.35049841</v>
      </c>
      <c r="C282" s="267">
        <f t="shared" si="72"/>
        <v>16.11224674</v>
      </c>
      <c r="D282" s="267">
        <f t="shared" si="72"/>
        <v>14.61230339</v>
      </c>
      <c r="E282" s="267">
        <f t="shared" si="72"/>
        <v>12.50724541</v>
      </c>
      <c r="F282" s="267">
        <f t="shared" si="72"/>
        <v>9.082452311</v>
      </c>
      <c r="G282" s="267">
        <f t="shared" si="72"/>
        <v>5.317871337</v>
      </c>
      <c r="H282" s="267">
        <f t="shared" si="72"/>
        <v>5.495927406</v>
      </c>
      <c r="I282" s="267">
        <f t="shared" si="72"/>
        <v>6.437572044</v>
      </c>
      <c r="J282" s="267">
        <f t="shared" si="72"/>
        <v>7.460195458</v>
      </c>
      <c r="K282" s="267">
        <f t="shared" si="72"/>
        <v>7.760860091</v>
      </c>
      <c r="L282" s="267">
        <f t="shared" si="72"/>
        <v>5.872961978</v>
      </c>
      <c r="M282" s="267">
        <f t="shared" si="72"/>
        <v>5.034046049</v>
      </c>
      <c r="N282" s="267">
        <f t="shared" si="72"/>
        <v>5.634042232</v>
      </c>
      <c r="O282" s="267">
        <f t="shared" si="72"/>
        <v>6.100698024</v>
      </c>
      <c r="P282" s="267">
        <f t="shared" si="72"/>
        <v>6.093706949</v>
      </c>
      <c r="Q282" s="267">
        <f t="shared" si="72"/>
        <v>5.052889703</v>
      </c>
      <c r="R282" s="267">
        <f t="shared" si="72"/>
        <v>6.1855516</v>
      </c>
      <c r="S282" s="267">
        <f t="shared" si="72"/>
        <v>3.716793364</v>
      </c>
      <c r="T282" s="267">
        <f t="shared" si="72"/>
        <v>7.610294025</v>
      </c>
      <c r="U282" s="267">
        <f t="shared" si="72"/>
        <v>6.57605492</v>
      </c>
      <c r="V282" s="267">
        <f t="shared" si="72"/>
        <v>4.92576433</v>
      </c>
      <c r="W282" s="267">
        <f t="shared" si="72"/>
        <v>4.648602688</v>
      </c>
      <c r="X282" s="267">
        <f t="shared" si="72"/>
        <v>4.813945963</v>
      </c>
      <c r="Y282" s="267">
        <f t="shared" si="72"/>
        <v>5.4551433</v>
      </c>
      <c r="Z282" s="267">
        <f t="shared" si="72"/>
        <v>13.44435142</v>
      </c>
      <c r="AA282" s="267">
        <f t="shared" si="72"/>
        <v>22.12397311</v>
      </c>
      <c r="AB282" s="267">
        <f t="shared" si="72"/>
        <v>20.46167435</v>
      </c>
      <c r="AC282" s="267">
        <f t="shared" si="72"/>
        <v>20.44709123</v>
      </c>
      <c r="AD282" s="267">
        <f t="shared" si="72"/>
        <v>19.63638133</v>
      </c>
      <c r="AE282" s="267">
        <f t="shared" si="72"/>
        <v>17.26690544</v>
      </c>
      <c r="AF282" s="267">
        <f t="shared" si="72"/>
        <v>10.34662142</v>
      </c>
      <c r="AG282" s="268"/>
    </row>
    <row r="283">
      <c r="A283" s="172"/>
      <c r="AG283" s="257"/>
    </row>
    <row r="284">
      <c r="A284" s="172"/>
      <c r="AG284" s="257"/>
    </row>
    <row r="285">
      <c r="A285" s="88" t="s">
        <v>473</v>
      </c>
      <c r="B285" s="204">
        <f t="shared" ref="B285:AF285" si="73">B214/B6</f>
        <v>16.24350654</v>
      </c>
      <c r="C285" s="204">
        <f t="shared" si="73"/>
        <v>14.20749415</v>
      </c>
      <c r="D285" s="204">
        <f t="shared" si="73"/>
        <v>8.637333333</v>
      </c>
      <c r="E285" s="204">
        <f t="shared" si="73"/>
        <v>7.984876289</v>
      </c>
      <c r="F285" s="204">
        <f t="shared" si="73"/>
        <v>0.3845</v>
      </c>
      <c r="G285" s="204">
        <f t="shared" si="73"/>
        <v>-6.113872807</v>
      </c>
      <c r="H285" s="204">
        <f t="shared" si="73"/>
        <v>-0.6954173554</v>
      </c>
      <c r="I285" s="204">
        <f t="shared" si="73"/>
        <v>2.350445455</v>
      </c>
      <c r="J285" s="204">
        <f t="shared" si="73"/>
        <v>3.496519022</v>
      </c>
      <c r="K285" s="204">
        <f t="shared" si="73"/>
        <v>2.703408571</v>
      </c>
      <c r="L285" s="204">
        <f t="shared" si="73"/>
        <v>13.21371951</v>
      </c>
      <c r="M285" s="204">
        <f t="shared" si="73"/>
        <v>17.89271739</v>
      </c>
      <c r="N285" s="204">
        <f t="shared" si="73"/>
        <v>23.20074242</v>
      </c>
      <c r="O285" s="204">
        <f t="shared" si="73"/>
        <v>41.68732075</v>
      </c>
      <c r="P285" s="204">
        <f t="shared" si="73"/>
        <v>26.39967949</v>
      </c>
      <c r="Q285" s="204">
        <f t="shared" si="73"/>
        <v>25.5733</v>
      </c>
      <c r="R285" s="204">
        <f t="shared" si="73"/>
        <v>33.86722619</v>
      </c>
      <c r="S285" s="204">
        <f t="shared" si="73"/>
        <v>3.549943396</v>
      </c>
      <c r="T285" s="204">
        <f t="shared" si="73"/>
        <v>31.55107333</v>
      </c>
      <c r="U285" s="204">
        <f t="shared" si="73"/>
        <v>35.47093421</v>
      </c>
      <c r="V285" s="204">
        <f t="shared" si="73"/>
        <v>16.9916371</v>
      </c>
      <c r="W285" s="204">
        <f t="shared" si="73"/>
        <v>16.27905738</v>
      </c>
      <c r="X285" s="204">
        <f t="shared" si="73"/>
        <v>13.93826705</v>
      </c>
      <c r="Y285" s="204">
        <f t="shared" si="73"/>
        <v>16.77490667</v>
      </c>
      <c r="Z285" s="204">
        <f t="shared" si="73"/>
        <v>36.7374375</v>
      </c>
      <c r="AA285" s="204">
        <f t="shared" si="73"/>
        <v>42.92823333</v>
      </c>
      <c r="AB285" s="204">
        <f t="shared" si="73"/>
        <v>47.57044565</v>
      </c>
      <c r="AC285" s="204">
        <f t="shared" si="73"/>
        <v>35.11442593</v>
      </c>
      <c r="AD285" s="204">
        <f t="shared" si="73"/>
        <v>29.73480159</v>
      </c>
      <c r="AE285" s="204">
        <f t="shared" si="73"/>
        <v>21.99765584</v>
      </c>
      <c r="AF285" s="204">
        <f t="shared" si="73"/>
        <v>15.201375</v>
      </c>
      <c r="AG285" s="257"/>
    </row>
    <row r="286">
      <c r="A286" s="88" t="s">
        <v>474</v>
      </c>
      <c r="B286" s="204">
        <f t="shared" ref="B286:AF286" si="74">B277/B6</f>
        <v>3.333679739</v>
      </c>
      <c r="C286" s="204">
        <f t="shared" si="74"/>
        <v>7.116100912</v>
      </c>
      <c r="D286" s="204">
        <f t="shared" si="74"/>
        <v>0.761766966</v>
      </c>
      <c r="E286" s="204">
        <f t="shared" si="74"/>
        <v>-3.847663299</v>
      </c>
      <c r="F286" s="204">
        <f t="shared" si="74"/>
        <v>-27.2070034</v>
      </c>
      <c r="G286" s="204">
        <f t="shared" si="74"/>
        <v>-18.23806239</v>
      </c>
      <c r="H286" s="204">
        <f t="shared" si="74"/>
        <v>-5.288008793</v>
      </c>
      <c r="I286" s="204">
        <f t="shared" si="74"/>
        <v>-25.96324604</v>
      </c>
      <c r="J286" s="204">
        <f t="shared" si="74"/>
        <v>-0.7560577609</v>
      </c>
      <c r="K286" s="204">
        <f t="shared" si="74"/>
        <v>-1.402473326</v>
      </c>
      <c r="L286" s="204">
        <f t="shared" si="74"/>
        <v>-2.714870244</v>
      </c>
      <c r="M286" s="204">
        <f t="shared" si="74"/>
        <v>4.123350609</v>
      </c>
      <c r="N286" s="204">
        <f t="shared" si="74"/>
        <v>16.56635024</v>
      </c>
      <c r="O286" s="204">
        <f t="shared" si="74"/>
        <v>29.1551674</v>
      </c>
      <c r="P286" s="204">
        <f t="shared" si="74"/>
        <v>14.3134479</v>
      </c>
      <c r="Q286" s="204">
        <f t="shared" si="74"/>
        <v>17.10401968</v>
      </c>
      <c r="R286" s="204">
        <f t="shared" si="74"/>
        <v>11.909558</v>
      </c>
      <c r="S286" s="204">
        <f t="shared" si="74"/>
        <v>-4.680940226</v>
      </c>
      <c r="T286" s="204">
        <f t="shared" si="74"/>
        <v>2.142464107</v>
      </c>
      <c r="U286" s="204">
        <f t="shared" si="74"/>
        <v>23.38374958</v>
      </c>
      <c r="V286" s="204">
        <f t="shared" si="74"/>
        <v>12.63887884</v>
      </c>
      <c r="W286" s="204">
        <f t="shared" si="74"/>
        <v>5.959686426</v>
      </c>
      <c r="X286" s="204">
        <f t="shared" si="74"/>
        <v>6.187547636</v>
      </c>
      <c r="Y286" s="204">
        <f t="shared" si="74"/>
        <v>12.64688891</v>
      </c>
      <c r="Z286" s="204">
        <f t="shared" si="74"/>
        <v>37.027443</v>
      </c>
      <c r="AA286" s="204">
        <f t="shared" si="74"/>
        <v>16.34722073</v>
      </c>
      <c r="AB286" s="204">
        <f t="shared" si="74"/>
        <v>26.07363461</v>
      </c>
      <c r="AC286" s="204">
        <f t="shared" si="74"/>
        <v>14.15067763</v>
      </c>
      <c r="AD286" s="204">
        <f t="shared" si="74"/>
        <v>21.13209505</v>
      </c>
      <c r="AE286" s="204">
        <f t="shared" si="74"/>
        <v>13.57764187</v>
      </c>
      <c r="AF286" s="204">
        <f t="shared" si="74"/>
        <v>16.59951557</v>
      </c>
      <c r="AG286" s="257"/>
    </row>
    <row r="287">
      <c r="A287" s="172"/>
      <c r="AG287" s="257"/>
    </row>
    <row r="288">
      <c r="A288" s="88" t="s">
        <v>475</v>
      </c>
      <c r="B288" s="204">
        <f t="shared" ref="B288:AF288" si="75">B214/B32</f>
        <v>31.86226282</v>
      </c>
      <c r="C288" s="204">
        <f t="shared" si="75"/>
        <v>26.6975989</v>
      </c>
      <c r="D288" s="204">
        <f t="shared" si="75"/>
        <v>19.53366154</v>
      </c>
      <c r="E288" s="204">
        <f t="shared" si="75"/>
        <v>20.38244737</v>
      </c>
      <c r="F288" s="204">
        <f t="shared" si="75"/>
        <v>0.8544444444</v>
      </c>
      <c r="G288" s="204">
        <f t="shared" si="75"/>
        <v>-13.40349038</v>
      </c>
      <c r="H288" s="204">
        <f t="shared" si="75"/>
        <v>-1.137101351</v>
      </c>
      <c r="I288" s="204">
        <f t="shared" si="75"/>
        <v>3.641535211</v>
      </c>
      <c r="J288" s="204">
        <f t="shared" si="75"/>
        <v>7.480924419</v>
      </c>
      <c r="K288" s="204">
        <f t="shared" si="75"/>
        <v>4.928088542</v>
      </c>
      <c r="L288" s="204">
        <f t="shared" si="75"/>
        <v>15.47892857</v>
      </c>
      <c r="M288" s="204">
        <f t="shared" si="75"/>
        <v>45.72583333</v>
      </c>
      <c r="N288" s="204">
        <f t="shared" si="75"/>
        <v>47.85153125</v>
      </c>
      <c r="O288" s="204">
        <f t="shared" si="75"/>
        <v>63.12651429</v>
      </c>
      <c r="P288" s="204">
        <f t="shared" si="75"/>
        <v>47.8877907</v>
      </c>
      <c r="Q288" s="204">
        <f t="shared" si="75"/>
        <v>58.12113636</v>
      </c>
      <c r="R288" s="204">
        <f t="shared" si="75"/>
        <v>69.3865122</v>
      </c>
      <c r="S288" s="204">
        <f t="shared" si="75"/>
        <v>8.959380952</v>
      </c>
      <c r="T288" s="204">
        <f t="shared" si="75"/>
        <v>62.27185526</v>
      </c>
      <c r="U288" s="204">
        <f t="shared" si="75"/>
        <v>62.69281395</v>
      </c>
      <c r="V288" s="204">
        <f t="shared" si="75"/>
        <v>30.09947143</v>
      </c>
      <c r="W288" s="204">
        <f t="shared" si="75"/>
        <v>34.24215517</v>
      </c>
      <c r="X288" s="204">
        <f t="shared" si="75"/>
        <v>37.16871212</v>
      </c>
      <c r="Y288" s="204">
        <f t="shared" si="75"/>
        <v>34.94772222</v>
      </c>
      <c r="Z288" s="204">
        <f t="shared" si="75"/>
        <v>79.12678846</v>
      </c>
      <c r="AA288" s="204">
        <f t="shared" si="75"/>
        <v>91.98907143</v>
      </c>
      <c r="AB288" s="204">
        <f t="shared" si="75"/>
        <v>87.52962</v>
      </c>
      <c r="AC288" s="204">
        <f t="shared" si="75"/>
        <v>79.00745833</v>
      </c>
      <c r="AD288" s="204">
        <f t="shared" si="75"/>
        <v>89.20440476</v>
      </c>
      <c r="AE288" s="204">
        <f t="shared" si="75"/>
        <v>89.14839474</v>
      </c>
      <c r="AF288" s="204">
        <f t="shared" si="75"/>
        <v>77.38881818</v>
      </c>
      <c r="AG288" s="257"/>
    </row>
    <row r="289">
      <c r="A289" s="88" t="s">
        <v>476</v>
      </c>
      <c r="B289" s="204">
        <f t="shared" ref="B289:AF289" si="76">B277/B32</f>
        <v>6.539141026</v>
      </c>
      <c r="C289" s="204">
        <f t="shared" si="76"/>
        <v>13.3720138</v>
      </c>
      <c r="D289" s="204">
        <f t="shared" si="76"/>
        <v>1.722765292</v>
      </c>
      <c r="E289" s="204">
        <f t="shared" si="76"/>
        <v>-9.821666842</v>
      </c>
      <c r="F289" s="204">
        <f t="shared" si="76"/>
        <v>-60.46000756</v>
      </c>
      <c r="G289" s="204">
        <f t="shared" si="76"/>
        <v>-39.98344446</v>
      </c>
      <c r="H289" s="204">
        <f t="shared" si="76"/>
        <v>-8.646608973</v>
      </c>
      <c r="I289" s="204">
        <f t="shared" si="76"/>
        <v>-40.22474738</v>
      </c>
      <c r="J289" s="204">
        <f t="shared" si="76"/>
        <v>-1.617611953</v>
      </c>
      <c r="K289" s="204">
        <f t="shared" si="76"/>
        <v>-2.556592</v>
      </c>
      <c r="L289" s="204">
        <f t="shared" si="76"/>
        <v>-3.180276571</v>
      </c>
      <c r="M289" s="204">
        <f t="shared" si="76"/>
        <v>10.53745156</v>
      </c>
      <c r="N289" s="204">
        <f t="shared" si="76"/>
        <v>34.16809738</v>
      </c>
      <c r="O289" s="204">
        <f t="shared" si="76"/>
        <v>44.14925349</v>
      </c>
      <c r="P289" s="204">
        <f t="shared" si="76"/>
        <v>25.96392874</v>
      </c>
      <c r="Q289" s="204">
        <f t="shared" si="76"/>
        <v>38.872772</v>
      </c>
      <c r="R289" s="204">
        <f t="shared" si="76"/>
        <v>24.40007005</v>
      </c>
      <c r="S289" s="204">
        <f t="shared" si="76"/>
        <v>-11.81380152</v>
      </c>
      <c r="T289" s="204">
        <f t="shared" si="76"/>
        <v>4.228547579</v>
      </c>
      <c r="U289" s="204">
        <f t="shared" si="76"/>
        <v>41.32941786</v>
      </c>
      <c r="V289" s="204">
        <f t="shared" si="76"/>
        <v>22.38887109</v>
      </c>
      <c r="W289" s="204">
        <f t="shared" si="76"/>
        <v>12.53589214</v>
      </c>
      <c r="X289" s="204">
        <f t="shared" si="76"/>
        <v>16.50012703</v>
      </c>
      <c r="Y289" s="204">
        <f t="shared" si="76"/>
        <v>26.34768522</v>
      </c>
      <c r="Z289" s="204">
        <f t="shared" si="76"/>
        <v>79.75141569</v>
      </c>
      <c r="AA289" s="204">
        <f t="shared" si="76"/>
        <v>35.02975871</v>
      </c>
      <c r="AB289" s="204">
        <f t="shared" si="76"/>
        <v>47.97548768</v>
      </c>
      <c r="AC289" s="204">
        <f t="shared" si="76"/>
        <v>31.83902467</v>
      </c>
      <c r="AD289" s="204">
        <f t="shared" si="76"/>
        <v>63.39628514</v>
      </c>
      <c r="AE289" s="204">
        <f t="shared" si="76"/>
        <v>55.02518021</v>
      </c>
      <c r="AF289" s="204">
        <f t="shared" si="76"/>
        <v>84.50662473</v>
      </c>
      <c r="AG289" s="257"/>
    </row>
    <row r="290">
      <c r="A290" s="172"/>
      <c r="AG290" s="257"/>
    </row>
    <row r="291">
      <c r="A291" s="172"/>
      <c r="AG291" s="257"/>
    </row>
    <row r="292">
      <c r="A292" s="10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95"/>
    </row>
    <row r="293">
      <c r="A293" s="172"/>
      <c r="AG293" s="257"/>
    </row>
    <row r="294">
      <c r="A294" s="172"/>
      <c r="AG294" s="257"/>
    </row>
    <row r="295">
      <c r="A295" s="172"/>
      <c r="AG295" s="257"/>
    </row>
    <row r="296">
      <c r="A296" s="172"/>
      <c r="AG296" s="257"/>
    </row>
    <row r="297">
      <c r="A297" s="172"/>
      <c r="AG297" s="257"/>
    </row>
    <row r="298">
      <c r="A298" s="172"/>
      <c r="AG298" s="257"/>
    </row>
    <row r="299">
      <c r="A299" s="172"/>
      <c r="AG299" s="257"/>
    </row>
    <row r="300">
      <c r="A300" s="172"/>
      <c r="AG300" s="257"/>
    </row>
    <row r="301">
      <c r="A301" s="172"/>
      <c r="AG301" s="257"/>
    </row>
    <row r="302">
      <c r="A302" s="172"/>
      <c r="AG302" s="257"/>
    </row>
    <row r="303">
      <c r="A303" s="172"/>
      <c r="AG303" s="257"/>
    </row>
    <row r="304">
      <c r="A304" s="172"/>
      <c r="AG304" s="257"/>
    </row>
    <row r="305">
      <c r="A305" s="172"/>
      <c r="AG305" s="257"/>
    </row>
    <row r="306">
      <c r="A306" s="172"/>
      <c r="AG306" s="257"/>
    </row>
    <row r="307">
      <c r="A307" s="172"/>
      <c r="AG307" s="257"/>
    </row>
    <row r="308">
      <c r="A308" s="172"/>
      <c r="AG308" s="257"/>
    </row>
    <row r="309">
      <c r="A309" s="172"/>
      <c r="AG309" s="257"/>
    </row>
    <row r="310">
      <c r="A310" s="172"/>
      <c r="AG310" s="257"/>
    </row>
    <row r="311">
      <c r="A311" s="172"/>
      <c r="AG311" s="257"/>
    </row>
    <row r="312">
      <c r="A312" s="172"/>
      <c r="AG312" s="257"/>
    </row>
    <row r="313">
      <c r="A313" s="172"/>
      <c r="AG313" s="257"/>
    </row>
    <row r="314">
      <c r="A314" s="172"/>
      <c r="AG314" s="257"/>
    </row>
    <row r="315">
      <c r="A315" s="172"/>
      <c r="AG315" s="257"/>
    </row>
    <row r="316">
      <c r="A316" s="172"/>
      <c r="AG316" s="257"/>
    </row>
    <row r="317">
      <c r="A317" s="172"/>
      <c r="AG317" s="257"/>
    </row>
    <row r="318">
      <c r="A318" s="172"/>
      <c r="AG318" s="257"/>
    </row>
    <row r="319">
      <c r="A319" s="172"/>
      <c r="AG319" s="257"/>
    </row>
    <row r="320">
      <c r="A320" s="172"/>
      <c r="AG320" s="257"/>
    </row>
    <row r="321">
      <c r="A321" s="172"/>
      <c r="AG321" s="257"/>
    </row>
    <row r="322">
      <c r="A322" s="172"/>
      <c r="AG322" s="257"/>
    </row>
    <row r="323">
      <c r="A323" s="172"/>
      <c r="AG323" s="257"/>
    </row>
    <row r="324">
      <c r="A324" s="172"/>
      <c r="AG324" s="257"/>
    </row>
    <row r="325">
      <c r="A325" s="172"/>
      <c r="AG325" s="257"/>
    </row>
    <row r="326">
      <c r="A326" s="172"/>
      <c r="AG326" s="257"/>
    </row>
    <row r="327">
      <c r="A327" s="172"/>
      <c r="AG327" s="257"/>
    </row>
    <row r="328">
      <c r="A328" s="172"/>
      <c r="AG328" s="257"/>
    </row>
    <row r="329">
      <c r="A329" s="172"/>
      <c r="AG329" s="257"/>
    </row>
    <row r="330">
      <c r="A330" s="172"/>
      <c r="AG330" s="257"/>
    </row>
    <row r="331">
      <c r="A331" s="172"/>
      <c r="AG331" s="257"/>
    </row>
    <row r="332">
      <c r="A332" s="172"/>
      <c r="AG332" s="257"/>
    </row>
    <row r="333">
      <c r="A333" s="172"/>
      <c r="AG333" s="257"/>
    </row>
    <row r="334">
      <c r="A334" s="172"/>
      <c r="AG334" s="257"/>
    </row>
    <row r="335">
      <c r="A335" s="172"/>
      <c r="AG335" s="257"/>
    </row>
    <row r="336">
      <c r="A336" s="172"/>
      <c r="AG336" s="257"/>
    </row>
    <row r="337">
      <c r="A337" s="172"/>
      <c r="AG337" s="257"/>
    </row>
    <row r="338">
      <c r="A338" s="172"/>
      <c r="AG338" s="257"/>
    </row>
    <row r="339">
      <c r="A339" s="172"/>
      <c r="AG339" s="257"/>
    </row>
    <row r="340">
      <c r="A340" s="172"/>
      <c r="AG340" s="257"/>
    </row>
    <row r="341">
      <c r="A341" s="172"/>
      <c r="AG341" s="257"/>
    </row>
    <row r="342">
      <c r="A342" s="172"/>
      <c r="AG342" s="257"/>
    </row>
    <row r="343">
      <c r="A343" s="172"/>
      <c r="AG343" s="257"/>
    </row>
    <row r="344">
      <c r="A344" s="172"/>
      <c r="AG344" s="257"/>
    </row>
    <row r="345">
      <c r="A345" s="172"/>
      <c r="AG345" s="257"/>
    </row>
    <row r="346">
      <c r="A346" s="172"/>
      <c r="AG346" s="257"/>
    </row>
    <row r="347">
      <c r="A347" s="172"/>
      <c r="AG347" s="257"/>
    </row>
    <row r="348">
      <c r="A348" s="172"/>
      <c r="AG348" s="257"/>
    </row>
    <row r="349">
      <c r="A349" s="172"/>
      <c r="AG349" s="257"/>
    </row>
    <row r="350">
      <c r="A350" s="172"/>
      <c r="AG350" s="257"/>
    </row>
    <row r="351">
      <c r="A351" s="172"/>
      <c r="AG351" s="257"/>
    </row>
    <row r="352">
      <c r="A352" s="88"/>
      <c r="B352" s="255"/>
      <c r="C352" s="255"/>
      <c r="D352" s="255"/>
      <c r="E352" s="255"/>
      <c r="F352" s="255"/>
      <c r="G352" s="255"/>
      <c r="H352" s="255"/>
      <c r="I352" s="255"/>
      <c r="J352" s="255"/>
      <c r="K352" s="255"/>
      <c r="L352" s="255"/>
      <c r="M352" s="255"/>
      <c r="N352" s="255"/>
      <c r="O352" s="255"/>
      <c r="P352" s="255"/>
      <c r="Q352" s="255"/>
      <c r="R352" s="255"/>
      <c r="S352" s="255"/>
      <c r="T352" s="255"/>
      <c r="U352" s="255"/>
      <c r="V352" s="255"/>
      <c r="W352" s="255"/>
      <c r="X352" s="255"/>
      <c r="Y352" s="255"/>
      <c r="Z352" s="255"/>
      <c r="AA352" s="255"/>
      <c r="AB352" s="255"/>
      <c r="AC352" s="255"/>
      <c r="AD352" s="255"/>
      <c r="AE352" s="255"/>
      <c r="AF352" s="255"/>
      <c r="AG352" s="95"/>
    </row>
    <row r="353">
      <c r="A353" s="172"/>
      <c r="AG353" s="257"/>
    </row>
    <row r="354">
      <c r="A354" s="172"/>
      <c r="AG354" s="257"/>
    </row>
    <row r="355">
      <c r="A355" s="172"/>
      <c r="AG355" s="257"/>
    </row>
    <row r="356">
      <c r="A356" s="172"/>
      <c r="AG356" s="257"/>
    </row>
    <row r="357">
      <c r="A357" s="172"/>
      <c r="AG357" s="257"/>
    </row>
    <row r="358">
      <c r="A358" s="172"/>
      <c r="AG358" s="257"/>
    </row>
    <row r="359">
      <c r="A359" s="172"/>
      <c r="AG359" s="257"/>
    </row>
    <row r="360">
      <c r="A360" s="172"/>
      <c r="AG360" s="257"/>
    </row>
    <row r="361">
      <c r="A361" s="172"/>
      <c r="AG361" s="257"/>
    </row>
    <row r="362">
      <c r="A362" s="172"/>
      <c r="AG362" s="257"/>
    </row>
    <row r="363">
      <c r="A363" s="172"/>
      <c r="AG363" s="257"/>
    </row>
    <row r="364">
      <c r="A364" s="172"/>
      <c r="AG364" s="257"/>
    </row>
    <row r="365">
      <c r="A365" s="172"/>
      <c r="AG365" s="257"/>
    </row>
    <row r="366">
      <c r="A366" s="172"/>
      <c r="AG366" s="257"/>
    </row>
    <row r="367">
      <c r="A367" s="172"/>
      <c r="AG367" s="257"/>
    </row>
    <row r="368">
      <c r="A368" s="172"/>
      <c r="AG368" s="257"/>
    </row>
    <row r="369">
      <c r="A369" s="172"/>
      <c r="AG369" s="257"/>
    </row>
    <row r="370">
      <c r="A370" s="172"/>
      <c r="AG370" s="257"/>
    </row>
    <row r="371">
      <c r="A371" s="172"/>
      <c r="AG371" s="257"/>
    </row>
    <row r="372">
      <c r="A372" s="172"/>
      <c r="AG372" s="257"/>
    </row>
    <row r="373">
      <c r="A373" s="172"/>
      <c r="AG373" s="257"/>
    </row>
    <row r="374">
      <c r="A374" s="172"/>
      <c r="AG374" s="257"/>
    </row>
    <row r="375">
      <c r="A375" s="172"/>
      <c r="AG375" s="257"/>
    </row>
    <row r="376">
      <c r="A376" s="172"/>
      <c r="AG376" s="257"/>
    </row>
    <row r="377">
      <c r="A377" s="172"/>
      <c r="AG377" s="257"/>
    </row>
    <row r="378">
      <c r="A378" s="172"/>
      <c r="AG378" s="257"/>
    </row>
    <row r="379">
      <c r="A379" s="172"/>
      <c r="AG379" s="257"/>
    </row>
    <row r="380">
      <c r="A380" s="172"/>
      <c r="AG380" s="257"/>
    </row>
    <row r="381">
      <c r="A381" s="172"/>
      <c r="AG381" s="257"/>
    </row>
    <row r="382">
      <c r="A382" s="172"/>
      <c r="AG382" s="257"/>
    </row>
    <row r="383">
      <c r="A383" s="172"/>
      <c r="AG383" s="257"/>
    </row>
    <row r="384">
      <c r="A384" s="172"/>
      <c r="AG384" s="257"/>
    </row>
    <row r="385">
      <c r="A385" s="172"/>
      <c r="AG385" s="257"/>
    </row>
    <row r="386">
      <c r="A386" s="172"/>
      <c r="AG386" s="257"/>
    </row>
    <row r="387">
      <c r="A387" s="172"/>
      <c r="AG387" s="257"/>
    </row>
    <row r="388">
      <c r="A388" s="172"/>
      <c r="AG388" s="257"/>
    </row>
    <row r="389">
      <c r="A389" s="172"/>
      <c r="AG389" s="257"/>
    </row>
    <row r="390">
      <c r="A390" s="172"/>
      <c r="AG390" s="257"/>
    </row>
    <row r="391">
      <c r="A391" s="172"/>
      <c r="AG391" s="257"/>
    </row>
    <row r="392">
      <c r="A392" s="172"/>
      <c r="AG392" s="257"/>
    </row>
    <row r="393">
      <c r="A393" s="172"/>
      <c r="AG393" s="257"/>
    </row>
    <row r="394">
      <c r="A394" s="172"/>
      <c r="AG394" s="257"/>
    </row>
    <row r="395">
      <c r="A395" s="172"/>
      <c r="AG395" s="257"/>
    </row>
    <row r="396">
      <c r="A396" s="172"/>
      <c r="AG396" s="257"/>
    </row>
    <row r="397">
      <c r="A397" s="172"/>
      <c r="AG397" s="257"/>
    </row>
    <row r="398">
      <c r="A398" s="172"/>
      <c r="AG398" s="257"/>
    </row>
    <row r="399">
      <c r="A399" s="172"/>
      <c r="AG399" s="257"/>
    </row>
    <row r="400">
      <c r="A400" s="172"/>
      <c r="AG400" s="257"/>
    </row>
    <row r="401">
      <c r="A401" s="172"/>
      <c r="AG401" s="257"/>
    </row>
    <row r="402">
      <c r="A402" s="172"/>
      <c r="AG402" s="257"/>
    </row>
    <row r="403">
      <c r="A403" s="172"/>
      <c r="AG403" s="257"/>
    </row>
    <row r="404">
      <c r="A404" s="172"/>
      <c r="AG404" s="257"/>
    </row>
    <row r="405">
      <c r="A405" s="172"/>
      <c r="AG405" s="257"/>
    </row>
    <row r="406">
      <c r="A406" s="172"/>
      <c r="AG406" s="257"/>
    </row>
    <row r="407">
      <c r="A407" s="172"/>
      <c r="AG407" s="257"/>
    </row>
    <row r="408">
      <c r="A408" s="172"/>
      <c r="AG408" s="257"/>
    </row>
    <row r="409">
      <c r="A409" s="172"/>
      <c r="AG409" s="257"/>
    </row>
    <row r="410">
      <c r="A410" s="172"/>
      <c r="AG410" s="257"/>
    </row>
    <row r="411">
      <c r="A411" s="172"/>
      <c r="AG411" s="257"/>
    </row>
    <row r="412">
      <c r="A412" s="172"/>
      <c r="AG412" s="257"/>
    </row>
    <row r="413">
      <c r="A413" s="172"/>
      <c r="AG413" s="257"/>
    </row>
    <row r="414">
      <c r="A414" s="172"/>
      <c r="AG414" s="257"/>
    </row>
    <row r="415">
      <c r="A415" s="172"/>
      <c r="AG415" s="257"/>
    </row>
    <row r="416">
      <c r="A416" s="172"/>
      <c r="AG416" s="257"/>
    </row>
    <row r="417">
      <c r="A417" s="172"/>
      <c r="AG417" s="257"/>
    </row>
    <row r="418">
      <c r="A418" s="172"/>
      <c r="AG418" s="257"/>
    </row>
    <row r="419">
      <c r="A419" s="172"/>
      <c r="AG419" s="257"/>
    </row>
    <row r="420">
      <c r="A420" s="172"/>
      <c r="AG420" s="257"/>
    </row>
    <row r="421">
      <c r="A421" s="172"/>
      <c r="AG421" s="257"/>
    </row>
    <row r="422">
      <c r="A422" s="172"/>
      <c r="AG422" s="257"/>
    </row>
    <row r="423">
      <c r="A423" s="172"/>
      <c r="AG423" s="257"/>
    </row>
    <row r="424">
      <c r="A424" s="172"/>
      <c r="AG424" s="257"/>
    </row>
    <row r="425">
      <c r="A425" s="172"/>
      <c r="AG425" s="257"/>
    </row>
    <row r="426">
      <c r="A426" s="172"/>
      <c r="AG426" s="257"/>
    </row>
    <row r="427">
      <c r="A427" s="172"/>
      <c r="AG427" s="257"/>
    </row>
    <row r="428">
      <c r="A428" s="172"/>
      <c r="AG428" s="257"/>
    </row>
    <row r="429">
      <c r="A429" s="172"/>
      <c r="AG429" s="257"/>
    </row>
    <row r="430">
      <c r="A430" s="172"/>
      <c r="AG430" s="257"/>
    </row>
    <row r="431">
      <c r="A431" s="172"/>
      <c r="AG431" s="257"/>
    </row>
    <row r="432">
      <c r="A432" s="172"/>
      <c r="AG432" s="257"/>
    </row>
    <row r="433">
      <c r="A433" s="172"/>
      <c r="AG433" s="257"/>
    </row>
    <row r="434">
      <c r="A434" s="172"/>
      <c r="AG434" s="257"/>
    </row>
    <row r="435">
      <c r="A435" s="172"/>
      <c r="AG435" s="257"/>
    </row>
    <row r="436">
      <c r="A436" s="172"/>
      <c r="AG436" s="257"/>
    </row>
    <row r="437">
      <c r="A437" s="172"/>
      <c r="AG437" s="257"/>
    </row>
    <row r="438">
      <c r="A438" s="172"/>
      <c r="AG438" s="257"/>
    </row>
    <row r="439">
      <c r="A439" s="172"/>
      <c r="AG439" s="257"/>
    </row>
    <row r="440">
      <c r="A440" s="172"/>
      <c r="AG440" s="257"/>
    </row>
    <row r="441">
      <c r="A441" s="172"/>
      <c r="AG441" s="257"/>
    </row>
    <row r="442">
      <c r="A442" s="172"/>
      <c r="AG442" s="257"/>
    </row>
    <row r="443">
      <c r="A443" s="172"/>
      <c r="AG443" s="257"/>
    </row>
    <row r="444">
      <c r="A444" s="172"/>
      <c r="AG444" s="257"/>
    </row>
    <row r="445">
      <c r="A445" s="172"/>
      <c r="AG445" s="257"/>
    </row>
    <row r="446">
      <c r="A446" s="172"/>
      <c r="AG446" s="257"/>
    </row>
    <row r="447">
      <c r="A447" s="172"/>
      <c r="AG447" s="257"/>
    </row>
    <row r="448">
      <c r="A448" s="172"/>
      <c r="AG448" s="257"/>
    </row>
    <row r="449">
      <c r="A449" s="172"/>
      <c r="AG449" s="257"/>
    </row>
    <row r="450">
      <c r="A450" s="172"/>
      <c r="AG450" s="257"/>
    </row>
    <row r="451">
      <c r="A451" s="172"/>
      <c r="AG451" s="257"/>
    </row>
    <row r="452">
      <c r="A452" s="172"/>
      <c r="AG452" s="257"/>
    </row>
    <row r="453">
      <c r="A453" s="172"/>
      <c r="AG453" s="257"/>
    </row>
    <row r="454">
      <c r="A454" s="172"/>
      <c r="AG454" s="257"/>
    </row>
    <row r="455">
      <c r="A455" s="172"/>
      <c r="AG455" s="257"/>
    </row>
    <row r="456">
      <c r="A456" s="172"/>
      <c r="AG456" s="257"/>
    </row>
    <row r="457">
      <c r="A457" s="172"/>
      <c r="AG457" s="257"/>
    </row>
    <row r="458">
      <c r="A458" s="172"/>
      <c r="AG458" s="257"/>
    </row>
    <row r="459">
      <c r="A459" s="172"/>
      <c r="AG459" s="257"/>
    </row>
    <row r="460">
      <c r="A460" s="172"/>
      <c r="AG460" s="257"/>
    </row>
    <row r="461">
      <c r="A461" s="172"/>
      <c r="AG461" s="257"/>
    </row>
    <row r="462">
      <c r="A462" s="172"/>
      <c r="AG462" s="257"/>
    </row>
    <row r="463">
      <c r="A463" s="172"/>
      <c r="AG463" s="257"/>
    </row>
    <row r="464">
      <c r="A464" s="172"/>
      <c r="AG464" s="257"/>
    </row>
    <row r="465">
      <c r="A465" s="172"/>
      <c r="AG465" s="257"/>
    </row>
    <row r="466">
      <c r="A466" s="172"/>
      <c r="AG466" s="257"/>
    </row>
    <row r="467">
      <c r="A467" s="172"/>
      <c r="AG467" s="257"/>
    </row>
    <row r="468">
      <c r="A468" s="172"/>
      <c r="AG468" s="257"/>
    </row>
    <row r="469">
      <c r="A469" s="172"/>
      <c r="AG469" s="257"/>
    </row>
    <row r="470">
      <c r="A470" s="172"/>
      <c r="AG470" s="257"/>
    </row>
    <row r="471">
      <c r="A471" s="172"/>
      <c r="AG471" s="257"/>
    </row>
    <row r="472">
      <c r="A472" s="172"/>
      <c r="AG472" s="257"/>
    </row>
    <row r="473">
      <c r="A473" s="172"/>
      <c r="AG473" s="257"/>
    </row>
    <row r="474">
      <c r="A474" s="172"/>
      <c r="AG474" s="257"/>
    </row>
    <row r="475">
      <c r="A475" s="172"/>
      <c r="AG475" s="257"/>
    </row>
    <row r="476">
      <c r="A476" s="172"/>
      <c r="AG476" s="257"/>
    </row>
    <row r="477">
      <c r="A477" s="172"/>
      <c r="AG477" s="257"/>
    </row>
    <row r="478">
      <c r="A478" s="172"/>
      <c r="AG478" s="257"/>
    </row>
    <row r="479">
      <c r="A479" s="172"/>
      <c r="AG479" s="257"/>
    </row>
    <row r="480">
      <c r="A480" s="172"/>
      <c r="AG480" s="257"/>
    </row>
    <row r="481">
      <c r="A481" s="172"/>
      <c r="AG481" s="257"/>
    </row>
    <row r="482">
      <c r="A482" s="172"/>
      <c r="AG482" s="257"/>
    </row>
    <row r="483">
      <c r="A483" s="172"/>
      <c r="AG483" s="257"/>
    </row>
    <row r="484">
      <c r="A484" s="172"/>
      <c r="AG484" s="257"/>
    </row>
    <row r="485">
      <c r="A485" s="172"/>
      <c r="AG485" s="257"/>
    </row>
    <row r="486">
      <c r="A486" s="172"/>
      <c r="AG486" s="257"/>
    </row>
    <row r="487">
      <c r="A487" s="172"/>
      <c r="AG487" s="257"/>
    </row>
    <row r="488">
      <c r="A488" s="172"/>
      <c r="AG488" s="257"/>
    </row>
    <row r="489">
      <c r="A489" s="172"/>
      <c r="AG489" s="257"/>
    </row>
    <row r="490">
      <c r="A490" s="172"/>
      <c r="AG490" s="257"/>
    </row>
    <row r="491">
      <c r="A491" s="172"/>
      <c r="AG491" s="257"/>
    </row>
    <row r="492">
      <c r="A492" s="172"/>
      <c r="AG492" s="257"/>
    </row>
    <row r="493">
      <c r="A493" s="172"/>
      <c r="AG493" s="257"/>
    </row>
    <row r="494">
      <c r="A494" s="172"/>
      <c r="AG494" s="257"/>
    </row>
    <row r="495">
      <c r="A495" s="172"/>
      <c r="AG495" s="257"/>
    </row>
    <row r="496">
      <c r="A496" s="172"/>
      <c r="AG496" s="257"/>
    </row>
    <row r="497">
      <c r="A497" s="172"/>
      <c r="AG497" s="257"/>
    </row>
    <row r="498">
      <c r="A498" s="172"/>
      <c r="AG498" s="257"/>
    </row>
    <row r="499">
      <c r="A499" s="172"/>
      <c r="AG499" s="257"/>
    </row>
    <row r="500">
      <c r="A500" s="172"/>
      <c r="AG500" s="257"/>
    </row>
    <row r="501">
      <c r="A501" s="172"/>
      <c r="AG501" s="257"/>
    </row>
    <row r="502">
      <c r="A502" s="172"/>
      <c r="AG502" s="257"/>
    </row>
    <row r="503">
      <c r="A503" s="172"/>
      <c r="AG503" s="257"/>
    </row>
    <row r="504">
      <c r="A504" s="172"/>
      <c r="AG504" s="257"/>
    </row>
    <row r="505">
      <c r="A505" s="172"/>
      <c r="AG505" s="257"/>
    </row>
    <row r="506">
      <c r="A506" s="172"/>
      <c r="AG506" s="257"/>
    </row>
    <row r="507">
      <c r="A507" s="172"/>
      <c r="AG507" s="257"/>
    </row>
    <row r="508">
      <c r="A508" s="172"/>
      <c r="AG508" s="257"/>
    </row>
    <row r="509">
      <c r="A509" s="172"/>
      <c r="AG509" s="257"/>
    </row>
    <row r="510">
      <c r="A510" s="172"/>
      <c r="AG510" s="257"/>
    </row>
    <row r="511">
      <c r="A511" s="172"/>
      <c r="AG511" s="257"/>
    </row>
    <row r="512">
      <c r="A512" s="172"/>
      <c r="AG512" s="257"/>
    </row>
    <row r="513">
      <c r="A513" s="172"/>
      <c r="AG513" s="257"/>
    </row>
    <row r="514">
      <c r="A514" s="172"/>
      <c r="AG514" s="257"/>
    </row>
    <row r="515">
      <c r="A515" s="172"/>
      <c r="AG515" s="257"/>
    </row>
    <row r="516">
      <c r="A516" s="172"/>
      <c r="AG516" s="257"/>
    </row>
    <row r="517">
      <c r="A517" s="172"/>
      <c r="AG517" s="257"/>
    </row>
    <row r="518">
      <c r="A518" s="172"/>
      <c r="AG518" s="257"/>
    </row>
    <row r="519">
      <c r="A519" s="172"/>
      <c r="AG519" s="257"/>
    </row>
    <row r="520">
      <c r="A520" s="172"/>
      <c r="AG520" s="257"/>
    </row>
    <row r="521">
      <c r="A521" s="172"/>
      <c r="AG521" s="257"/>
    </row>
    <row r="522">
      <c r="A522" s="172"/>
      <c r="AG522" s="257"/>
    </row>
    <row r="523">
      <c r="A523" s="172"/>
      <c r="AG523" s="257"/>
    </row>
    <row r="524">
      <c r="A524" s="172"/>
      <c r="AG524" s="257"/>
    </row>
    <row r="525">
      <c r="A525" s="172"/>
      <c r="AG525" s="257"/>
    </row>
    <row r="526">
      <c r="A526" s="172"/>
      <c r="AG526" s="257"/>
    </row>
    <row r="527">
      <c r="A527" s="172"/>
      <c r="AG527" s="257"/>
    </row>
    <row r="528">
      <c r="A528" s="172"/>
      <c r="AG528" s="257"/>
    </row>
    <row r="529">
      <c r="A529" s="172"/>
      <c r="AG529" s="257"/>
    </row>
    <row r="530">
      <c r="A530" s="172"/>
      <c r="AG530" s="257"/>
    </row>
    <row r="531">
      <c r="A531" s="172"/>
      <c r="AG531" s="257"/>
    </row>
    <row r="532">
      <c r="A532" s="172"/>
      <c r="AG532" s="257"/>
    </row>
    <row r="533">
      <c r="A533" s="172"/>
      <c r="AG533" s="257"/>
    </row>
    <row r="534">
      <c r="A534" s="172"/>
      <c r="AG534" s="257"/>
    </row>
    <row r="535">
      <c r="A535" s="172"/>
      <c r="AG535" s="257"/>
    </row>
    <row r="536">
      <c r="A536" s="172"/>
      <c r="AG536" s="257"/>
    </row>
    <row r="537">
      <c r="A537" s="172"/>
      <c r="AG537" s="257"/>
    </row>
    <row r="538">
      <c r="A538" s="172"/>
      <c r="AG538" s="257"/>
    </row>
    <row r="539">
      <c r="A539" s="172"/>
      <c r="AG539" s="257"/>
    </row>
    <row r="540">
      <c r="A540" s="172"/>
      <c r="AG540" s="257"/>
    </row>
    <row r="541">
      <c r="A541" s="172"/>
      <c r="AG541" s="257"/>
    </row>
    <row r="542">
      <c r="A542" s="172"/>
      <c r="AG542" s="257"/>
    </row>
    <row r="543">
      <c r="A543" s="172"/>
      <c r="AG543" s="257"/>
    </row>
    <row r="544">
      <c r="A544" s="172"/>
      <c r="AG544" s="257"/>
    </row>
    <row r="545">
      <c r="A545" s="172"/>
      <c r="AG545" s="257"/>
    </row>
    <row r="546">
      <c r="A546" s="172"/>
      <c r="AG546" s="257"/>
    </row>
    <row r="547">
      <c r="A547" s="172"/>
      <c r="AG547" s="257"/>
    </row>
    <row r="548">
      <c r="A548" s="172"/>
      <c r="AG548" s="257"/>
    </row>
    <row r="549">
      <c r="A549" s="172"/>
      <c r="AG549" s="257"/>
    </row>
    <row r="550">
      <c r="A550" s="172"/>
      <c r="AG550" s="257"/>
    </row>
    <row r="551">
      <c r="A551" s="172"/>
      <c r="AG551" s="257"/>
    </row>
    <row r="552">
      <c r="A552" s="172"/>
      <c r="AG552" s="257"/>
    </row>
    <row r="553">
      <c r="A553" s="172"/>
      <c r="AG553" s="257"/>
    </row>
    <row r="554">
      <c r="A554" s="172"/>
      <c r="AG554" s="257"/>
    </row>
    <row r="555">
      <c r="A555" s="172"/>
      <c r="AG555" s="257"/>
    </row>
    <row r="556">
      <c r="A556" s="172"/>
      <c r="AG556" s="257"/>
    </row>
    <row r="557">
      <c r="A557" s="172"/>
      <c r="AG557" s="257"/>
    </row>
    <row r="558">
      <c r="A558" s="172"/>
      <c r="AG558" s="257"/>
    </row>
    <row r="559">
      <c r="A559" s="172"/>
      <c r="AG559" s="257"/>
    </row>
    <row r="560">
      <c r="A560" s="172"/>
      <c r="AG560" s="257"/>
    </row>
    <row r="561">
      <c r="A561" s="172"/>
      <c r="AG561" s="257"/>
    </row>
    <row r="562">
      <c r="A562" s="172"/>
      <c r="AG562" s="257"/>
    </row>
    <row r="563">
      <c r="A563" s="172"/>
      <c r="AG563" s="257"/>
    </row>
    <row r="564">
      <c r="A564" s="172"/>
      <c r="AG564" s="257"/>
    </row>
    <row r="565">
      <c r="A565" s="172"/>
      <c r="AG565" s="257"/>
    </row>
    <row r="566">
      <c r="A566" s="172"/>
      <c r="AG566" s="257"/>
    </row>
    <row r="567">
      <c r="A567" s="172"/>
      <c r="AG567" s="257"/>
    </row>
    <row r="568">
      <c r="A568" s="172"/>
      <c r="AG568" s="257"/>
    </row>
    <row r="569">
      <c r="A569" s="172"/>
      <c r="AG569" s="257"/>
    </row>
    <row r="570">
      <c r="A570" s="172"/>
      <c r="AG570" s="257"/>
    </row>
    <row r="571">
      <c r="A571" s="172"/>
      <c r="AG571" s="257"/>
    </row>
    <row r="572">
      <c r="A572" s="172"/>
      <c r="AG572" s="257"/>
    </row>
    <row r="573">
      <c r="A573" s="172"/>
      <c r="AG573" s="257"/>
    </row>
    <row r="574">
      <c r="A574" s="172"/>
      <c r="AG574" s="257"/>
    </row>
    <row r="575">
      <c r="A575" s="172"/>
      <c r="AG575" s="257"/>
    </row>
    <row r="576">
      <c r="A576" s="172"/>
      <c r="AG576" s="257"/>
    </row>
    <row r="577">
      <c r="A577" s="172"/>
      <c r="AG577" s="257"/>
    </row>
    <row r="578">
      <c r="A578" s="172"/>
      <c r="AG578" s="257"/>
    </row>
    <row r="579">
      <c r="A579" s="172"/>
      <c r="AG579" s="257"/>
    </row>
    <row r="580">
      <c r="A580" s="172"/>
      <c r="AG580" s="257"/>
    </row>
    <row r="581">
      <c r="A581" s="172"/>
      <c r="AG581" s="257"/>
    </row>
    <row r="582">
      <c r="A582" s="172"/>
      <c r="AG582" s="257"/>
    </row>
    <row r="583">
      <c r="A583" s="172"/>
      <c r="AG583" s="257"/>
    </row>
    <row r="584">
      <c r="A584" s="172"/>
      <c r="AG584" s="257"/>
    </row>
    <row r="585">
      <c r="A585" s="172"/>
      <c r="AG585" s="257"/>
    </row>
    <row r="586">
      <c r="A586" s="172"/>
      <c r="AG586" s="257"/>
    </row>
    <row r="587">
      <c r="A587" s="172"/>
      <c r="AG587" s="257"/>
    </row>
    <row r="588">
      <c r="A588" s="172"/>
      <c r="AG588" s="257"/>
    </row>
    <row r="589">
      <c r="A589" s="172"/>
      <c r="AG589" s="257"/>
    </row>
    <row r="590">
      <c r="A590" s="172"/>
      <c r="AG590" s="257"/>
    </row>
    <row r="591">
      <c r="A591" s="172"/>
      <c r="AG591" s="257"/>
    </row>
    <row r="592">
      <c r="A592" s="172"/>
      <c r="AG592" s="257"/>
    </row>
    <row r="593">
      <c r="A593" s="172"/>
      <c r="AG593" s="257"/>
    </row>
    <row r="594">
      <c r="A594" s="172"/>
      <c r="AG594" s="257"/>
    </row>
    <row r="595">
      <c r="A595" s="172"/>
      <c r="AG595" s="257"/>
    </row>
    <row r="596">
      <c r="A596" s="172"/>
      <c r="AG596" s="257"/>
    </row>
    <row r="597">
      <c r="A597" s="172"/>
      <c r="AG597" s="257"/>
    </row>
    <row r="598">
      <c r="A598" s="172"/>
      <c r="AG598" s="257"/>
    </row>
    <row r="599">
      <c r="A599" s="172"/>
      <c r="AG599" s="257"/>
    </row>
    <row r="600">
      <c r="A600" s="172"/>
      <c r="AG600" s="257"/>
    </row>
    <row r="601">
      <c r="A601" s="172"/>
      <c r="AG601" s="257"/>
    </row>
    <row r="602">
      <c r="A602" s="172"/>
      <c r="AG602" s="257"/>
    </row>
    <row r="603">
      <c r="A603" s="172"/>
      <c r="AG603" s="257"/>
    </row>
    <row r="604">
      <c r="A604" s="172"/>
      <c r="AG604" s="257"/>
    </row>
    <row r="605">
      <c r="A605" s="172"/>
      <c r="AG605" s="257"/>
    </row>
    <row r="606">
      <c r="A606" s="172"/>
      <c r="AG606" s="257"/>
    </row>
    <row r="607">
      <c r="A607" s="172"/>
      <c r="AG607" s="257"/>
    </row>
    <row r="608">
      <c r="A608" s="172"/>
      <c r="AG608" s="257"/>
    </row>
    <row r="609">
      <c r="A609" s="172"/>
      <c r="AG609" s="257"/>
    </row>
    <row r="610">
      <c r="A610" s="172"/>
      <c r="AG610" s="257"/>
    </row>
    <row r="611">
      <c r="A611" s="172"/>
      <c r="AG611" s="257"/>
    </row>
    <row r="612">
      <c r="A612" s="172"/>
      <c r="AG612" s="257"/>
    </row>
    <row r="613">
      <c r="A613" s="172"/>
      <c r="AG613" s="257"/>
    </row>
    <row r="614">
      <c r="A614" s="172"/>
      <c r="AG614" s="257"/>
    </row>
    <row r="615">
      <c r="A615" s="172"/>
      <c r="AG615" s="257"/>
    </row>
    <row r="616">
      <c r="A616" s="172"/>
      <c r="AG616" s="257"/>
    </row>
    <row r="617">
      <c r="A617" s="172"/>
      <c r="AG617" s="257"/>
    </row>
    <row r="618">
      <c r="A618" s="172"/>
      <c r="AG618" s="257"/>
    </row>
    <row r="619">
      <c r="A619" s="172"/>
      <c r="AG619" s="257"/>
    </row>
    <row r="620">
      <c r="A620" s="172"/>
      <c r="AG620" s="257"/>
    </row>
    <row r="621">
      <c r="A621" s="172"/>
      <c r="AG621" s="257"/>
    </row>
    <row r="622">
      <c r="A622" s="172"/>
      <c r="AG622" s="257"/>
    </row>
    <row r="623">
      <c r="A623" s="172"/>
      <c r="AG623" s="257"/>
    </row>
    <row r="624">
      <c r="A624" s="172"/>
      <c r="AG624" s="257"/>
    </row>
    <row r="625">
      <c r="A625" s="172"/>
      <c r="AG625" s="257"/>
    </row>
    <row r="626">
      <c r="A626" s="172"/>
      <c r="AG626" s="257"/>
    </row>
    <row r="627">
      <c r="A627" s="172"/>
      <c r="AG627" s="257"/>
    </row>
    <row r="628">
      <c r="A628" s="172"/>
      <c r="AG628" s="257"/>
    </row>
    <row r="629">
      <c r="A629" s="172"/>
      <c r="AG629" s="257"/>
    </row>
    <row r="630">
      <c r="A630" s="172"/>
      <c r="AG630" s="257"/>
    </row>
    <row r="631">
      <c r="A631" s="172"/>
      <c r="AG631" s="257"/>
    </row>
    <row r="632">
      <c r="A632" s="172"/>
      <c r="AG632" s="257"/>
    </row>
    <row r="633">
      <c r="A633" s="172"/>
      <c r="AG633" s="257"/>
    </row>
    <row r="634">
      <c r="A634" s="172"/>
      <c r="AG634" s="257"/>
    </row>
    <row r="635">
      <c r="A635" s="172"/>
      <c r="AG635" s="257"/>
    </row>
    <row r="636">
      <c r="A636" s="172"/>
      <c r="AG636" s="257"/>
    </row>
    <row r="637">
      <c r="A637" s="172"/>
      <c r="AG637" s="257"/>
    </row>
    <row r="638">
      <c r="A638" s="172"/>
      <c r="AG638" s="257"/>
    </row>
    <row r="639">
      <c r="A639" s="172"/>
      <c r="AG639" s="257"/>
    </row>
    <row r="640">
      <c r="A640" s="172"/>
      <c r="AG640" s="257"/>
    </row>
    <row r="641">
      <c r="A641" s="172"/>
      <c r="AG641" s="257"/>
    </row>
    <row r="642">
      <c r="A642" s="172"/>
      <c r="AG642" s="257"/>
    </row>
    <row r="643">
      <c r="A643" s="172"/>
      <c r="AG643" s="257"/>
    </row>
    <row r="644">
      <c r="A644" s="172"/>
      <c r="AG644" s="257"/>
    </row>
    <row r="645">
      <c r="A645" s="172"/>
      <c r="AG645" s="257"/>
    </row>
    <row r="646">
      <c r="A646" s="172"/>
      <c r="AG646" s="257"/>
    </row>
    <row r="647">
      <c r="A647" s="172"/>
      <c r="AG647" s="257"/>
    </row>
    <row r="648">
      <c r="A648" s="172"/>
      <c r="AG648" s="257"/>
    </row>
    <row r="649">
      <c r="A649" s="172"/>
      <c r="AG649" s="257"/>
    </row>
    <row r="650">
      <c r="A650" s="172"/>
      <c r="AG650" s="257"/>
    </row>
    <row r="651">
      <c r="A651" s="172"/>
      <c r="AG651" s="257"/>
    </row>
    <row r="652">
      <c r="A652" s="172"/>
      <c r="AG652" s="257"/>
    </row>
    <row r="653">
      <c r="A653" s="172"/>
      <c r="AG653" s="257"/>
    </row>
    <row r="654">
      <c r="A654" s="172"/>
      <c r="AG654" s="257"/>
    </row>
    <row r="655">
      <c r="A655" s="172"/>
      <c r="AG655" s="257"/>
    </row>
    <row r="656">
      <c r="A656" s="172"/>
      <c r="AG656" s="257"/>
    </row>
    <row r="657">
      <c r="A657" s="172"/>
      <c r="AG657" s="257"/>
    </row>
    <row r="658">
      <c r="A658" s="172"/>
      <c r="AG658" s="257"/>
    </row>
    <row r="659">
      <c r="A659" s="172"/>
      <c r="AG659" s="257"/>
    </row>
    <row r="660">
      <c r="A660" s="172"/>
      <c r="AG660" s="257"/>
    </row>
    <row r="661">
      <c r="A661" s="172"/>
      <c r="AG661" s="257"/>
    </row>
    <row r="662">
      <c r="A662" s="172"/>
      <c r="AG662" s="257"/>
    </row>
    <row r="663">
      <c r="A663" s="172"/>
      <c r="AG663" s="257"/>
    </row>
    <row r="664">
      <c r="A664" s="172"/>
      <c r="AG664" s="257"/>
    </row>
    <row r="665">
      <c r="A665" s="172"/>
      <c r="AG665" s="257"/>
    </row>
    <row r="666">
      <c r="A666" s="172"/>
      <c r="AG666" s="257"/>
    </row>
    <row r="667">
      <c r="A667" s="172"/>
      <c r="AG667" s="257"/>
    </row>
    <row r="668">
      <c r="A668" s="172"/>
      <c r="AG668" s="257"/>
    </row>
    <row r="669">
      <c r="A669" s="172"/>
      <c r="AG669" s="257"/>
    </row>
    <row r="670">
      <c r="A670" s="172"/>
      <c r="AG670" s="257"/>
    </row>
    <row r="671">
      <c r="A671" s="172"/>
      <c r="AG671" s="257"/>
    </row>
    <row r="672">
      <c r="A672" s="172"/>
      <c r="AG672" s="257"/>
    </row>
    <row r="673">
      <c r="A673" s="172"/>
      <c r="AG673" s="257"/>
    </row>
    <row r="674">
      <c r="A674" s="172"/>
      <c r="AG674" s="257"/>
    </row>
    <row r="675">
      <c r="A675" s="172"/>
      <c r="AG675" s="257"/>
    </row>
    <row r="676">
      <c r="A676" s="172"/>
      <c r="AG676" s="257"/>
    </row>
    <row r="677">
      <c r="A677" s="172"/>
      <c r="AG677" s="257"/>
    </row>
    <row r="678">
      <c r="A678" s="172"/>
      <c r="AG678" s="257"/>
    </row>
    <row r="679">
      <c r="A679" s="172"/>
      <c r="AG679" s="257"/>
    </row>
    <row r="680">
      <c r="A680" s="172"/>
      <c r="AG680" s="257"/>
    </row>
    <row r="681">
      <c r="A681" s="172"/>
      <c r="AG681" s="257"/>
    </row>
    <row r="682">
      <c r="A682" s="172"/>
      <c r="AG682" s="257"/>
    </row>
    <row r="683">
      <c r="A683" s="172"/>
      <c r="AG683" s="257"/>
    </row>
    <row r="684">
      <c r="A684" s="172"/>
      <c r="AG684" s="257"/>
    </row>
    <row r="685">
      <c r="A685" s="172"/>
      <c r="AG685" s="257"/>
    </row>
    <row r="686">
      <c r="A686" s="172"/>
      <c r="AG686" s="257"/>
    </row>
    <row r="687">
      <c r="A687" s="172"/>
      <c r="AG687" s="257"/>
    </row>
    <row r="688">
      <c r="A688" s="172"/>
      <c r="AG688" s="257"/>
    </row>
    <row r="689">
      <c r="A689" s="172"/>
      <c r="AG689" s="257"/>
    </row>
    <row r="690">
      <c r="A690" s="172"/>
      <c r="AG690" s="257"/>
    </row>
    <row r="691">
      <c r="A691" s="172"/>
      <c r="AG691" s="257"/>
    </row>
    <row r="692">
      <c r="A692" s="172"/>
      <c r="AG692" s="257"/>
    </row>
    <row r="693">
      <c r="A693" s="172"/>
      <c r="AG693" s="257"/>
    </row>
    <row r="694">
      <c r="A694" s="172"/>
      <c r="AG694" s="257"/>
    </row>
    <row r="695">
      <c r="A695" s="172"/>
      <c r="AG695" s="257"/>
    </row>
    <row r="696">
      <c r="A696" s="172"/>
      <c r="AG696" s="257"/>
    </row>
    <row r="697">
      <c r="A697" s="172"/>
      <c r="AG697" s="257"/>
    </row>
    <row r="698">
      <c r="A698" s="172"/>
      <c r="AG698" s="257"/>
    </row>
    <row r="699">
      <c r="A699" s="172"/>
      <c r="AG699" s="257"/>
    </row>
    <row r="700">
      <c r="A700" s="172"/>
      <c r="AG700" s="257"/>
    </row>
    <row r="701">
      <c r="A701" s="172"/>
      <c r="AG701" s="257"/>
    </row>
    <row r="702">
      <c r="A702" s="172"/>
      <c r="AG702" s="257"/>
    </row>
    <row r="703">
      <c r="A703" s="172"/>
      <c r="AG703" s="257"/>
    </row>
    <row r="704">
      <c r="A704" s="172"/>
      <c r="AG704" s="257"/>
    </row>
    <row r="705">
      <c r="A705" s="172"/>
      <c r="AG705" s="257"/>
    </row>
    <row r="706">
      <c r="A706" s="172"/>
      <c r="AG706" s="257"/>
    </row>
    <row r="707">
      <c r="A707" s="172"/>
      <c r="AG707" s="257"/>
    </row>
    <row r="708">
      <c r="A708" s="172"/>
      <c r="AG708" s="257"/>
    </row>
    <row r="709">
      <c r="A709" s="172"/>
      <c r="AG709" s="257"/>
    </row>
    <row r="710">
      <c r="A710" s="172"/>
      <c r="AG710" s="257"/>
    </row>
    <row r="711">
      <c r="A711" s="172"/>
      <c r="AG711" s="257"/>
    </row>
    <row r="712">
      <c r="A712" s="172"/>
      <c r="AG712" s="257"/>
    </row>
    <row r="713">
      <c r="A713" s="172"/>
      <c r="AG713" s="257"/>
    </row>
    <row r="714">
      <c r="A714" s="172"/>
      <c r="AG714" s="257"/>
    </row>
    <row r="715">
      <c r="A715" s="172"/>
      <c r="AG715" s="257"/>
    </row>
    <row r="716">
      <c r="A716" s="172"/>
      <c r="AG716" s="257"/>
    </row>
    <row r="717">
      <c r="A717" s="172"/>
      <c r="AG717" s="257"/>
    </row>
    <row r="718">
      <c r="A718" s="172"/>
      <c r="AG718" s="257"/>
    </row>
    <row r="719">
      <c r="A719" s="172"/>
      <c r="AG719" s="257"/>
    </row>
    <row r="720">
      <c r="A720" s="172"/>
      <c r="AG720" s="257"/>
    </row>
    <row r="721">
      <c r="A721" s="172"/>
      <c r="AG721" s="257"/>
    </row>
    <row r="722">
      <c r="A722" s="172"/>
      <c r="AG722" s="257"/>
    </row>
    <row r="723">
      <c r="A723" s="172"/>
      <c r="AG723" s="257"/>
    </row>
    <row r="724">
      <c r="A724" s="172"/>
      <c r="AG724" s="257"/>
    </row>
    <row r="725">
      <c r="A725" s="172"/>
      <c r="AG725" s="257"/>
    </row>
    <row r="726">
      <c r="A726" s="172"/>
      <c r="AG726" s="257"/>
    </row>
    <row r="727">
      <c r="A727" s="172"/>
      <c r="AG727" s="257"/>
    </row>
    <row r="728">
      <c r="A728" s="172"/>
      <c r="AG728" s="257"/>
    </row>
    <row r="729">
      <c r="A729" s="172"/>
      <c r="AG729" s="257"/>
    </row>
    <row r="730">
      <c r="A730" s="172"/>
      <c r="AG730" s="257"/>
    </row>
    <row r="731">
      <c r="A731" s="172"/>
      <c r="AG731" s="257"/>
    </row>
    <row r="732">
      <c r="A732" s="172"/>
      <c r="AG732" s="257"/>
    </row>
    <row r="733">
      <c r="A733" s="172"/>
      <c r="AG733" s="257"/>
    </row>
    <row r="734">
      <c r="A734" s="172"/>
      <c r="AG734" s="257"/>
    </row>
    <row r="735">
      <c r="A735" s="172"/>
      <c r="AG735" s="257"/>
    </row>
    <row r="736">
      <c r="A736" s="172"/>
      <c r="AG736" s="257"/>
    </row>
    <row r="737">
      <c r="A737" s="172"/>
      <c r="AG737" s="257"/>
    </row>
    <row r="738">
      <c r="A738" s="172"/>
      <c r="AG738" s="257"/>
    </row>
    <row r="739">
      <c r="A739" s="172"/>
      <c r="AG739" s="257"/>
    </row>
    <row r="740">
      <c r="A740" s="172"/>
      <c r="AG740" s="257"/>
    </row>
    <row r="741">
      <c r="A741" s="172"/>
      <c r="AG741" s="257"/>
    </row>
    <row r="742">
      <c r="A742" s="172"/>
      <c r="AG742" s="257"/>
    </row>
    <row r="743">
      <c r="A743" s="172"/>
      <c r="AG743" s="257"/>
    </row>
    <row r="744">
      <c r="A744" s="172"/>
      <c r="AG744" s="257"/>
    </row>
    <row r="745">
      <c r="A745" s="172"/>
      <c r="AG745" s="257"/>
    </row>
    <row r="746">
      <c r="A746" s="172"/>
      <c r="AG746" s="257"/>
    </row>
    <row r="747">
      <c r="A747" s="172"/>
      <c r="AG747" s="257"/>
    </row>
    <row r="748">
      <c r="A748" s="172"/>
      <c r="AG748" s="257"/>
    </row>
    <row r="749">
      <c r="A749" s="172"/>
      <c r="AG749" s="257"/>
    </row>
  </sheetData>
  <conditionalFormatting sqref="B191:AF191">
    <cfRule type="colorScale" priority="1">
      <colorScale>
        <cfvo type="min"/>
        <cfvo type="max"/>
        <color rgb="FFFFFFFF"/>
        <color rgb="FFE67C73"/>
      </colorScale>
    </cfRule>
  </conditionalFormatting>
  <conditionalFormatting sqref="B218:AF218 B282:AF282">
    <cfRule type="colorScale" priority="2">
      <colorScale>
        <cfvo type="min"/>
        <cfvo type="max"/>
        <color rgb="FFFFFFFF"/>
        <color rgb="FF57BB8A"/>
      </colorScale>
    </cfRule>
  </conditionalFormatting>
  <conditionalFormatting sqref="B209:AF209">
    <cfRule type="colorScale" priority="3">
      <colorScale>
        <cfvo type="min"/>
        <cfvo type="max"/>
        <color rgb="FFFFFFFF"/>
        <color rgb="FFE67C73"/>
      </colorScale>
    </cfRule>
  </conditionalFormatting>
  <conditionalFormatting sqref="B216:AF216">
    <cfRule type="cellIs" dxfId="2" priority="4" operator="greaterThan">
      <formula>0</formula>
    </cfRule>
  </conditionalFormatting>
  <conditionalFormatting sqref="B216:AF216">
    <cfRule type="cellIs" dxfId="1" priority="5" operator="lessThan">
      <formula>0</formula>
    </cfRule>
  </conditionalFormatting>
  <conditionalFormatting sqref="B214:AF214">
    <cfRule type="cellIs" dxfId="2" priority="6" operator="greaterThan">
      <formula>0</formula>
    </cfRule>
  </conditionalFormatting>
  <conditionalFormatting sqref="B214:AF214">
    <cfRule type="cellIs" dxfId="1" priority="7" operator="lessThan">
      <formula>0</formula>
    </cfRule>
  </conditionalFormatting>
  <conditionalFormatting sqref="B280:AF280">
    <cfRule type="cellIs" dxfId="0" priority="8" operator="greaterThan">
      <formula>0</formula>
    </cfRule>
  </conditionalFormatting>
  <conditionalFormatting sqref="B280:AF280">
    <cfRule type="cellIs" dxfId="1" priority="9" operator="lessThan">
      <formula>0</formula>
    </cfRule>
  </conditionalFormatting>
  <conditionalFormatting sqref="B210:AF210 B274:AF277">
    <cfRule type="cellIs" dxfId="0" priority="10" operator="greaterThan">
      <formula>0</formula>
    </cfRule>
  </conditionalFormatting>
  <conditionalFormatting sqref="B210:AF210 B274:AF277">
    <cfRule type="cellIs" dxfId="1" priority="11" operator="lessThan">
      <formula>0</formula>
    </cfRule>
  </conditionalFormatting>
  <conditionalFormatting sqref="B270:AF270">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79" t="s">
        <v>104</v>
      </c>
      <c r="B1" s="80">
        <v>45352.0</v>
      </c>
      <c r="C1" s="80">
        <v>45353.0</v>
      </c>
      <c r="D1" s="80">
        <v>45354.0</v>
      </c>
      <c r="E1" s="80">
        <v>45355.0</v>
      </c>
      <c r="F1" s="80">
        <v>45356.0</v>
      </c>
      <c r="G1" s="80">
        <v>45357.0</v>
      </c>
      <c r="H1" s="80">
        <v>45358.0</v>
      </c>
      <c r="I1" s="80">
        <v>45359.0</v>
      </c>
      <c r="J1" s="80">
        <v>45360.0</v>
      </c>
      <c r="K1" s="80">
        <v>45361.0</v>
      </c>
      <c r="L1" s="80">
        <v>45362.0</v>
      </c>
      <c r="M1" s="80">
        <v>45363.0</v>
      </c>
      <c r="N1" s="80">
        <v>45364.0</v>
      </c>
      <c r="O1" s="80">
        <v>45365.0</v>
      </c>
      <c r="P1" s="80">
        <v>45366.0</v>
      </c>
      <c r="Q1" s="80">
        <v>45367.0</v>
      </c>
      <c r="R1" s="80">
        <v>45368.0</v>
      </c>
      <c r="S1" s="80">
        <v>45369.0</v>
      </c>
      <c r="T1" s="80">
        <v>45370.0</v>
      </c>
      <c r="U1" s="80">
        <v>45371.0</v>
      </c>
      <c r="V1" s="80">
        <v>45372.0</v>
      </c>
      <c r="W1" s="80">
        <v>45373.0</v>
      </c>
      <c r="X1" s="80">
        <v>45374.0</v>
      </c>
      <c r="Y1" s="80">
        <v>45375.0</v>
      </c>
      <c r="Z1" s="80">
        <v>45376.0</v>
      </c>
      <c r="AA1" s="80">
        <v>45377.0</v>
      </c>
      <c r="AB1" s="80">
        <v>45378.0</v>
      </c>
      <c r="AC1" s="80">
        <v>45379.0</v>
      </c>
      <c r="AD1" s="80">
        <v>45380.0</v>
      </c>
      <c r="AE1" s="80">
        <v>45381.0</v>
      </c>
      <c r="AF1" s="80">
        <v>45382.0</v>
      </c>
      <c r="AG1" s="81"/>
    </row>
    <row r="2">
      <c r="A2" s="82" t="s">
        <v>105</v>
      </c>
      <c r="B2" s="83" t="s">
        <v>0</v>
      </c>
      <c r="C2" s="83" t="s">
        <v>1</v>
      </c>
      <c r="D2" s="83" t="s">
        <v>2</v>
      </c>
      <c r="E2" s="83" t="s">
        <v>3</v>
      </c>
      <c r="F2" s="83" t="s">
        <v>4</v>
      </c>
      <c r="G2" s="83" t="s">
        <v>5</v>
      </c>
      <c r="H2" s="83" t="s">
        <v>6</v>
      </c>
      <c r="I2" s="83" t="s">
        <v>0</v>
      </c>
      <c r="J2" s="83" t="s">
        <v>1</v>
      </c>
      <c r="K2" s="83" t="s">
        <v>2</v>
      </c>
      <c r="L2" s="83" t="s">
        <v>3</v>
      </c>
      <c r="M2" s="83" t="s">
        <v>4</v>
      </c>
      <c r="N2" s="83" t="s">
        <v>5</v>
      </c>
      <c r="O2" s="83" t="s">
        <v>6</v>
      </c>
      <c r="P2" s="83" t="s">
        <v>0</v>
      </c>
      <c r="Q2" s="83" t="s">
        <v>1</v>
      </c>
      <c r="R2" s="83" t="s">
        <v>2</v>
      </c>
      <c r="S2" s="83" t="s">
        <v>3</v>
      </c>
      <c r="T2" s="83" t="s">
        <v>4</v>
      </c>
      <c r="U2" s="83" t="s">
        <v>5</v>
      </c>
      <c r="V2" s="83" t="s">
        <v>6</v>
      </c>
      <c r="W2" s="83" t="s">
        <v>0</v>
      </c>
      <c r="X2" s="83" t="s">
        <v>1</v>
      </c>
      <c r="Y2" s="83" t="s">
        <v>2</v>
      </c>
      <c r="Z2" s="83" t="s">
        <v>3</v>
      </c>
      <c r="AA2" s="83" t="s">
        <v>4</v>
      </c>
      <c r="AB2" s="83" t="s">
        <v>5</v>
      </c>
      <c r="AC2" s="83" t="s">
        <v>6</v>
      </c>
      <c r="AD2" s="83" t="s">
        <v>0</v>
      </c>
      <c r="AE2" s="83" t="s">
        <v>1</v>
      </c>
      <c r="AF2" s="83" t="s">
        <v>2</v>
      </c>
      <c r="AG2" s="81"/>
    </row>
    <row r="3">
      <c r="A3" s="366"/>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156"/>
    </row>
    <row r="4">
      <c r="A4" s="141" t="s">
        <v>414</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156"/>
    </row>
    <row r="5">
      <c r="A5" s="157" t="s">
        <v>599</v>
      </c>
      <c r="B5" s="367">
        <v>6872.992571</v>
      </c>
      <c r="C5" s="367">
        <v>5548.179125</v>
      </c>
      <c r="D5" s="367">
        <v>6728.52</v>
      </c>
      <c r="E5" s="367">
        <v>10828.22</v>
      </c>
      <c r="F5" s="367">
        <v>4542.95</v>
      </c>
      <c r="G5" s="367">
        <v>2359.11</v>
      </c>
      <c r="H5" s="367">
        <v>2377.0165789999996</v>
      </c>
      <c r="I5" s="367">
        <v>2522.579503</v>
      </c>
      <c r="J5" s="367">
        <v>3110.92</v>
      </c>
      <c r="K5" s="367">
        <v>4379.08</v>
      </c>
      <c r="L5" s="367">
        <v>2446.6219690000003</v>
      </c>
      <c r="M5" s="367">
        <v>2536.772112</v>
      </c>
      <c r="N5" s="367">
        <v>2272.88</v>
      </c>
      <c r="O5" s="367">
        <v>2332.471323</v>
      </c>
      <c r="P5" s="367">
        <v>2029.4365910000001</v>
      </c>
      <c r="Q5" s="367">
        <v>3555.859935</v>
      </c>
      <c r="R5" s="367">
        <v>3284.25</v>
      </c>
      <c r="S5" s="367">
        <v>2014.88</v>
      </c>
      <c r="T5" s="367">
        <v>1861.88</v>
      </c>
      <c r="U5" s="367">
        <v>1898.15</v>
      </c>
      <c r="V5" s="367">
        <v>1519.955559</v>
      </c>
      <c r="W5" s="367">
        <v>1998.402303</v>
      </c>
      <c r="X5" s="367">
        <v>2850.408318</v>
      </c>
      <c r="Y5" s="367">
        <v>3300.95</v>
      </c>
      <c r="Z5" s="367">
        <v>2373.83</v>
      </c>
      <c r="AA5" s="367">
        <v>2834.69</v>
      </c>
      <c r="AB5" s="367">
        <v>2037.67</v>
      </c>
      <c r="AC5" s="367">
        <v>1682.744666</v>
      </c>
      <c r="AD5" s="367">
        <v>2038.542668</v>
      </c>
      <c r="AE5" s="367">
        <v>2936.370735</v>
      </c>
      <c r="AF5" s="367">
        <v>3543.2198329999997</v>
      </c>
      <c r="AG5" s="95">
        <f t="shared" ref="AG5:AG11" si="1">SUM(B5:AF5)</f>
        <v>100619.5538</v>
      </c>
    </row>
    <row r="6" outlineLevel="1">
      <c r="A6" s="157" t="s">
        <v>600</v>
      </c>
      <c r="B6" s="368">
        <v>6480.493217</v>
      </c>
      <c r="C6" s="368">
        <v>5249.450005</v>
      </c>
      <c r="D6" s="368">
        <v>6303.7232</v>
      </c>
      <c r="E6" s="368">
        <v>10439.96537</v>
      </c>
      <c r="F6" s="368">
        <v>4349.11</v>
      </c>
      <c r="G6" s="368">
        <v>2069.5</v>
      </c>
      <c r="H6" s="368">
        <v>2070.536734</v>
      </c>
      <c r="I6" s="368">
        <v>2221.079855</v>
      </c>
      <c r="J6" s="368">
        <v>2818.628621</v>
      </c>
      <c r="K6" s="368">
        <v>4065.183005</v>
      </c>
      <c r="L6" s="368">
        <v>2188.381119</v>
      </c>
      <c r="M6" s="368">
        <v>2277.853349</v>
      </c>
      <c r="N6" s="368">
        <v>2070.282173</v>
      </c>
      <c r="O6" s="368">
        <v>1979.46</v>
      </c>
      <c r="P6" s="368">
        <v>1772.802355</v>
      </c>
      <c r="Q6" s="368">
        <v>3239.942173</v>
      </c>
      <c r="R6" s="368">
        <v>2971.051054</v>
      </c>
      <c r="S6" s="369">
        <v>1804.489175</v>
      </c>
      <c r="T6" s="368">
        <v>1649.59</v>
      </c>
      <c r="U6" s="368">
        <v>1678.431119</v>
      </c>
      <c r="V6" s="368">
        <v>1259.67</v>
      </c>
      <c r="W6" s="368">
        <v>1803.966054</v>
      </c>
      <c r="X6" s="368">
        <v>2467.098318</v>
      </c>
      <c r="Y6" s="368">
        <v>2854.199175</v>
      </c>
      <c r="Z6" s="368">
        <v>1558.726826</v>
      </c>
      <c r="AA6" s="368">
        <v>2071.252864</v>
      </c>
      <c r="AB6" s="368">
        <v>1526.287473</v>
      </c>
      <c r="AC6" s="368">
        <v>1204.509565</v>
      </c>
      <c r="AD6" s="368">
        <v>1617.539972</v>
      </c>
      <c r="AE6" s="368">
        <v>2583.41403</v>
      </c>
      <c r="AF6" s="368">
        <v>3209.854763</v>
      </c>
      <c r="AG6" s="95">
        <f t="shared" si="1"/>
        <v>89856.47156</v>
      </c>
    </row>
    <row r="7" outlineLevel="1">
      <c r="A7" s="157" t="s">
        <v>601</v>
      </c>
      <c r="B7" s="368">
        <v>392.499354</v>
      </c>
      <c r="C7" s="368">
        <v>298.72912</v>
      </c>
      <c r="D7" s="368">
        <v>424.793343</v>
      </c>
      <c r="E7" s="368">
        <v>388.252339</v>
      </c>
      <c r="F7" s="368">
        <v>193.838798</v>
      </c>
      <c r="G7" s="368">
        <v>289.612968</v>
      </c>
      <c r="H7" s="368">
        <v>306.479845</v>
      </c>
      <c r="I7" s="368">
        <v>301.499648</v>
      </c>
      <c r="J7" s="368">
        <v>292.292409</v>
      </c>
      <c r="K7" s="368">
        <v>313.894613</v>
      </c>
      <c r="L7" s="368">
        <v>258.24085</v>
      </c>
      <c r="M7" s="368">
        <v>258.918763</v>
      </c>
      <c r="N7" s="368">
        <v>202.597388</v>
      </c>
      <c r="O7" s="368">
        <v>353.011323</v>
      </c>
      <c r="P7" s="368">
        <v>256.634236</v>
      </c>
      <c r="Q7" s="368">
        <v>315.917762</v>
      </c>
      <c r="R7" s="368">
        <v>313.199396</v>
      </c>
      <c r="S7" s="368">
        <v>210.39403</v>
      </c>
      <c r="T7" s="368">
        <v>212.294618</v>
      </c>
      <c r="U7" s="368">
        <v>219.720183</v>
      </c>
      <c r="V7" s="368">
        <v>260.285559</v>
      </c>
      <c r="W7" s="368">
        <v>194.436249</v>
      </c>
      <c r="X7" s="368">
        <v>383.31</v>
      </c>
      <c r="Y7" s="368">
        <v>446.750839</v>
      </c>
      <c r="Z7" s="368">
        <v>815.098597</v>
      </c>
      <c r="AA7" s="368">
        <v>763.435979</v>
      </c>
      <c r="AB7" s="368">
        <v>511.387118</v>
      </c>
      <c r="AC7" s="368">
        <v>478.235101</v>
      </c>
      <c r="AD7" s="368">
        <v>421.002696</v>
      </c>
      <c r="AE7" s="368">
        <v>352.956705</v>
      </c>
      <c r="AF7" s="368">
        <v>333.36507</v>
      </c>
      <c r="AG7" s="95">
        <f t="shared" si="1"/>
        <v>10763.0849</v>
      </c>
    </row>
    <row r="8">
      <c r="A8" s="157" t="s">
        <v>602</v>
      </c>
      <c r="B8" s="368">
        <v>1365.2</v>
      </c>
      <c r="C8" s="368">
        <v>1251.85</v>
      </c>
      <c r="D8" s="368">
        <v>948.07</v>
      </c>
      <c r="E8" s="368">
        <v>1423.92</v>
      </c>
      <c r="F8" s="368">
        <v>1035.76</v>
      </c>
      <c r="G8" s="368">
        <v>500.48</v>
      </c>
      <c r="H8" s="368">
        <v>444.38</v>
      </c>
      <c r="I8" s="368">
        <v>595.58</v>
      </c>
      <c r="J8" s="368">
        <v>691.69</v>
      </c>
      <c r="K8" s="368">
        <v>825.29</v>
      </c>
      <c r="L8" s="368">
        <v>513.11</v>
      </c>
      <c r="M8" s="368">
        <v>543.93</v>
      </c>
      <c r="N8" s="368">
        <v>571.93</v>
      </c>
      <c r="O8" s="368">
        <v>539.48</v>
      </c>
      <c r="P8" s="368">
        <v>609.68</v>
      </c>
      <c r="Q8" s="368">
        <v>743.21</v>
      </c>
      <c r="R8" s="368">
        <v>970.43</v>
      </c>
      <c r="S8" s="368">
        <v>476.44</v>
      </c>
      <c r="T8" s="368">
        <v>482.73</v>
      </c>
      <c r="U8" s="368">
        <v>288.1</v>
      </c>
      <c r="V8" s="368">
        <v>467.59</v>
      </c>
      <c r="W8" s="368">
        <v>169.2</v>
      </c>
      <c r="X8" s="368">
        <v>355.24</v>
      </c>
      <c r="Y8" s="368">
        <v>778.43</v>
      </c>
      <c r="Z8" s="368">
        <v>495.59</v>
      </c>
      <c r="AA8" s="368">
        <v>339.7</v>
      </c>
      <c r="AB8" s="368">
        <v>477.5</v>
      </c>
      <c r="AC8" s="368">
        <v>317.99</v>
      </c>
      <c r="AD8" s="368">
        <v>628.18</v>
      </c>
      <c r="AE8" s="368">
        <v>478.16</v>
      </c>
      <c r="AF8" s="368">
        <v>354.64</v>
      </c>
      <c r="AG8" s="95">
        <f t="shared" si="1"/>
        <v>19683.48</v>
      </c>
    </row>
    <row r="9" outlineLevel="1">
      <c r="A9" s="157" t="s">
        <v>600</v>
      </c>
      <c r="B9" s="370">
        <v>1320.71</v>
      </c>
      <c r="C9" s="370">
        <v>1181.6299999999999</v>
      </c>
      <c r="D9" s="370">
        <v>884.79</v>
      </c>
      <c r="E9" s="370">
        <v>1346.0600000000002</v>
      </c>
      <c r="F9" s="370">
        <v>973.3299999999999</v>
      </c>
      <c r="G9" s="370">
        <v>446.65999999999997</v>
      </c>
      <c r="H9" s="370">
        <v>384.46000000000004</v>
      </c>
      <c r="I9" s="370">
        <v>505.04</v>
      </c>
      <c r="J9" s="370">
        <v>600.22</v>
      </c>
      <c r="K9" s="370">
        <v>758.05</v>
      </c>
      <c r="L9" s="370">
        <v>471.26</v>
      </c>
      <c r="M9" s="370">
        <v>508.38</v>
      </c>
      <c r="N9" s="370">
        <v>536.89</v>
      </c>
      <c r="O9" s="370">
        <v>476.38</v>
      </c>
      <c r="P9" s="370">
        <v>542.79</v>
      </c>
      <c r="Q9" s="370">
        <v>701.27</v>
      </c>
      <c r="R9" s="370">
        <v>929.12</v>
      </c>
      <c r="S9" s="370">
        <v>412.53999999999996</v>
      </c>
      <c r="T9" s="370">
        <v>435.15</v>
      </c>
      <c r="U9" s="370">
        <f>91.84+119.98</f>
        <v>211.82</v>
      </c>
      <c r="V9" s="370">
        <v>407.88</v>
      </c>
      <c r="W9" s="370">
        <v>122.74000000000001</v>
      </c>
      <c r="X9" s="370">
        <v>283.03</v>
      </c>
      <c r="Y9" s="370">
        <f>315.01+387.93</f>
        <v>702.94</v>
      </c>
      <c r="Z9" s="370">
        <v>372.15</v>
      </c>
      <c r="AA9" s="370">
        <v>216.62</v>
      </c>
      <c r="AB9" s="370">
        <v>342.42</v>
      </c>
      <c r="AC9" s="370">
        <v>216.20000000000002</v>
      </c>
      <c r="AD9" s="370">
        <v>480.08000000000004</v>
      </c>
      <c r="AE9" s="370">
        <v>443.45000000000005</v>
      </c>
      <c r="AF9" s="370">
        <v>342.04</v>
      </c>
      <c r="AG9" s="95">
        <f t="shared" si="1"/>
        <v>17556.1</v>
      </c>
    </row>
    <row r="10" outlineLevel="1">
      <c r="A10" s="157" t="s">
        <v>601</v>
      </c>
      <c r="B10" s="370">
        <v>44.49</v>
      </c>
      <c r="C10" s="370">
        <v>70.22</v>
      </c>
      <c r="D10" s="370">
        <v>63.28</v>
      </c>
      <c r="E10" s="370">
        <v>77.86</v>
      </c>
      <c r="F10" s="370">
        <v>62.43</v>
      </c>
      <c r="G10" s="370">
        <v>53.82</v>
      </c>
      <c r="H10" s="370">
        <v>59.92</v>
      </c>
      <c r="I10" s="370">
        <v>90.54</v>
      </c>
      <c r="J10" s="370">
        <v>91.47</v>
      </c>
      <c r="K10" s="370">
        <v>67.24</v>
      </c>
      <c r="L10" s="370">
        <v>41.85</v>
      </c>
      <c r="M10" s="370">
        <v>35.55</v>
      </c>
      <c r="N10" s="370">
        <v>35.04</v>
      </c>
      <c r="O10" s="370">
        <v>63.1</v>
      </c>
      <c r="P10" s="370">
        <v>66.89</v>
      </c>
      <c r="Q10" s="370">
        <v>41.94</v>
      </c>
      <c r="R10" s="370">
        <v>41.31</v>
      </c>
      <c r="S10" s="370">
        <v>63.9</v>
      </c>
      <c r="T10" s="370">
        <v>47.58</v>
      </c>
      <c r="U10" s="370">
        <v>76.28</v>
      </c>
      <c r="V10" s="370">
        <v>59.71</v>
      </c>
      <c r="W10" s="370">
        <v>46.46</v>
      </c>
      <c r="X10" s="370">
        <v>72.21</v>
      </c>
      <c r="Y10" s="370">
        <v>75.49</v>
      </c>
      <c r="Z10" s="370">
        <v>123.44</v>
      </c>
      <c r="AA10" s="370">
        <v>123.08</v>
      </c>
      <c r="AB10" s="370">
        <v>135.08</v>
      </c>
      <c r="AC10" s="370">
        <v>101.68</v>
      </c>
      <c r="AD10" s="370">
        <v>148.1</v>
      </c>
      <c r="AE10" s="370">
        <v>34.71</v>
      </c>
      <c r="AF10" s="370">
        <v>12.6</v>
      </c>
      <c r="AG10" s="95">
        <f t="shared" si="1"/>
        <v>2127.27</v>
      </c>
    </row>
    <row r="11">
      <c r="A11" s="163" t="s">
        <v>119</v>
      </c>
      <c r="B11" s="371">
        <f t="shared" ref="B11:AF11" si="2">sum(B5+B8)</f>
        <v>8238.192571</v>
      </c>
      <c r="C11" s="371">
        <f t="shared" si="2"/>
        <v>6800.029125</v>
      </c>
      <c r="D11" s="371">
        <f t="shared" si="2"/>
        <v>7676.59</v>
      </c>
      <c r="E11" s="371">
        <f t="shared" si="2"/>
        <v>12252.14</v>
      </c>
      <c r="F11" s="371">
        <f t="shared" si="2"/>
        <v>5578.71</v>
      </c>
      <c r="G11" s="371">
        <f t="shared" si="2"/>
        <v>2859.59</v>
      </c>
      <c r="H11" s="371">
        <f t="shared" si="2"/>
        <v>2821.396579</v>
      </c>
      <c r="I11" s="371">
        <f t="shared" si="2"/>
        <v>3118.159503</v>
      </c>
      <c r="J11" s="371">
        <f t="shared" si="2"/>
        <v>3802.61</v>
      </c>
      <c r="K11" s="371">
        <f t="shared" si="2"/>
        <v>5204.37</v>
      </c>
      <c r="L11" s="371">
        <f t="shared" si="2"/>
        <v>2959.731969</v>
      </c>
      <c r="M11" s="371">
        <f t="shared" si="2"/>
        <v>3080.702112</v>
      </c>
      <c r="N11" s="371">
        <f t="shared" si="2"/>
        <v>2844.81</v>
      </c>
      <c r="O11" s="371">
        <f t="shared" si="2"/>
        <v>2871.951323</v>
      </c>
      <c r="P11" s="371">
        <f t="shared" si="2"/>
        <v>2639.116591</v>
      </c>
      <c r="Q11" s="371">
        <f t="shared" si="2"/>
        <v>4299.069935</v>
      </c>
      <c r="R11" s="371">
        <f t="shared" si="2"/>
        <v>4254.68</v>
      </c>
      <c r="S11" s="371">
        <f t="shared" si="2"/>
        <v>2491.32</v>
      </c>
      <c r="T11" s="371">
        <f t="shared" si="2"/>
        <v>2344.61</v>
      </c>
      <c r="U11" s="371">
        <f t="shared" si="2"/>
        <v>2186.25</v>
      </c>
      <c r="V11" s="371">
        <f t="shared" si="2"/>
        <v>1987.545559</v>
      </c>
      <c r="W11" s="371">
        <f t="shared" si="2"/>
        <v>2167.602303</v>
      </c>
      <c r="X11" s="371">
        <f t="shared" si="2"/>
        <v>3205.648318</v>
      </c>
      <c r="Y11" s="371">
        <f t="shared" si="2"/>
        <v>4079.38</v>
      </c>
      <c r="Z11" s="371">
        <f t="shared" si="2"/>
        <v>2869.42</v>
      </c>
      <c r="AA11" s="371">
        <f t="shared" si="2"/>
        <v>3174.39</v>
      </c>
      <c r="AB11" s="371">
        <f t="shared" si="2"/>
        <v>2515.17</v>
      </c>
      <c r="AC11" s="371">
        <f t="shared" si="2"/>
        <v>2000.734666</v>
      </c>
      <c r="AD11" s="371">
        <f t="shared" si="2"/>
        <v>2666.722668</v>
      </c>
      <c r="AE11" s="371">
        <f t="shared" si="2"/>
        <v>3414.530735</v>
      </c>
      <c r="AF11" s="371">
        <f t="shared" si="2"/>
        <v>3897.859833</v>
      </c>
      <c r="AG11" s="95">
        <f t="shared" si="1"/>
        <v>120303.0338</v>
      </c>
    </row>
    <row r="12">
      <c r="A12" s="100"/>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140"/>
    </row>
    <row r="13">
      <c r="A13" s="141" t="s">
        <v>603</v>
      </c>
      <c r="B13" s="85"/>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140"/>
    </row>
    <row r="14">
      <c r="A14" s="157" t="s">
        <v>604</v>
      </c>
      <c r="B14" s="160">
        <f t="shared" ref="B14:AF14" si="3">sum(B15:B16)</f>
        <v>208</v>
      </c>
      <c r="C14" s="160">
        <f t="shared" si="3"/>
        <v>180</v>
      </c>
      <c r="D14" s="160">
        <f t="shared" si="3"/>
        <v>238</v>
      </c>
      <c r="E14" s="160">
        <f t="shared" si="3"/>
        <v>274</v>
      </c>
      <c r="F14" s="160">
        <f t="shared" si="3"/>
        <v>132</v>
      </c>
      <c r="G14" s="160">
        <f t="shared" si="3"/>
        <v>108</v>
      </c>
      <c r="H14" s="160">
        <f t="shared" si="3"/>
        <v>115</v>
      </c>
      <c r="I14" s="160">
        <f t="shared" si="3"/>
        <v>113</v>
      </c>
      <c r="J14" s="160">
        <f t="shared" si="3"/>
        <v>134</v>
      </c>
      <c r="K14" s="160">
        <f t="shared" si="3"/>
        <v>168</v>
      </c>
      <c r="L14" s="160">
        <f t="shared" si="3"/>
        <v>101</v>
      </c>
      <c r="M14" s="160">
        <f t="shared" si="3"/>
        <v>111</v>
      </c>
      <c r="N14" s="160">
        <f t="shared" si="3"/>
        <v>93</v>
      </c>
      <c r="O14" s="160">
        <f t="shared" si="3"/>
        <v>122</v>
      </c>
      <c r="P14" s="160">
        <f t="shared" si="3"/>
        <v>92</v>
      </c>
      <c r="Q14" s="160">
        <f t="shared" si="3"/>
        <v>150</v>
      </c>
      <c r="R14" s="160">
        <f t="shared" si="3"/>
        <v>148</v>
      </c>
      <c r="S14" s="160">
        <f t="shared" si="3"/>
        <v>89</v>
      </c>
      <c r="T14" s="160">
        <f t="shared" si="3"/>
        <v>83</v>
      </c>
      <c r="U14" s="160">
        <f t="shared" si="3"/>
        <v>90</v>
      </c>
      <c r="V14" s="160">
        <f t="shared" si="3"/>
        <v>84</v>
      </c>
      <c r="W14" s="160">
        <f t="shared" si="3"/>
        <v>80</v>
      </c>
      <c r="X14" s="160">
        <f t="shared" si="3"/>
        <v>126</v>
      </c>
      <c r="Y14" s="160">
        <f t="shared" si="3"/>
        <v>159</v>
      </c>
      <c r="Z14" s="160">
        <f t="shared" si="3"/>
        <v>190</v>
      </c>
      <c r="AA14" s="160">
        <f t="shared" si="3"/>
        <v>189</v>
      </c>
      <c r="AB14" s="160">
        <f t="shared" si="3"/>
        <v>131</v>
      </c>
      <c r="AC14" s="160">
        <f t="shared" si="3"/>
        <v>123</v>
      </c>
      <c r="AD14" s="160">
        <f t="shared" si="3"/>
        <v>126</v>
      </c>
      <c r="AE14" s="160">
        <f t="shared" si="3"/>
        <v>134</v>
      </c>
      <c r="AF14" s="160">
        <f t="shared" si="3"/>
        <v>144</v>
      </c>
      <c r="AG14" s="156">
        <f t="shared" ref="AG14:AG20" si="4">SUM(B14:AF14)</f>
        <v>4235</v>
      </c>
    </row>
    <row r="15" outlineLevel="1">
      <c r="A15" s="157" t="s">
        <v>600</v>
      </c>
      <c r="B15" s="372">
        <v>135.0</v>
      </c>
      <c r="C15" s="372">
        <v>122.0</v>
      </c>
      <c r="D15" s="372">
        <v>153.0</v>
      </c>
      <c r="E15" s="372">
        <v>201.0</v>
      </c>
      <c r="F15" s="372">
        <v>89.0</v>
      </c>
      <c r="G15" s="372">
        <v>51.0</v>
      </c>
      <c r="H15" s="160">
        <v>52.0</v>
      </c>
      <c r="I15" s="160">
        <v>53.0</v>
      </c>
      <c r="J15" s="160">
        <v>74.0</v>
      </c>
      <c r="K15" s="160">
        <v>107.0</v>
      </c>
      <c r="L15" s="160">
        <v>51.0</v>
      </c>
      <c r="M15" s="160">
        <v>60.0</v>
      </c>
      <c r="N15" s="160">
        <v>54.0</v>
      </c>
      <c r="O15" s="160">
        <v>54.0</v>
      </c>
      <c r="P15" s="160">
        <v>42.0</v>
      </c>
      <c r="Q15" s="160">
        <v>87.0</v>
      </c>
      <c r="R15" s="160">
        <v>87.0</v>
      </c>
      <c r="S15" s="160">
        <v>47.0</v>
      </c>
      <c r="T15" s="160">
        <v>41.0</v>
      </c>
      <c r="U15" s="160">
        <v>48.0</v>
      </c>
      <c r="V15" s="160">
        <v>33.0</v>
      </c>
      <c r="W15" s="160">
        <v>43.0</v>
      </c>
      <c r="X15" s="160">
        <v>57.0</v>
      </c>
      <c r="Y15" s="160">
        <v>76.0</v>
      </c>
      <c r="Z15" s="160">
        <v>42.0</v>
      </c>
      <c r="AA15" s="160">
        <v>48.0</v>
      </c>
      <c r="AB15" s="160">
        <v>39.0</v>
      </c>
      <c r="AC15" s="160">
        <v>34.0</v>
      </c>
      <c r="AD15" s="160">
        <v>49.0</v>
      </c>
      <c r="AE15" s="160">
        <v>67.0</v>
      </c>
      <c r="AF15" s="160">
        <v>86.0</v>
      </c>
      <c r="AG15" s="156">
        <f t="shared" si="4"/>
        <v>2182</v>
      </c>
    </row>
    <row r="16" outlineLevel="1">
      <c r="A16" s="157" t="s">
        <v>601</v>
      </c>
      <c r="B16" s="372">
        <v>73.0</v>
      </c>
      <c r="C16" s="372">
        <v>58.0</v>
      </c>
      <c r="D16" s="372">
        <v>85.0</v>
      </c>
      <c r="E16" s="372">
        <v>73.0</v>
      </c>
      <c r="F16" s="372">
        <v>43.0</v>
      </c>
      <c r="G16" s="372">
        <v>57.0</v>
      </c>
      <c r="H16" s="160">
        <v>63.0</v>
      </c>
      <c r="I16" s="160">
        <v>60.0</v>
      </c>
      <c r="J16" s="160">
        <v>60.0</v>
      </c>
      <c r="K16" s="160">
        <v>61.0</v>
      </c>
      <c r="L16" s="160">
        <v>50.0</v>
      </c>
      <c r="M16" s="160">
        <v>51.0</v>
      </c>
      <c r="N16" s="160">
        <v>39.0</v>
      </c>
      <c r="O16" s="160">
        <v>68.0</v>
      </c>
      <c r="P16" s="160">
        <v>50.0</v>
      </c>
      <c r="Q16" s="160">
        <v>63.0</v>
      </c>
      <c r="R16" s="160">
        <v>61.0</v>
      </c>
      <c r="S16" s="160">
        <v>42.0</v>
      </c>
      <c r="T16" s="160">
        <v>42.0</v>
      </c>
      <c r="U16" s="160">
        <v>42.0</v>
      </c>
      <c r="V16" s="160">
        <v>51.0</v>
      </c>
      <c r="W16" s="160">
        <v>37.0</v>
      </c>
      <c r="X16" s="160">
        <v>69.0</v>
      </c>
      <c r="Y16" s="160">
        <v>83.0</v>
      </c>
      <c r="Z16" s="160">
        <v>148.0</v>
      </c>
      <c r="AA16" s="160">
        <v>141.0</v>
      </c>
      <c r="AB16" s="160">
        <v>92.0</v>
      </c>
      <c r="AC16" s="160">
        <v>89.0</v>
      </c>
      <c r="AD16" s="160">
        <v>77.0</v>
      </c>
      <c r="AE16" s="160">
        <v>67.0</v>
      </c>
      <c r="AF16" s="160">
        <v>58.0</v>
      </c>
      <c r="AG16" s="156">
        <f t="shared" si="4"/>
        <v>2053</v>
      </c>
    </row>
    <row r="17">
      <c r="A17" s="157" t="s">
        <v>605</v>
      </c>
      <c r="B17" s="372">
        <f t="shared" ref="B17:AF17" si="5">sum(B18:B19)</f>
        <v>35</v>
      </c>
      <c r="C17" s="372">
        <f t="shared" si="5"/>
        <v>39</v>
      </c>
      <c r="D17" s="372">
        <f t="shared" si="5"/>
        <v>39</v>
      </c>
      <c r="E17" s="372">
        <f t="shared" si="5"/>
        <v>51</v>
      </c>
      <c r="F17" s="372">
        <f t="shared" si="5"/>
        <v>32</v>
      </c>
      <c r="G17" s="372">
        <f t="shared" si="5"/>
        <v>20</v>
      </c>
      <c r="H17" s="372">
        <f t="shared" si="5"/>
        <v>20</v>
      </c>
      <c r="I17" s="372">
        <f t="shared" si="5"/>
        <v>31</v>
      </c>
      <c r="J17" s="372">
        <f t="shared" si="5"/>
        <v>31</v>
      </c>
      <c r="K17" s="372">
        <f t="shared" si="5"/>
        <v>28</v>
      </c>
      <c r="L17" s="372">
        <f t="shared" si="5"/>
        <v>18</v>
      </c>
      <c r="M17" s="372">
        <f t="shared" si="5"/>
        <v>21</v>
      </c>
      <c r="N17" s="372">
        <f t="shared" si="5"/>
        <v>20</v>
      </c>
      <c r="O17" s="372">
        <f t="shared" si="5"/>
        <v>24</v>
      </c>
      <c r="P17" s="372">
        <f t="shared" si="5"/>
        <v>28</v>
      </c>
      <c r="Q17" s="372">
        <f t="shared" si="5"/>
        <v>24</v>
      </c>
      <c r="R17" s="372">
        <f t="shared" si="5"/>
        <v>31</v>
      </c>
      <c r="S17" s="372">
        <f t="shared" si="5"/>
        <v>23</v>
      </c>
      <c r="T17" s="372">
        <f t="shared" si="5"/>
        <v>21</v>
      </c>
      <c r="U17" s="372">
        <f t="shared" si="5"/>
        <v>21</v>
      </c>
      <c r="V17" s="372">
        <f t="shared" si="5"/>
        <v>22</v>
      </c>
      <c r="W17" s="372">
        <f t="shared" si="5"/>
        <v>12</v>
      </c>
      <c r="X17" s="372">
        <f t="shared" si="5"/>
        <v>19</v>
      </c>
      <c r="Y17" s="372">
        <f t="shared" si="5"/>
        <v>29</v>
      </c>
      <c r="Z17" s="372">
        <f t="shared" si="5"/>
        <v>29</v>
      </c>
      <c r="AA17" s="372">
        <f t="shared" si="5"/>
        <v>27</v>
      </c>
      <c r="AB17" s="372">
        <f t="shared" si="5"/>
        <v>31</v>
      </c>
      <c r="AC17" s="372">
        <f t="shared" si="5"/>
        <v>25</v>
      </c>
      <c r="AD17" s="372">
        <f t="shared" si="5"/>
        <v>38</v>
      </c>
      <c r="AE17" s="372">
        <f t="shared" si="5"/>
        <v>18</v>
      </c>
      <c r="AF17" s="372">
        <f t="shared" si="5"/>
        <v>11</v>
      </c>
      <c r="AG17" s="156">
        <f t="shared" si="4"/>
        <v>818</v>
      </c>
    </row>
    <row r="18" outlineLevel="1">
      <c r="A18" s="157" t="s">
        <v>600</v>
      </c>
      <c r="B18" s="160">
        <v>28.0</v>
      </c>
      <c r="C18" s="160">
        <v>26.0</v>
      </c>
      <c r="D18" s="160">
        <v>25.0</v>
      </c>
      <c r="E18" s="160">
        <v>34.0</v>
      </c>
      <c r="F18" s="160">
        <v>20.0</v>
      </c>
      <c r="G18" s="160">
        <v>9.0</v>
      </c>
      <c r="H18" s="160">
        <v>9.0</v>
      </c>
      <c r="I18" s="160">
        <v>14.0</v>
      </c>
      <c r="J18" s="160">
        <v>14.0</v>
      </c>
      <c r="K18" s="160">
        <v>16.0</v>
      </c>
      <c r="L18" s="160">
        <v>11.0</v>
      </c>
      <c r="M18" s="160">
        <v>14.0</v>
      </c>
      <c r="N18" s="160">
        <v>13.0</v>
      </c>
      <c r="O18" s="160">
        <v>12.0</v>
      </c>
      <c r="P18" s="160">
        <v>14.0</v>
      </c>
      <c r="Q18" s="160">
        <v>17.0</v>
      </c>
      <c r="R18" s="160">
        <v>24.0</v>
      </c>
      <c r="S18" s="160">
        <v>10.0</v>
      </c>
      <c r="T18" s="160">
        <v>11.0</v>
      </c>
      <c r="U18" s="160">
        <v>5.0</v>
      </c>
      <c r="V18" s="160">
        <v>10.0</v>
      </c>
      <c r="W18" s="160">
        <v>3.0</v>
      </c>
      <c r="X18" s="160">
        <v>6.0</v>
      </c>
      <c r="Y18" s="160">
        <v>16.0</v>
      </c>
      <c r="Z18" s="160">
        <v>8.0</v>
      </c>
      <c r="AA18" s="160">
        <v>5.0</v>
      </c>
      <c r="AB18" s="160">
        <v>8.0</v>
      </c>
      <c r="AC18" s="160">
        <v>6.0</v>
      </c>
      <c r="AD18" s="160">
        <v>10.0</v>
      </c>
      <c r="AE18" s="160">
        <v>12.0</v>
      </c>
      <c r="AF18" s="160">
        <v>9.0</v>
      </c>
      <c r="AG18" s="156">
        <f t="shared" si="4"/>
        <v>419</v>
      </c>
    </row>
    <row r="19" outlineLevel="1">
      <c r="A19" s="157" t="s">
        <v>601</v>
      </c>
      <c r="B19" s="160">
        <v>7.0</v>
      </c>
      <c r="C19" s="160">
        <v>13.0</v>
      </c>
      <c r="D19" s="160">
        <v>14.0</v>
      </c>
      <c r="E19" s="160">
        <v>17.0</v>
      </c>
      <c r="F19" s="160">
        <v>12.0</v>
      </c>
      <c r="G19" s="160">
        <v>11.0</v>
      </c>
      <c r="H19" s="160">
        <v>11.0</v>
      </c>
      <c r="I19" s="160">
        <v>17.0</v>
      </c>
      <c r="J19" s="160">
        <v>17.0</v>
      </c>
      <c r="K19" s="160">
        <v>12.0</v>
      </c>
      <c r="L19" s="160">
        <v>7.0</v>
      </c>
      <c r="M19" s="160">
        <v>7.0</v>
      </c>
      <c r="N19" s="160">
        <v>7.0</v>
      </c>
      <c r="O19" s="160">
        <v>12.0</v>
      </c>
      <c r="P19" s="160">
        <v>14.0</v>
      </c>
      <c r="Q19" s="160">
        <v>7.0</v>
      </c>
      <c r="R19" s="160">
        <v>7.0</v>
      </c>
      <c r="S19" s="160">
        <v>13.0</v>
      </c>
      <c r="T19" s="160">
        <v>10.0</v>
      </c>
      <c r="U19" s="160">
        <v>16.0</v>
      </c>
      <c r="V19" s="160">
        <v>12.0</v>
      </c>
      <c r="W19" s="160">
        <v>9.0</v>
      </c>
      <c r="X19" s="160">
        <v>13.0</v>
      </c>
      <c r="Y19" s="160">
        <v>13.0</v>
      </c>
      <c r="Z19" s="160">
        <v>21.0</v>
      </c>
      <c r="AA19" s="160">
        <v>22.0</v>
      </c>
      <c r="AB19" s="160">
        <v>23.0</v>
      </c>
      <c r="AC19" s="160">
        <v>19.0</v>
      </c>
      <c r="AD19" s="160">
        <v>28.0</v>
      </c>
      <c r="AE19" s="160">
        <v>6.0</v>
      </c>
      <c r="AF19" s="160">
        <v>2.0</v>
      </c>
      <c r="AG19" s="156">
        <f t="shared" si="4"/>
        <v>399</v>
      </c>
    </row>
    <row r="20">
      <c r="A20" s="163" t="s">
        <v>119</v>
      </c>
      <c r="B20" s="373">
        <f t="shared" ref="B20:AF20" si="6">sum(B14+B17)</f>
        <v>243</v>
      </c>
      <c r="C20" s="373">
        <f t="shared" si="6"/>
        <v>219</v>
      </c>
      <c r="D20" s="373">
        <f t="shared" si="6"/>
        <v>277</v>
      </c>
      <c r="E20" s="373">
        <f t="shared" si="6"/>
        <v>325</v>
      </c>
      <c r="F20" s="373">
        <f t="shared" si="6"/>
        <v>164</v>
      </c>
      <c r="G20" s="373">
        <f t="shared" si="6"/>
        <v>128</v>
      </c>
      <c r="H20" s="373">
        <f t="shared" si="6"/>
        <v>135</v>
      </c>
      <c r="I20" s="373">
        <f t="shared" si="6"/>
        <v>144</v>
      </c>
      <c r="J20" s="373">
        <f t="shared" si="6"/>
        <v>165</v>
      </c>
      <c r="K20" s="373">
        <f t="shared" si="6"/>
        <v>196</v>
      </c>
      <c r="L20" s="373">
        <f t="shared" si="6"/>
        <v>119</v>
      </c>
      <c r="M20" s="373">
        <f t="shared" si="6"/>
        <v>132</v>
      </c>
      <c r="N20" s="373">
        <f t="shared" si="6"/>
        <v>113</v>
      </c>
      <c r="O20" s="373">
        <f t="shared" si="6"/>
        <v>146</v>
      </c>
      <c r="P20" s="373">
        <f t="shared" si="6"/>
        <v>120</v>
      </c>
      <c r="Q20" s="373">
        <f t="shared" si="6"/>
        <v>174</v>
      </c>
      <c r="R20" s="373">
        <f t="shared" si="6"/>
        <v>179</v>
      </c>
      <c r="S20" s="373">
        <f t="shared" si="6"/>
        <v>112</v>
      </c>
      <c r="T20" s="373">
        <f t="shared" si="6"/>
        <v>104</v>
      </c>
      <c r="U20" s="373">
        <f t="shared" si="6"/>
        <v>111</v>
      </c>
      <c r="V20" s="373">
        <f t="shared" si="6"/>
        <v>106</v>
      </c>
      <c r="W20" s="373">
        <f t="shared" si="6"/>
        <v>92</v>
      </c>
      <c r="X20" s="373">
        <f t="shared" si="6"/>
        <v>145</v>
      </c>
      <c r="Y20" s="373">
        <f t="shared" si="6"/>
        <v>188</v>
      </c>
      <c r="Z20" s="373">
        <f t="shared" si="6"/>
        <v>219</v>
      </c>
      <c r="AA20" s="373">
        <f t="shared" si="6"/>
        <v>216</v>
      </c>
      <c r="AB20" s="373">
        <f t="shared" si="6"/>
        <v>162</v>
      </c>
      <c r="AC20" s="373">
        <f t="shared" si="6"/>
        <v>148</v>
      </c>
      <c r="AD20" s="373">
        <f t="shared" si="6"/>
        <v>164</v>
      </c>
      <c r="AE20" s="373">
        <f t="shared" si="6"/>
        <v>152</v>
      </c>
      <c r="AF20" s="373">
        <f t="shared" si="6"/>
        <v>155</v>
      </c>
      <c r="AG20" s="156">
        <f t="shared" si="4"/>
        <v>5053</v>
      </c>
    </row>
    <row r="21" outlineLevel="1">
      <c r="A21" s="374" t="s">
        <v>600</v>
      </c>
      <c r="B21" s="85">
        <f t="shared" ref="B21:AF21" si="7">B15+B18</f>
        <v>163</v>
      </c>
      <c r="C21" s="85">
        <f t="shared" si="7"/>
        <v>148</v>
      </c>
      <c r="D21" s="85">
        <f t="shared" si="7"/>
        <v>178</v>
      </c>
      <c r="E21" s="85">
        <f t="shared" si="7"/>
        <v>235</v>
      </c>
      <c r="F21" s="85">
        <f t="shared" si="7"/>
        <v>109</v>
      </c>
      <c r="G21" s="85">
        <f t="shared" si="7"/>
        <v>60</v>
      </c>
      <c r="H21" s="85">
        <f t="shared" si="7"/>
        <v>61</v>
      </c>
      <c r="I21" s="85">
        <f t="shared" si="7"/>
        <v>67</v>
      </c>
      <c r="J21" s="85">
        <f t="shared" si="7"/>
        <v>88</v>
      </c>
      <c r="K21" s="85">
        <f t="shared" si="7"/>
        <v>123</v>
      </c>
      <c r="L21" s="85">
        <f t="shared" si="7"/>
        <v>62</v>
      </c>
      <c r="M21" s="85">
        <f t="shared" si="7"/>
        <v>74</v>
      </c>
      <c r="N21" s="85">
        <f t="shared" si="7"/>
        <v>67</v>
      </c>
      <c r="O21" s="85">
        <f t="shared" si="7"/>
        <v>66</v>
      </c>
      <c r="P21" s="85">
        <f t="shared" si="7"/>
        <v>56</v>
      </c>
      <c r="Q21" s="85">
        <f t="shared" si="7"/>
        <v>104</v>
      </c>
      <c r="R21" s="85">
        <f t="shared" si="7"/>
        <v>111</v>
      </c>
      <c r="S21" s="85">
        <f t="shared" si="7"/>
        <v>57</v>
      </c>
      <c r="T21" s="85">
        <f t="shared" si="7"/>
        <v>52</v>
      </c>
      <c r="U21" s="85">
        <f t="shared" si="7"/>
        <v>53</v>
      </c>
      <c r="V21" s="85">
        <f t="shared" si="7"/>
        <v>43</v>
      </c>
      <c r="W21" s="85">
        <f t="shared" si="7"/>
        <v>46</v>
      </c>
      <c r="X21" s="85">
        <f t="shared" si="7"/>
        <v>63</v>
      </c>
      <c r="Y21" s="85">
        <f t="shared" si="7"/>
        <v>92</v>
      </c>
      <c r="Z21" s="85">
        <f t="shared" si="7"/>
        <v>50</v>
      </c>
      <c r="AA21" s="85">
        <f t="shared" si="7"/>
        <v>53</v>
      </c>
      <c r="AB21" s="85">
        <f t="shared" si="7"/>
        <v>47</v>
      </c>
      <c r="AC21" s="85">
        <f t="shared" si="7"/>
        <v>40</v>
      </c>
      <c r="AD21" s="85">
        <f t="shared" si="7"/>
        <v>59</v>
      </c>
      <c r="AE21" s="85">
        <f t="shared" si="7"/>
        <v>79</v>
      </c>
      <c r="AF21" s="85">
        <f t="shared" si="7"/>
        <v>95</v>
      </c>
      <c r="AG21" s="156">
        <f>sum(A21:AF21)</f>
        <v>2601</v>
      </c>
    </row>
    <row r="22" outlineLevel="1">
      <c r="A22" s="374" t="s">
        <v>601</v>
      </c>
      <c r="B22" s="85">
        <f t="shared" ref="B22:AF22" si="8">B16+B19</f>
        <v>80</v>
      </c>
      <c r="C22" s="85">
        <f t="shared" si="8"/>
        <v>71</v>
      </c>
      <c r="D22" s="85">
        <f t="shared" si="8"/>
        <v>99</v>
      </c>
      <c r="E22" s="85">
        <f t="shared" si="8"/>
        <v>90</v>
      </c>
      <c r="F22" s="85">
        <f t="shared" si="8"/>
        <v>55</v>
      </c>
      <c r="G22" s="85">
        <f t="shared" si="8"/>
        <v>68</v>
      </c>
      <c r="H22" s="85">
        <f t="shared" si="8"/>
        <v>74</v>
      </c>
      <c r="I22" s="85">
        <f t="shared" si="8"/>
        <v>77</v>
      </c>
      <c r="J22" s="85">
        <f t="shared" si="8"/>
        <v>77</v>
      </c>
      <c r="K22" s="85">
        <f t="shared" si="8"/>
        <v>73</v>
      </c>
      <c r="L22" s="85">
        <f t="shared" si="8"/>
        <v>57</v>
      </c>
      <c r="M22" s="85">
        <f t="shared" si="8"/>
        <v>58</v>
      </c>
      <c r="N22" s="85">
        <f t="shared" si="8"/>
        <v>46</v>
      </c>
      <c r="O22" s="85">
        <f t="shared" si="8"/>
        <v>80</v>
      </c>
      <c r="P22" s="85">
        <f t="shared" si="8"/>
        <v>64</v>
      </c>
      <c r="Q22" s="85">
        <f t="shared" si="8"/>
        <v>70</v>
      </c>
      <c r="R22" s="85">
        <f t="shared" si="8"/>
        <v>68</v>
      </c>
      <c r="S22" s="85">
        <f t="shared" si="8"/>
        <v>55</v>
      </c>
      <c r="T22" s="85">
        <f t="shared" si="8"/>
        <v>52</v>
      </c>
      <c r="U22" s="85">
        <f t="shared" si="8"/>
        <v>58</v>
      </c>
      <c r="V22" s="85">
        <f t="shared" si="8"/>
        <v>63</v>
      </c>
      <c r="W22" s="85">
        <f t="shared" si="8"/>
        <v>46</v>
      </c>
      <c r="X22" s="85">
        <f t="shared" si="8"/>
        <v>82</v>
      </c>
      <c r="Y22" s="85">
        <f t="shared" si="8"/>
        <v>96</v>
      </c>
      <c r="Z22" s="85">
        <f t="shared" si="8"/>
        <v>169</v>
      </c>
      <c r="AA22" s="85">
        <f t="shared" si="8"/>
        <v>163</v>
      </c>
      <c r="AB22" s="85">
        <f t="shared" si="8"/>
        <v>115</v>
      </c>
      <c r="AC22" s="85">
        <f t="shared" si="8"/>
        <v>108</v>
      </c>
      <c r="AD22" s="85">
        <f t="shared" si="8"/>
        <v>105</v>
      </c>
      <c r="AE22" s="85">
        <f t="shared" si="8"/>
        <v>73</v>
      </c>
      <c r="AF22" s="85">
        <f t="shared" si="8"/>
        <v>60</v>
      </c>
      <c r="AG22" s="156">
        <f>sum(B22:AF22)</f>
        <v>2452</v>
      </c>
    </row>
    <row r="23">
      <c r="A23" s="100"/>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156"/>
    </row>
    <row r="24">
      <c r="A24" s="141" t="s">
        <v>606</v>
      </c>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156"/>
    </row>
    <row r="25">
      <c r="A25" s="213" t="s">
        <v>599</v>
      </c>
      <c r="B25" s="375">
        <f t="shared" ref="B25:AF25" si="9">sum(B26:B27)</f>
        <v>27.29</v>
      </c>
      <c r="C25" s="375">
        <f t="shared" si="9"/>
        <v>4.97</v>
      </c>
      <c r="D25" s="375">
        <f t="shared" si="9"/>
        <v>44.1</v>
      </c>
      <c r="E25" s="375">
        <f t="shared" si="9"/>
        <v>1.85</v>
      </c>
      <c r="F25" s="375">
        <f t="shared" si="9"/>
        <v>123.82</v>
      </c>
      <c r="G25" s="375">
        <f t="shared" si="9"/>
        <v>59.99</v>
      </c>
      <c r="H25" s="375">
        <f t="shared" si="9"/>
        <v>5.99</v>
      </c>
      <c r="I25" s="375">
        <f t="shared" si="9"/>
        <v>0.41</v>
      </c>
      <c r="J25" s="375">
        <f t="shared" si="9"/>
        <v>0</v>
      </c>
      <c r="K25" s="375">
        <f t="shared" si="9"/>
        <v>29.99</v>
      </c>
      <c r="L25" s="375">
        <f t="shared" si="9"/>
        <v>1.45</v>
      </c>
      <c r="M25" s="375">
        <f t="shared" si="9"/>
        <v>5.61</v>
      </c>
      <c r="N25" s="375">
        <f t="shared" si="9"/>
        <v>64.63</v>
      </c>
      <c r="O25" s="375">
        <f t="shared" si="9"/>
        <v>20.57</v>
      </c>
      <c r="P25" s="375">
        <f t="shared" si="9"/>
        <v>0</v>
      </c>
      <c r="Q25" s="375">
        <f t="shared" si="9"/>
        <v>5.99</v>
      </c>
      <c r="R25" s="375">
        <f t="shared" si="9"/>
        <v>0</v>
      </c>
      <c r="S25" s="375">
        <f t="shared" si="9"/>
        <v>65.98</v>
      </c>
      <c r="T25" s="375">
        <f t="shared" si="9"/>
        <v>23.43</v>
      </c>
      <c r="U25" s="375">
        <f t="shared" si="9"/>
        <v>89.98</v>
      </c>
      <c r="V25" s="375">
        <f t="shared" si="9"/>
        <v>0</v>
      </c>
      <c r="W25" s="375">
        <f t="shared" si="9"/>
        <v>7.86</v>
      </c>
      <c r="X25" s="375">
        <f t="shared" si="9"/>
        <v>28.35</v>
      </c>
      <c r="Y25" s="375">
        <f t="shared" si="9"/>
        <v>29.99</v>
      </c>
      <c r="Z25" s="375">
        <f t="shared" si="9"/>
        <v>65.98</v>
      </c>
      <c r="AA25" s="375">
        <f t="shared" si="9"/>
        <v>101.19</v>
      </c>
      <c r="AB25" s="375">
        <f t="shared" si="9"/>
        <v>0</v>
      </c>
      <c r="AC25" s="375">
        <f t="shared" si="9"/>
        <v>65.97</v>
      </c>
      <c r="AD25" s="375">
        <f t="shared" si="9"/>
        <v>0</v>
      </c>
      <c r="AE25" s="375">
        <f t="shared" si="9"/>
        <v>0</v>
      </c>
      <c r="AF25" s="375">
        <f t="shared" si="9"/>
        <v>0</v>
      </c>
      <c r="AG25" s="95">
        <f t="shared" ref="AG25:AG31" si="10">SUM(B25:AF25)</f>
        <v>875.39</v>
      </c>
    </row>
    <row r="26" outlineLevel="1">
      <c r="A26" s="213" t="s">
        <v>600</v>
      </c>
      <c r="B26" s="375">
        <v>27.29</v>
      </c>
      <c r="C26" s="375">
        <v>0.0</v>
      </c>
      <c r="D26" s="375">
        <v>38.11</v>
      </c>
      <c r="E26" s="375">
        <v>0.0</v>
      </c>
      <c r="F26" s="375">
        <v>119.89</v>
      </c>
      <c r="G26" s="375">
        <v>59.99</v>
      </c>
      <c r="H26" s="375">
        <v>0.0</v>
      </c>
      <c r="I26" s="375">
        <v>0.0</v>
      </c>
      <c r="J26" s="375">
        <v>0.0</v>
      </c>
      <c r="K26" s="375">
        <v>29.99</v>
      </c>
      <c r="L26" s="375">
        <v>0.0</v>
      </c>
      <c r="M26" s="375">
        <v>0.0</v>
      </c>
      <c r="N26" s="375">
        <v>59.99</v>
      </c>
      <c r="O26" s="375">
        <v>20.57</v>
      </c>
      <c r="P26" s="375">
        <v>0.0</v>
      </c>
      <c r="Q26" s="375">
        <v>0.0</v>
      </c>
      <c r="R26" s="375">
        <v>0.0</v>
      </c>
      <c r="S26" s="375">
        <v>59.99</v>
      </c>
      <c r="T26" s="375">
        <v>23.43</v>
      </c>
      <c r="U26" s="375">
        <v>89.98</v>
      </c>
      <c r="V26" s="199">
        <v>0.0</v>
      </c>
      <c r="W26" s="199">
        <v>7.86</v>
      </c>
      <c r="X26" s="199">
        <v>28.35</v>
      </c>
      <c r="Y26" s="199">
        <v>29.99</v>
      </c>
      <c r="Z26" s="199">
        <v>59.99</v>
      </c>
      <c r="AA26" s="199">
        <v>89.98</v>
      </c>
      <c r="AB26" s="199">
        <v>0.0</v>
      </c>
      <c r="AC26" s="199">
        <v>59.98</v>
      </c>
      <c r="AD26" s="199">
        <v>0.0</v>
      </c>
      <c r="AE26" s="199">
        <v>0.0</v>
      </c>
      <c r="AF26" s="199">
        <v>0.0</v>
      </c>
      <c r="AG26" s="95">
        <f t="shared" si="10"/>
        <v>805.38</v>
      </c>
    </row>
    <row r="27" outlineLevel="1">
      <c r="A27" s="213" t="s">
        <v>601</v>
      </c>
      <c r="B27" s="375">
        <v>0.0</v>
      </c>
      <c r="C27" s="375">
        <v>4.97</v>
      </c>
      <c r="D27" s="375">
        <v>5.99</v>
      </c>
      <c r="E27" s="375">
        <v>1.85</v>
      </c>
      <c r="F27" s="375">
        <v>3.93</v>
      </c>
      <c r="G27" s="199">
        <v>0.0</v>
      </c>
      <c r="H27" s="199">
        <v>5.99</v>
      </c>
      <c r="I27" s="199">
        <v>0.41</v>
      </c>
      <c r="J27" s="199">
        <v>0.0</v>
      </c>
      <c r="K27" s="375">
        <v>0.0</v>
      </c>
      <c r="L27" s="375">
        <v>1.45</v>
      </c>
      <c r="M27" s="375">
        <v>5.61</v>
      </c>
      <c r="N27" s="375">
        <v>4.64</v>
      </c>
      <c r="O27" s="375">
        <v>0.0</v>
      </c>
      <c r="P27" s="375">
        <v>0.0</v>
      </c>
      <c r="Q27" s="375">
        <v>5.99</v>
      </c>
      <c r="R27" s="375">
        <v>0.0</v>
      </c>
      <c r="S27" s="375">
        <v>5.99</v>
      </c>
      <c r="T27" s="375">
        <v>0.0</v>
      </c>
      <c r="U27" s="375">
        <v>0.0</v>
      </c>
      <c r="V27" s="199">
        <v>0.0</v>
      </c>
      <c r="W27" s="199">
        <v>0.0</v>
      </c>
      <c r="X27" s="199">
        <v>0.0</v>
      </c>
      <c r="Y27" s="199">
        <v>0.0</v>
      </c>
      <c r="Z27" s="199">
        <v>5.99</v>
      </c>
      <c r="AA27" s="199">
        <v>11.21</v>
      </c>
      <c r="AB27" s="199">
        <v>0.0</v>
      </c>
      <c r="AC27" s="199">
        <v>5.99</v>
      </c>
      <c r="AD27" s="199">
        <v>0.0</v>
      </c>
      <c r="AE27" s="199">
        <v>0.0</v>
      </c>
      <c r="AF27" s="199">
        <v>0.0</v>
      </c>
      <c r="AG27" s="95">
        <f t="shared" si="10"/>
        <v>70.01</v>
      </c>
    </row>
    <row r="28">
      <c r="A28" s="213" t="s">
        <v>602</v>
      </c>
      <c r="B28" s="199">
        <f t="shared" ref="B28:AF28" si="11">sum(B29:B30)</f>
        <v>0</v>
      </c>
      <c r="C28" s="199">
        <f t="shared" si="11"/>
        <v>0</v>
      </c>
      <c r="D28" s="199">
        <f t="shared" si="11"/>
        <v>0</v>
      </c>
      <c r="E28" s="199">
        <f t="shared" si="11"/>
        <v>0</v>
      </c>
      <c r="F28" s="199">
        <f t="shared" si="11"/>
        <v>0</v>
      </c>
      <c r="G28" s="199">
        <f t="shared" si="11"/>
        <v>0</v>
      </c>
      <c r="H28" s="199">
        <f t="shared" si="11"/>
        <v>0</v>
      </c>
      <c r="I28" s="199">
        <f t="shared" si="11"/>
        <v>0</v>
      </c>
      <c r="J28" s="199">
        <f t="shared" si="11"/>
        <v>0</v>
      </c>
      <c r="K28" s="199">
        <f t="shared" si="11"/>
        <v>0</v>
      </c>
      <c r="L28" s="199">
        <f t="shared" si="11"/>
        <v>0</v>
      </c>
      <c r="M28" s="199">
        <f t="shared" si="11"/>
        <v>0</v>
      </c>
      <c r="N28" s="199">
        <f t="shared" si="11"/>
        <v>0</v>
      </c>
      <c r="O28" s="199">
        <f t="shared" si="11"/>
        <v>0</v>
      </c>
      <c r="P28" s="199">
        <f t="shared" si="11"/>
        <v>0</v>
      </c>
      <c r="Q28" s="199">
        <f t="shared" si="11"/>
        <v>0</v>
      </c>
      <c r="R28" s="199">
        <f t="shared" si="11"/>
        <v>0</v>
      </c>
      <c r="S28" s="199">
        <f t="shared" si="11"/>
        <v>0</v>
      </c>
      <c r="T28" s="199">
        <f t="shared" si="11"/>
        <v>0</v>
      </c>
      <c r="U28" s="199">
        <f t="shared" si="11"/>
        <v>0</v>
      </c>
      <c r="V28" s="199">
        <f t="shared" si="11"/>
        <v>0</v>
      </c>
      <c r="W28" s="199">
        <f t="shared" si="11"/>
        <v>0</v>
      </c>
      <c r="X28" s="199">
        <f t="shared" si="11"/>
        <v>0</v>
      </c>
      <c r="Y28" s="199">
        <f t="shared" si="11"/>
        <v>0</v>
      </c>
      <c r="Z28" s="199">
        <f t="shared" si="11"/>
        <v>0</v>
      </c>
      <c r="AA28" s="199">
        <f t="shared" si="11"/>
        <v>0</v>
      </c>
      <c r="AB28" s="199">
        <f t="shared" si="11"/>
        <v>0</v>
      </c>
      <c r="AC28" s="199">
        <f t="shared" si="11"/>
        <v>0</v>
      </c>
      <c r="AD28" s="199">
        <f t="shared" si="11"/>
        <v>0</v>
      </c>
      <c r="AE28" s="199">
        <f t="shared" si="11"/>
        <v>0</v>
      </c>
      <c r="AF28" s="199">
        <f t="shared" si="11"/>
        <v>0</v>
      </c>
      <c r="AG28" s="95">
        <f t="shared" si="10"/>
        <v>0</v>
      </c>
    </row>
    <row r="29" outlineLevel="1">
      <c r="A29" s="213" t="s">
        <v>600</v>
      </c>
      <c r="B29" s="199">
        <v>0.0</v>
      </c>
      <c r="C29" s="199">
        <v>0.0</v>
      </c>
      <c r="D29" s="199">
        <v>0.0</v>
      </c>
      <c r="E29" s="199">
        <v>0.0</v>
      </c>
      <c r="F29" s="199">
        <v>0.0</v>
      </c>
      <c r="G29" s="199">
        <v>0.0</v>
      </c>
      <c r="H29" s="199">
        <v>0.0</v>
      </c>
      <c r="I29" s="199">
        <v>0.0</v>
      </c>
      <c r="J29" s="199">
        <v>0.0</v>
      </c>
      <c r="K29" s="199">
        <v>0.0</v>
      </c>
      <c r="L29" s="199">
        <v>0.0</v>
      </c>
      <c r="M29" s="199">
        <v>0.0</v>
      </c>
      <c r="N29" s="199">
        <v>0.0</v>
      </c>
      <c r="O29" s="199">
        <v>0.0</v>
      </c>
      <c r="P29" s="199">
        <v>0.0</v>
      </c>
      <c r="Q29" s="199">
        <v>0.0</v>
      </c>
      <c r="R29" s="199">
        <v>0.0</v>
      </c>
      <c r="S29" s="199">
        <v>0.0</v>
      </c>
      <c r="T29" s="199">
        <v>0.0</v>
      </c>
      <c r="U29" s="199">
        <v>0.0</v>
      </c>
      <c r="V29" s="199">
        <v>0.0</v>
      </c>
      <c r="W29" s="199">
        <v>0.0</v>
      </c>
      <c r="X29" s="199">
        <v>0.0</v>
      </c>
      <c r="Y29" s="199">
        <v>0.0</v>
      </c>
      <c r="Z29" s="199">
        <v>0.0</v>
      </c>
      <c r="AA29" s="199">
        <v>0.0</v>
      </c>
      <c r="AB29" s="199">
        <v>0.0</v>
      </c>
      <c r="AC29" s="199">
        <v>0.0</v>
      </c>
      <c r="AD29" s="199">
        <v>0.0</v>
      </c>
      <c r="AE29" s="199">
        <v>0.0</v>
      </c>
      <c r="AF29" s="199">
        <v>0.0</v>
      </c>
      <c r="AG29" s="95">
        <f t="shared" si="10"/>
        <v>0</v>
      </c>
    </row>
    <row r="30" outlineLevel="1">
      <c r="A30" s="213" t="s">
        <v>601</v>
      </c>
      <c r="B30" s="199">
        <v>0.0</v>
      </c>
      <c r="C30" s="199">
        <v>0.0</v>
      </c>
      <c r="D30" s="199">
        <v>0.0</v>
      </c>
      <c r="E30" s="199">
        <v>0.0</v>
      </c>
      <c r="F30" s="199">
        <v>0.0</v>
      </c>
      <c r="G30" s="199">
        <v>0.0</v>
      </c>
      <c r="H30" s="199">
        <v>0.0</v>
      </c>
      <c r="I30" s="199">
        <v>0.0</v>
      </c>
      <c r="J30" s="199">
        <v>0.0</v>
      </c>
      <c r="K30" s="199">
        <v>0.0</v>
      </c>
      <c r="L30" s="199">
        <v>0.0</v>
      </c>
      <c r="M30" s="199">
        <v>0.0</v>
      </c>
      <c r="N30" s="199">
        <v>0.0</v>
      </c>
      <c r="O30" s="199">
        <v>0.0</v>
      </c>
      <c r="P30" s="199">
        <v>0.0</v>
      </c>
      <c r="Q30" s="199">
        <v>0.0</v>
      </c>
      <c r="R30" s="199">
        <v>0.0</v>
      </c>
      <c r="S30" s="199">
        <v>0.0</v>
      </c>
      <c r="T30" s="199">
        <v>0.0</v>
      </c>
      <c r="U30" s="199">
        <v>0.0</v>
      </c>
      <c r="V30" s="199">
        <v>0.0</v>
      </c>
      <c r="W30" s="199">
        <v>0.0</v>
      </c>
      <c r="X30" s="199">
        <v>0.0</v>
      </c>
      <c r="Y30" s="199">
        <v>0.0</v>
      </c>
      <c r="Z30" s="199">
        <v>0.0</v>
      </c>
      <c r="AA30" s="199">
        <v>0.0</v>
      </c>
      <c r="AB30" s="199">
        <v>0.0</v>
      </c>
      <c r="AC30" s="199">
        <v>0.0</v>
      </c>
      <c r="AD30" s="199">
        <v>0.0</v>
      </c>
      <c r="AE30" s="199">
        <v>0.0</v>
      </c>
      <c r="AF30" s="199">
        <v>0.0</v>
      </c>
      <c r="AG30" s="95">
        <f t="shared" si="10"/>
        <v>0</v>
      </c>
    </row>
    <row r="31">
      <c r="A31" s="219" t="s">
        <v>119</v>
      </c>
      <c r="B31" s="376">
        <f t="shared" ref="B31:AF31" si="12">B25+B28</f>
        <v>27.29</v>
      </c>
      <c r="C31" s="376">
        <f t="shared" si="12"/>
        <v>4.97</v>
      </c>
      <c r="D31" s="376">
        <f t="shared" si="12"/>
        <v>44.1</v>
      </c>
      <c r="E31" s="376">
        <f t="shared" si="12"/>
        <v>1.85</v>
      </c>
      <c r="F31" s="376">
        <f t="shared" si="12"/>
        <v>123.82</v>
      </c>
      <c r="G31" s="376">
        <f t="shared" si="12"/>
        <v>59.99</v>
      </c>
      <c r="H31" s="376">
        <f t="shared" si="12"/>
        <v>5.99</v>
      </c>
      <c r="I31" s="376">
        <f t="shared" si="12"/>
        <v>0.41</v>
      </c>
      <c r="J31" s="376">
        <f t="shared" si="12"/>
        <v>0</v>
      </c>
      <c r="K31" s="376">
        <f t="shared" si="12"/>
        <v>29.99</v>
      </c>
      <c r="L31" s="376">
        <f t="shared" si="12"/>
        <v>1.45</v>
      </c>
      <c r="M31" s="376">
        <f t="shared" si="12"/>
        <v>5.61</v>
      </c>
      <c r="N31" s="376">
        <f t="shared" si="12"/>
        <v>64.63</v>
      </c>
      <c r="O31" s="376">
        <f t="shared" si="12"/>
        <v>20.57</v>
      </c>
      <c r="P31" s="376">
        <f t="shared" si="12"/>
        <v>0</v>
      </c>
      <c r="Q31" s="376">
        <f t="shared" si="12"/>
        <v>5.99</v>
      </c>
      <c r="R31" s="376">
        <f t="shared" si="12"/>
        <v>0</v>
      </c>
      <c r="S31" s="376">
        <f t="shared" si="12"/>
        <v>65.98</v>
      </c>
      <c r="T31" s="376">
        <f t="shared" si="12"/>
        <v>23.43</v>
      </c>
      <c r="U31" s="376">
        <f t="shared" si="12"/>
        <v>89.98</v>
      </c>
      <c r="V31" s="376">
        <f t="shared" si="12"/>
        <v>0</v>
      </c>
      <c r="W31" s="376">
        <f t="shared" si="12"/>
        <v>7.86</v>
      </c>
      <c r="X31" s="376">
        <f t="shared" si="12"/>
        <v>28.35</v>
      </c>
      <c r="Y31" s="376">
        <f t="shared" si="12"/>
        <v>29.99</v>
      </c>
      <c r="Z31" s="376">
        <f t="shared" si="12"/>
        <v>65.98</v>
      </c>
      <c r="AA31" s="376">
        <f t="shared" si="12"/>
        <v>101.19</v>
      </c>
      <c r="AB31" s="376">
        <f t="shared" si="12"/>
        <v>0</v>
      </c>
      <c r="AC31" s="376">
        <f t="shared" si="12"/>
        <v>65.97</v>
      </c>
      <c r="AD31" s="376">
        <f t="shared" si="12"/>
        <v>0</v>
      </c>
      <c r="AE31" s="376">
        <f t="shared" si="12"/>
        <v>0</v>
      </c>
      <c r="AF31" s="376">
        <f t="shared" si="12"/>
        <v>0</v>
      </c>
      <c r="AG31" s="95">
        <f t="shared" si="10"/>
        <v>875.39</v>
      </c>
    </row>
    <row r="32">
      <c r="A32" s="100"/>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156"/>
    </row>
    <row r="33">
      <c r="A33" s="141" t="s">
        <v>607</v>
      </c>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156"/>
    </row>
    <row r="34">
      <c r="A34" s="213" t="s">
        <v>608</v>
      </c>
      <c r="B34" s="377">
        <f t="shared" ref="B34:AF34" si="13">sum(B35:B36)</f>
        <v>1</v>
      </c>
      <c r="C34" s="377">
        <f t="shared" si="13"/>
        <v>1</v>
      </c>
      <c r="D34" s="377">
        <f t="shared" si="13"/>
        <v>2</v>
      </c>
      <c r="E34" s="377">
        <f t="shared" si="13"/>
        <v>1</v>
      </c>
      <c r="F34" s="377">
        <f t="shared" si="13"/>
        <v>3</v>
      </c>
      <c r="G34" s="377">
        <f t="shared" si="13"/>
        <v>1</v>
      </c>
      <c r="H34" s="377">
        <f t="shared" si="13"/>
        <v>1</v>
      </c>
      <c r="I34" s="377">
        <f t="shared" si="13"/>
        <v>0</v>
      </c>
      <c r="J34" s="377">
        <f t="shared" si="13"/>
        <v>0</v>
      </c>
      <c r="K34" s="377">
        <f t="shared" si="13"/>
        <v>1</v>
      </c>
      <c r="L34" s="377">
        <f t="shared" si="13"/>
        <v>0</v>
      </c>
      <c r="M34" s="377">
        <f t="shared" si="13"/>
        <v>1</v>
      </c>
      <c r="N34" s="377">
        <f t="shared" si="13"/>
        <v>2</v>
      </c>
      <c r="O34" s="377">
        <f t="shared" si="13"/>
        <v>0</v>
      </c>
      <c r="P34" s="377">
        <f t="shared" si="13"/>
        <v>0</v>
      </c>
      <c r="Q34" s="377">
        <f t="shared" si="13"/>
        <v>1</v>
      </c>
      <c r="R34" s="377">
        <f t="shared" si="13"/>
        <v>0</v>
      </c>
      <c r="S34" s="377">
        <f t="shared" si="13"/>
        <v>2</v>
      </c>
      <c r="T34" s="377">
        <f t="shared" si="13"/>
        <v>0</v>
      </c>
      <c r="U34" s="377">
        <f t="shared" si="13"/>
        <v>2</v>
      </c>
      <c r="V34" s="377">
        <f t="shared" si="13"/>
        <v>0</v>
      </c>
      <c r="W34" s="377">
        <f t="shared" si="13"/>
        <v>0</v>
      </c>
      <c r="X34" s="377">
        <f t="shared" si="13"/>
        <v>1</v>
      </c>
      <c r="Y34" s="377">
        <f t="shared" si="13"/>
        <v>1</v>
      </c>
      <c r="Z34" s="377">
        <f t="shared" si="13"/>
        <v>2</v>
      </c>
      <c r="AA34" s="377">
        <f t="shared" si="13"/>
        <v>3</v>
      </c>
      <c r="AB34" s="377">
        <f t="shared" si="13"/>
        <v>0</v>
      </c>
      <c r="AC34" s="377">
        <f t="shared" si="13"/>
        <v>3</v>
      </c>
      <c r="AD34" s="377">
        <f t="shared" si="13"/>
        <v>0</v>
      </c>
      <c r="AE34" s="377">
        <f t="shared" si="13"/>
        <v>0</v>
      </c>
      <c r="AF34" s="377">
        <f t="shared" si="13"/>
        <v>0</v>
      </c>
      <c r="AG34" s="95">
        <f>SUM(B34:AF34)</f>
        <v>29</v>
      </c>
    </row>
    <row r="35" outlineLevel="1">
      <c r="A35" s="213" t="s">
        <v>600</v>
      </c>
      <c r="B35" s="86">
        <v>1.0</v>
      </c>
      <c r="C35" s="86">
        <v>0.0</v>
      </c>
      <c r="D35" s="86">
        <v>1.0</v>
      </c>
      <c r="E35" s="377">
        <v>0.0</v>
      </c>
      <c r="F35" s="377">
        <v>2.0</v>
      </c>
      <c r="G35" s="377">
        <v>1.0</v>
      </c>
      <c r="H35" s="86">
        <v>0.0</v>
      </c>
      <c r="I35" s="86">
        <v>0.0</v>
      </c>
      <c r="J35" s="86">
        <v>0.0</v>
      </c>
      <c r="K35" s="86">
        <v>1.0</v>
      </c>
      <c r="L35" s="86">
        <v>0.0</v>
      </c>
      <c r="M35" s="86">
        <v>0.0</v>
      </c>
      <c r="N35" s="86">
        <v>1.0</v>
      </c>
      <c r="O35" s="86">
        <v>0.0</v>
      </c>
      <c r="P35" s="86">
        <v>0.0</v>
      </c>
      <c r="Q35" s="86">
        <v>0.0</v>
      </c>
      <c r="R35" s="86">
        <v>0.0</v>
      </c>
      <c r="S35" s="86">
        <v>1.0</v>
      </c>
      <c r="T35" s="86">
        <v>0.0</v>
      </c>
      <c r="U35" s="86">
        <v>2.0</v>
      </c>
      <c r="V35" s="86">
        <v>0.0</v>
      </c>
      <c r="W35" s="86">
        <v>0.0</v>
      </c>
      <c r="X35" s="86">
        <v>1.0</v>
      </c>
      <c r="Y35" s="86">
        <v>1.0</v>
      </c>
      <c r="Z35" s="86">
        <v>1.0</v>
      </c>
      <c r="AA35" s="86">
        <v>2.0</v>
      </c>
      <c r="AB35" s="86">
        <v>0.0</v>
      </c>
      <c r="AC35" s="86">
        <v>2.0</v>
      </c>
      <c r="AD35" s="86">
        <v>0.0</v>
      </c>
      <c r="AE35" s="86">
        <v>0.0</v>
      </c>
      <c r="AF35" s="86">
        <v>0.0</v>
      </c>
      <c r="AG35" s="156"/>
    </row>
    <row r="36" outlineLevel="1">
      <c r="A36" s="213" t="s">
        <v>601</v>
      </c>
      <c r="B36" s="86">
        <v>0.0</v>
      </c>
      <c r="C36" s="86">
        <v>1.0</v>
      </c>
      <c r="D36" s="86">
        <v>1.0</v>
      </c>
      <c r="E36" s="86">
        <v>1.0</v>
      </c>
      <c r="F36" s="86">
        <v>1.0</v>
      </c>
      <c r="G36" s="86">
        <v>0.0</v>
      </c>
      <c r="H36" s="86">
        <v>1.0</v>
      </c>
      <c r="I36" s="86">
        <v>0.0</v>
      </c>
      <c r="J36" s="86">
        <v>0.0</v>
      </c>
      <c r="K36" s="86">
        <v>0.0</v>
      </c>
      <c r="L36" s="86">
        <v>0.0</v>
      </c>
      <c r="M36" s="86">
        <v>1.0</v>
      </c>
      <c r="N36" s="86">
        <v>1.0</v>
      </c>
      <c r="O36" s="86">
        <v>0.0</v>
      </c>
      <c r="P36" s="86">
        <v>0.0</v>
      </c>
      <c r="Q36" s="86">
        <v>1.0</v>
      </c>
      <c r="R36" s="86">
        <v>0.0</v>
      </c>
      <c r="S36" s="86">
        <v>1.0</v>
      </c>
      <c r="T36" s="86">
        <v>0.0</v>
      </c>
      <c r="U36" s="86">
        <v>0.0</v>
      </c>
      <c r="V36" s="86">
        <v>0.0</v>
      </c>
      <c r="W36" s="86">
        <v>0.0</v>
      </c>
      <c r="X36" s="86">
        <v>0.0</v>
      </c>
      <c r="Y36" s="86">
        <v>0.0</v>
      </c>
      <c r="Z36" s="86">
        <v>1.0</v>
      </c>
      <c r="AA36" s="86">
        <v>1.0</v>
      </c>
      <c r="AB36" s="86">
        <v>0.0</v>
      </c>
      <c r="AC36" s="86">
        <v>1.0</v>
      </c>
      <c r="AD36" s="86">
        <v>0.0</v>
      </c>
      <c r="AE36" s="86">
        <v>0.0</v>
      </c>
      <c r="AF36" s="86">
        <v>0.0</v>
      </c>
      <c r="AG36" s="156"/>
    </row>
    <row r="37">
      <c r="A37" s="213" t="s">
        <v>609</v>
      </c>
      <c r="B37" s="86">
        <f t="shared" ref="B37:AF37" si="14">sum(B38:B39)</f>
        <v>0</v>
      </c>
      <c r="C37" s="86">
        <f t="shared" si="14"/>
        <v>0</v>
      </c>
      <c r="D37" s="86">
        <f t="shared" si="14"/>
        <v>0</v>
      </c>
      <c r="E37" s="86">
        <f t="shared" si="14"/>
        <v>0</v>
      </c>
      <c r="F37" s="86">
        <f t="shared" si="14"/>
        <v>0</v>
      </c>
      <c r="G37" s="86">
        <f t="shared" si="14"/>
        <v>0</v>
      </c>
      <c r="H37" s="86">
        <f t="shared" si="14"/>
        <v>0</v>
      </c>
      <c r="I37" s="86">
        <f t="shared" si="14"/>
        <v>0</v>
      </c>
      <c r="J37" s="86">
        <f t="shared" si="14"/>
        <v>0</v>
      </c>
      <c r="K37" s="86">
        <f t="shared" si="14"/>
        <v>0</v>
      </c>
      <c r="L37" s="86">
        <f t="shared" si="14"/>
        <v>0</v>
      </c>
      <c r="M37" s="86">
        <f t="shared" si="14"/>
        <v>0</v>
      </c>
      <c r="N37" s="86">
        <f t="shared" si="14"/>
        <v>0</v>
      </c>
      <c r="O37" s="86">
        <f t="shared" si="14"/>
        <v>0</v>
      </c>
      <c r="P37" s="86">
        <f t="shared" si="14"/>
        <v>0</v>
      </c>
      <c r="Q37" s="86">
        <f t="shared" si="14"/>
        <v>0</v>
      </c>
      <c r="R37" s="86">
        <f t="shared" si="14"/>
        <v>0</v>
      </c>
      <c r="S37" s="86">
        <f t="shared" si="14"/>
        <v>0</v>
      </c>
      <c r="T37" s="86">
        <f t="shared" si="14"/>
        <v>0</v>
      </c>
      <c r="U37" s="86">
        <f t="shared" si="14"/>
        <v>0</v>
      </c>
      <c r="V37" s="86">
        <f t="shared" si="14"/>
        <v>0</v>
      </c>
      <c r="W37" s="86">
        <f t="shared" si="14"/>
        <v>0</v>
      </c>
      <c r="X37" s="86">
        <f t="shared" si="14"/>
        <v>0</v>
      </c>
      <c r="Y37" s="86">
        <f t="shared" si="14"/>
        <v>0</v>
      </c>
      <c r="Z37" s="86">
        <f t="shared" si="14"/>
        <v>0</v>
      </c>
      <c r="AA37" s="86">
        <f t="shared" si="14"/>
        <v>0</v>
      </c>
      <c r="AB37" s="86">
        <f t="shared" si="14"/>
        <v>0</v>
      </c>
      <c r="AC37" s="86">
        <f t="shared" si="14"/>
        <v>0</v>
      </c>
      <c r="AD37" s="86">
        <f t="shared" si="14"/>
        <v>0</v>
      </c>
      <c r="AE37" s="86">
        <f t="shared" si="14"/>
        <v>0</v>
      </c>
      <c r="AF37" s="86">
        <f t="shared" si="14"/>
        <v>0</v>
      </c>
      <c r="AG37" s="95">
        <f>SUM(B37:AF37)</f>
        <v>0</v>
      </c>
    </row>
    <row r="38" outlineLevel="1">
      <c r="A38" s="213" t="s">
        <v>600</v>
      </c>
      <c r="B38" s="86">
        <v>0.0</v>
      </c>
      <c r="C38" s="86">
        <v>0.0</v>
      </c>
      <c r="D38" s="86">
        <v>0.0</v>
      </c>
      <c r="E38" s="86">
        <v>0.0</v>
      </c>
      <c r="F38" s="86">
        <v>0.0</v>
      </c>
      <c r="G38" s="86">
        <v>0.0</v>
      </c>
      <c r="H38" s="86">
        <v>0.0</v>
      </c>
      <c r="I38" s="86">
        <v>0.0</v>
      </c>
      <c r="J38" s="86">
        <v>0.0</v>
      </c>
      <c r="K38" s="86">
        <v>0.0</v>
      </c>
      <c r="L38" s="86">
        <v>0.0</v>
      </c>
      <c r="M38" s="86">
        <v>0.0</v>
      </c>
      <c r="N38" s="86">
        <v>0.0</v>
      </c>
      <c r="O38" s="86">
        <v>0.0</v>
      </c>
      <c r="P38" s="86">
        <v>0.0</v>
      </c>
      <c r="Q38" s="86">
        <v>0.0</v>
      </c>
      <c r="R38" s="86">
        <v>0.0</v>
      </c>
      <c r="S38" s="86">
        <v>0.0</v>
      </c>
      <c r="T38" s="86">
        <v>0.0</v>
      </c>
      <c r="U38" s="86">
        <v>0.0</v>
      </c>
      <c r="V38" s="86">
        <v>0.0</v>
      </c>
      <c r="W38" s="86">
        <v>0.0</v>
      </c>
      <c r="X38" s="86">
        <v>0.0</v>
      </c>
      <c r="Y38" s="86">
        <v>0.0</v>
      </c>
      <c r="Z38" s="86">
        <v>0.0</v>
      </c>
      <c r="AA38" s="86">
        <v>0.0</v>
      </c>
      <c r="AB38" s="86">
        <v>0.0</v>
      </c>
      <c r="AC38" s="86">
        <v>0.0</v>
      </c>
      <c r="AD38" s="86">
        <v>0.0</v>
      </c>
      <c r="AE38" s="86">
        <v>0.0</v>
      </c>
      <c r="AF38" s="86">
        <v>0.0</v>
      </c>
      <c r="AG38" s="156"/>
    </row>
    <row r="39" outlineLevel="1">
      <c r="A39" s="213" t="s">
        <v>601</v>
      </c>
      <c r="B39" s="86">
        <v>0.0</v>
      </c>
      <c r="C39" s="86">
        <v>0.0</v>
      </c>
      <c r="D39" s="86">
        <v>0.0</v>
      </c>
      <c r="E39" s="86">
        <v>0.0</v>
      </c>
      <c r="F39" s="86">
        <v>0.0</v>
      </c>
      <c r="G39" s="86">
        <v>0.0</v>
      </c>
      <c r="H39" s="86">
        <v>0.0</v>
      </c>
      <c r="I39" s="86">
        <v>0.0</v>
      </c>
      <c r="J39" s="86">
        <v>0.0</v>
      </c>
      <c r="K39" s="86">
        <v>0.0</v>
      </c>
      <c r="L39" s="86">
        <v>0.0</v>
      </c>
      <c r="M39" s="86">
        <v>0.0</v>
      </c>
      <c r="N39" s="86">
        <v>0.0</v>
      </c>
      <c r="O39" s="86">
        <v>0.0</v>
      </c>
      <c r="P39" s="86">
        <v>0.0</v>
      </c>
      <c r="Q39" s="86">
        <v>0.0</v>
      </c>
      <c r="R39" s="86">
        <v>0.0</v>
      </c>
      <c r="S39" s="86">
        <v>0.0</v>
      </c>
      <c r="T39" s="86">
        <v>0.0</v>
      </c>
      <c r="U39" s="86">
        <v>0.0</v>
      </c>
      <c r="V39" s="86">
        <v>0.0</v>
      </c>
      <c r="W39" s="86">
        <v>0.0</v>
      </c>
      <c r="X39" s="86">
        <v>0.0</v>
      </c>
      <c r="Y39" s="86">
        <v>0.0</v>
      </c>
      <c r="Z39" s="86">
        <v>0.0</v>
      </c>
      <c r="AA39" s="86">
        <v>0.0</v>
      </c>
      <c r="AB39" s="86">
        <v>0.0</v>
      </c>
      <c r="AC39" s="86">
        <v>0.0</v>
      </c>
      <c r="AD39" s="86">
        <v>0.0</v>
      </c>
      <c r="AE39" s="86">
        <v>0.0</v>
      </c>
      <c r="AF39" s="86">
        <v>0.0</v>
      </c>
      <c r="AG39" s="156"/>
    </row>
    <row r="40">
      <c r="A40" s="219" t="s">
        <v>119</v>
      </c>
      <c r="B40" s="378">
        <f t="shared" ref="B40:AF40" si="15">B34+B37</f>
        <v>1</v>
      </c>
      <c r="C40" s="378">
        <f t="shared" si="15"/>
        <v>1</v>
      </c>
      <c r="D40" s="378">
        <f t="shared" si="15"/>
        <v>2</v>
      </c>
      <c r="E40" s="378">
        <f t="shared" si="15"/>
        <v>1</v>
      </c>
      <c r="F40" s="378">
        <f t="shared" si="15"/>
        <v>3</v>
      </c>
      <c r="G40" s="378">
        <f t="shared" si="15"/>
        <v>1</v>
      </c>
      <c r="H40" s="378">
        <f t="shared" si="15"/>
        <v>1</v>
      </c>
      <c r="I40" s="378">
        <f t="shared" si="15"/>
        <v>0</v>
      </c>
      <c r="J40" s="378">
        <f t="shared" si="15"/>
        <v>0</v>
      </c>
      <c r="K40" s="378">
        <f t="shared" si="15"/>
        <v>1</v>
      </c>
      <c r="L40" s="378">
        <f t="shared" si="15"/>
        <v>0</v>
      </c>
      <c r="M40" s="378">
        <f t="shared" si="15"/>
        <v>1</v>
      </c>
      <c r="N40" s="378">
        <f t="shared" si="15"/>
        <v>2</v>
      </c>
      <c r="O40" s="378">
        <f t="shared" si="15"/>
        <v>0</v>
      </c>
      <c r="P40" s="378">
        <f t="shared" si="15"/>
        <v>0</v>
      </c>
      <c r="Q40" s="378">
        <f t="shared" si="15"/>
        <v>1</v>
      </c>
      <c r="R40" s="378">
        <f t="shared" si="15"/>
        <v>0</v>
      </c>
      <c r="S40" s="378">
        <f t="shared" si="15"/>
        <v>2</v>
      </c>
      <c r="T40" s="378">
        <f t="shared" si="15"/>
        <v>0</v>
      </c>
      <c r="U40" s="378">
        <f t="shared" si="15"/>
        <v>2</v>
      </c>
      <c r="V40" s="378">
        <f t="shared" si="15"/>
        <v>0</v>
      </c>
      <c r="W40" s="378">
        <f t="shared" si="15"/>
        <v>0</v>
      </c>
      <c r="X40" s="378">
        <f t="shared" si="15"/>
        <v>1</v>
      </c>
      <c r="Y40" s="378">
        <f t="shared" si="15"/>
        <v>1</v>
      </c>
      <c r="Z40" s="378">
        <f t="shared" si="15"/>
        <v>2</v>
      </c>
      <c r="AA40" s="378">
        <f t="shared" si="15"/>
        <v>3</v>
      </c>
      <c r="AB40" s="378">
        <f t="shared" si="15"/>
        <v>0</v>
      </c>
      <c r="AC40" s="378">
        <f t="shared" si="15"/>
        <v>3</v>
      </c>
      <c r="AD40" s="378">
        <f t="shared" si="15"/>
        <v>0</v>
      </c>
      <c r="AE40" s="378">
        <f t="shared" si="15"/>
        <v>0</v>
      </c>
      <c r="AF40" s="378">
        <f t="shared" si="15"/>
        <v>0</v>
      </c>
      <c r="AG40" s="95">
        <f>SUM(B40:AF40)</f>
        <v>29</v>
      </c>
    </row>
    <row r="41">
      <c r="A41" s="100"/>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156"/>
    </row>
    <row r="42">
      <c r="A42" s="141" t="s">
        <v>610</v>
      </c>
      <c r="B42" s="159"/>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156"/>
    </row>
    <row r="43">
      <c r="A43" s="379" t="s">
        <v>611</v>
      </c>
      <c r="B43" s="255">
        <f t="shared" ref="B43:AF43" si="16">B5-B25</f>
        <v>6845.702571</v>
      </c>
      <c r="C43" s="255">
        <f t="shared" si="16"/>
        <v>5543.209125</v>
      </c>
      <c r="D43" s="255">
        <f t="shared" si="16"/>
        <v>6684.42</v>
      </c>
      <c r="E43" s="255">
        <f t="shared" si="16"/>
        <v>10826.37</v>
      </c>
      <c r="F43" s="255">
        <f t="shared" si="16"/>
        <v>4419.13</v>
      </c>
      <c r="G43" s="255">
        <f t="shared" si="16"/>
        <v>2299.12</v>
      </c>
      <c r="H43" s="255">
        <f t="shared" si="16"/>
        <v>2371.026579</v>
      </c>
      <c r="I43" s="255">
        <f t="shared" si="16"/>
        <v>2522.169503</v>
      </c>
      <c r="J43" s="255">
        <f t="shared" si="16"/>
        <v>3110.92</v>
      </c>
      <c r="K43" s="255">
        <f t="shared" si="16"/>
        <v>4349.09</v>
      </c>
      <c r="L43" s="255">
        <f t="shared" si="16"/>
        <v>2445.171969</v>
      </c>
      <c r="M43" s="255">
        <f t="shared" si="16"/>
        <v>2531.162112</v>
      </c>
      <c r="N43" s="255">
        <f t="shared" si="16"/>
        <v>2208.25</v>
      </c>
      <c r="O43" s="255">
        <f t="shared" si="16"/>
        <v>2311.901323</v>
      </c>
      <c r="P43" s="255">
        <f t="shared" si="16"/>
        <v>2029.436591</v>
      </c>
      <c r="Q43" s="255">
        <f t="shared" si="16"/>
        <v>3549.869935</v>
      </c>
      <c r="R43" s="255">
        <f t="shared" si="16"/>
        <v>3284.25</v>
      </c>
      <c r="S43" s="255">
        <f t="shared" si="16"/>
        <v>1948.9</v>
      </c>
      <c r="T43" s="255">
        <f t="shared" si="16"/>
        <v>1838.45</v>
      </c>
      <c r="U43" s="255">
        <f t="shared" si="16"/>
        <v>1808.17</v>
      </c>
      <c r="V43" s="255">
        <f t="shared" si="16"/>
        <v>1519.955559</v>
      </c>
      <c r="W43" s="255">
        <f t="shared" si="16"/>
        <v>1990.542303</v>
      </c>
      <c r="X43" s="255">
        <f t="shared" si="16"/>
        <v>2822.058318</v>
      </c>
      <c r="Y43" s="255">
        <f t="shared" si="16"/>
        <v>3270.96</v>
      </c>
      <c r="Z43" s="255">
        <f t="shared" si="16"/>
        <v>2307.85</v>
      </c>
      <c r="AA43" s="255">
        <f t="shared" si="16"/>
        <v>2733.5</v>
      </c>
      <c r="AB43" s="255">
        <f t="shared" si="16"/>
        <v>2037.67</v>
      </c>
      <c r="AC43" s="255">
        <f t="shared" si="16"/>
        <v>1616.774666</v>
      </c>
      <c r="AD43" s="255">
        <f t="shared" si="16"/>
        <v>2038.542668</v>
      </c>
      <c r="AE43" s="255">
        <f t="shared" si="16"/>
        <v>2936.370735</v>
      </c>
      <c r="AF43" s="255">
        <f t="shared" si="16"/>
        <v>3543.219833</v>
      </c>
      <c r="AG43" s="95">
        <f t="shared" ref="AG43:AG49" si="18">SUM(B43:AF43)</f>
        <v>99744.16379</v>
      </c>
    </row>
    <row r="44" outlineLevel="1">
      <c r="A44" s="379" t="s">
        <v>600</v>
      </c>
      <c r="B44" s="368">
        <f t="shared" ref="B44:AF44" si="17">B6-B26</f>
        <v>6453.203217</v>
      </c>
      <c r="C44" s="368">
        <f t="shared" si="17"/>
        <v>5249.450005</v>
      </c>
      <c r="D44" s="368">
        <f t="shared" si="17"/>
        <v>6265.6132</v>
      </c>
      <c r="E44" s="368">
        <f t="shared" si="17"/>
        <v>10439.96537</v>
      </c>
      <c r="F44" s="368">
        <f t="shared" si="17"/>
        <v>4229.22</v>
      </c>
      <c r="G44" s="368">
        <f t="shared" si="17"/>
        <v>2009.51</v>
      </c>
      <c r="H44" s="368">
        <f t="shared" si="17"/>
        <v>2070.536734</v>
      </c>
      <c r="I44" s="368">
        <f t="shared" si="17"/>
        <v>2221.079855</v>
      </c>
      <c r="J44" s="368">
        <f t="shared" si="17"/>
        <v>2818.628621</v>
      </c>
      <c r="K44" s="368">
        <f t="shared" si="17"/>
        <v>4035.193005</v>
      </c>
      <c r="L44" s="368">
        <f t="shared" si="17"/>
        <v>2188.381119</v>
      </c>
      <c r="M44" s="368">
        <f t="shared" si="17"/>
        <v>2277.853349</v>
      </c>
      <c r="N44" s="368">
        <f t="shared" si="17"/>
        <v>2010.292173</v>
      </c>
      <c r="O44" s="368">
        <f t="shared" si="17"/>
        <v>1958.89</v>
      </c>
      <c r="P44" s="368">
        <f t="shared" si="17"/>
        <v>1772.802355</v>
      </c>
      <c r="Q44" s="368">
        <f t="shared" si="17"/>
        <v>3239.942173</v>
      </c>
      <c r="R44" s="368">
        <f t="shared" si="17"/>
        <v>2971.051054</v>
      </c>
      <c r="S44" s="368">
        <f t="shared" si="17"/>
        <v>1744.499175</v>
      </c>
      <c r="T44" s="368">
        <f t="shared" si="17"/>
        <v>1626.16</v>
      </c>
      <c r="U44" s="368">
        <f t="shared" si="17"/>
        <v>1588.451119</v>
      </c>
      <c r="V44" s="368">
        <f t="shared" si="17"/>
        <v>1259.67</v>
      </c>
      <c r="W44" s="368">
        <f t="shared" si="17"/>
        <v>1796.106054</v>
      </c>
      <c r="X44" s="368">
        <f t="shared" si="17"/>
        <v>2438.748318</v>
      </c>
      <c r="Y44" s="368">
        <f t="shared" si="17"/>
        <v>2824.209175</v>
      </c>
      <c r="Z44" s="368">
        <f t="shared" si="17"/>
        <v>1498.736826</v>
      </c>
      <c r="AA44" s="368">
        <f t="shared" si="17"/>
        <v>1981.272864</v>
      </c>
      <c r="AB44" s="368">
        <f t="shared" si="17"/>
        <v>1526.287473</v>
      </c>
      <c r="AC44" s="368">
        <f t="shared" si="17"/>
        <v>1144.529565</v>
      </c>
      <c r="AD44" s="368">
        <f t="shared" si="17"/>
        <v>1617.539972</v>
      </c>
      <c r="AE44" s="368">
        <f t="shared" si="17"/>
        <v>2583.41403</v>
      </c>
      <c r="AF44" s="368">
        <f t="shared" si="17"/>
        <v>3209.854763</v>
      </c>
      <c r="AG44" s="95">
        <f t="shared" si="18"/>
        <v>89051.09156</v>
      </c>
    </row>
    <row r="45" outlineLevel="1">
      <c r="A45" s="379" t="s">
        <v>601</v>
      </c>
      <c r="B45" s="368">
        <f t="shared" ref="B45:AF45" si="19">B7-B27</f>
        <v>392.499354</v>
      </c>
      <c r="C45" s="368">
        <f t="shared" si="19"/>
        <v>293.75912</v>
      </c>
      <c r="D45" s="368">
        <f t="shared" si="19"/>
        <v>418.803343</v>
      </c>
      <c r="E45" s="368">
        <f t="shared" si="19"/>
        <v>386.402339</v>
      </c>
      <c r="F45" s="368">
        <f t="shared" si="19"/>
        <v>189.908798</v>
      </c>
      <c r="G45" s="368">
        <f t="shared" si="19"/>
        <v>289.612968</v>
      </c>
      <c r="H45" s="368">
        <f t="shared" si="19"/>
        <v>300.489845</v>
      </c>
      <c r="I45" s="368">
        <f t="shared" si="19"/>
        <v>301.089648</v>
      </c>
      <c r="J45" s="368">
        <f t="shared" si="19"/>
        <v>292.292409</v>
      </c>
      <c r="K45" s="368">
        <f t="shared" si="19"/>
        <v>313.894613</v>
      </c>
      <c r="L45" s="368">
        <f t="shared" si="19"/>
        <v>256.79085</v>
      </c>
      <c r="M45" s="368">
        <f t="shared" si="19"/>
        <v>253.308763</v>
      </c>
      <c r="N45" s="368">
        <f t="shared" si="19"/>
        <v>197.957388</v>
      </c>
      <c r="O45" s="368">
        <f t="shared" si="19"/>
        <v>353.011323</v>
      </c>
      <c r="P45" s="368">
        <f t="shared" si="19"/>
        <v>256.634236</v>
      </c>
      <c r="Q45" s="368">
        <f t="shared" si="19"/>
        <v>309.927762</v>
      </c>
      <c r="R45" s="368">
        <f t="shared" si="19"/>
        <v>313.199396</v>
      </c>
      <c r="S45" s="368">
        <f t="shared" si="19"/>
        <v>204.40403</v>
      </c>
      <c r="T45" s="368">
        <f t="shared" si="19"/>
        <v>212.294618</v>
      </c>
      <c r="U45" s="368">
        <f t="shared" si="19"/>
        <v>219.720183</v>
      </c>
      <c r="V45" s="368">
        <f t="shared" si="19"/>
        <v>260.285559</v>
      </c>
      <c r="W45" s="368">
        <f t="shared" si="19"/>
        <v>194.436249</v>
      </c>
      <c r="X45" s="368">
        <f t="shared" si="19"/>
        <v>383.31</v>
      </c>
      <c r="Y45" s="368">
        <f t="shared" si="19"/>
        <v>446.750839</v>
      </c>
      <c r="Z45" s="368">
        <f t="shared" si="19"/>
        <v>809.108597</v>
      </c>
      <c r="AA45" s="368">
        <f t="shared" si="19"/>
        <v>752.225979</v>
      </c>
      <c r="AB45" s="368">
        <f t="shared" si="19"/>
        <v>511.387118</v>
      </c>
      <c r="AC45" s="368">
        <f t="shared" si="19"/>
        <v>472.245101</v>
      </c>
      <c r="AD45" s="368">
        <f t="shared" si="19"/>
        <v>421.002696</v>
      </c>
      <c r="AE45" s="368">
        <f t="shared" si="19"/>
        <v>352.956705</v>
      </c>
      <c r="AF45" s="368">
        <f t="shared" si="19"/>
        <v>333.36507</v>
      </c>
      <c r="AG45" s="95">
        <f t="shared" si="18"/>
        <v>10693.0749</v>
      </c>
    </row>
    <row r="46">
      <c r="A46" s="379" t="s">
        <v>612</v>
      </c>
      <c r="B46" s="255">
        <f t="shared" ref="B46:AF46" si="20">B8-B28</f>
        <v>1365.2</v>
      </c>
      <c r="C46" s="255">
        <f t="shared" si="20"/>
        <v>1251.85</v>
      </c>
      <c r="D46" s="255">
        <f t="shared" si="20"/>
        <v>948.07</v>
      </c>
      <c r="E46" s="255">
        <f t="shared" si="20"/>
        <v>1423.92</v>
      </c>
      <c r="F46" s="255">
        <f t="shared" si="20"/>
        <v>1035.76</v>
      </c>
      <c r="G46" s="255">
        <f t="shared" si="20"/>
        <v>500.48</v>
      </c>
      <c r="H46" s="255">
        <f t="shared" si="20"/>
        <v>444.38</v>
      </c>
      <c r="I46" s="255">
        <f t="shared" si="20"/>
        <v>595.58</v>
      </c>
      <c r="J46" s="255">
        <f t="shared" si="20"/>
        <v>691.69</v>
      </c>
      <c r="K46" s="255">
        <f t="shared" si="20"/>
        <v>825.29</v>
      </c>
      <c r="L46" s="255">
        <f t="shared" si="20"/>
        <v>513.11</v>
      </c>
      <c r="M46" s="255">
        <f t="shared" si="20"/>
        <v>543.93</v>
      </c>
      <c r="N46" s="255">
        <f t="shared" si="20"/>
        <v>571.93</v>
      </c>
      <c r="O46" s="255">
        <f t="shared" si="20"/>
        <v>539.48</v>
      </c>
      <c r="P46" s="255">
        <f t="shared" si="20"/>
        <v>609.68</v>
      </c>
      <c r="Q46" s="255">
        <f t="shared" si="20"/>
        <v>743.21</v>
      </c>
      <c r="R46" s="255">
        <f t="shared" si="20"/>
        <v>970.43</v>
      </c>
      <c r="S46" s="255">
        <f t="shared" si="20"/>
        <v>476.44</v>
      </c>
      <c r="T46" s="255">
        <f t="shared" si="20"/>
        <v>482.73</v>
      </c>
      <c r="U46" s="255">
        <f t="shared" si="20"/>
        <v>288.1</v>
      </c>
      <c r="V46" s="255">
        <f t="shared" si="20"/>
        <v>467.59</v>
      </c>
      <c r="W46" s="255">
        <f t="shared" si="20"/>
        <v>169.2</v>
      </c>
      <c r="X46" s="255">
        <f t="shared" si="20"/>
        <v>355.24</v>
      </c>
      <c r="Y46" s="255">
        <f t="shared" si="20"/>
        <v>778.43</v>
      </c>
      <c r="Z46" s="255">
        <f t="shared" si="20"/>
        <v>495.59</v>
      </c>
      <c r="AA46" s="255">
        <f t="shared" si="20"/>
        <v>339.7</v>
      </c>
      <c r="AB46" s="255">
        <f t="shared" si="20"/>
        <v>477.5</v>
      </c>
      <c r="AC46" s="255">
        <f t="shared" si="20"/>
        <v>317.99</v>
      </c>
      <c r="AD46" s="255">
        <f t="shared" si="20"/>
        <v>628.18</v>
      </c>
      <c r="AE46" s="255">
        <f t="shared" si="20"/>
        <v>478.16</v>
      </c>
      <c r="AF46" s="255">
        <f t="shared" si="20"/>
        <v>354.64</v>
      </c>
      <c r="AG46" s="95">
        <f t="shared" si="18"/>
        <v>19683.48</v>
      </c>
    </row>
    <row r="47" outlineLevel="1">
      <c r="A47" s="379" t="s">
        <v>600</v>
      </c>
      <c r="B47" s="368">
        <f t="shared" ref="B47:AF47" si="21">B9-B29</f>
        <v>1320.71</v>
      </c>
      <c r="C47" s="368">
        <f t="shared" si="21"/>
        <v>1181.63</v>
      </c>
      <c r="D47" s="368">
        <f t="shared" si="21"/>
        <v>884.79</v>
      </c>
      <c r="E47" s="368">
        <f t="shared" si="21"/>
        <v>1346.06</v>
      </c>
      <c r="F47" s="368">
        <f t="shared" si="21"/>
        <v>973.33</v>
      </c>
      <c r="G47" s="368">
        <f t="shared" si="21"/>
        <v>446.66</v>
      </c>
      <c r="H47" s="368">
        <f t="shared" si="21"/>
        <v>384.46</v>
      </c>
      <c r="I47" s="368">
        <f t="shared" si="21"/>
        <v>505.04</v>
      </c>
      <c r="J47" s="368">
        <f t="shared" si="21"/>
        <v>600.22</v>
      </c>
      <c r="K47" s="368">
        <f t="shared" si="21"/>
        <v>758.05</v>
      </c>
      <c r="L47" s="368">
        <f t="shared" si="21"/>
        <v>471.26</v>
      </c>
      <c r="M47" s="368">
        <f t="shared" si="21"/>
        <v>508.38</v>
      </c>
      <c r="N47" s="368">
        <f t="shared" si="21"/>
        <v>536.89</v>
      </c>
      <c r="O47" s="368">
        <f t="shared" si="21"/>
        <v>476.38</v>
      </c>
      <c r="P47" s="368">
        <f t="shared" si="21"/>
        <v>542.79</v>
      </c>
      <c r="Q47" s="368">
        <f t="shared" si="21"/>
        <v>701.27</v>
      </c>
      <c r="R47" s="368">
        <f t="shared" si="21"/>
        <v>929.12</v>
      </c>
      <c r="S47" s="368">
        <f t="shared" si="21"/>
        <v>412.54</v>
      </c>
      <c r="T47" s="368">
        <f t="shared" si="21"/>
        <v>435.15</v>
      </c>
      <c r="U47" s="368">
        <f t="shared" si="21"/>
        <v>211.82</v>
      </c>
      <c r="V47" s="368">
        <f t="shared" si="21"/>
        <v>407.88</v>
      </c>
      <c r="W47" s="368">
        <f t="shared" si="21"/>
        <v>122.74</v>
      </c>
      <c r="X47" s="368">
        <f t="shared" si="21"/>
        <v>283.03</v>
      </c>
      <c r="Y47" s="368">
        <f t="shared" si="21"/>
        <v>702.94</v>
      </c>
      <c r="Z47" s="368">
        <f t="shared" si="21"/>
        <v>372.15</v>
      </c>
      <c r="AA47" s="368">
        <f t="shared" si="21"/>
        <v>216.62</v>
      </c>
      <c r="AB47" s="368">
        <f t="shared" si="21"/>
        <v>342.42</v>
      </c>
      <c r="AC47" s="368">
        <f t="shared" si="21"/>
        <v>216.2</v>
      </c>
      <c r="AD47" s="368">
        <f t="shared" si="21"/>
        <v>480.08</v>
      </c>
      <c r="AE47" s="368">
        <f t="shared" si="21"/>
        <v>443.45</v>
      </c>
      <c r="AF47" s="368">
        <f t="shared" si="21"/>
        <v>342.04</v>
      </c>
      <c r="AG47" s="95">
        <f t="shared" si="18"/>
        <v>17556.1</v>
      </c>
    </row>
    <row r="48" outlineLevel="1">
      <c r="A48" s="379" t="s">
        <v>601</v>
      </c>
      <c r="B48" s="368">
        <f t="shared" ref="B48:AF48" si="22">B10-B30</f>
        <v>44.49</v>
      </c>
      <c r="C48" s="368">
        <f t="shared" si="22"/>
        <v>70.22</v>
      </c>
      <c r="D48" s="368">
        <f t="shared" si="22"/>
        <v>63.28</v>
      </c>
      <c r="E48" s="368">
        <f t="shared" si="22"/>
        <v>77.86</v>
      </c>
      <c r="F48" s="368">
        <f t="shared" si="22"/>
        <v>62.43</v>
      </c>
      <c r="G48" s="368">
        <f t="shared" si="22"/>
        <v>53.82</v>
      </c>
      <c r="H48" s="368">
        <f t="shared" si="22"/>
        <v>59.92</v>
      </c>
      <c r="I48" s="368">
        <f t="shared" si="22"/>
        <v>90.54</v>
      </c>
      <c r="J48" s="368">
        <f t="shared" si="22"/>
        <v>91.47</v>
      </c>
      <c r="K48" s="368">
        <f t="shared" si="22"/>
        <v>67.24</v>
      </c>
      <c r="L48" s="368">
        <f t="shared" si="22"/>
        <v>41.85</v>
      </c>
      <c r="M48" s="368">
        <f t="shared" si="22"/>
        <v>35.55</v>
      </c>
      <c r="N48" s="368">
        <f t="shared" si="22"/>
        <v>35.04</v>
      </c>
      <c r="O48" s="368">
        <f t="shared" si="22"/>
        <v>63.1</v>
      </c>
      <c r="P48" s="368">
        <f t="shared" si="22"/>
        <v>66.89</v>
      </c>
      <c r="Q48" s="368">
        <f t="shared" si="22"/>
        <v>41.94</v>
      </c>
      <c r="R48" s="368">
        <f t="shared" si="22"/>
        <v>41.31</v>
      </c>
      <c r="S48" s="368">
        <f t="shared" si="22"/>
        <v>63.9</v>
      </c>
      <c r="T48" s="368">
        <f t="shared" si="22"/>
        <v>47.58</v>
      </c>
      <c r="U48" s="368">
        <f t="shared" si="22"/>
        <v>76.28</v>
      </c>
      <c r="V48" s="368">
        <f t="shared" si="22"/>
        <v>59.71</v>
      </c>
      <c r="W48" s="368">
        <f t="shared" si="22"/>
        <v>46.46</v>
      </c>
      <c r="X48" s="368">
        <f t="shared" si="22"/>
        <v>72.21</v>
      </c>
      <c r="Y48" s="368">
        <f t="shared" si="22"/>
        <v>75.49</v>
      </c>
      <c r="Z48" s="368">
        <f t="shared" si="22"/>
        <v>123.44</v>
      </c>
      <c r="AA48" s="368">
        <f t="shared" si="22"/>
        <v>123.08</v>
      </c>
      <c r="AB48" s="368">
        <f t="shared" si="22"/>
        <v>135.08</v>
      </c>
      <c r="AC48" s="368">
        <f t="shared" si="22"/>
        <v>101.68</v>
      </c>
      <c r="AD48" s="368">
        <f t="shared" si="22"/>
        <v>148.1</v>
      </c>
      <c r="AE48" s="368">
        <f t="shared" si="22"/>
        <v>34.71</v>
      </c>
      <c r="AF48" s="368">
        <f t="shared" si="22"/>
        <v>12.6</v>
      </c>
      <c r="AG48" s="95">
        <f t="shared" si="18"/>
        <v>2127.27</v>
      </c>
    </row>
    <row r="49">
      <c r="A49" s="380" t="s">
        <v>119</v>
      </c>
      <c r="B49" s="381">
        <f t="shared" ref="B49:AF49" si="23">B43+B46</f>
        <v>8210.902571</v>
      </c>
      <c r="C49" s="381">
        <f t="shared" si="23"/>
        <v>6795.059125</v>
      </c>
      <c r="D49" s="381">
        <f t="shared" si="23"/>
        <v>7632.49</v>
      </c>
      <c r="E49" s="381">
        <f t="shared" si="23"/>
        <v>12250.29</v>
      </c>
      <c r="F49" s="381">
        <f t="shared" si="23"/>
        <v>5454.89</v>
      </c>
      <c r="G49" s="381">
        <f t="shared" si="23"/>
        <v>2799.6</v>
      </c>
      <c r="H49" s="381">
        <f t="shared" si="23"/>
        <v>2815.406579</v>
      </c>
      <c r="I49" s="381">
        <f t="shared" si="23"/>
        <v>3117.749503</v>
      </c>
      <c r="J49" s="381">
        <f t="shared" si="23"/>
        <v>3802.61</v>
      </c>
      <c r="K49" s="381">
        <f t="shared" si="23"/>
        <v>5174.38</v>
      </c>
      <c r="L49" s="381">
        <f t="shared" si="23"/>
        <v>2958.281969</v>
      </c>
      <c r="M49" s="381">
        <f t="shared" si="23"/>
        <v>3075.092112</v>
      </c>
      <c r="N49" s="381">
        <f t="shared" si="23"/>
        <v>2780.18</v>
      </c>
      <c r="O49" s="381">
        <f t="shared" si="23"/>
        <v>2851.381323</v>
      </c>
      <c r="P49" s="381">
        <f t="shared" si="23"/>
        <v>2639.116591</v>
      </c>
      <c r="Q49" s="381">
        <f t="shared" si="23"/>
        <v>4293.079935</v>
      </c>
      <c r="R49" s="381">
        <f t="shared" si="23"/>
        <v>4254.68</v>
      </c>
      <c r="S49" s="381">
        <f t="shared" si="23"/>
        <v>2425.34</v>
      </c>
      <c r="T49" s="381">
        <f t="shared" si="23"/>
        <v>2321.18</v>
      </c>
      <c r="U49" s="381">
        <f t="shared" si="23"/>
        <v>2096.27</v>
      </c>
      <c r="V49" s="381">
        <f t="shared" si="23"/>
        <v>1987.545559</v>
      </c>
      <c r="W49" s="381">
        <f t="shared" si="23"/>
        <v>2159.742303</v>
      </c>
      <c r="X49" s="381">
        <f t="shared" si="23"/>
        <v>3177.298318</v>
      </c>
      <c r="Y49" s="381">
        <f t="shared" si="23"/>
        <v>4049.39</v>
      </c>
      <c r="Z49" s="381">
        <f t="shared" si="23"/>
        <v>2803.44</v>
      </c>
      <c r="AA49" s="381">
        <f t="shared" si="23"/>
        <v>3073.2</v>
      </c>
      <c r="AB49" s="381">
        <f t="shared" si="23"/>
        <v>2515.17</v>
      </c>
      <c r="AC49" s="381">
        <f t="shared" si="23"/>
        <v>1934.764666</v>
      </c>
      <c r="AD49" s="381">
        <f t="shared" si="23"/>
        <v>2666.722668</v>
      </c>
      <c r="AE49" s="381">
        <f t="shared" si="23"/>
        <v>3414.530735</v>
      </c>
      <c r="AF49" s="381">
        <f t="shared" si="23"/>
        <v>3897.859833</v>
      </c>
      <c r="AG49" s="95">
        <f t="shared" si="18"/>
        <v>119427.6438</v>
      </c>
    </row>
    <row r="50">
      <c r="A50" s="100"/>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198"/>
    </row>
    <row r="51">
      <c r="A51" s="141" t="s">
        <v>613</v>
      </c>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198"/>
    </row>
    <row r="52">
      <c r="A52" s="379" t="s">
        <v>611</v>
      </c>
      <c r="B52" s="85">
        <f t="shared" ref="B52:AF52" si="24">B14-B34</f>
        <v>207</v>
      </c>
      <c r="C52" s="85">
        <f t="shared" si="24"/>
        <v>179</v>
      </c>
      <c r="D52" s="85">
        <f t="shared" si="24"/>
        <v>236</v>
      </c>
      <c r="E52" s="85">
        <f t="shared" si="24"/>
        <v>273</v>
      </c>
      <c r="F52" s="85">
        <f t="shared" si="24"/>
        <v>129</v>
      </c>
      <c r="G52" s="85">
        <f t="shared" si="24"/>
        <v>107</v>
      </c>
      <c r="H52" s="85">
        <f t="shared" si="24"/>
        <v>114</v>
      </c>
      <c r="I52" s="85">
        <f t="shared" si="24"/>
        <v>113</v>
      </c>
      <c r="J52" s="85">
        <f t="shared" si="24"/>
        <v>134</v>
      </c>
      <c r="K52" s="85">
        <f t="shared" si="24"/>
        <v>167</v>
      </c>
      <c r="L52" s="85">
        <f t="shared" si="24"/>
        <v>101</v>
      </c>
      <c r="M52" s="85">
        <f t="shared" si="24"/>
        <v>110</v>
      </c>
      <c r="N52" s="85">
        <f t="shared" si="24"/>
        <v>91</v>
      </c>
      <c r="O52" s="85">
        <f t="shared" si="24"/>
        <v>122</v>
      </c>
      <c r="P52" s="85">
        <f t="shared" si="24"/>
        <v>92</v>
      </c>
      <c r="Q52" s="85">
        <f t="shared" si="24"/>
        <v>149</v>
      </c>
      <c r="R52" s="85">
        <f t="shared" si="24"/>
        <v>148</v>
      </c>
      <c r="S52" s="85">
        <f t="shared" si="24"/>
        <v>87</v>
      </c>
      <c r="T52" s="85">
        <f t="shared" si="24"/>
        <v>83</v>
      </c>
      <c r="U52" s="85">
        <f t="shared" si="24"/>
        <v>88</v>
      </c>
      <c r="V52" s="85">
        <f t="shared" si="24"/>
        <v>84</v>
      </c>
      <c r="W52" s="85">
        <f t="shared" si="24"/>
        <v>80</v>
      </c>
      <c r="X52" s="85">
        <f t="shared" si="24"/>
        <v>125</v>
      </c>
      <c r="Y52" s="85">
        <f t="shared" si="24"/>
        <v>158</v>
      </c>
      <c r="Z52" s="85">
        <f t="shared" si="24"/>
        <v>188</v>
      </c>
      <c r="AA52" s="85">
        <f t="shared" si="24"/>
        <v>186</v>
      </c>
      <c r="AB52" s="85">
        <f t="shared" si="24"/>
        <v>131</v>
      </c>
      <c r="AC52" s="85">
        <f t="shared" si="24"/>
        <v>120</v>
      </c>
      <c r="AD52" s="85">
        <f t="shared" si="24"/>
        <v>126</v>
      </c>
      <c r="AE52" s="85">
        <f t="shared" si="24"/>
        <v>134</v>
      </c>
      <c r="AF52" s="85">
        <f t="shared" si="24"/>
        <v>144</v>
      </c>
      <c r="AG52" s="95">
        <f t="shared" ref="AG52:AG58" si="26">SUM(B52:AF52)</f>
        <v>4206</v>
      </c>
    </row>
    <row r="53" outlineLevel="1">
      <c r="A53" s="379" t="s">
        <v>600</v>
      </c>
      <c r="B53" s="85">
        <f t="shared" ref="B53:AF53" si="25">B15-B35</f>
        <v>134</v>
      </c>
      <c r="C53" s="85">
        <f t="shared" si="25"/>
        <v>122</v>
      </c>
      <c r="D53" s="85">
        <f t="shared" si="25"/>
        <v>152</v>
      </c>
      <c r="E53" s="85">
        <f t="shared" si="25"/>
        <v>201</v>
      </c>
      <c r="F53" s="85">
        <f t="shared" si="25"/>
        <v>87</v>
      </c>
      <c r="G53" s="85">
        <f t="shared" si="25"/>
        <v>50</v>
      </c>
      <c r="H53" s="85">
        <f t="shared" si="25"/>
        <v>52</v>
      </c>
      <c r="I53" s="85">
        <f t="shared" si="25"/>
        <v>53</v>
      </c>
      <c r="J53" s="85">
        <f t="shared" si="25"/>
        <v>74</v>
      </c>
      <c r="K53" s="85">
        <f t="shared" si="25"/>
        <v>106</v>
      </c>
      <c r="L53" s="85">
        <f t="shared" si="25"/>
        <v>51</v>
      </c>
      <c r="M53" s="85">
        <f t="shared" si="25"/>
        <v>60</v>
      </c>
      <c r="N53" s="85">
        <f t="shared" si="25"/>
        <v>53</v>
      </c>
      <c r="O53" s="85">
        <f t="shared" si="25"/>
        <v>54</v>
      </c>
      <c r="P53" s="85">
        <f t="shared" si="25"/>
        <v>42</v>
      </c>
      <c r="Q53" s="85">
        <f t="shared" si="25"/>
        <v>87</v>
      </c>
      <c r="R53" s="85">
        <f t="shared" si="25"/>
        <v>87</v>
      </c>
      <c r="S53" s="85">
        <f t="shared" si="25"/>
        <v>46</v>
      </c>
      <c r="T53" s="85">
        <f t="shared" si="25"/>
        <v>41</v>
      </c>
      <c r="U53" s="85">
        <f t="shared" si="25"/>
        <v>46</v>
      </c>
      <c r="V53" s="85">
        <f t="shared" si="25"/>
        <v>33</v>
      </c>
      <c r="W53" s="85">
        <f t="shared" si="25"/>
        <v>43</v>
      </c>
      <c r="X53" s="85">
        <f t="shared" si="25"/>
        <v>56</v>
      </c>
      <c r="Y53" s="85">
        <f t="shared" si="25"/>
        <v>75</v>
      </c>
      <c r="Z53" s="85">
        <f t="shared" si="25"/>
        <v>41</v>
      </c>
      <c r="AA53" s="85">
        <f t="shared" si="25"/>
        <v>46</v>
      </c>
      <c r="AB53" s="85">
        <f t="shared" si="25"/>
        <v>39</v>
      </c>
      <c r="AC53" s="85">
        <f t="shared" si="25"/>
        <v>32</v>
      </c>
      <c r="AD53" s="85">
        <f t="shared" si="25"/>
        <v>49</v>
      </c>
      <c r="AE53" s="85">
        <f t="shared" si="25"/>
        <v>67</v>
      </c>
      <c r="AF53" s="85">
        <f t="shared" si="25"/>
        <v>86</v>
      </c>
      <c r="AG53" s="95">
        <f t="shared" si="26"/>
        <v>2165</v>
      </c>
    </row>
    <row r="54" outlineLevel="1">
      <c r="A54" s="379" t="s">
        <v>601</v>
      </c>
      <c r="B54" s="85">
        <f t="shared" ref="B54:AF54" si="27">B16-B36</f>
        <v>73</v>
      </c>
      <c r="C54" s="85">
        <f t="shared" si="27"/>
        <v>57</v>
      </c>
      <c r="D54" s="85">
        <f t="shared" si="27"/>
        <v>84</v>
      </c>
      <c r="E54" s="85">
        <f t="shared" si="27"/>
        <v>72</v>
      </c>
      <c r="F54" s="85">
        <f t="shared" si="27"/>
        <v>42</v>
      </c>
      <c r="G54" s="85">
        <f t="shared" si="27"/>
        <v>57</v>
      </c>
      <c r="H54" s="85">
        <f t="shared" si="27"/>
        <v>62</v>
      </c>
      <c r="I54" s="85">
        <f t="shared" si="27"/>
        <v>60</v>
      </c>
      <c r="J54" s="85">
        <f t="shared" si="27"/>
        <v>60</v>
      </c>
      <c r="K54" s="85">
        <f t="shared" si="27"/>
        <v>61</v>
      </c>
      <c r="L54" s="85">
        <f t="shared" si="27"/>
        <v>50</v>
      </c>
      <c r="M54" s="85">
        <f t="shared" si="27"/>
        <v>50</v>
      </c>
      <c r="N54" s="85">
        <f t="shared" si="27"/>
        <v>38</v>
      </c>
      <c r="O54" s="85">
        <f t="shared" si="27"/>
        <v>68</v>
      </c>
      <c r="P54" s="85">
        <f t="shared" si="27"/>
        <v>50</v>
      </c>
      <c r="Q54" s="85">
        <f t="shared" si="27"/>
        <v>62</v>
      </c>
      <c r="R54" s="85">
        <f t="shared" si="27"/>
        <v>61</v>
      </c>
      <c r="S54" s="85">
        <f t="shared" si="27"/>
        <v>41</v>
      </c>
      <c r="T54" s="85">
        <f t="shared" si="27"/>
        <v>42</v>
      </c>
      <c r="U54" s="85">
        <f t="shared" si="27"/>
        <v>42</v>
      </c>
      <c r="V54" s="85">
        <f t="shared" si="27"/>
        <v>51</v>
      </c>
      <c r="W54" s="85">
        <f t="shared" si="27"/>
        <v>37</v>
      </c>
      <c r="X54" s="85">
        <f t="shared" si="27"/>
        <v>69</v>
      </c>
      <c r="Y54" s="85">
        <f t="shared" si="27"/>
        <v>83</v>
      </c>
      <c r="Z54" s="85">
        <f t="shared" si="27"/>
        <v>147</v>
      </c>
      <c r="AA54" s="85">
        <f t="shared" si="27"/>
        <v>140</v>
      </c>
      <c r="AB54" s="85">
        <f t="shared" si="27"/>
        <v>92</v>
      </c>
      <c r="AC54" s="85">
        <f t="shared" si="27"/>
        <v>88</v>
      </c>
      <c r="AD54" s="85">
        <f t="shared" si="27"/>
        <v>77</v>
      </c>
      <c r="AE54" s="85">
        <f t="shared" si="27"/>
        <v>67</v>
      </c>
      <c r="AF54" s="85">
        <f t="shared" si="27"/>
        <v>58</v>
      </c>
      <c r="AG54" s="95">
        <f t="shared" si="26"/>
        <v>2041</v>
      </c>
    </row>
    <row r="55">
      <c r="A55" s="379" t="s">
        <v>612</v>
      </c>
      <c r="B55" s="85">
        <f t="shared" ref="B55:AF55" si="28">B17-B37</f>
        <v>35</v>
      </c>
      <c r="C55" s="85">
        <f t="shared" si="28"/>
        <v>39</v>
      </c>
      <c r="D55" s="85">
        <f t="shared" si="28"/>
        <v>39</v>
      </c>
      <c r="E55" s="85">
        <f t="shared" si="28"/>
        <v>51</v>
      </c>
      <c r="F55" s="85">
        <f t="shared" si="28"/>
        <v>32</v>
      </c>
      <c r="G55" s="85">
        <f t="shared" si="28"/>
        <v>20</v>
      </c>
      <c r="H55" s="85">
        <f t="shared" si="28"/>
        <v>20</v>
      </c>
      <c r="I55" s="85">
        <f t="shared" si="28"/>
        <v>31</v>
      </c>
      <c r="J55" s="85">
        <f t="shared" si="28"/>
        <v>31</v>
      </c>
      <c r="K55" s="85">
        <f t="shared" si="28"/>
        <v>28</v>
      </c>
      <c r="L55" s="85">
        <f t="shared" si="28"/>
        <v>18</v>
      </c>
      <c r="M55" s="85">
        <f t="shared" si="28"/>
        <v>21</v>
      </c>
      <c r="N55" s="85">
        <f t="shared" si="28"/>
        <v>20</v>
      </c>
      <c r="O55" s="85">
        <f t="shared" si="28"/>
        <v>24</v>
      </c>
      <c r="P55" s="85">
        <f t="shared" si="28"/>
        <v>28</v>
      </c>
      <c r="Q55" s="85">
        <f t="shared" si="28"/>
        <v>24</v>
      </c>
      <c r="R55" s="85">
        <f t="shared" si="28"/>
        <v>31</v>
      </c>
      <c r="S55" s="85">
        <f t="shared" si="28"/>
        <v>23</v>
      </c>
      <c r="T55" s="85">
        <f t="shared" si="28"/>
        <v>21</v>
      </c>
      <c r="U55" s="85">
        <f t="shared" si="28"/>
        <v>21</v>
      </c>
      <c r="V55" s="85">
        <f t="shared" si="28"/>
        <v>22</v>
      </c>
      <c r="W55" s="85">
        <f t="shared" si="28"/>
        <v>12</v>
      </c>
      <c r="X55" s="85">
        <f t="shared" si="28"/>
        <v>19</v>
      </c>
      <c r="Y55" s="85">
        <f t="shared" si="28"/>
        <v>29</v>
      </c>
      <c r="Z55" s="85">
        <f t="shared" si="28"/>
        <v>29</v>
      </c>
      <c r="AA55" s="85">
        <f t="shared" si="28"/>
        <v>27</v>
      </c>
      <c r="AB55" s="85">
        <f t="shared" si="28"/>
        <v>31</v>
      </c>
      <c r="AC55" s="85">
        <f t="shared" si="28"/>
        <v>25</v>
      </c>
      <c r="AD55" s="85">
        <f t="shared" si="28"/>
        <v>38</v>
      </c>
      <c r="AE55" s="85">
        <f t="shared" si="28"/>
        <v>18</v>
      </c>
      <c r="AF55" s="85">
        <f t="shared" si="28"/>
        <v>11</v>
      </c>
      <c r="AG55" s="95">
        <f t="shared" si="26"/>
        <v>818</v>
      </c>
    </row>
    <row r="56" outlineLevel="1">
      <c r="A56" s="379" t="s">
        <v>600</v>
      </c>
      <c r="B56" s="85">
        <f t="shared" ref="B56:AF56" si="29">B18-B38</f>
        <v>28</v>
      </c>
      <c r="C56" s="85">
        <f t="shared" si="29"/>
        <v>26</v>
      </c>
      <c r="D56" s="85">
        <f t="shared" si="29"/>
        <v>25</v>
      </c>
      <c r="E56" s="85">
        <f t="shared" si="29"/>
        <v>34</v>
      </c>
      <c r="F56" s="85">
        <f t="shared" si="29"/>
        <v>20</v>
      </c>
      <c r="G56" s="85">
        <f t="shared" si="29"/>
        <v>9</v>
      </c>
      <c r="H56" s="85">
        <f t="shared" si="29"/>
        <v>9</v>
      </c>
      <c r="I56" s="85">
        <f t="shared" si="29"/>
        <v>14</v>
      </c>
      <c r="J56" s="85">
        <f t="shared" si="29"/>
        <v>14</v>
      </c>
      <c r="K56" s="85">
        <f t="shared" si="29"/>
        <v>16</v>
      </c>
      <c r="L56" s="85">
        <f t="shared" si="29"/>
        <v>11</v>
      </c>
      <c r="M56" s="85">
        <f t="shared" si="29"/>
        <v>14</v>
      </c>
      <c r="N56" s="85">
        <f t="shared" si="29"/>
        <v>13</v>
      </c>
      <c r="O56" s="85">
        <f t="shared" si="29"/>
        <v>12</v>
      </c>
      <c r="P56" s="85">
        <f t="shared" si="29"/>
        <v>14</v>
      </c>
      <c r="Q56" s="85">
        <f t="shared" si="29"/>
        <v>17</v>
      </c>
      <c r="R56" s="85">
        <f t="shared" si="29"/>
        <v>24</v>
      </c>
      <c r="S56" s="85">
        <f t="shared" si="29"/>
        <v>10</v>
      </c>
      <c r="T56" s="85">
        <f t="shared" si="29"/>
        <v>11</v>
      </c>
      <c r="U56" s="85">
        <f t="shared" si="29"/>
        <v>5</v>
      </c>
      <c r="V56" s="85">
        <f t="shared" si="29"/>
        <v>10</v>
      </c>
      <c r="W56" s="85">
        <f t="shared" si="29"/>
        <v>3</v>
      </c>
      <c r="X56" s="85">
        <f t="shared" si="29"/>
        <v>6</v>
      </c>
      <c r="Y56" s="85">
        <f t="shared" si="29"/>
        <v>16</v>
      </c>
      <c r="Z56" s="85">
        <f t="shared" si="29"/>
        <v>8</v>
      </c>
      <c r="AA56" s="85">
        <f t="shared" si="29"/>
        <v>5</v>
      </c>
      <c r="AB56" s="85">
        <f t="shared" si="29"/>
        <v>8</v>
      </c>
      <c r="AC56" s="85">
        <f t="shared" si="29"/>
        <v>6</v>
      </c>
      <c r="AD56" s="85">
        <f t="shared" si="29"/>
        <v>10</v>
      </c>
      <c r="AE56" s="85">
        <f t="shared" si="29"/>
        <v>12</v>
      </c>
      <c r="AF56" s="85">
        <f t="shared" si="29"/>
        <v>9</v>
      </c>
      <c r="AG56" s="95">
        <f t="shared" si="26"/>
        <v>419</v>
      </c>
    </row>
    <row r="57" outlineLevel="1">
      <c r="A57" s="379" t="s">
        <v>601</v>
      </c>
      <c r="B57" s="85">
        <f t="shared" ref="B57:AF57" si="30">B19-B39</f>
        <v>7</v>
      </c>
      <c r="C57" s="85">
        <f t="shared" si="30"/>
        <v>13</v>
      </c>
      <c r="D57" s="85">
        <f t="shared" si="30"/>
        <v>14</v>
      </c>
      <c r="E57" s="85">
        <f t="shared" si="30"/>
        <v>17</v>
      </c>
      <c r="F57" s="85">
        <f t="shared" si="30"/>
        <v>12</v>
      </c>
      <c r="G57" s="85">
        <f t="shared" si="30"/>
        <v>11</v>
      </c>
      <c r="H57" s="85">
        <f t="shared" si="30"/>
        <v>11</v>
      </c>
      <c r="I57" s="85">
        <f t="shared" si="30"/>
        <v>17</v>
      </c>
      <c r="J57" s="85">
        <f t="shared" si="30"/>
        <v>17</v>
      </c>
      <c r="K57" s="85">
        <f t="shared" si="30"/>
        <v>12</v>
      </c>
      <c r="L57" s="85">
        <f t="shared" si="30"/>
        <v>7</v>
      </c>
      <c r="M57" s="85">
        <f t="shared" si="30"/>
        <v>7</v>
      </c>
      <c r="N57" s="85">
        <f t="shared" si="30"/>
        <v>7</v>
      </c>
      <c r="O57" s="85">
        <f t="shared" si="30"/>
        <v>12</v>
      </c>
      <c r="P57" s="85">
        <f t="shared" si="30"/>
        <v>14</v>
      </c>
      <c r="Q57" s="85">
        <f t="shared" si="30"/>
        <v>7</v>
      </c>
      <c r="R57" s="85">
        <f t="shared" si="30"/>
        <v>7</v>
      </c>
      <c r="S57" s="85">
        <f t="shared" si="30"/>
        <v>13</v>
      </c>
      <c r="T57" s="85">
        <f t="shared" si="30"/>
        <v>10</v>
      </c>
      <c r="U57" s="85">
        <f t="shared" si="30"/>
        <v>16</v>
      </c>
      <c r="V57" s="85">
        <f t="shared" si="30"/>
        <v>12</v>
      </c>
      <c r="W57" s="85">
        <f t="shared" si="30"/>
        <v>9</v>
      </c>
      <c r="X57" s="85">
        <f t="shared" si="30"/>
        <v>13</v>
      </c>
      <c r="Y57" s="85">
        <f t="shared" si="30"/>
        <v>13</v>
      </c>
      <c r="Z57" s="85">
        <f t="shared" si="30"/>
        <v>21</v>
      </c>
      <c r="AA57" s="85">
        <f t="shared" si="30"/>
        <v>22</v>
      </c>
      <c r="AB57" s="85">
        <f t="shared" si="30"/>
        <v>23</v>
      </c>
      <c r="AC57" s="85">
        <f t="shared" si="30"/>
        <v>19</v>
      </c>
      <c r="AD57" s="85">
        <f t="shared" si="30"/>
        <v>28</v>
      </c>
      <c r="AE57" s="85">
        <f t="shared" si="30"/>
        <v>6</v>
      </c>
      <c r="AF57" s="85">
        <f t="shared" si="30"/>
        <v>2</v>
      </c>
      <c r="AG57" s="95">
        <f t="shared" si="26"/>
        <v>399</v>
      </c>
    </row>
    <row r="58">
      <c r="A58" s="380" t="s">
        <v>119</v>
      </c>
      <c r="B58" s="382">
        <f t="shared" ref="B58:AF58" si="31">B52+B55</f>
        <v>242</v>
      </c>
      <c r="C58" s="382">
        <f t="shared" si="31"/>
        <v>218</v>
      </c>
      <c r="D58" s="382">
        <f t="shared" si="31"/>
        <v>275</v>
      </c>
      <c r="E58" s="382">
        <f t="shared" si="31"/>
        <v>324</v>
      </c>
      <c r="F58" s="382">
        <f t="shared" si="31"/>
        <v>161</v>
      </c>
      <c r="G58" s="382">
        <f t="shared" si="31"/>
        <v>127</v>
      </c>
      <c r="H58" s="382">
        <f t="shared" si="31"/>
        <v>134</v>
      </c>
      <c r="I58" s="382">
        <f t="shared" si="31"/>
        <v>144</v>
      </c>
      <c r="J58" s="382">
        <f t="shared" si="31"/>
        <v>165</v>
      </c>
      <c r="K58" s="382">
        <f t="shared" si="31"/>
        <v>195</v>
      </c>
      <c r="L58" s="382">
        <f t="shared" si="31"/>
        <v>119</v>
      </c>
      <c r="M58" s="382">
        <f t="shared" si="31"/>
        <v>131</v>
      </c>
      <c r="N58" s="382">
        <f t="shared" si="31"/>
        <v>111</v>
      </c>
      <c r="O58" s="382">
        <f t="shared" si="31"/>
        <v>146</v>
      </c>
      <c r="P58" s="382">
        <f t="shared" si="31"/>
        <v>120</v>
      </c>
      <c r="Q58" s="382">
        <f t="shared" si="31"/>
        <v>173</v>
      </c>
      <c r="R58" s="382">
        <f t="shared" si="31"/>
        <v>179</v>
      </c>
      <c r="S58" s="382">
        <f t="shared" si="31"/>
        <v>110</v>
      </c>
      <c r="T58" s="382">
        <f t="shared" si="31"/>
        <v>104</v>
      </c>
      <c r="U58" s="382">
        <f t="shared" si="31"/>
        <v>109</v>
      </c>
      <c r="V58" s="382">
        <f t="shared" si="31"/>
        <v>106</v>
      </c>
      <c r="W58" s="382">
        <f t="shared" si="31"/>
        <v>92</v>
      </c>
      <c r="X58" s="382">
        <f t="shared" si="31"/>
        <v>144</v>
      </c>
      <c r="Y58" s="382">
        <f t="shared" si="31"/>
        <v>187</v>
      </c>
      <c r="Z58" s="382">
        <f t="shared" si="31"/>
        <v>217</v>
      </c>
      <c r="AA58" s="382">
        <f t="shared" si="31"/>
        <v>213</v>
      </c>
      <c r="AB58" s="382">
        <f t="shared" si="31"/>
        <v>162</v>
      </c>
      <c r="AC58" s="382">
        <f t="shared" si="31"/>
        <v>145</v>
      </c>
      <c r="AD58" s="382">
        <f t="shared" si="31"/>
        <v>164</v>
      </c>
      <c r="AE58" s="382">
        <f t="shared" si="31"/>
        <v>152</v>
      </c>
      <c r="AF58" s="382">
        <f t="shared" si="31"/>
        <v>155</v>
      </c>
      <c r="AG58" s="95">
        <f t="shared" si="26"/>
        <v>5024</v>
      </c>
    </row>
    <row r="59">
      <c r="A59" s="172"/>
      <c r="AG59" s="257"/>
    </row>
    <row r="60">
      <c r="A60" s="383"/>
      <c r="B60" s="384"/>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257"/>
    </row>
    <row r="61">
      <c r="A61" s="100"/>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156"/>
    </row>
    <row r="62">
      <c r="A62" s="141" t="s">
        <v>614</v>
      </c>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140"/>
    </row>
    <row r="63">
      <c r="A63" s="213" t="s">
        <v>615</v>
      </c>
      <c r="B63" s="152">
        <f t="shared" ref="B63:AF63" si="32">B5*0.3</f>
        <v>2061.897771</v>
      </c>
      <c r="C63" s="152">
        <f t="shared" si="32"/>
        <v>1664.453738</v>
      </c>
      <c r="D63" s="152">
        <f t="shared" si="32"/>
        <v>2018.556</v>
      </c>
      <c r="E63" s="152">
        <f t="shared" si="32"/>
        <v>3248.466</v>
      </c>
      <c r="F63" s="152">
        <f t="shared" si="32"/>
        <v>1362.885</v>
      </c>
      <c r="G63" s="152">
        <f t="shared" si="32"/>
        <v>707.733</v>
      </c>
      <c r="H63" s="152">
        <f t="shared" si="32"/>
        <v>713.1049737</v>
      </c>
      <c r="I63" s="152">
        <f t="shared" si="32"/>
        <v>756.7738509</v>
      </c>
      <c r="J63" s="152">
        <f t="shared" si="32"/>
        <v>933.276</v>
      </c>
      <c r="K63" s="152">
        <f t="shared" si="32"/>
        <v>1313.724</v>
      </c>
      <c r="L63" s="152">
        <f t="shared" si="32"/>
        <v>733.9865907</v>
      </c>
      <c r="M63" s="152">
        <f t="shared" si="32"/>
        <v>761.0316336</v>
      </c>
      <c r="N63" s="152">
        <f t="shared" si="32"/>
        <v>681.864</v>
      </c>
      <c r="O63" s="152">
        <f t="shared" si="32"/>
        <v>699.7413969</v>
      </c>
      <c r="P63" s="152">
        <f t="shared" si="32"/>
        <v>608.8309773</v>
      </c>
      <c r="Q63" s="152">
        <f t="shared" si="32"/>
        <v>1066.757981</v>
      </c>
      <c r="R63" s="152">
        <f t="shared" si="32"/>
        <v>985.275</v>
      </c>
      <c r="S63" s="152">
        <f t="shared" si="32"/>
        <v>604.464</v>
      </c>
      <c r="T63" s="152">
        <f t="shared" si="32"/>
        <v>558.564</v>
      </c>
      <c r="U63" s="152">
        <f t="shared" si="32"/>
        <v>569.445</v>
      </c>
      <c r="V63" s="152">
        <f t="shared" si="32"/>
        <v>455.9866677</v>
      </c>
      <c r="W63" s="152">
        <f t="shared" si="32"/>
        <v>599.5206909</v>
      </c>
      <c r="X63" s="152">
        <f t="shared" si="32"/>
        <v>855.1224954</v>
      </c>
      <c r="Y63" s="152">
        <f t="shared" si="32"/>
        <v>990.285</v>
      </c>
      <c r="Z63" s="152">
        <f t="shared" si="32"/>
        <v>712.149</v>
      </c>
      <c r="AA63" s="152">
        <f t="shared" si="32"/>
        <v>850.407</v>
      </c>
      <c r="AB63" s="152">
        <f t="shared" si="32"/>
        <v>611.301</v>
      </c>
      <c r="AC63" s="152">
        <f t="shared" si="32"/>
        <v>504.8233998</v>
      </c>
      <c r="AD63" s="152">
        <f t="shared" si="32"/>
        <v>611.5628004</v>
      </c>
      <c r="AE63" s="152">
        <f t="shared" si="32"/>
        <v>880.9112205</v>
      </c>
      <c r="AF63" s="152">
        <f t="shared" si="32"/>
        <v>1062.96595</v>
      </c>
      <c r="AG63" s="95">
        <f t="shared" ref="AG63:AG68" si="33">SUM(B63:AF63)</f>
        <v>30185.86614</v>
      </c>
    </row>
    <row r="64">
      <c r="A64" s="213" t="s">
        <v>616</v>
      </c>
      <c r="B64" s="152">
        <v>5.75</v>
      </c>
      <c r="C64" s="152">
        <v>11.69</v>
      </c>
      <c r="D64" s="152">
        <v>2.55</v>
      </c>
      <c r="E64" s="152">
        <v>3.03</v>
      </c>
      <c r="F64" s="152">
        <v>3.12</v>
      </c>
      <c r="G64" s="152">
        <v>4.19</v>
      </c>
      <c r="H64" s="152">
        <v>8.16</v>
      </c>
      <c r="I64" s="152">
        <v>8.06</v>
      </c>
      <c r="J64" s="152">
        <v>20.53</v>
      </c>
      <c r="K64" s="152">
        <v>42.0</v>
      </c>
      <c r="L64" s="152">
        <v>1.14</v>
      </c>
      <c r="M64" s="152">
        <v>9.34</v>
      </c>
      <c r="N64" s="152">
        <v>15.89</v>
      </c>
      <c r="O64" s="152">
        <v>4.24</v>
      </c>
      <c r="P64" s="152">
        <v>9.23</v>
      </c>
      <c r="Q64" s="385">
        <v>6.92</v>
      </c>
      <c r="R64" s="152">
        <v>5.87</v>
      </c>
      <c r="S64" s="152">
        <v>9.99</v>
      </c>
      <c r="T64" s="152">
        <v>3.53</v>
      </c>
      <c r="U64" s="385">
        <v>0.97</v>
      </c>
      <c r="V64" s="152">
        <v>4.81</v>
      </c>
      <c r="W64" s="152">
        <v>3.45</v>
      </c>
      <c r="X64" s="152">
        <v>22.75</v>
      </c>
      <c r="Y64" s="152">
        <v>11.33</v>
      </c>
      <c r="Z64" s="152">
        <v>12.75</v>
      </c>
      <c r="AA64" s="152">
        <v>15.11</v>
      </c>
      <c r="AB64" s="152">
        <v>11.42</v>
      </c>
      <c r="AC64" s="152">
        <v>15.16</v>
      </c>
      <c r="AD64" s="152">
        <v>2.7</v>
      </c>
      <c r="AE64" s="152">
        <v>9.9</v>
      </c>
      <c r="AF64" s="152">
        <v>5.36</v>
      </c>
      <c r="AG64" s="95">
        <f t="shared" si="33"/>
        <v>290.94</v>
      </c>
    </row>
    <row r="65">
      <c r="A65" s="213" t="s">
        <v>617</v>
      </c>
      <c r="B65" s="152">
        <f t="shared" ref="B65:AF65" si="34">B8*0.15</f>
        <v>204.78</v>
      </c>
      <c r="C65" s="152">
        <f t="shared" si="34"/>
        <v>187.7775</v>
      </c>
      <c r="D65" s="152">
        <f t="shared" si="34"/>
        <v>142.2105</v>
      </c>
      <c r="E65" s="152">
        <f t="shared" si="34"/>
        <v>213.588</v>
      </c>
      <c r="F65" s="152">
        <f t="shared" si="34"/>
        <v>155.364</v>
      </c>
      <c r="G65" s="152">
        <f t="shared" si="34"/>
        <v>75.072</v>
      </c>
      <c r="H65" s="152">
        <f t="shared" si="34"/>
        <v>66.657</v>
      </c>
      <c r="I65" s="152">
        <f t="shared" si="34"/>
        <v>89.337</v>
      </c>
      <c r="J65" s="152">
        <f t="shared" si="34"/>
        <v>103.7535</v>
      </c>
      <c r="K65" s="152">
        <f t="shared" si="34"/>
        <v>123.7935</v>
      </c>
      <c r="L65" s="152">
        <f t="shared" si="34"/>
        <v>76.9665</v>
      </c>
      <c r="M65" s="152">
        <f t="shared" si="34"/>
        <v>81.5895</v>
      </c>
      <c r="N65" s="152">
        <f t="shared" si="34"/>
        <v>85.7895</v>
      </c>
      <c r="O65" s="152">
        <f t="shared" si="34"/>
        <v>80.922</v>
      </c>
      <c r="P65" s="152">
        <f t="shared" si="34"/>
        <v>91.452</v>
      </c>
      <c r="Q65" s="152">
        <f t="shared" si="34"/>
        <v>111.4815</v>
      </c>
      <c r="R65" s="152">
        <f t="shared" si="34"/>
        <v>145.5645</v>
      </c>
      <c r="S65" s="152">
        <f t="shared" si="34"/>
        <v>71.466</v>
      </c>
      <c r="T65" s="152">
        <f t="shared" si="34"/>
        <v>72.4095</v>
      </c>
      <c r="U65" s="152">
        <f t="shared" si="34"/>
        <v>43.215</v>
      </c>
      <c r="V65" s="152">
        <f t="shared" si="34"/>
        <v>70.1385</v>
      </c>
      <c r="W65" s="152">
        <f t="shared" si="34"/>
        <v>25.38</v>
      </c>
      <c r="X65" s="152">
        <f t="shared" si="34"/>
        <v>53.286</v>
      </c>
      <c r="Y65" s="152">
        <f t="shared" si="34"/>
        <v>116.7645</v>
      </c>
      <c r="Z65" s="152">
        <f t="shared" si="34"/>
        <v>74.3385</v>
      </c>
      <c r="AA65" s="152">
        <f t="shared" si="34"/>
        <v>50.955</v>
      </c>
      <c r="AB65" s="152">
        <f t="shared" si="34"/>
        <v>71.625</v>
      </c>
      <c r="AC65" s="152">
        <f t="shared" si="34"/>
        <v>47.6985</v>
      </c>
      <c r="AD65" s="152">
        <f t="shared" si="34"/>
        <v>94.227</v>
      </c>
      <c r="AE65" s="152">
        <f t="shared" si="34"/>
        <v>71.724</v>
      </c>
      <c r="AF65" s="152">
        <f t="shared" si="34"/>
        <v>53.196</v>
      </c>
      <c r="AG65" s="95">
        <f t="shared" si="33"/>
        <v>2952.522</v>
      </c>
    </row>
    <row r="66">
      <c r="A66" s="213" t="s">
        <v>618</v>
      </c>
      <c r="B66" s="152">
        <v>11.43</v>
      </c>
      <c r="C66" s="152">
        <v>1.29</v>
      </c>
      <c r="D66" s="152">
        <v>2.08</v>
      </c>
      <c r="E66" s="152">
        <v>1.67</v>
      </c>
      <c r="F66" s="152">
        <v>0.59</v>
      </c>
      <c r="G66" s="152">
        <v>1.72</v>
      </c>
      <c r="H66" s="152">
        <v>1.6</v>
      </c>
      <c r="I66" s="152">
        <v>3.37</v>
      </c>
      <c r="J66" s="152">
        <v>1.64</v>
      </c>
      <c r="K66" s="152">
        <v>2.18</v>
      </c>
      <c r="L66" s="152">
        <v>0.0</v>
      </c>
      <c r="M66" s="152">
        <v>1.32</v>
      </c>
      <c r="N66" s="152">
        <v>0.54</v>
      </c>
      <c r="O66" s="152">
        <v>0.0</v>
      </c>
      <c r="P66" s="152">
        <v>9.41</v>
      </c>
      <c r="Q66" s="152">
        <v>29.07</v>
      </c>
      <c r="R66" s="152">
        <v>11.47</v>
      </c>
      <c r="S66" s="152">
        <v>0.59</v>
      </c>
      <c r="T66" s="152">
        <v>1.22</v>
      </c>
      <c r="U66" s="152">
        <v>6.15</v>
      </c>
      <c r="V66" s="152">
        <v>1.11</v>
      </c>
      <c r="W66" s="152">
        <v>1.04</v>
      </c>
      <c r="X66" s="152">
        <v>16.27</v>
      </c>
      <c r="Y66" s="152">
        <v>6.61</v>
      </c>
      <c r="Z66" s="152">
        <v>12.6</v>
      </c>
      <c r="AA66" s="152">
        <v>0.53</v>
      </c>
      <c r="AB66" s="152">
        <v>0.0</v>
      </c>
      <c r="AC66" s="152">
        <v>2.36</v>
      </c>
      <c r="AD66" s="152">
        <v>12.68</v>
      </c>
      <c r="AE66" s="152">
        <v>6.29</v>
      </c>
      <c r="AF66" s="152">
        <v>0.0</v>
      </c>
      <c r="AG66" s="95">
        <f t="shared" si="33"/>
        <v>146.83</v>
      </c>
    </row>
    <row r="67">
      <c r="A67" s="215" t="s">
        <v>619</v>
      </c>
      <c r="B67" s="386">
        <f t="shared" ref="B67:AF67" si="35">B63+B65</f>
        <v>2266.677771</v>
      </c>
      <c r="C67" s="386">
        <f t="shared" si="35"/>
        <v>1852.231238</v>
      </c>
      <c r="D67" s="386">
        <f t="shared" si="35"/>
        <v>2160.7665</v>
      </c>
      <c r="E67" s="386">
        <f t="shared" si="35"/>
        <v>3462.054</v>
      </c>
      <c r="F67" s="386">
        <f t="shared" si="35"/>
        <v>1518.249</v>
      </c>
      <c r="G67" s="386">
        <f t="shared" si="35"/>
        <v>782.805</v>
      </c>
      <c r="H67" s="386">
        <f t="shared" si="35"/>
        <v>779.7619737</v>
      </c>
      <c r="I67" s="386">
        <f t="shared" si="35"/>
        <v>846.1108509</v>
      </c>
      <c r="J67" s="386">
        <f t="shared" si="35"/>
        <v>1037.0295</v>
      </c>
      <c r="K67" s="386">
        <f t="shared" si="35"/>
        <v>1437.5175</v>
      </c>
      <c r="L67" s="386">
        <f t="shared" si="35"/>
        <v>810.9530907</v>
      </c>
      <c r="M67" s="386">
        <f t="shared" si="35"/>
        <v>842.6211336</v>
      </c>
      <c r="N67" s="386">
        <f t="shared" si="35"/>
        <v>767.6535</v>
      </c>
      <c r="O67" s="386">
        <f t="shared" si="35"/>
        <v>780.6633969</v>
      </c>
      <c r="P67" s="386">
        <f t="shared" si="35"/>
        <v>700.2829773</v>
      </c>
      <c r="Q67" s="386">
        <f t="shared" si="35"/>
        <v>1178.239481</v>
      </c>
      <c r="R67" s="386">
        <f t="shared" si="35"/>
        <v>1130.8395</v>
      </c>
      <c r="S67" s="386">
        <f t="shared" si="35"/>
        <v>675.93</v>
      </c>
      <c r="T67" s="386">
        <f t="shared" si="35"/>
        <v>630.9735</v>
      </c>
      <c r="U67" s="386">
        <f t="shared" si="35"/>
        <v>612.66</v>
      </c>
      <c r="V67" s="386">
        <f t="shared" si="35"/>
        <v>526.1251677</v>
      </c>
      <c r="W67" s="386">
        <f t="shared" si="35"/>
        <v>624.9006909</v>
      </c>
      <c r="X67" s="386">
        <f t="shared" si="35"/>
        <v>908.4084954</v>
      </c>
      <c r="Y67" s="386">
        <f t="shared" si="35"/>
        <v>1107.0495</v>
      </c>
      <c r="Z67" s="386">
        <f t="shared" si="35"/>
        <v>786.4875</v>
      </c>
      <c r="AA67" s="386">
        <f t="shared" si="35"/>
        <v>901.362</v>
      </c>
      <c r="AB67" s="386">
        <f t="shared" si="35"/>
        <v>682.926</v>
      </c>
      <c r="AC67" s="386">
        <f t="shared" si="35"/>
        <v>552.5218998</v>
      </c>
      <c r="AD67" s="386">
        <f t="shared" si="35"/>
        <v>705.7898004</v>
      </c>
      <c r="AE67" s="386">
        <f t="shared" si="35"/>
        <v>952.6352205</v>
      </c>
      <c r="AF67" s="386">
        <f t="shared" si="35"/>
        <v>1116.16195</v>
      </c>
      <c r="AG67" s="95">
        <f t="shared" si="33"/>
        <v>33138.38814</v>
      </c>
    </row>
    <row r="68">
      <c r="A68" s="215" t="s">
        <v>620</v>
      </c>
      <c r="B68" s="386">
        <f t="shared" ref="B68:AF68" si="36">B64+B66</f>
        <v>17.18</v>
      </c>
      <c r="C68" s="386">
        <f t="shared" si="36"/>
        <v>12.98</v>
      </c>
      <c r="D68" s="386">
        <f t="shared" si="36"/>
        <v>4.63</v>
      </c>
      <c r="E68" s="386">
        <f t="shared" si="36"/>
        <v>4.7</v>
      </c>
      <c r="F68" s="386">
        <f t="shared" si="36"/>
        <v>3.71</v>
      </c>
      <c r="G68" s="386">
        <f t="shared" si="36"/>
        <v>5.91</v>
      </c>
      <c r="H68" s="386">
        <f t="shared" si="36"/>
        <v>9.76</v>
      </c>
      <c r="I68" s="386">
        <f t="shared" si="36"/>
        <v>11.43</v>
      </c>
      <c r="J68" s="386">
        <f t="shared" si="36"/>
        <v>22.17</v>
      </c>
      <c r="K68" s="386">
        <f t="shared" si="36"/>
        <v>44.18</v>
      </c>
      <c r="L68" s="386">
        <f t="shared" si="36"/>
        <v>1.14</v>
      </c>
      <c r="M68" s="386">
        <f t="shared" si="36"/>
        <v>10.66</v>
      </c>
      <c r="N68" s="386">
        <f t="shared" si="36"/>
        <v>16.43</v>
      </c>
      <c r="O68" s="386">
        <f t="shared" si="36"/>
        <v>4.24</v>
      </c>
      <c r="P68" s="386">
        <f t="shared" si="36"/>
        <v>18.64</v>
      </c>
      <c r="Q68" s="386">
        <f t="shared" si="36"/>
        <v>35.99</v>
      </c>
      <c r="R68" s="386">
        <f t="shared" si="36"/>
        <v>17.34</v>
      </c>
      <c r="S68" s="386">
        <f t="shared" si="36"/>
        <v>10.58</v>
      </c>
      <c r="T68" s="386">
        <f t="shared" si="36"/>
        <v>4.75</v>
      </c>
      <c r="U68" s="386">
        <f t="shared" si="36"/>
        <v>7.12</v>
      </c>
      <c r="V68" s="386">
        <f t="shared" si="36"/>
        <v>5.92</v>
      </c>
      <c r="W68" s="386">
        <f t="shared" si="36"/>
        <v>4.49</v>
      </c>
      <c r="X68" s="386">
        <f t="shared" si="36"/>
        <v>39.02</v>
      </c>
      <c r="Y68" s="386">
        <f t="shared" si="36"/>
        <v>17.94</v>
      </c>
      <c r="Z68" s="386">
        <f t="shared" si="36"/>
        <v>25.35</v>
      </c>
      <c r="AA68" s="386">
        <f t="shared" si="36"/>
        <v>15.64</v>
      </c>
      <c r="AB68" s="386">
        <f t="shared" si="36"/>
        <v>11.42</v>
      </c>
      <c r="AC68" s="386">
        <f t="shared" si="36"/>
        <v>17.52</v>
      </c>
      <c r="AD68" s="386">
        <f t="shared" si="36"/>
        <v>15.38</v>
      </c>
      <c r="AE68" s="386">
        <f t="shared" si="36"/>
        <v>16.19</v>
      </c>
      <c r="AF68" s="386">
        <f t="shared" si="36"/>
        <v>5.36</v>
      </c>
      <c r="AG68" s="95">
        <f t="shared" si="33"/>
        <v>437.77</v>
      </c>
    </row>
    <row r="69">
      <c r="A69" s="100"/>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140"/>
    </row>
    <row r="70">
      <c r="A70" s="141" t="s">
        <v>621</v>
      </c>
      <c r="AG70" s="257"/>
    </row>
    <row r="71">
      <c r="A71" s="213" t="s">
        <v>58</v>
      </c>
      <c r="B71" s="152">
        <f>Summary!B91</f>
        <v>0</v>
      </c>
      <c r="C71" s="152">
        <f>Summary!C91</f>
        <v>0</v>
      </c>
      <c r="D71" s="152">
        <f>Summary!D91</f>
        <v>0</v>
      </c>
      <c r="E71" s="152">
        <f>Summary!E91</f>
        <v>0</v>
      </c>
      <c r="F71" s="152">
        <f>Summary!F91</f>
        <v>0</v>
      </c>
      <c r="G71" s="152">
        <f>Summary!G91</f>
        <v>0</v>
      </c>
      <c r="H71" s="152">
        <f>Summary!H91</f>
        <v>0</v>
      </c>
      <c r="I71" s="152">
        <f>Summary!I91</f>
        <v>0</v>
      </c>
      <c r="J71" s="152">
        <f>Summary!J91</f>
        <v>0</v>
      </c>
      <c r="K71" s="152">
        <f>Summary!K91</f>
        <v>0</v>
      </c>
      <c r="L71" s="152">
        <f>Summary!L91</f>
        <v>0</v>
      </c>
      <c r="M71" s="152">
        <f>Summary!M91</f>
        <v>0</v>
      </c>
      <c r="N71" s="152">
        <f>Summary!N91</f>
        <v>0</v>
      </c>
      <c r="O71" s="152">
        <f>Summary!O91</f>
        <v>0</v>
      </c>
      <c r="P71" s="152">
        <f>Summary!P91</f>
        <v>0</v>
      </c>
      <c r="Q71" s="152">
        <f>Summary!Q91</f>
        <v>0</v>
      </c>
      <c r="R71" s="152">
        <f>Summary!R91</f>
        <v>0</v>
      </c>
      <c r="S71" s="152">
        <f>Summary!S91</f>
        <v>0</v>
      </c>
      <c r="T71" s="152">
        <f>Summary!T91</f>
        <v>0</v>
      </c>
      <c r="U71" s="152">
        <f>Summary!U91</f>
        <v>0</v>
      </c>
      <c r="V71" s="152">
        <f>Summary!V91</f>
        <v>0</v>
      </c>
      <c r="W71" s="152">
        <f>Summary!W91</f>
        <v>29.598908</v>
      </c>
      <c r="X71" s="152">
        <f>Summary!X91</f>
        <v>30.34811</v>
      </c>
      <c r="Y71" s="152">
        <f>Summary!Y91</f>
        <v>30.986536</v>
      </c>
      <c r="Z71" s="152">
        <f>Summary!Z91</f>
        <v>0</v>
      </c>
      <c r="AA71" s="152">
        <f>Summary!AA91</f>
        <v>0</v>
      </c>
      <c r="AB71" s="152">
        <f>Summary!AB91</f>
        <v>0</v>
      </c>
      <c r="AC71" s="152">
        <f>Summary!AC91</f>
        <v>0</v>
      </c>
      <c r="AD71" s="152">
        <f>Summary!AD91</f>
        <v>0</v>
      </c>
      <c r="AE71" s="152">
        <f>Summary!AE91</f>
        <v>0</v>
      </c>
      <c r="AF71" s="152">
        <f>Summary!AF91</f>
        <v>0</v>
      </c>
      <c r="AG71" s="95">
        <f t="shared" ref="AG71:AG74" si="37">SUM(B71:AF71)</f>
        <v>90.933554</v>
      </c>
    </row>
    <row r="72">
      <c r="A72" s="213" t="s">
        <v>71</v>
      </c>
      <c r="B72" s="152">
        <f>Summary!B92</f>
        <v>83.14</v>
      </c>
      <c r="C72" s="152">
        <f>Summary!C92</f>
        <v>58.72</v>
      </c>
      <c r="D72" s="152">
        <f>Summary!D92</f>
        <v>50.98</v>
      </c>
      <c r="E72" s="152">
        <f>Summary!E92</f>
        <v>64.64</v>
      </c>
      <c r="F72" s="152">
        <f>Summary!F92</f>
        <v>61.9</v>
      </c>
      <c r="G72" s="152">
        <f>Summary!G92</f>
        <v>51.55</v>
      </c>
      <c r="H72" s="152">
        <f>Summary!H92</f>
        <v>81.9</v>
      </c>
      <c r="I72" s="152">
        <f>Summary!I92</f>
        <v>87.85</v>
      </c>
      <c r="J72" s="152">
        <f>Summary!J92</f>
        <v>69.57</v>
      </c>
      <c r="K72" s="152">
        <f>Summary!K92</f>
        <v>80.04</v>
      </c>
      <c r="L72" s="152">
        <f>Summary!L92</f>
        <v>73.72</v>
      </c>
      <c r="M72" s="152">
        <f>Summary!M92</f>
        <v>69.87</v>
      </c>
      <c r="N72" s="152">
        <f>Summary!N92</f>
        <v>54.8</v>
      </c>
      <c r="O72" s="152">
        <f>Summary!O92</f>
        <v>42.72</v>
      </c>
      <c r="P72" s="152">
        <f>Summary!P92</f>
        <v>52.88</v>
      </c>
      <c r="Q72" s="152">
        <f>Summary!Q92</f>
        <v>43.23</v>
      </c>
      <c r="R72" s="152">
        <f>Summary!R92</f>
        <v>75.69</v>
      </c>
      <c r="S72" s="152">
        <f>Summary!S92</f>
        <v>57.04</v>
      </c>
      <c r="T72" s="152">
        <f>Summary!T92</f>
        <v>54.35</v>
      </c>
      <c r="U72" s="152">
        <f>Summary!U92</f>
        <v>54.19</v>
      </c>
      <c r="V72" s="152">
        <f>Summary!V92</f>
        <v>39.68</v>
      </c>
      <c r="W72" s="152">
        <f>Summary!W92</f>
        <v>39.36</v>
      </c>
      <c r="X72" s="152">
        <f>Summary!X92</f>
        <v>50.1</v>
      </c>
      <c r="Y72" s="152">
        <f>Summary!Y92</f>
        <v>45.2</v>
      </c>
      <c r="Z72" s="152">
        <f>Summary!Z92</f>
        <v>53.65</v>
      </c>
      <c r="AA72" s="152">
        <f>Summary!AA92</f>
        <v>44.75</v>
      </c>
      <c r="AB72" s="152">
        <f>Summary!AB92</f>
        <v>28.62</v>
      </c>
      <c r="AC72" s="152">
        <f>Summary!AC92</f>
        <v>38.82</v>
      </c>
      <c r="AD72" s="152">
        <f>Summary!AD92</f>
        <v>45.95</v>
      </c>
      <c r="AE72" s="152">
        <f>Summary!AE92</f>
        <v>47.56</v>
      </c>
      <c r="AF72" s="152">
        <f>Summary!AF92</f>
        <v>52.2</v>
      </c>
      <c r="AG72" s="95">
        <f t="shared" si="37"/>
        <v>1754.67</v>
      </c>
    </row>
    <row r="73">
      <c r="A73" s="213" t="s">
        <v>59</v>
      </c>
      <c r="B73" s="152">
        <f>Summary!B93</f>
        <v>0</v>
      </c>
      <c r="C73" s="152">
        <f>Summary!C93</f>
        <v>0</v>
      </c>
      <c r="D73" s="152">
        <f>Summary!D93</f>
        <v>0</v>
      </c>
      <c r="E73" s="152">
        <f>Summary!E93</f>
        <v>0</v>
      </c>
      <c r="F73" s="152">
        <f>Summary!F93</f>
        <v>0</v>
      </c>
      <c r="G73" s="152">
        <f>Summary!G93</f>
        <v>0</v>
      </c>
      <c r="H73" s="152">
        <f>Summary!H93</f>
        <v>0</v>
      </c>
      <c r="I73" s="152">
        <f>Summary!I93</f>
        <v>0</v>
      </c>
      <c r="J73" s="152">
        <f>Summary!J93</f>
        <v>0</v>
      </c>
      <c r="K73" s="152">
        <f>Summary!K93</f>
        <v>0</v>
      </c>
      <c r="L73" s="152">
        <f>Summary!L93</f>
        <v>0</v>
      </c>
      <c r="M73" s="152">
        <f>Summary!M93</f>
        <v>0</v>
      </c>
      <c r="N73" s="152">
        <f>Summary!N93</f>
        <v>0</v>
      </c>
      <c r="O73" s="152">
        <f>Summary!O93</f>
        <v>0</v>
      </c>
      <c r="P73" s="152">
        <f>Summary!P93</f>
        <v>0</v>
      </c>
      <c r="Q73" s="152">
        <f>Summary!Q93</f>
        <v>0</v>
      </c>
      <c r="R73" s="152">
        <f>Summary!R93</f>
        <v>0</v>
      </c>
      <c r="S73" s="152">
        <f>Summary!S93</f>
        <v>0</v>
      </c>
      <c r="T73" s="152">
        <f>Summary!T93</f>
        <v>0</v>
      </c>
      <c r="U73" s="152">
        <f>Summary!U93</f>
        <v>0</v>
      </c>
      <c r="V73" s="152">
        <f>Summary!V93</f>
        <v>0</v>
      </c>
      <c r="W73" s="152">
        <f>Summary!W93</f>
        <v>0</v>
      </c>
      <c r="X73" s="152">
        <f>Summary!X93</f>
        <v>0</v>
      </c>
      <c r="Y73" s="152">
        <f>Summary!Y93</f>
        <v>0</v>
      </c>
      <c r="Z73" s="152">
        <f>Summary!Z93</f>
        <v>0</v>
      </c>
      <c r="AA73" s="152">
        <f>Summary!AA93</f>
        <v>0</v>
      </c>
      <c r="AB73" s="152">
        <f>Summary!AB93</f>
        <v>0</v>
      </c>
      <c r="AC73" s="152">
        <f>Summary!AC93</f>
        <v>0</v>
      </c>
      <c r="AD73" s="152">
        <f>Summary!AD93</f>
        <v>0</v>
      </c>
      <c r="AE73" s="152">
        <f>Summary!AE93</f>
        <v>0</v>
      </c>
      <c r="AF73" s="152">
        <f>Summary!AF93</f>
        <v>0</v>
      </c>
      <c r="AG73" s="95">
        <f t="shared" si="37"/>
        <v>0</v>
      </c>
    </row>
    <row r="74">
      <c r="A74" s="215" t="s">
        <v>119</v>
      </c>
      <c r="B74" s="387">
        <f t="shared" ref="B74:AF74" si="38">SUM(B71:B73)</f>
        <v>83.14</v>
      </c>
      <c r="C74" s="387">
        <f t="shared" si="38"/>
        <v>58.72</v>
      </c>
      <c r="D74" s="387">
        <f t="shared" si="38"/>
        <v>50.98</v>
      </c>
      <c r="E74" s="387">
        <f t="shared" si="38"/>
        <v>64.64</v>
      </c>
      <c r="F74" s="387">
        <f t="shared" si="38"/>
        <v>61.9</v>
      </c>
      <c r="G74" s="387">
        <f t="shared" si="38"/>
        <v>51.55</v>
      </c>
      <c r="H74" s="387">
        <f t="shared" si="38"/>
        <v>81.9</v>
      </c>
      <c r="I74" s="387">
        <f t="shared" si="38"/>
        <v>87.85</v>
      </c>
      <c r="J74" s="387">
        <f t="shared" si="38"/>
        <v>69.57</v>
      </c>
      <c r="K74" s="387">
        <f t="shared" si="38"/>
        <v>80.04</v>
      </c>
      <c r="L74" s="387">
        <f t="shared" si="38"/>
        <v>73.72</v>
      </c>
      <c r="M74" s="387">
        <f t="shared" si="38"/>
        <v>69.87</v>
      </c>
      <c r="N74" s="387">
        <f t="shared" si="38"/>
        <v>54.8</v>
      </c>
      <c r="O74" s="387">
        <f t="shared" si="38"/>
        <v>42.72</v>
      </c>
      <c r="P74" s="387">
        <f t="shared" si="38"/>
        <v>52.88</v>
      </c>
      <c r="Q74" s="387">
        <f t="shared" si="38"/>
        <v>43.23</v>
      </c>
      <c r="R74" s="387">
        <f t="shared" si="38"/>
        <v>75.69</v>
      </c>
      <c r="S74" s="387">
        <f t="shared" si="38"/>
        <v>57.04</v>
      </c>
      <c r="T74" s="387">
        <f t="shared" si="38"/>
        <v>54.35</v>
      </c>
      <c r="U74" s="387">
        <f t="shared" si="38"/>
        <v>54.19</v>
      </c>
      <c r="V74" s="387">
        <f t="shared" si="38"/>
        <v>39.68</v>
      </c>
      <c r="W74" s="387">
        <f t="shared" si="38"/>
        <v>68.958908</v>
      </c>
      <c r="X74" s="387">
        <f t="shared" si="38"/>
        <v>80.44811</v>
      </c>
      <c r="Y74" s="387">
        <f t="shared" si="38"/>
        <v>76.186536</v>
      </c>
      <c r="Z74" s="387">
        <f t="shared" si="38"/>
        <v>53.65</v>
      </c>
      <c r="AA74" s="387">
        <f t="shared" si="38"/>
        <v>44.75</v>
      </c>
      <c r="AB74" s="387">
        <f t="shared" si="38"/>
        <v>28.62</v>
      </c>
      <c r="AC74" s="387">
        <f t="shared" si="38"/>
        <v>38.82</v>
      </c>
      <c r="AD74" s="387">
        <f t="shared" si="38"/>
        <v>45.95</v>
      </c>
      <c r="AE74" s="387">
        <f t="shared" si="38"/>
        <v>47.56</v>
      </c>
      <c r="AF74" s="387">
        <f t="shared" si="38"/>
        <v>52.2</v>
      </c>
      <c r="AG74" s="95">
        <f t="shared" si="37"/>
        <v>1845.603554</v>
      </c>
    </row>
    <row r="75">
      <c r="A75" s="172"/>
      <c r="AG75" s="257"/>
    </row>
    <row r="76">
      <c r="A76" s="141" t="s">
        <v>622</v>
      </c>
      <c r="B76" s="159"/>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156"/>
    </row>
    <row r="77">
      <c r="A77" s="379" t="s">
        <v>623</v>
      </c>
      <c r="B77" s="200">
        <f>B43-B63-B64-B72-(B71*'Data - P&amp;L'!$I$24)</f>
        <v>4694.9148</v>
      </c>
      <c r="C77" s="200">
        <f>C43-C63-C64-C72-(C71*'Data - P&amp;L'!$I$24)</f>
        <v>3808.345388</v>
      </c>
      <c r="D77" s="200">
        <f>D43-D63-D64-D72-(D71*'Data - P&amp;L'!$I$24)</f>
        <v>4612.334</v>
      </c>
      <c r="E77" s="200">
        <f>E43-E63-E64-E72-(E71*'Data - P&amp;L'!$I$24)</f>
        <v>7510.234</v>
      </c>
      <c r="F77" s="200">
        <f>F43-F63-F64-F72-(F71*'Data - P&amp;L'!$I$24)</f>
        <v>2991.225</v>
      </c>
      <c r="G77" s="200">
        <f>G43-G63-G64-G72-(G71*'Data - P&amp;L'!$I$24)</f>
        <v>1535.647</v>
      </c>
      <c r="H77" s="200">
        <f>H43-H63-H64-H72-(H71*'Data - P&amp;L'!$I$24)</f>
        <v>1567.861605</v>
      </c>
      <c r="I77" s="200">
        <f>I43-I63-I64-I72-(I71*'Data - P&amp;L'!$I$24)</f>
        <v>1669.485652</v>
      </c>
      <c r="J77" s="200">
        <f>J43-J63-J64-J72-(J71*'Data - P&amp;L'!$I$24)</f>
        <v>2087.544</v>
      </c>
      <c r="K77" s="200">
        <f>K43-K63-K64-K72-(K71*'Data - P&amp;L'!$I$24)</f>
        <v>2913.326</v>
      </c>
      <c r="L77" s="200">
        <f>L43-L63-L64-L72-(L71*'Data - P&amp;L'!$I$24)</f>
        <v>1636.325378</v>
      </c>
      <c r="M77" s="200">
        <f>M43-M63-M64-M72-(M71*'Data - P&amp;L'!$I$24)</f>
        <v>1690.920478</v>
      </c>
      <c r="N77" s="200">
        <f>N43-N63-N64-N72-(N71*'Data - P&amp;L'!$I$24)</f>
        <v>1455.696</v>
      </c>
      <c r="O77" s="200">
        <f>O43-O63-O64-O72-(O71*'Data - P&amp;L'!$I$24)</f>
        <v>1565.199926</v>
      </c>
      <c r="P77" s="200">
        <f>P43-P63-P64-P72-(P71*'Data - P&amp;L'!$I$24)</f>
        <v>1358.495614</v>
      </c>
      <c r="Q77" s="200">
        <f>Q43-Q63-Q64-Q72-(Q71*'Data - P&amp;L'!$I$24)</f>
        <v>2432.961955</v>
      </c>
      <c r="R77" s="200">
        <f>R43-R63-R64-R72-(R71*'Data - P&amp;L'!$I$24)</f>
        <v>2217.415</v>
      </c>
      <c r="S77" s="200">
        <f>S43-S63-S64-S72-(S71*'Data - P&amp;L'!$I$24)</f>
        <v>1277.406</v>
      </c>
      <c r="T77" s="200">
        <f>T43-T63-T64-T72-(T71*'Data - P&amp;L'!$I$24)</f>
        <v>1222.006</v>
      </c>
      <c r="U77" s="200">
        <f>U43-U63-U64-U72-(U71*'Data - P&amp;L'!$I$24)</f>
        <v>1183.565</v>
      </c>
      <c r="V77" s="200">
        <f>V43-V63-V64-V72-(V71*'Data - P&amp;L'!$I$24)</f>
        <v>1019.478891</v>
      </c>
      <c r="W77" s="200">
        <f>W43-W63-W64-W72-(W71*'Data - P&amp;L'!$I$24)</f>
        <v>1324.532486</v>
      </c>
      <c r="X77" s="200">
        <f>X43-X63-X64-X72-(X71*'Data - P&amp;L'!$I$24)</f>
        <v>1869.807335</v>
      </c>
      <c r="Y77" s="200">
        <f>Y43-Y63-Y64-Y72-(Y71*'Data - P&amp;L'!$I$24)</f>
        <v>2199.355771</v>
      </c>
      <c r="Z77" s="200">
        <f>Z43-Z63-Z64-Z72-(Z71*'Data - P&amp;L'!$I$24)</f>
        <v>1529.301</v>
      </c>
      <c r="AA77" s="200">
        <f>AA43-AA63-AA64-AA72-(AA71*'Data - P&amp;L'!$I$24)</f>
        <v>1823.233</v>
      </c>
      <c r="AB77" s="200">
        <f>AB43-AB63-AB64-AB72-(AB71*'Data - P&amp;L'!$I$24)</f>
        <v>1386.329</v>
      </c>
      <c r="AC77" s="200">
        <f>AC43-AC63-AC64-AC72-(AC71*'Data - P&amp;L'!$I$24)</f>
        <v>1057.971266</v>
      </c>
      <c r="AD77" s="200">
        <f>AD43-AD63-AD64-AD72-(AD71*'Data - P&amp;L'!$I$24)</f>
        <v>1378.329868</v>
      </c>
      <c r="AE77" s="200">
        <f>AE43-AE63-AE64-AE72-(AE71*'Data - P&amp;L'!$I$24)</f>
        <v>1997.999515</v>
      </c>
      <c r="AF77" s="200">
        <f>AF43-AF63-AF64-AF72-(AF71*'Data - P&amp;L'!$I$24)</f>
        <v>2422.693883</v>
      </c>
      <c r="AG77" s="95">
        <f t="shared" ref="AG77:AG79" si="39">SUM(B77:AF77)</f>
        <v>67439.94081</v>
      </c>
    </row>
    <row r="78">
      <c r="A78" s="379" t="s">
        <v>624</v>
      </c>
      <c r="B78" s="200">
        <f>B46-B65-B66-B73-(B71*'Data - P&amp;L'!$I$25)</f>
        <v>1148.99</v>
      </c>
      <c r="C78" s="200">
        <f>C46-C65-C66-C73-(C71*'Data - P&amp;L'!$I$25)</f>
        <v>1062.7825</v>
      </c>
      <c r="D78" s="200">
        <f>D46-D65-D66-D73-(D71*'Data - P&amp;L'!$I$25)</f>
        <v>803.7795</v>
      </c>
      <c r="E78" s="200">
        <f>E46-E65-E66-E73-(E71*'Data - P&amp;L'!$I$25)</f>
        <v>1208.662</v>
      </c>
      <c r="F78" s="200">
        <f>F46-F65-F66-F73-(F71*'Data - P&amp;L'!$I$25)</f>
        <v>879.806</v>
      </c>
      <c r="G78" s="200">
        <f>G46-G65-G66-G73-(G71*'Data - P&amp;L'!$I$25)</f>
        <v>423.688</v>
      </c>
      <c r="H78" s="200">
        <f>H46-H65-H66-H73-(H71*'Data - P&amp;L'!$I$25)</f>
        <v>376.123</v>
      </c>
      <c r="I78" s="200">
        <f>I46-I65-I66-I73-(I71*'Data - P&amp;L'!$I$25)</f>
        <v>502.873</v>
      </c>
      <c r="J78" s="200">
        <f>J46-J65-J66-J73-(J71*'Data - P&amp;L'!$I$25)</f>
        <v>586.2965</v>
      </c>
      <c r="K78" s="200">
        <f>K46-K65-K66-K73-(K71*'Data - P&amp;L'!$I$25)</f>
        <v>699.3165</v>
      </c>
      <c r="L78" s="200">
        <f>L46-L65-L66-L73-(L71*'Data - P&amp;L'!$I$25)</f>
        <v>436.1435</v>
      </c>
      <c r="M78" s="200">
        <f>M46-M65-M66-M73-(M71*'Data - P&amp;L'!$I$25)</f>
        <v>461.0205</v>
      </c>
      <c r="N78" s="200">
        <f>N46-N65-N66-N73-(N71*'Data - P&amp;L'!$I$25)</f>
        <v>485.6005</v>
      </c>
      <c r="O78" s="200">
        <f>O46-O65-O66-O73-(O71*'Data - P&amp;L'!$I$25)</f>
        <v>458.558</v>
      </c>
      <c r="P78" s="200">
        <f>P46-P65-P66-P73-(P71*'Data - P&amp;L'!$I$25)</f>
        <v>508.818</v>
      </c>
      <c r="Q78" s="200">
        <f>Q46-Q65-Q66-Q73-(Q71*'Data - P&amp;L'!$I$25)</f>
        <v>602.6585</v>
      </c>
      <c r="R78" s="200">
        <f>R46-R65-R66-R73-(R71*'Data - P&amp;L'!$I$25)</f>
        <v>813.3955</v>
      </c>
      <c r="S78" s="200">
        <f>S46-S65-S66-S73-(S71*'Data - P&amp;L'!$I$25)</f>
        <v>404.384</v>
      </c>
      <c r="T78" s="200">
        <f>T46-T65-T66-T73-(T71*'Data - P&amp;L'!$I$25)</f>
        <v>409.1005</v>
      </c>
      <c r="U78" s="200">
        <f>U46-U65-U66-U73-(U71*'Data - P&amp;L'!$I$25)</f>
        <v>238.735</v>
      </c>
      <c r="V78" s="200">
        <f>V46-V65-V66-V73-(V71*'Data - P&amp;L'!$I$25)</f>
        <v>396.3415</v>
      </c>
      <c r="W78" s="200">
        <f>W46-W65-W66-W73-(W71*'Data - P&amp;L'!$I$25)</f>
        <v>136.8602184</v>
      </c>
      <c r="X78" s="200">
        <f>X46-X65-X66-X73-(X71*'Data - P&amp;L'!$I$25)</f>
        <v>279.614378</v>
      </c>
      <c r="Y78" s="200">
        <f>Y46-Y65-Y66-Y73-(Y71*'Data - P&amp;L'!$I$25)</f>
        <v>648.8581928</v>
      </c>
      <c r="Z78" s="200">
        <f>Z46-Z65-Z66-Z73-(Z71*'Data - P&amp;L'!$I$25)</f>
        <v>408.6515</v>
      </c>
      <c r="AA78" s="200">
        <f>AA46-AA65-AA66-AA73-(AA71*'Data - P&amp;L'!$I$25)</f>
        <v>288.215</v>
      </c>
      <c r="AB78" s="200">
        <f>AB46-AB65-AB66-AB73-(AB71*'Data - P&amp;L'!$I$25)</f>
        <v>405.875</v>
      </c>
      <c r="AC78" s="200">
        <f>AC46-AC65-AC66-AC73-(AC71*'Data - P&amp;L'!$I$25)</f>
        <v>267.9315</v>
      </c>
      <c r="AD78" s="200">
        <f>AD46-AD65-AD66-AD73-(AD71*'Data - P&amp;L'!$I$25)</f>
        <v>521.273</v>
      </c>
      <c r="AE78" s="200">
        <f>AE46-AE65-AE66-AE73-(AE71*'Data - P&amp;L'!$I$25)</f>
        <v>400.146</v>
      </c>
      <c r="AF78" s="200">
        <f>AF46-AF65-AF66-AF73-(AF71*'Data - P&amp;L'!$I$25)</f>
        <v>301.444</v>
      </c>
      <c r="AG78" s="95">
        <f t="shared" si="39"/>
        <v>16565.94129</v>
      </c>
    </row>
    <row r="79">
      <c r="A79" s="388" t="s">
        <v>625</v>
      </c>
      <c r="B79" s="389">
        <f t="shared" ref="B79:AF79" si="40">sum(B77:B78)</f>
        <v>5843.9048</v>
      </c>
      <c r="C79" s="389">
        <f t="shared" si="40"/>
        <v>4871.127888</v>
      </c>
      <c r="D79" s="389">
        <f t="shared" si="40"/>
        <v>5416.1135</v>
      </c>
      <c r="E79" s="389">
        <f t="shared" si="40"/>
        <v>8718.896</v>
      </c>
      <c r="F79" s="389">
        <f t="shared" si="40"/>
        <v>3871.031</v>
      </c>
      <c r="G79" s="389">
        <f t="shared" si="40"/>
        <v>1959.335</v>
      </c>
      <c r="H79" s="389">
        <f t="shared" si="40"/>
        <v>1943.984605</v>
      </c>
      <c r="I79" s="389">
        <f t="shared" si="40"/>
        <v>2172.358652</v>
      </c>
      <c r="J79" s="389">
        <f t="shared" si="40"/>
        <v>2673.8405</v>
      </c>
      <c r="K79" s="389">
        <f t="shared" si="40"/>
        <v>3612.6425</v>
      </c>
      <c r="L79" s="389">
        <f t="shared" si="40"/>
        <v>2072.468878</v>
      </c>
      <c r="M79" s="389">
        <f t="shared" si="40"/>
        <v>2151.940978</v>
      </c>
      <c r="N79" s="389">
        <f t="shared" si="40"/>
        <v>1941.2965</v>
      </c>
      <c r="O79" s="389">
        <f t="shared" si="40"/>
        <v>2023.757926</v>
      </c>
      <c r="P79" s="389">
        <f t="shared" si="40"/>
        <v>1867.313614</v>
      </c>
      <c r="Q79" s="389">
        <f t="shared" si="40"/>
        <v>3035.620455</v>
      </c>
      <c r="R79" s="389">
        <f t="shared" si="40"/>
        <v>3030.8105</v>
      </c>
      <c r="S79" s="389">
        <f t="shared" si="40"/>
        <v>1681.79</v>
      </c>
      <c r="T79" s="389">
        <f t="shared" si="40"/>
        <v>1631.1065</v>
      </c>
      <c r="U79" s="389">
        <f t="shared" si="40"/>
        <v>1422.3</v>
      </c>
      <c r="V79" s="389">
        <f t="shared" si="40"/>
        <v>1415.820391</v>
      </c>
      <c r="W79" s="389">
        <f t="shared" si="40"/>
        <v>1461.392704</v>
      </c>
      <c r="X79" s="389">
        <f t="shared" si="40"/>
        <v>2149.421713</v>
      </c>
      <c r="Y79" s="389">
        <f t="shared" si="40"/>
        <v>2848.213964</v>
      </c>
      <c r="Z79" s="389">
        <f t="shared" si="40"/>
        <v>1937.9525</v>
      </c>
      <c r="AA79" s="389">
        <f t="shared" si="40"/>
        <v>2111.448</v>
      </c>
      <c r="AB79" s="389">
        <f t="shared" si="40"/>
        <v>1792.204</v>
      </c>
      <c r="AC79" s="389">
        <f t="shared" si="40"/>
        <v>1325.902766</v>
      </c>
      <c r="AD79" s="389">
        <f t="shared" si="40"/>
        <v>1899.602868</v>
      </c>
      <c r="AE79" s="389">
        <f t="shared" si="40"/>
        <v>2398.145515</v>
      </c>
      <c r="AF79" s="389">
        <f t="shared" si="40"/>
        <v>2724.137883</v>
      </c>
      <c r="AG79" s="95">
        <f t="shared" si="39"/>
        <v>84005.8821</v>
      </c>
    </row>
    <row r="80">
      <c r="A80" s="100"/>
      <c r="B80" s="167"/>
      <c r="C80" s="167"/>
      <c r="D80" s="167"/>
      <c r="E80" s="167"/>
      <c r="F80" s="167"/>
      <c r="G80" s="167"/>
      <c r="H80" s="167"/>
      <c r="I80" s="167"/>
      <c r="J80" s="85"/>
      <c r="K80" s="85"/>
      <c r="L80" s="85"/>
      <c r="M80" s="85"/>
      <c r="N80" s="85"/>
      <c r="O80" s="85"/>
      <c r="P80" s="85"/>
      <c r="Q80" s="85"/>
      <c r="R80" s="85"/>
      <c r="S80" s="85"/>
      <c r="T80" s="85"/>
      <c r="U80" s="85"/>
      <c r="V80" s="85"/>
      <c r="W80" s="85"/>
      <c r="X80" s="85"/>
      <c r="Y80" s="85"/>
      <c r="Z80" s="85"/>
      <c r="AA80" s="85"/>
      <c r="AB80" s="85"/>
      <c r="AC80" s="85"/>
      <c r="AD80" s="85"/>
      <c r="AE80" s="85"/>
      <c r="AF80" s="85"/>
      <c r="AG80" s="390"/>
    </row>
    <row r="81">
      <c r="A81" s="172"/>
      <c r="AG81" s="257"/>
    </row>
    <row r="82">
      <c r="A82" s="276" t="s">
        <v>414</v>
      </c>
      <c r="AG82" s="257"/>
    </row>
    <row r="83">
      <c r="A83" s="263">
        <f>SUM(B11:AF11)</f>
        <v>120303.0338</v>
      </c>
      <c r="AG83" s="257"/>
    </row>
    <row r="84">
      <c r="A84" s="262" t="s">
        <v>415</v>
      </c>
      <c r="AG84" s="257"/>
    </row>
    <row r="85">
      <c r="A85" s="263">
        <f>SUM(B79:AF79)</f>
        <v>84005.8821</v>
      </c>
      <c r="AG85" s="257"/>
    </row>
    <row r="86">
      <c r="A86" s="262" t="s">
        <v>416</v>
      </c>
      <c r="AG86" s="257"/>
    </row>
    <row r="87">
      <c r="A87" s="265">
        <f>A85/A83</f>
        <v>0.6982856496</v>
      </c>
      <c r="AG87" s="257"/>
    </row>
    <row r="88">
      <c r="A88" s="172"/>
      <c r="AG88" s="257"/>
    </row>
    <row r="89">
      <c r="A89" s="391" t="s">
        <v>626</v>
      </c>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c r="Z89" s="392"/>
      <c r="AA89" s="392"/>
      <c r="AB89" s="392"/>
      <c r="AC89" s="392"/>
      <c r="AD89" s="392"/>
      <c r="AE89" s="392"/>
      <c r="AF89" s="392"/>
      <c r="AG89" s="393"/>
    </row>
    <row r="90">
      <c r="A90" s="392" t="s">
        <v>108</v>
      </c>
      <c r="B90" s="392">
        <f t="shared" ref="B90:AF90" si="41">B8-B65-B66</f>
        <v>1148.99</v>
      </c>
      <c r="C90" s="392">
        <f t="shared" si="41"/>
        <v>1062.7825</v>
      </c>
      <c r="D90" s="392">
        <f t="shared" si="41"/>
        <v>803.7795</v>
      </c>
      <c r="E90" s="392">
        <f t="shared" si="41"/>
        <v>1208.662</v>
      </c>
      <c r="F90" s="392">
        <f t="shared" si="41"/>
        <v>879.806</v>
      </c>
      <c r="G90" s="392">
        <f t="shared" si="41"/>
        <v>423.688</v>
      </c>
      <c r="H90" s="392">
        <f t="shared" si="41"/>
        <v>376.123</v>
      </c>
      <c r="I90" s="392">
        <f t="shared" si="41"/>
        <v>502.873</v>
      </c>
      <c r="J90" s="392">
        <f t="shared" si="41"/>
        <v>586.2965</v>
      </c>
      <c r="K90" s="392">
        <f t="shared" si="41"/>
        <v>699.3165</v>
      </c>
      <c r="L90" s="392">
        <f t="shared" si="41"/>
        <v>436.1435</v>
      </c>
      <c r="M90" s="392">
        <f t="shared" si="41"/>
        <v>461.0205</v>
      </c>
      <c r="N90" s="392">
        <f t="shared" si="41"/>
        <v>485.6005</v>
      </c>
      <c r="O90" s="392">
        <f t="shared" si="41"/>
        <v>458.558</v>
      </c>
      <c r="P90" s="392">
        <f t="shared" si="41"/>
        <v>508.818</v>
      </c>
      <c r="Q90" s="392">
        <f t="shared" si="41"/>
        <v>602.6585</v>
      </c>
      <c r="R90" s="392">
        <f t="shared" si="41"/>
        <v>813.3955</v>
      </c>
      <c r="S90" s="392">
        <f t="shared" si="41"/>
        <v>404.384</v>
      </c>
      <c r="T90" s="392">
        <f t="shared" si="41"/>
        <v>409.1005</v>
      </c>
      <c r="U90" s="392">
        <f t="shared" si="41"/>
        <v>238.735</v>
      </c>
      <c r="V90" s="392">
        <f t="shared" si="41"/>
        <v>396.3415</v>
      </c>
      <c r="W90" s="392">
        <f t="shared" si="41"/>
        <v>142.78</v>
      </c>
      <c r="X90" s="392">
        <f t="shared" si="41"/>
        <v>285.684</v>
      </c>
      <c r="Y90" s="392">
        <f t="shared" si="41"/>
        <v>655.0555</v>
      </c>
      <c r="Z90" s="392">
        <f t="shared" si="41"/>
        <v>408.6515</v>
      </c>
      <c r="AA90" s="392">
        <f t="shared" si="41"/>
        <v>288.215</v>
      </c>
      <c r="AB90" s="392">
        <f t="shared" si="41"/>
        <v>405.875</v>
      </c>
      <c r="AC90" s="392">
        <f t="shared" si="41"/>
        <v>267.9315</v>
      </c>
      <c r="AD90" s="392">
        <f t="shared" si="41"/>
        <v>521.273</v>
      </c>
      <c r="AE90" s="392">
        <f t="shared" si="41"/>
        <v>400.146</v>
      </c>
      <c r="AF90" s="392">
        <f t="shared" si="41"/>
        <v>301.444</v>
      </c>
      <c r="AG90" s="393"/>
    </row>
    <row r="91">
      <c r="A91" s="392" t="s">
        <v>627</v>
      </c>
      <c r="B91" s="392">
        <f t="shared" ref="B91:AF91" si="42">B5-B63-B64</f>
        <v>4805.3448</v>
      </c>
      <c r="C91" s="392">
        <f t="shared" si="42"/>
        <v>3872.035388</v>
      </c>
      <c r="D91" s="392">
        <f t="shared" si="42"/>
        <v>4707.414</v>
      </c>
      <c r="E91" s="392">
        <f t="shared" si="42"/>
        <v>7576.724</v>
      </c>
      <c r="F91" s="392">
        <f t="shared" si="42"/>
        <v>3176.945</v>
      </c>
      <c r="G91" s="392">
        <f t="shared" si="42"/>
        <v>1647.187</v>
      </c>
      <c r="H91" s="392">
        <f t="shared" si="42"/>
        <v>1655.751605</v>
      </c>
      <c r="I91" s="392">
        <f t="shared" si="42"/>
        <v>1757.745652</v>
      </c>
      <c r="J91" s="392">
        <f t="shared" si="42"/>
        <v>2157.114</v>
      </c>
      <c r="K91" s="392">
        <f t="shared" si="42"/>
        <v>3023.356</v>
      </c>
      <c r="L91" s="392">
        <f t="shared" si="42"/>
        <v>1711.495378</v>
      </c>
      <c r="M91" s="392">
        <f t="shared" si="42"/>
        <v>1766.400478</v>
      </c>
      <c r="N91" s="392">
        <f t="shared" si="42"/>
        <v>1575.126</v>
      </c>
      <c r="O91" s="392">
        <f t="shared" si="42"/>
        <v>1628.489926</v>
      </c>
      <c r="P91" s="392">
        <f t="shared" si="42"/>
        <v>1411.375614</v>
      </c>
      <c r="Q91" s="392">
        <f t="shared" si="42"/>
        <v>2482.181955</v>
      </c>
      <c r="R91" s="392">
        <f t="shared" si="42"/>
        <v>2293.105</v>
      </c>
      <c r="S91" s="392">
        <f t="shared" si="42"/>
        <v>1400.426</v>
      </c>
      <c r="T91" s="392">
        <f t="shared" si="42"/>
        <v>1299.786</v>
      </c>
      <c r="U91" s="392">
        <f t="shared" si="42"/>
        <v>1327.735</v>
      </c>
      <c r="V91" s="392">
        <f t="shared" si="42"/>
        <v>1059.158891</v>
      </c>
      <c r="W91" s="392">
        <f t="shared" si="42"/>
        <v>1395.431612</v>
      </c>
      <c r="X91" s="392">
        <f t="shared" si="42"/>
        <v>1972.535823</v>
      </c>
      <c r="Y91" s="392">
        <f t="shared" si="42"/>
        <v>2299.335</v>
      </c>
      <c r="Z91" s="392">
        <f t="shared" si="42"/>
        <v>1648.931</v>
      </c>
      <c r="AA91" s="392">
        <f t="shared" si="42"/>
        <v>1969.173</v>
      </c>
      <c r="AB91" s="392">
        <f t="shared" si="42"/>
        <v>1414.949</v>
      </c>
      <c r="AC91" s="392">
        <f t="shared" si="42"/>
        <v>1162.761266</v>
      </c>
      <c r="AD91" s="392">
        <f t="shared" si="42"/>
        <v>1424.279868</v>
      </c>
      <c r="AE91" s="392">
        <f t="shared" si="42"/>
        <v>2045.559515</v>
      </c>
      <c r="AF91" s="392">
        <f t="shared" si="42"/>
        <v>2474.893883</v>
      </c>
      <c r="AG91" s="393"/>
    </row>
    <row r="92">
      <c r="AG92" s="257"/>
    </row>
    <row r="93">
      <c r="AG93" s="257"/>
    </row>
    <row r="94">
      <c r="AG94" s="257"/>
    </row>
    <row r="95">
      <c r="AG95" s="257"/>
    </row>
    <row r="96">
      <c r="AG96" s="257"/>
    </row>
    <row r="97">
      <c r="AG97" s="257"/>
    </row>
    <row r="98">
      <c r="AG98" s="257"/>
    </row>
    <row r="99">
      <c r="AG99" s="257"/>
    </row>
    <row r="100">
      <c r="AG100" s="257"/>
    </row>
    <row r="101">
      <c r="AG101" s="257"/>
    </row>
    <row r="102">
      <c r="AG102" s="257"/>
    </row>
    <row r="103">
      <c r="AG103" s="257"/>
    </row>
    <row r="104">
      <c r="AG104" s="257"/>
    </row>
    <row r="105">
      <c r="AG105" s="257"/>
    </row>
    <row r="106">
      <c r="AG106" s="257"/>
    </row>
    <row r="107">
      <c r="AG107" s="257"/>
    </row>
    <row r="108">
      <c r="AG108" s="257"/>
    </row>
    <row r="109">
      <c r="AG109" s="257"/>
    </row>
    <row r="110">
      <c r="AG110" s="257"/>
    </row>
    <row r="111">
      <c r="AG111" s="257"/>
    </row>
    <row r="112">
      <c r="AG112" s="257"/>
    </row>
    <row r="113">
      <c r="AG113" s="257"/>
    </row>
    <row r="114">
      <c r="AG114" s="257"/>
    </row>
    <row r="115">
      <c r="AG115" s="257"/>
    </row>
    <row r="116">
      <c r="AG116" s="257"/>
    </row>
    <row r="117">
      <c r="AG117" s="257"/>
    </row>
    <row r="118">
      <c r="AG118" s="257"/>
    </row>
    <row r="119">
      <c r="AG119" s="257"/>
    </row>
    <row r="120">
      <c r="AG120" s="257"/>
    </row>
    <row r="121">
      <c r="AG121" s="257"/>
    </row>
    <row r="122">
      <c r="AG122" s="257"/>
    </row>
    <row r="123">
      <c r="AG123" s="257"/>
    </row>
    <row r="124">
      <c r="AG124" s="257"/>
    </row>
    <row r="125">
      <c r="AG125" s="257"/>
    </row>
    <row r="126">
      <c r="AG126" s="257"/>
    </row>
    <row r="127">
      <c r="AG127" s="257"/>
    </row>
    <row r="128">
      <c r="AG128" s="257"/>
    </row>
    <row r="129">
      <c r="AG129" s="257"/>
    </row>
    <row r="130">
      <c r="AG130" s="257"/>
    </row>
    <row r="131">
      <c r="AG131" s="257"/>
    </row>
    <row r="132">
      <c r="AG132" s="257"/>
    </row>
    <row r="133">
      <c r="AG133" s="257"/>
    </row>
    <row r="134">
      <c r="AG134" s="257"/>
    </row>
    <row r="135">
      <c r="AG135" s="257"/>
    </row>
    <row r="136">
      <c r="AG136" s="257"/>
    </row>
    <row r="137">
      <c r="AG137" s="257"/>
    </row>
    <row r="138">
      <c r="AG138" s="257"/>
    </row>
    <row r="139">
      <c r="AG139" s="257"/>
    </row>
    <row r="140">
      <c r="AG140" s="257"/>
    </row>
    <row r="141">
      <c r="AG141" s="257"/>
    </row>
    <row r="142">
      <c r="AG142" s="257"/>
    </row>
    <row r="143">
      <c r="AG143" s="257"/>
    </row>
    <row r="144">
      <c r="AG144" s="257"/>
    </row>
    <row r="145">
      <c r="AG145" s="257"/>
    </row>
    <row r="146">
      <c r="AG146" s="257"/>
    </row>
    <row r="147">
      <c r="AG147" s="257"/>
    </row>
    <row r="148">
      <c r="AG148" s="257"/>
    </row>
    <row r="149">
      <c r="AG149" s="257"/>
    </row>
    <row r="150">
      <c r="AG150" s="257"/>
    </row>
    <row r="151">
      <c r="AG151" s="257"/>
    </row>
    <row r="152">
      <c r="AG152" s="257"/>
    </row>
    <row r="153">
      <c r="AG153" s="257"/>
    </row>
    <row r="154">
      <c r="AG154" s="257"/>
    </row>
    <row r="155">
      <c r="AG155" s="257"/>
    </row>
    <row r="156">
      <c r="AG156" s="257"/>
    </row>
    <row r="157">
      <c r="AG157" s="257"/>
    </row>
    <row r="158">
      <c r="AG158" s="257"/>
    </row>
    <row r="159">
      <c r="AG159" s="257"/>
    </row>
    <row r="160">
      <c r="AG160" s="257"/>
    </row>
    <row r="161">
      <c r="AG161" s="257"/>
    </row>
    <row r="162">
      <c r="AG162" s="257"/>
    </row>
    <row r="163">
      <c r="AG163" s="257"/>
    </row>
    <row r="164">
      <c r="AG164" s="257"/>
    </row>
    <row r="165">
      <c r="AG165" s="257"/>
    </row>
    <row r="166">
      <c r="AG166" s="257"/>
    </row>
    <row r="167">
      <c r="AG167" s="257"/>
    </row>
    <row r="168">
      <c r="AG168" s="257"/>
    </row>
    <row r="169">
      <c r="AG169" s="257"/>
    </row>
    <row r="170">
      <c r="AG170" s="257"/>
    </row>
    <row r="171">
      <c r="AG171" s="257"/>
    </row>
    <row r="172">
      <c r="AG172" s="257"/>
    </row>
    <row r="173">
      <c r="AG173" s="257"/>
    </row>
    <row r="174">
      <c r="AG174" s="257"/>
    </row>
    <row r="175">
      <c r="AG175" s="257"/>
    </row>
    <row r="176">
      <c r="AG176" s="257"/>
    </row>
    <row r="177">
      <c r="AG177" s="257"/>
    </row>
    <row r="178">
      <c r="AG178" s="257"/>
    </row>
    <row r="179">
      <c r="AG179" s="257"/>
    </row>
    <row r="180">
      <c r="AG180" s="257"/>
    </row>
    <row r="181">
      <c r="AG181" s="257"/>
    </row>
    <row r="182">
      <c r="AG182" s="257"/>
    </row>
    <row r="183">
      <c r="AG183" s="257"/>
    </row>
    <row r="184">
      <c r="AG184" s="257"/>
    </row>
    <row r="185">
      <c r="AG185" s="257"/>
    </row>
    <row r="186">
      <c r="AG186" s="257"/>
    </row>
    <row r="187">
      <c r="AG187" s="257"/>
    </row>
    <row r="188">
      <c r="AG188" s="257"/>
    </row>
    <row r="189">
      <c r="AG189" s="257"/>
    </row>
    <row r="190">
      <c r="AG190" s="257"/>
    </row>
    <row r="191">
      <c r="AG191" s="257"/>
    </row>
    <row r="192">
      <c r="AG192" s="257"/>
    </row>
    <row r="193">
      <c r="AG193" s="257"/>
    </row>
    <row r="194">
      <c r="AG194" s="257"/>
    </row>
    <row r="195">
      <c r="AG195" s="257"/>
    </row>
    <row r="196">
      <c r="AG196" s="257"/>
    </row>
    <row r="197">
      <c r="AG197" s="257"/>
    </row>
    <row r="198">
      <c r="AG198" s="257"/>
    </row>
    <row r="199">
      <c r="AG199" s="257"/>
    </row>
    <row r="200">
      <c r="AG200" s="257"/>
    </row>
    <row r="201">
      <c r="AG201" s="257"/>
    </row>
    <row r="202">
      <c r="AG202" s="257"/>
    </row>
    <row r="203">
      <c r="AG203" s="257"/>
    </row>
    <row r="204">
      <c r="AG204" s="257"/>
    </row>
    <row r="205">
      <c r="AG205" s="257"/>
    </row>
    <row r="206">
      <c r="AG206" s="257"/>
    </row>
    <row r="207">
      <c r="AG207" s="257"/>
    </row>
    <row r="208">
      <c r="AG208" s="257"/>
    </row>
    <row r="209">
      <c r="AG209" s="257"/>
    </row>
    <row r="210">
      <c r="AG210" s="257"/>
    </row>
    <row r="211">
      <c r="AG211" s="257"/>
    </row>
    <row r="212">
      <c r="AG212" s="257"/>
    </row>
    <row r="213">
      <c r="AG213" s="257"/>
    </row>
    <row r="214">
      <c r="AG214" s="257"/>
    </row>
    <row r="215">
      <c r="AG215" s="257"/>
    </row>
    <row r="216">
      <c r="AG216" s="257"/>
    </row>
    <row r="217">
      <c r="AG217" s="257"/>
    </row>
    <row r="218">
      <c r="AG218" s="257"/>
    </row>
    <row r="219">
      <c r="AG219" s="257"/>
    </row>
    <row r="220">
      <c r="AG220" s="257"/>
    </row>
    <row r="221">
      <c r="AG221" s="257"/>
    </row>
    <row r="222">
      <c r="AG222" s="257"/>
    </row>
    <row r="223">
      <c r="AG223" s="257"/>
    </row>
    <row r="224">
      <c r="AG224" s="257"/>
    </row>
    <row r="225">
      <c r="AG225" s="257"/>
    </row>
    <row r="226">
      <c r="AG226" s="257"/>
    </row>
    <row r="227">
      <c r="AG227" s="257"/>
    </row>
    <row r="228">
      <c r="AG228" s="257"/>
    </row>
    <row r="229">
      <c r="AG229" s="257"/>
    </row>
    <row r="230">
      <c r="AG230" s="257"/>
    </row>
    <row r="231">
      <c r="AG231" s="257"/>
    </row>
    <row r="232">
      <c r="AG232" s="257"/>
    </row>
    <row r="233">
      <c r="AG233" s="257"/>
    </row>
    <row r="234">
      <c r="AG234" s="257"/>
    </row>
    <row r="235">
      <c r="AG235" s="257"/>
    </row>
    <row r="236">
      <c r="AG236" s="257"/>
    </row>
    <row r="237">
      <c r="AG237" s="257"/>
    </row>
    <row r="238">
      <c r="AG238" s="257"/>
    </row>
    <row r="239">
      <c r="AG239" s="257"/>
    </row>
    <row r="240">
      <c r="AG240" s="257"/>
    </row>
    <row r="241">
      <c r="AG241" s="257"/>
    </row>
    <row r="242">
      <c r="AG242" s="257"/>
    </row>
    <row r="243">
      <c r="AG243" s="257"/>
    </row>
    <row r="244">
      <c r="AG244" s="257"/>
    </row>
    <row r="245">
      <c r="AG245" s="257"/>
    </row>
    <row r="246">
      <c r="AG246" s="257"/>
    </row>
    <row r="247">
      <c r="AG247" s="257"/>
    </row>
    <row r="248">
      <c r="AG248" s="257"/>
    </row>
    <row r="249">
      <c r="AG249" s="257"/>
    </row>
    <row r="250">
      <c r="AG250" s="257"/>
    </row>
    <row r="251">
      <c r="AG251" s="257"/>
    </row>
    <row r="252">
      <c r="AG252" s="257"/>
    </row>
    <row r="253">
      <c r="AG253" s="257"/>
    </row>
    <row r="254">
      <c r="AG254" s="257"/>
    </row>
    <row r="255">
      <c r="AG255" s="257"/>
    </row>
    <row r="256">
      <c r="AG256" s="257"/>
    </row>
    <row r="257">
      <c r="AG257" s="257"/>
    </row>
    <row r="258">
      <c r="AG258" s="257"/>
    </row>
    <row r="259">
      <c r="AG259" s="257"/>
    </row>
    <row r="260">
      <c r="AG260" s="257"/>
    </row>
    <row r="261">
      <c r="AG261" s="257"/>
    </row>
    <row r="262">
      <c r="AG262" s="257"/>
    </row>
    <row r="263">
      <c r="AG263" s="257"/>
    </row>
    <row r="264">
      <c r="AG264" s="257"/>
    </row>
    <row r="265">
      <c r="AG265" s="257"/>
    </row>
    <row r="266">
      <c r="AG266" s="257"/>
    </row>
    <row r="267">
      <c r="AG267" s="257"/>
    </row>
    <row r="268">
      <c r="AG268" s="257"/>
    </row>
    <row r="269">
      <c r="AG269" s="257"/>
    </row>
    <row r="270">
      <c r="AG270" s="257"/>
    </row>
    <row r="271">
      <c r="AG271" s="257"/>
    </row>
    <row r="272">
      <c r="AG272" s="257"/>
    </row>
    <row r="273">
      <c r="AG273" s="257"/>
    </row>
    <row r="274">
      <c r="AG274" s="257"/>
    </row>
    <row r="275">
      <c r="AG275" s="257"/>
    </row>
    <row r="276">
      <c r="AG276" s="257"/>
    </row>
    <row r="277">
      <c r="AG277" s="257"/>
    </row>
    <row r="278">
      <c r="AG278" s="257"/>
    </row>
    <row r="279">
      <c r="AG279" s="257"/>
    </row>
    <row r="280">
      <c r="AG280" s="257"/>
    </row>
    <row r="281">
      <c r="AG281" s="257"/>
    </row>
    <row r="282">
      <c r="AG282" s="257"/>
    </row>
    <row r="283">
      <c r="AG283" s="257"/>
    </row>
    <row r="284">
      <c r="AG284" s="257"/>
    </row>
    <row r="285">
      <c r="AG285" s="257"/>
    </row>
    <row r="286">
      <c r="AG286" s="257"/>
    </row>
    <row r="287">
      <c r="AG287" s="257"/>
    </row>
    <row r="288">
      <c r="AG288" s="257"/>
    </row>
    <row r="289">
      <c r="AG289" s="257"/>
    </row>
    <row r="290">
      <c r="AG290" s="257"/>
    </row>
    <row r="291">
      <c r="AG291" s="257"/>
    </row>
    <row r="292">
      <c r="AG292" s="257"/>
    </row>
    <row r="293">
      <c r="AG293" s="257"/>
    </row>
    <row r="294">
      <c r="AG294" s="257"/>
    </row>
    <row r="295">
      <c r="AG295" s="257"/>
    </row>
    <row r="296">
      <c r="AG296" s="257"/>
    </row>
    <row r="297">
      <c r="AG297" s="257"/>
    </row>
    <row r="298">
      <c r="AG298" s="257"/>
    </row>
    <row r="299">
      <c r="AG299" s="257"/>
    </row>
    <row r="300">
      <c r="AG300" s="257"/>
    </row>
    <row r="301">
      <c r="AG301" s="257"/>
    </row>
    <row r="302">
      <c r="AG302" s="257"/>
    </row>
    <row r="303">
      <c r="AG303" s="257"/>
    </row>
    <row r="304">
      <c r="AG304" s="257"/>
    </row>
    <row r="305">
      <c r="AG305" s="257"/>
    </row>
    <row r="306">
      <c r="AG306" s="257"/>
    </row>
    <row r="307">
      <c r="AG307" s="257"/>
    </row>
    <row r="308">
      <c r="AG308" s="257"/>
    </row>
    <row r="309">
      <c r="AG309" s="257"/>
    </row>
    <row r="310">
      <c r="AG310" s="257"/>
    </row>
    <row r="311">
      <c r="AG311" s="257"/>
    </row>
    <row r="312">
      <c r="AG312" s="257"/>
    </row>
    <row r="313">
      <c r="AG313" s="257"/>
    </row>
    <row r="314">
      <c r="AG314" s="257"/>
    </row>
    <row r="315">
      <c r="AG315" s="257"/>
    </row>
    <row r="316">
      <c r="AG316" s="257"/>
    </row>
    <row r="317">
      <c r="AG317" s="257"/>
    </row>
    <row r="318">
      <c r="AG318" s="257"/>
    </row>
    <row r="319">
      <c r="AG319" s="257"/>
    </row>
    <row r="320">
      <c r="AG320" s="257"/>
    </row>
    <row r="321">
      <c r="AG321" s="257"/>
    </row>
    <row r="322">
      <c r="AG322" s="257"/>
    </row>
    <row r="323">
      <c r="AG323" s="257"/>
    </row>
    <row r="324">
      <c r="AG324" s="257"/>
    </row>
    <row r="325">
      <c r="AG325" s="257"/>
    </row>
    <row r="326">
      <c r="AG326" s="257"/>
    </row>
    <row r="327">
      <c r="AG327" s="257"/>
    </row>
    <row r="328">
      <c r="AG328" s="257"/>
    </row>
    <row r="329">
      <c r="AG329" s="257"/>
    </row>
    <row r="330">
      <c r="AG330" s="257"/>
    </row>
    <row r="331">
      <c r="AG331" s="257"/>
    </row>
    <row r="332">
      <c r="AG332" s="257"/>
    </row>
    <row r="333">
      <c r="AG333" s="257"/>
    </row>
    <row r="334">
      <c r="AG334" s="257"/>
    </row>
    <row r="335">
      <c r="AG335" s="257"/>
    </row>
    <row r="336">
      <c r="AG336" s="257"/>
    </row>
    <row r="337">
      <c r="AG337" s="257"/>
    </row>
    <row r="338">
      <c r="AG338" s="257"/>
    </row>
    <row r="339">
      <c r="AG339" s="257"/>
    </row>
    <row r="340">
      <c r="AG340" s="257"/>
    </row>
    <row r="341">
      <c r="AG341" s="257"/>
    </row>
    <row r="342">
      <c r="AG342" s="257"/>
    </row>
    <row r="343">
      <c r="AG343" s="257"/>
    </row>
    <row r="344">
      <c r="AG344" s="257"/>
    </row>
    <row r="345">
      <c r="AG345" s="257"/>
    </row>
    <row r="346">
      <c r="AG346" s="257"/>
    </row>
    <row r="347">
      <c r="AG347" s="257"/>
    </row>
    <row r="348">
      <c r="AG348" s="257"/>
    </row>
    <row r="349">
      <c r="AG349" s="257"/>
    </row>
    <row r="350">
      <c r="AG350" s="257"/>
    </row>
    <row r="351">
      <c r="AG351" s="257"/>
    </row>
    <row r="352">
      <c r="AG352" s="257"/>
    </row>
    <row r="353">
      <c r="AG353" s="257"/>
    </row>
    <row r="354">
      <c r="AG354" s="257"/>
    </row>
    <row r="355">
      <c r="AG355" s="257"/>
    </row>
    <row r="356">
      <c r="AG356" s="257"/>
    </row>
    <row r="357">
      <c r="AG357" s="257"/>
    </row>
    <row r="358">
      <c r="AG358" s="257"/>
    </row>
    <row r="359">
      <c r="AG359" s="257"/>
    </row>
    <row r="360">
      <c r="AG360" s="257"/>
    </row>
    <row r="361">
      <c r="AG361" s="257"/>
    </row>
    <row r="362">
      <c r="AG362" s="257"/>
    </row>
    <row r="363">
      <c r="AG363" s="257"/>
    </row>
    <row r="364">
      <c r="AG364" s="257"/>
    </row>
    <row r="365">
      <c r="AG365" s="257"/>
    </row>
    <row r="366">
      <c r="AG366" s="257"/>
    </row>
    <row r="367">
      <c r="AG367" s="257"/>
    </row>
    <row r="368">
      <c r="AG368" s="257"/>
    </row>
    <row r="369">
      <c r="AG369" s="257"/>
    </row>
    <row r="370">
      <c r="AG370" s="257"/>
    </row>
    <row r="371">
      <c r="AG371" s="257"/>
    </row>
    <row r="372">
      <c r="AG372" s="257"/>
    </row>
    <row r="373">
      <c r="AG373" s="257"/>
    </row>
    <row r="374">
      <c r="AG374" s="257"/>
    </row>
    <row r="375">
      <c r="AG375" s="257"/>
    </row>
    <row r="376">
      <c r="AG376" s="257"/>
    </row>
    <row r="377">
      <c r="AG377" s="257"/>
    </row>
    <row r="378">
      <c r="AG378" s="257"/>
    </row>
    <row r="379">
      <c r="AG379" s="257"/>
    </row>
    <row r="380">
      <c r="AG380" s="257"/>
    </row>
    <row r="381">
      <c r="AG381" s="257"/>
    </row>
    <row r="382">
      <c r="AG382" s="257"/>
    </row>
    <row r="383">
      <c r="AG383" s="257"/>
    </row>
    <row r="384">
      <c r="AG384" s="257"/>
    </row>
    <row r="385">
      <c r="AG385" s="257"/>
    </row>
    <row r="386">
      <c r="AG386" s="257"/>
    </row>
    <row r="387">
      <c r="AG387" s="257"/>
    </row>
    <row r="388">
      <c r="AG388" s="257"/>
    </row>
    <row r="389">
      <c r="AG389" s="257"/>
    </row>
    <row r="390">
      <c r="AG390" s="257"/>
    </row>
    <row r="391">
      <c r="AG391" s="257"/>
    </row>
    <row r="392">
      <c r="AG392" s="257"/>
    </row>
    <row r="393">
      <c r="AG393" s="257"/>
    </row>
    <row r="394">
      <c r="AG394" s="257"/>
    </row>
    <row r="395">
      <c r="AG395" s="257"/>
    </row>
    <row r="396">
      <c r="AG396" s="257"/>
    </row>
    <row r="397">
      <c r="AG397" s="257"/>
    </row>
    <row r="398">
      <c r="AG398" s="257"/>
    </row>
    <row r="399">
      <c r="AG399" s="257"/>
    </row>
    <row r="400">
      <c r="AG400" s="257"/>
    </row>
    <row r="401">
      <c r="AG401" s="257"/>
    </row>
    <row r="402">
      <c r="AG402" s="257"/>
    </row>
    <row r="403">
      <c r="AG403" s="257"/>
    </row>
    <row r="404">
      <c r="AG404" s="257"/>
    </row>
    <row r="405">
      <c r="AG405" s="257"/>
    </row>
    <row r="406">
      <c r="AG406" s="257"/>
    </row>
    <row r="407">
      <c r="AG407" s="257"/>
    </row>
    <row r="408">
      <c r="AG408" s="257"/>
    </row>
    <row r="409">
      <c r="AG409" s="257"/>
    </row>
    <row r="410">
      <c r="AG410" s="257"/>
    </row>
    <row r="411">
      <c r="AG411" s="257"/>
    </row>
    <row r="412">
      <c r="AG412" s="257"/>
    </row>
    <row r="413">
      <c r="AG413" s="257"/>
    </row>
    <row r="414">
      <c r="AG414" s="257"/>
    </row>
    <row r="415">
      <c r="AG415" s="257"/>
    </row>
    <row r="416">
      <c r="AG416" s="257"/>
    </row>
    <row r="417">
      <c r="AG417" s="257"/>
    </row>
    <row r="418">
      <c r="AG418" s="257"/>
    </row>
    <row r="419">
      <c r="AG419" s="257"/>
    </row>
    <row r="420">
      <c r="AG420" s="257"/>
    </row>
    <row r="421">
      <c r="AG421" s="257"/>
    </row>
    <row r="422">
      <c r="AG422" s="257"/>
    </row>
    <row r="423">
      <c r="AG423" s="257"/>
    </row>
    <row r="424">
      <c r="AG424" s="257"/>
    </row>
    <row r="425">
      <c r="AG425" s="257"/>
    </row>
    <row r="426">
      <c r="AG426" s="257"/>
    </row>
    <row r="427">
      <c r="AG427" s="257"/>
    </row>
    <row r="428">
      <c r="AG428" s="257"/>
    </row>
    <row r="429">
      <c r="AG429" s="257"/>
    </row>
    <row r="430">
      <c r="AG430" s="257"/>
    </row>
    <row r="431">
      <c r="AG431" s="257"/>
    </row>
    <row r="432">
      <c r="AG432" s="257"/>
    </row>
    <row r="433">
      <c r="AG433" s="257"/>
    </row>
    <row r="434">
      <c r="AG434" s="257"/>
    </row>
    <row r="435">
      <c r="AG435" s="257"/>
    </row>
    <row r="436">
      <c r="AG436" s="257"/>
    </row>
    <row r="437">
      <c r="AG437" s="257"/>
    </row>
    <row r="438">
      <c r="AG438" s="257"/>
    </row>
    <row r="439">
      <c r="AG439" s="257"/>
    </row>
    <row r="440">
      <c r="AG440" s="257"/>
    </row>
    <row r="441">
      <c r="AG441" s="257"/>
    </row>
    <row r="442">
      <c r="AG442" s="257"/>
    </row>
    <row r="443">
      <c r="AG443" s="257"/>
    </row>
    <row r="444">
      <c r="AG444" s="257"/>
    </row>
    <row r="445">
      <c r="AG445" s="257"/>
    </row>
    <row r="446">
      <c r="AG446" s="257"/>
    </row>
    <row r="447">
      <c r="AG447" s="257"/>
    </row>
    <row r="448">
      <c r="AG448" s="257"/>
    </row>
    <row r="449">
      <c r="AG449" s="257"/>
    </row>
    <row r="450">
      <c r="AG450" s="257"/>
    </row>
    <row r="451">
      <c r="AG451" s="257"/>
    </row>
    <row r="452">
      <c r="AG452" s="257"/>
    </row>
    <row r="453">
      <c r="AG453" s="257"/>
    </row>
    <row r="454">
      <c r="AG454" s="257"/>
    </row>
    <row r="455">
      <c r="AG455" s="257"/>
    </row>
    <row r="456">
      <c r="AG456" s="257"/>
    </row>
    <row r="457">
      <c r="AG457" s="257"/>
    </row>
    <row r="458">
      <c r="AG458" s="257"/>
    </row>
    <row r="459">
      <c r="AG459" s="257"/>
    </row>
    <row r="460">
      <c r="AG460" s="257"/>
    </row>
    <row r="461">
      <c r="AG461" s="257"/>
    </row>
    <row r="462">
      <c r="AG462" s="257"/>
    </row>
    <row r="463">
      <c r="AG463" s="257"/>
    </row>
    <row r="464">
      <c r="AG464" s="257"/>
    </row>
    <row r="465">
      <c r="AG465" s="257"/>
    </row>
    <row r="466">
      <c r="AG466" s="257"/>
    </row>
    <row r="467">
      <c r="AG467" s="257"/>
    </row>
    <row r="468">
      <c r="AG468" s="257"/>
    </row>
    <row r="469">
      <c r="AG469" s="257"/>
    </row>
    <row r="470">
      <c r="AG470" s="257"/>
    </row>
    <row r="471">
      <c r="AG471" s="257"/>
    </row>
    <row r="472">
      <c r="AG472" s="257"/>
    </row>
    <row r="473">
      <c r="AG473" s="257"/>
    </row>
    <row r="474">
      <c r="AG474" s="257"/>
    </row>
    <row r="475">
      <c r="AG475" s="257"/>
    </row>
    <row r="476">
      <c r="AG476" s="257"/>
    </row>
    <row r="477">
      <c r="AG477" s="257"/>
    </row>
    <row r="478">
      <c r="AG478" s="257"/>
    </row>
    <row r="479">
      <c r="AG479" s="257"/>
    </row>
    <row r="480">
      <c r="AG480" s="257"/>
    </row>
    <row r="481">
      <c r="AG481" s="257"/>
    </row>
    <row r="482">
      <c r="AG482" s="257"/>
    </row>
    <row r="483">
      <c r="AG483" s="257"/>
    </row>
    <row r="484">
      <c r="AG484" s="257"/>
    </row>
    <row r="485">
      <c r="AG485" s="257"/>
    </row>
    <row r="486">
      <c r="AG486" s="257"/>
    </row>
    <row r="487">
      <c r="AG487" s="257"/>
    </row>
    <row r="488">
      <c r="AG488" s="257"/>
    </row>
    <row r="489">
      <c r="AG489" s="257"/>
    </row>
    <row r="490">
      <c r="AG490" s="257"/>
    </row>
    <row r="491">
      <c r="AG491" s="257"/>
    </row>
    <row r="492">
      <c r="AG492" s="257"/>
    </row>
    <row r="493">
      <c r="AG493" s="257"/>
    </row>
    <row r="494">
      <c r="AG494" s="257"/>
    </row>
    <row r="495">
      <c r="AG495" s="257"/>
    </row>
    <row r="496">
      <c r="AG496" s="257"/>
    </row>
    <row r="497">
      <c r="AG497" s="257"/>
    </row>
    <row r="498">
      <c r="AG498" s="257"/>
    </row>
    <row r="499">
      <c r="AG499" s="257"/>
    </row>
    <row r="500">
      <c r="AG500" s="257"/>
    </row>
    <row r="501">
      <c r="AG501" s="257"/>
    </row>
    <row r="502">
      <c r="AG502" s="257"/>
    </row>
    <row r="503">
      <c r="AG503" s="257"/>
    </row>
    <row r="504">
      <c r="AG504" s="257"/>
    </row>
    <row r="505">
      <c r="AG505" s="257"/>
    </row>
    <row r="506">
      <c r="AG506" s="257"/>
    </row>
    <row r="507">
      <c r="AG507" s="257"/>
    </row>
    <row r="508">
      <c r="AG508" s="257"/>
    </row>
    <row r="509">
      <c r="AG509" s="257"/>
    </row>
    <row r="510">
      <c r="AG510" s="257"/>
    </row>
    <row r="511">
      <c r="AG511" s="257"/>
    </row>
    <row r="512">
      <c r="AG512" s="257"/>
    </row>
    <row r="513">
      <c r="AG513" s="257"/>
    </row>
    <row r="514">
      <c r="AG514" s="257"/>
    </row>
    <row r="515">
      <c r="AG515" s="257"/>
    </row>
    <row r="516">
      <c r="AG516" s="257"/>
    </row>
    <row r="517">
      <c r="AG517" s="257"/>
    </row>
    <row r="518">
      <c r="AG518" s="257"/>
    </row>
    <row r="519">
      <c r="AG519" s="257"/>
    </row>
    <row r="520">
      <c r="AG520" s="257"/>
    </row>
    <row r="521">
      <c r="AG521" s="257"/>
    </row>
    <row r="522">
      <c r="AG522" s="257"/>
    </row>
    <row r="523">
      <c r="AG523" s="257"/>
    </row>
    <row r="524">
      <c r="AG524" s="257"/>
    </row>
    <row r="525">
      <c r="AG525" s="257"/>
    </row>
    <row r="526">
      <c r="AG526" s="257"/>
    </row>
    <row r="527">
      <c r="AG527" s="257"/>
    </row>
    <row r="528">
      <c r="AG528" s="257"/>
    </row>
    <row r="529">
      <c r="AG529" s="257"/>
    </row>
    <row r="530">
      <c r="AG530" s="257"/>
    </row>
    <row r="531">
      <c r="AG531" s="257"/>
    </row>
    <row r="532">
      <c r="AG532" s="257"/>
    </row>
    <row r="533">
      <c r="AG533" s="257"/>
    </row>
    <row r="534">
      <c r="AG534" s="257"/>
    </row>
    <row r="535">
      <c r="AG535" s="257"/>
    </row>
    <row r="536">
      <c r="AG536" s="257"/>
    </row>
    <row r="537">
      <c r="AG537" s="257"/>
    </row>
    <row r="538">
      <c r="AG538" s="257"/>
    </row>
    <row r="539">
      <c r="AG539" s="257"/>
    </row>
    <row r="540">
      <c r="AG540" s="257"/>
    </row>
    <row r="541">
      <c r="AG541" s="257"/>
    </row>
    <row r="542">
      <c r="AG542" s="257"/>
    </row>
    <row r="543">
      <c r="AG543" s="257"/>
    </row>
    <row r="544">
      <c r="AG544" s="257"/>
    </row>
    <row r="545">
      <c r="AG545" s="257"/>
    </row>
    <row r="546">
      <c r="AG546" s="257"/>
    </row>
    <row r="547">
      <c r="AG547" s="257"/>
    </row>
    <row r="548">
      <c r="AG548" s="257"/>
    </row>
    <row r="549">
      <c r="AG549" s="257"/>
    </row>
    <row r="550">
      <c r="AG550" s="257"/>
    </row>
    <row r="551">
      <c r="AG551" s="257"/>
    </row>
    <row r="552">
      <c r="AG552" s="257"/>
    </row>
    <row r="553">
      <c r="AG553" s="257"/>
    </row>
    <row r="554">
      <c r="AG554" s="257"/>
    </row>
    <row r="555">
      <c r="AG555" s="257"/>
    </row>
    <row r="556">
      <c r="AG556" s="257"/>
    </row>
    <row r="557">
      <c r="AG557" s="257"/>
    </row>
    <row r="558">
      <c r="AG558" s="257"/>
    </row>
    <row r="559">
      <c r="AG559" s="257"/>
    </row>
    <row r="560">
      <c r="AG560" s="257"/>
    </row>
    <row r="561">
      <c r="AG561" s="257"/>
    </row>
    <row r="562">
      <c r="AG562" s="257"/>
    </row>
    <row r="563">
      <c r="AG563" s="257"/>
    </row>
    <row r="564">
      <c r="AG564" s="257"/>
    </row>
    <row r="565">
      <c r="AG565" s="257"/>
    </row>
    <row r="566">
      <c r="AG566" s="257"/>
    </row>
    <row r="567">
      <c r="AG567" s="257"/>
    </row>
    <row r="568">
      <c r="AG568" s="257"/>
    </row>
    <row r="569">
      <c r="AG569" s="257"/>
    </row>
    <row r="570">
      <c r="AG570" s="257"/>
    </row>
    <row r="571">
      <c r="AG571" s="257"/>
    </row>
    <row r="572">
      <c r="AG572" s="257"/>
    </row>
    <row r="573">
      <c r="AG573" s="257"/>
    </row>
    <row r="574">
      <c r="AG574" s="257"/>
    </row>
    <row r="575">
      <c r="AG575" s="257"/>
    </row>
    <row r="576">
      <c r="AG576" s="257"/>
    </row>
    <row r="577">
      <c r="AG577" s="257"/>
    </row>
    <row r="578">
      <c r="AG578" s="257"/>
    </row>
    <row r="579">
      <c r="AG579" s="257"/>
    </row>
    <row r="580">
      <c r="AG580" s="257"/>
    </row>
    <row r="581">
      <c r="AG581" s="257"/>
    </row>
    <row r="582">
      <c r="AG582" s="257"/>
    </row>
    <row r="583">
      <c r="AG583" s="257"/>
    </row>
    <row r="584">
      <c r="AG584" s="257"/>
    </row>
    <row r="585">
      <c r="AG585" s="257"/>
    </row>
    <row r="586">
      <c r="AG586" s="257"/>
    </row>
    <row r="587">
      <c r="AG587" s="257"/>
    </row>
    <row r="588">
      <c r="AG588" s="257"/>
    </row>
    <row r="589">
      <c r="AG589" s="257"/>
    </row>
    <row r="590">
      <c r="AG590" s="257"/>
    </row>
    <row r="591">
      <c r="AG591" s="257"/>
    </row>
    <row r="592">
      <c r="AG592" s="257"/>
    </row>
    <row r="593">
      <c r="AG593" s="257"/>
    </row>
    <row r="594">
      <c r="AG594" s="257"/>
    </row>
    <row r="595">
      <c r="AG595" s="257"/>
    </row>
    <row r="596">
      <c r="AG596" s="257"/>
    </row>
    <row r="597">
      <c r="AG597" s="257"/>
    </row>
    <row r="598">
      <c r="AG598" s="257"/>
    </row>
    <row r="599">
      <c r="AG599" s="257"/>
    </row>
    <row r="600">
      <c r="AG600" s="257"/>
    </row>
    <row r="601">
      <c r="AG601" s="257"/>
    </row>
    <row r="602">
      <c r="AG602" s="257"/>
    </row>
    <row r="603">
      <c r="AG603" s="257"/>
    </row>
    <row r="604">
      <c r="AG604" s="257"/>
    </row>
    <row r="605">
      <c r="AG605" s="257"/>
    </row>
    <row r="606">
      <c r="AG606" s="257"/>
    </row>
    <row r="607">
      <c r="AG607" s="257"/>
    </row>
    <row r="608">
      <c r="AG608" s="257"/>
    </row>
    <row r="609">
      <c r="AG609" s="257"/>
    </row>
    <row r="610">
      <c r="AG610" s="257"/>
    </row>
    <row r="611">
      <c r="AG611" s="257"/>
    </row>
    <row r="612">
      <c r="AG612" s="257"/>
    </row>
    <row r="613">
      <c r="AG613" s="257"/>
    </row>
    <row r="614">
      <c r="AG614" s="257"/>
    </row>
    <row r="615">
      <c r="AG615" s="257"/>
    </row>
    <row r="616">
      <c r="AG616" s="257"/>
    </row>
    <row r="617">
      <c r="AG617" s="257"/>
    </row>
    <row r="618">
      <c r="AG618" s="257"/>
    </row>
    <row r="619">
      <c r="AG619" s="257"/>
    </row>
    <row r="620">
      <c r="AG620" s="257"/>
    </row>
    <row r="621">
      <c r="AG621" s="257"/>
    </row>
    <row r="622">
      <c r="AG622" s="257"/>
    </row>
    <row r="623">
      <c r="AG623" s="257"/>
    </row>
    <row r="624">
      <c r="AG624" s="257"/>
    </row>
    <row r="625">
      <c r="AG625" s="257"/>
    </row>
    <row r="626">
      <c r="AG626" s="257"/>
    </row>
    <row r="627">
      <c r="AG627" s="257"/>
    </row>
    <row r="628">
      <c r="AG628" s="257"/>
    </row>
    <row r="629">
      <c r="AG629" s="257"/>
    </row>
    <row r="630">
      <c r="AG630" s="257"/>
    </row>
    <row r="631">
      <c r="AG631" s="257"/>
    </row>
    <row r="632">
      <c r="AG632" s="257"/>
    </row>
    <row r="633">
      <c r="AG633" s="257"/>
    </row>
    <row r="634">
      <c r="AG634" s="257"/>
    </row>
    <row r="635">
      <c r="AG635" s="257"/>
    </row>
    <row r="636">
      <c r="AG636" s="257"/>
    </row>
    <row r="637">
      <c r="AG637" s="257"/>
    </row>
    <row r="638">
      <c r="AG638" s="257"/>
    </row>
    <row r="639">
      <c r="AG639" s="257"/>
    </row>
    <row r="640">
      <c r="AG640" s="257"/>
    </row>
    <row r="641">
      <c r="AG641" s="257"/>
    </row>
    <row r="642">
      <c r="AG642" s="257"/>
    </row>
    <row r="643">
      <c r="AG643" s="257"/>
    </row>
    <row r="644">
      <c r="AG644" s="257"/>
    </row>
    <row r="645">
      <c r="AG645" s="257"/>
    </row>
    <row r="646">
      <c r="AG646" s="257"/>
    </row>
    <row r="647">
      <c r="AG647" s="257"/>
    </row>
    <row r="648">
      <c r="AG648" s="257"/>
    </row>
    <row r="649">
      <c r="AG649" s="257"/>
    </row>
    <row r="650">
      <c r="AG650" s="257"/>
    </row>
    <row r="651">
      <c r="AG651" s="257"/>
    </row>
    <row r="652">
      <c r="AG652" s="257"/>
    </row>
    <row r="653">
      <c r="AG653" s="257"/>
    </row>
    <row r="654">
      <c r="AG654" s="257"/>
    </row>
    <row r="655">
      <c r="AG655" s="257"/>
    </row>
    <row r="656">
      <c r="AG656" s="257"/>
    </row>
    <row r="657">
      <c r="AG657" s="257"/>
    </row>
    <row r="658">
      <c r="AG658" s="257"/>
    </row>
    <row r="659">
      <c r="AG659" s="257"/>
    </row>
    <row r="660">
      <c r="AG660" s="257"/>
    </row>
    <row r="661">
      <c r="AG661" s="257"/>
    </row>
    <row r="662">
      <c r="AG662" s="257"/>
    </row>
    <row r="663">
      <c r="AG663" s="257"/>
    </row>
    <row r="664">
      <c r="AG664" s="257"/>
    </row>
    <row r="665">
      <c r="AG665" s="257"/>
    </row>
    <row r="666">
      <c r="AG666" s="257"/>
    </row>
    <row r="667">
      <c r="AG667" s="257"/>
    </row>
    <row r="668">
      <c r="AG668" s="257"/>
    </row>
    <row r="669">
      <c r="AG669" s="257"/>
    </row>
    <row r="670">
      <c r="AG670" s="257"/>
    </row>
    <row r="671">
      <c r="AG671" s="257"/>
    </row>
    <row r="672">
      <c r="AG672" s="257"/>
    </row>
    <row r="673">
      <c r="AG673" s="257"/>
    </row>
    <row r="674">
      <c r="AG674" s="257"/>
    </row>
    <row r="675">
      <c r="AG675" s="257"/>
    </row>
    <row r="676">
      <c r="AG676" s="257"/>
    </row>
    <row r="677">
      <c r="AG677" s="257"/>
    </row>
    <row r="678">
      <c r="AG678" s="257"/>
    </row>
    <row r="679">
      <c r="AG679" s="257"/>
    </row>
    <row r="680">
      <c r="AG680" s="257"/>
    </row>
    <row r="681">
      <c r="AG681" s="257"/>
    </row>
    <row r="682">
      <c r="AG682" s="257"/>
    </row>
    <row r="683">
      <c r="AG683" s="257"/>
    </row>
    <row r="684">
      <c r="AG684" s="257"/>
    </row>
    <row r="685">
      <c r="AG685" s="257"/>
    </row>
    <row r="686">
      <c r="AG686" s="257"/>
    </row>
    <row r="687">
      <c r="AG687" s="257"/>
    </row>
    <row r="688">
      <c r="AG688" s="257"/>
    </row>
    <row r="689">
      <c r="AG689" s="257"/>
    </row>
    <row r="690">
      <c r="AG690" s="257"/>
    </row>
    <row r="691">
      <c r="AG691" s="257"/>
    </row>
    <row r="692">
      <c r="AG692" s="257"/>
    </row>
    <row r="693">
      <c r="AG693" s="257"/>
    </row>
    <row r="694">
      <c r="AG694" s="257"/>
    </row>
    <row r="695">
      <c r="AG695" s="257"/>
    </row>
    <row r="696">
      <c r="AG696" s="257"/>
    </row>
    <row r="697">
      <c r="AG697" s="257"/>
    </row>
    <row r="698">
      <c r="AG698" s="257"/>
    </row>
    <row r="699">
      <c r="AG699" s="257"/>
    </row>
    <row r="700">
      <c r="AG700" s="257"/>
    </row>
    <row r="701">
      <c r="AG701" s="257"/>
    </row>
    <row r="702">
      <c r="AG702" s="257"/>
    </row>
    <row r="703">
      <c r="AG703" s="257"/>
    </row>
    <row r="704">
      <c r="AG704" s="257"/>
    </row>
    <row r="705">
      <c r="AG705" s="257"/>
    </row>
    <row r="706">
      <c r="AG706" s="257"/>
    </row>
    <row r="707">
      <c r="AG707" s="257"/>
    </row>
    <row r="708">
      <c r="AG708" s="257"/>
    </row>
    <row r="709">
      <c r="AG709" s="257"/>
    </row>
    <row r="710">
      <c r="AG710" s="257"/>
    </row>
    <row r="711">
      <c r="AG711" s="257"/>
    </row>
    <row r="712">
      <c r="AG712" s="257"/>
    </row>
    <row r="713">
      <c r="AG713" s="257"/>
    </row>
    <row r="714">
      <c r="AG714" s="257"/>
    </row>
    <row r="715">
      <c r="AG715" s="257"/>
    </row>
    <row r="716">
      <c r="AG716" s="257"/>
    </row>
    <row r="717">
      <c r="AG717" s="257"/>
    </row>
    <row r="718">
      <c r="AG718" s="257"/>
    </row>
    <row r="719">
      <c r="AG719" s="257"/>
    </row>
    <row r="720">
      <c r="AG720" s="257"/>
    </row>
    <row r="721">
      <c r="AG721" s="257"/>
    </row>
    <row r="722">
      <c r="AG722" s="257"/>
    </row>
    <row r="723">
      <c r="AG723" s="257"/>
    </row>
    <row r="724">
      <c r="AG724" s="257"/>
    </row>
    <row r="725">
      <c r="AG725" s="257"/>
    </row>
    <row r="726">
      <c r="AG726" s="257"/>
    </row>
    <row r="727">
      <c r="AG727" s="257"/>
    </row>
    <row r="728">
      <c r="AG728" s="257"/>
    </row>
    <row r="729">
      <c r="AG729" s="257"/>
    </row>
    <row r="730">
      <c r="AG730" s="257"/>
    </row>
    <row r="731">
      <c r="AG731" s="257"/>
    </row>
    <row r="732">
      <c r="AG732" s="257"/>
    </row>
    <row r="733">
      <c r="AG733" s="257"/>
    </row>
    <row r="734">
      <c r="AG734" s="257"/>
    </row>
    <row r="735">
      <c r="AG735" s="257"/>
    </row>
    <row r="736">
      <c r="AG736" s="257"/>
    </row>
    <row r="737">
      <c r="AG737" s="257"/>
    </row>
    <row r="738">
      <c r="AG738" s="257"/>
    </row>
    <row r="739">
      <c r="AG739" s="257"/>
    </row>
    <row r="740">
      <c r="AG740" s="257"/>
    </row>
    <row r="741">
      <c r="AG741" s="257"/>
    </row>
    <row r="742">
      <c r="AG742" s="257"/>
    </row>
    <row r="743">
      <c r="AG743" s="257"/>
    </row>
    <row r="744">
      <c r="AG744" s="257"/>
    </row>
    <row r="745">
      <c r="AG745" s="257"/>
    </row>
    <row r="746">
      <c r="AG746" s="257"/>
    </row>
    <row r="747">
      <c r="AG747" s="257"/>
    </row>
    <row r="748">
      <c r="AG748" s="257"/>
    </row>
    <row r="749">
      <c r="AG749" s="257"/>
    </row>
    <row r="750">
      <c r="AG750" s="257"/>
    </row>
    <row r="751">
      <c r="AG751" s="257"/>
    </row>
    <row r="752">
      <c r="AG752" s="257"/>
    </row>
    <row r="753">
      <c r="AG753" s="257"/>
    </row>
    <row r="754">
      <c r="AG754" s="257"/>
    </row>
    <row r="755">
      <c r="AG755" s="257"/>
    </row>
    <row r="756">
      <c r="AG756" s="257"/>
    </row>
    <row r="757">
      <c r="AG757" s="257"/>
    </row>
    <row r="758">
      <c r="AG758" s="257"/>
    </row>
    <row r="759">
      <c r="AG759" s="257"/>
    </row>
    <row r="760">
      <c r="AG760" s="257"/>
    </row>
    <row r="761">
      <c r="AG761" s="257"/>
    </row>
    <row r="762">
      <c r="AG762" s="257"/>
    </row>
    <row r="763">
      <c r="AG763" s="257"/>
    </row>
    <row r="764">
      <c r="AG764" s="257"/>
    </row>
    <row r="765">
      <c r="AG765" s="257"/>
    </row>
    <row r="766">
      <c r="AG766" s="257"/>
    </row>
    <row r="767">
      <c r="AG767" s="257"/>
    </row>
    <row r="768">
      <c r="AG768" s="257"/>
    </row>
    <row r="769">
      <c r="AG769" s="257"/>
    </row>
    <row r="770">
      <c r="AG770" s="257"/>
    </row>
    <row r="771">
      <c r="AG771" s="257"/>
    </row>
    <row r="772">
      <c r="AG772" s="257"/>
    </row>
    <row r="773">
      <c r="AG773" s="257"/>
    </row>
    <row r="774">
      <c r="AG774" s="257"/>
    </row>
    <row r="775">
      <c r="AG775" s="257"/>
    </row>
    <row r="776">
      <c r="AG776" s="257"/>
    </row>
    <row r="777">
      <c r="AG777" s="257"/>
    </row>
    <row r="778">
      <c r="AG778" s="257"/>
    </row>
    <row r="779">
      <c r="AG779" s="257"/>
    </row>
    <row r="780">
      <c r="AG780" s="25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394" t="s">
        <v>104</v>
      </c>
      <c r="B1" s="80">
        <v>45352.0</v>
      </c>
      <c r="C1" s="80">
        <v>45353.0</v>
      </c>
      <c r="D1" s="80">
        <v>45354.0</v>
      </c>
      <c r="E1" s="80">
        <v>45355.0</v>
      </c>
      <c r="F1" s="80">
        <v>45356.0</v>
      </c>
      <c r="G1" s="80">
        <v>45357.0</v>
      </c>
      <c r="H1" s="80">
        <v>45358.0</v>
      </c>
      <c r="I1" s="80">
        <v>45359.0</v>
      </c>
      <c r="J1" s="80">
        <v>45360.0</v>
      </c>
      <c r="K1" s="80">
        <v>45361.0</v>
      </c>
      <c r="L1" s="80">
        <v>45362.0</v>
      </c>
      <c r="M1" s="80">
        <v>45363.0</v>
      </c>
      <c r="N1" s="80">
        <v>45364.0</v>
      </c>
      <c r="O1" s="80">
        <v>45365.0</v>
      </c>
      <c r="P1" s="80">
        <v>45366.0</v>
      </c>
      <c r="Q1" s="80">
        <v>45367.0</v>
      </c>
      <c r="R1" s="80">
        <v>45368.0</v>
      </c>
      <c r="S1" s="80">
        <v>45369.0</v>
      </c>
      <c r="T1" s="80">
        <v>45370.0</v>
      </c>
      <c r="U1" s="80">
        <v>45371.0</v>
      </c>
      <c r="V1" s="80">
        <v>45372.0</v>
      </c>
      <c r="W1" s="80">
        <v>45373.0</v>
      </c>
      <c r="X1" s="80">
        <v>45374.0</v>
      </c>
      <c r="Y1" s="80">
        <v>45375.0</v>
      </c>
      <c r="Z1" s="80">
        <v>45376.0</v>
      </c>
      <c r="AA1" s="80">
        <v>45377.0</v>
      </c>
      <c r="AB1" s="80">
        <v>45378.0</v>
      </c>
      <c r="AC1" s="80">
        <v>45379.0</v>
      </c>
      <c r="AD1" s="80">
        <v>45380.0</v>
      </c>
      <c r="AE1" s="80">
        <v>45381.0</v>
      </c>
      <c r="AF1" s="80">
        <v>45382.0</v>
      </c>
      <c r="AG1" s="395"/>
    </row>
    <row r="2">
      <c r="A2" s="82" t="s">
        <v>105</v>
      </c>
      <c r="B2" s="83" t="s">
        <v>0</v>
      </c>
      <c r="C2" s="83" t="s">
        <v>1</v>
      </c>
      <c r="D2" s="83" t="s">
        <v>2</v>
      </c>
      <c r="E2" s="83" t="s">
        <v>3</v>
      </c>
      <c r="F2" s="83" t="s">
        <v>4</v>
      </c>
      <c r="G2" s="83" t="s">
        <v>5</v>
      </c>
      <c r="H2" s="83" t="s">
        <v>6</v>
      </c>
      <c r="I2" s="83" t="s">
        <v>0</v>
      </c>
      <c r="J2" s="83" t="s">
        <v>1</v>
      </c>
      <c r="K2" s="83" t="s">
        <v>2</v>
      </c>
      <c r="L2" s="83" t="s">
        <v>3</v>
      </c>
      <c r="M2" s="83" t="s">
        <v>4</v>
      </c>
      <c r="N2" s="83" t="s">
        <v>5</v>
      </c>
      <c r="O2" s="83" t="s">
        <v>6</v>
      </c>
      <c r="P2" s="83" t="s">
        <v>0</v>
      </c>
      <c r="Q2" s="83" t="s">
        <v>1</v>
      </c>
      <c r="R2" s="83" t="s">
        <v>2</v>
      </c>
      <c r="S2" s="83" t="s">
        <v>3</v>
      </c>
      <c r="T2" s="83" t="s">
        <v>4</v>
      </c>
      <c r="U2" s="83" t="s">
        <v>5</v>
      </c>
      <c r="V2" s="83" t="s">
        <v>6</v>
      </c>
      <c r="W2" s="83" t="s">
        <v>0</v>
      </c>
      <c r="X2" s="83" t="s">
        <v>1</v>
      </c>
      <c r="Y2" s="83" t="s">
        <v>2</v>
      </c>
      <c r="Z2" s="83" t="s">
        <v>3</v>
      </c>
      <c r="AA2" s="83" t="s">
        <v>4</v>
      </c>
      <c r="AB2" s="83" t="s">
        <v>5</v>
      </c>
      <c r="AC2" s="83" t="s">
        <v>6</v>
      </c>
      <c r="AD2" s="83" t="s">
        <v>0</v>
      </c>
      <c r="AE2" s="83" t="s">
        <v>1</v>
      </c>
      <c r="AF2" s="83" t="s">
        <v>2</v>
      </c>
      <c r="AG2" s="395"/>
    </row>
    <row r="3" ht="30.0" customHeight="1">
      <c r="A3" s="396" t="s">
        <v>628</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397"/>
    </row>
    <row r="4">
      <c r="A4" s="136" t="s">
        <v>90</v>
      </c>
      <c r="B4" s="137">
        <f>Summary!B23</f>
        <v>403.310772</v>
      </c>
      <c r="C4" s="137">
        <f>Summary!C23</f>
        <v>222.883386</v>
      </c>
      <c r="D4" s="137">
        <f>Summary!D23</f>
        <v>0</v>
      </c>
      <c r="E4" s="137">
        <f>Summary!E23</f>
        <v>0</v>
      </c>
      <c r="F4" s="137">
        <f>Summary!F23</f>
        <v>0</v>
      </c>
      <c r="G4" s="137">
        <f>Summary!G23</f>
        <v>222.883386</v>
      </c>
      <c r="H4" s="137">
        <f>Summary!H23</f>
        <v>0</v>
      </c>
      <c r="I4" s="137">
        <f>Summary!I23</f>
        <v>445.766772</v>
      </c>
      <c r="J4" s="137">
        <f>Summary!J23</f>
        <v>0</v>
      </c>
      <c r="K4" s="137">
        <f>Summary!K23</f>
        <v>1071.96093</v>
      </c>
      <c r="L4" s="137">
        <f>Summary!L23</f>
        <v>222.883386</v>
      </c>
      <c r="M4" s="137">
        <f>Summary!M23</f>
        <v>222.883386</v>
      </c>
      <c r="N4" s="137">
        <f>Summary!N23</f>
        <v>0</v>
      </c>
      <c r="O4" s="137">
        <f>Summary!O23</f>
        <v>0</v>
      </c>
      <c r="P4" s="137">
        <f>Summary!P23</f>
        <v>0</v>
      </c>
      <c r="Q4" s="137">
        <f>Summary!Q23</f>
        <v>0</v>
      </c>
      <c r="R4" s="137">
        <f>Summary!R23</f>
        <v>0</v>
      </c>
      <c r="S4" s="137">
        <f>Summary!S23</f>
        <v>0</v>
      </c>
      <c r="T4" s="137">
        <f>Summary!T23</f>
        <v>0</v>
      </c>
      <c r="U4" s="137">
        <f>Summary!U23</f>
        <v>0</v>
      </c>
      <c r="V4" s="137">
        <f>Summary!V23</f>
        <v>0</v>
      </c>
      <c r="W4" s="137">
        <f>Summary!W23</f>
        <v>0</v>
      </c>
      <c r="X4" s="137">
        <f>Summary!X23</f>
        <v>0</v>
      </c>
      <c r="Y4" s="137">
        <f>Summary!Y23</f>
        <v>0</v>
      </c>
      <c r="Z4" s="137">
        <f>Summary!Z23</f>
        <v>0</v>
      </c>
      <c r="AA4" s="137">
        <f>Summary!AA23</f>
        <v>0</v>
      </c>
      <c r="AB4" s="137">
        <f>Summary!AB23</f>
        <v>0</v>
      </c>
      <c r="AC4" s="137">
        <f>Summary!AC23</f>
        <v>318.409386</v>
      </c>
      <c r="AD4" s="137">
        <f>Summary!AD23</f>
        <v>0</v>
      </c>
      <c r="AE4" s="137">
        <f>Summary!AE23</f>
        <v>0</v>
      </c>
      <c r="AF4" s="137">
        <f>Summary!AF23</f>
        <v>0</v>
      </c>
      <c r="AG4" s="95">
        <f t="shared" ref="AG4:AG8" si="1">SUM(B4:AF4)</f>
        <v>3130.981404</v>
      </c>
    </row>
    <row r="5" outlineLevel="1">
      <c r="A5" s="398" t="s">
        <v>121</v>
      </c>
      <c r="B5" s="399"/>
      <c r="C5" s="399"/>
      <c r="D5" s="399"/>
      <c r="E5" s="399"/>
      <c r="F5" s="399"/>
      <c r="G5" s="399"/>
      <c r="H5" s="399"/>
      <c r="I5" s="399"/>
      <c r="J5" s="399"/>
      <c r="K5" s="399"/>
      <c r="L5" s="399"/>
      <c r="M5" s="399"/>
      <c r="N5" s="399"/>
      <c r="O5" s="399"/>
      <c r="P5" s="399"/>
      <c r="Q5" s="399"/>
      <c r="R5" s="399"/>
      <c r="S5" s="399"/>
      <c r="T5" s="399"/>
      <c r="U5" s="399"/>
      <c r="V5" s="399"/>
      <c r="W5" s="399"/>
      <c r="X5" s="399"/>
      <c r="Y5" s="399"/>
      <c r="Z5" s="399"/>
      <c r="AA5" s="399"/>
      <c r="AB5" s="399"/>
      <c r="AC5" s="399"/>
      <c r="AD5" s="399"/>
      <c r="AE5" s="399"/>
      <c r="AF5" s="399"/>
      <c r="AG5" s="95">
        <f t="shared" si="1"/>
        <v>0</v>
      </c>
    </row>
    <row r="6" outlineLevel="1">
      <c r="A6" s="400" t="s">
        <v>42</v>
      </c>
      <c r="B6" s="137">
        <f>Summary!B25</f>
        <v>23.330772</v>
      </c>
      <c r="C6" s="137">
        <f>Summary!C25</f>
        <v>12.893386</v>
      </c>
      <c r="D6" s="137">
        <f>Summary!D25</f>
        <v>0</v>
      </c>
      <c r="E6" s="137">
        <f>Summary!E25</f>
        <v>0</v>
      </c>
      <c r="F6" s="137">
        <f>Summary!F25</f>
        <v>0</v>
      </c>
      <c r="G6" s="137">
        <f>Summary!G25</f>
        <v>12.893386</v>
      </c>
      <c r="H6" s="137">
        <f>Summary!H25</f>
        <v>0</v>
      </c>
      <c r="I6" s="137">
        <f>Summary!I25</f>
        <v>25.786772</v>
      </c>
      <c r="J6" s="137">
        <f>Summary!J25</f>
        <v>0</v>
      </c>
      <c r="K6" s="137">
        <f>Summary!K25</f>
        <v>62.01093</v>
      </c>
      <c r="L6" s="137">
        <f>Summary!L25</f>
        <v>12.893386</v>
      </c>
      <c r="M6" s="137">
        <f>Summary!M25</f>
        <v>12.893386</v>
      </c>
      <c r="N6" s="137">
        <f>Summary!N25</f>
        <v>0</v>
      </c>
      <c r="O6" s="137">
        <f>Summary!O25</f>
        <v>0</v>
      </c>
      <c r="P6" s="137">
        <f>Summary!P25</f>
        <v>0</v>
      </c>
      <c r="Q6" s="137">
        <f>Summary!Q25</f>
        <v>0</v>
      </c>
      <c r="R6" s="137">
        <f>Summary!R25</f>
        <v>0</v>
      </c>
      <c r="S6" s="137">
        <f>Summary!S25</f>
        <v>0</v>
      </c>
      <c r="T6" s="137">
        <f>Summary!T25</f>
        <v>0</v>
      </c>
      <c r="U6" s="137">
        <f>Summary!U25</f>
        <v>0</v>
      </c>
      <c r="V6" s="137">
        <f>Summary!V25</f>
        <v>0</v>
      </c>
      <c r="W6" s="137">
        <f>Summary!W25</f>
        <v>0</v>
      </c>
      <c r="X6" s="137">
        <f>Summary!X25</f>
        <v>0</v>
      </c>
      <c r="Y6" s="137">
        <f>Summary!Y25</f>
        <v>0</v>
      </c>
      <c r="Z6" s="137">
        <f>Summary!Z25</f>
        <v>0</v>
      </c>
      <c r="AA6" s="137">
        <f>Summary!AA25</f>
        <v>0</v>
      </c>
      <c r="AB6" s="137">
        <f>Summary!AB25</f>
        <v>0</v>
      </c>
      <c r="AC6" s="137">
        <f>Summary!AC25</f>
        <v>18.419386</v>
      </c>
      <c r="AD6" s="137">
        <f>Summary!AD25</f>
        <v>0</v>
      </c>
      <c r="AE6" s="137">
        <f>Summary!AE25</f>
        <v>0</v>
      </c>
      <c r="AF6" s="137">
        <f>Summary!AF25</f>
        <v>0</v>
      </c>
      <c r="AG6" s="95">
        <f t="shared" si="1"/>
        <v>181.121404</v>
      </c>
    </row>
    <row r="7" outlineLevel="1">
      <c r="A7" s="400" t="s">
        <v>629</v>
      </c>
      <c r="B7" s="137" t="str">
        <f>Summary!B26</f>
        <v/>
      </c>
      <c r="C7" s="137" t="str">
        <f>Summary!C26</f>
        <v/>
      </c>
      <c r="D7" s="137" t="str">
        <f>Summary!D26</f>
        <v/>
      </c>
      <c r="E7" s="137" t="str">
        <f>Summary!E26</f>
        <v/>
      </c>
      <c r="F7" s="137" t="str">
        <f>Summary!F26</f>
        <v/>
      </c>
      <c r="G7" s="137" t="str">
        <f>Summary!G26</f>
        <v/>
      </c>
      <c r="H7" s="137" t="str">
        <f>Summary!H26</f>
        <v/>
      </c>
      <c r="I7" s="137" t="str">
        <f>Summary!I26</f>
        <v/>
      </c>
      <c r="J7" s="137" t="str">
        <f>Summary!J26</f>
        <v/>
      </c>
      <c r="K7" s="137" t="str">
        <f>Summary!K26</f>
        <v/>
      </c>
      <c r="L7" s="137" t="str">
        <f>Summary!L26</f>
        <v/>
      </c>
      <c r="M7" s="137" t="str">
        <f>Summary!M26</f>
        <v/>
      </c>
      <c r="N7" s="137" t="str">
        <f>Summary!N26</f>
        <v/>
      </c>
      <c r="O7" s="137" t="str">
        <f>Summary!O26</f>
        <v/>
      </c>
      <c r="P7" s="137" t="str">
        <f>Summary!P26</f>
        <v/>
      </c>
      <c r="Q7" s="137" t="str">
        <f>Summary!Q26</f>
        <v/>
      </c>
      <c r="R7" s="137" t="str">
        <f>Summary!R26</f>
        <v/>
      </c>
      <c r="S7" s="137" t="str">
        <f>Summary!S26</f>
        <v/>
      </c>
      <c r="T7" s="137" t="str">
        <f>Summary!T26</f>
        <v/>
      </c>
      <c r="U7" s="137" t="str">
        <f>Summary!U26</f>
        <v/>
      </c>
      <c r="V7" s="137" t="str">
        <f>Summary!V26</f>
        <v/>
      </c>
      <c r="W7" s="137" t="str">
        <f>Summary!W26</f>
        <v/>
      </c>
      <c r="X7" s="137" t="str">
        <f>Summary!X26</f>
        <v/>
      </c>
      <c r="Y7" s="137" t="str">
        <f>Summary!Y26</f>
        <v/>
      </c>
      <c r="Z7" s="137" t="str">
        <f>Summary!Z26</f>
        <v/>
      </c>
      <c r="AA7" s="137" t="str">
        <f>Summary!AA26</f>
        <v/>
      </c>
      <c r="AB7" s="137" t="str">
        <f>Summary!AB26</f>
        <v/>
      </c>
      <c r="AC7" s="137" t="str">
        <f>Summary!AC26</f>
        <v/>
      </c>
      <c r="AD7" s="137" t="str">
        <f>Summary!AD26</f>
        <v/>
      </c>
      <c r="AE7" s="137"/>
      <c r="AF7" s="137"/>
      <c r="AG7" s="95">
        <f t="shared" si="1"/>
        <v>0</v>
      </c>
    </row>
    <row r="8">
      <c r="A8" s="136" t="s">
        <v>97</v>
      </c>
      <c r="B8" s="160">
        <f>Summary!B62</f>
        <v>2</v>
      </c>
      <c r="C8" s="160">
        <f>Summary!C62</f>
        <v>1</v>
      </c>
      <c r="D8" s="160">
        <f>Summary!D62</f>
        <v>0</v>
      </c>
      <c r="E8" s="160">
        <f>Summary!E62</f>
        <v>0</v>
      </c>
      <c r="F8" s="160">
        <f>Summary!F62</f>
        <v>0</v>
      </c>
      <c r="G8" s="160">
        <f>Summary!G62</f>
        <v>1</v>
      </c>
      <c r="H8" s="160">
        <f>Summary!H62</f>
        <v>0</v>
      </c>
      <c r="I8" s="160">
        <f>Summary!I62</f>
        <v>2</v>
      </c>
      <c r="J8" s="160">
        <f>Summary!J62</f>
        <v>0</v>
      </c>
      <c r="K8" s="160">
        <f>Summary!K62</f>
        <v>5</v>
      </c>
      <c r="L8" s="160">
        <f>Summary!L62</f>
        <v>1</v>
      </c>
      <c r="M8" s="160">
        <f>Summary!M62</f>
        <v>1</v>
      </c>
      <c r="N8" s="160">
        <f>Summary!N62</f>
        <v>0</v>
      </c>
      <c r="O8" s="160">
        <f>Summary!O62</f>
        <v>0</v>
      </c>
      <c r="P8" s="160">
        <f>Summary!P62</f>
        <v>0</v>
      </c>
      <c r="Q8" s="160">
        <f>Summary!Q62</f>
        <v>0</v>
      </c>
      <c r="R8" s="160">
        <f>Summary!R62</f>
        <v>0</v>
      </c>
      <c r="S8" s="160">
        <f>Summary!S62</f>
        <v>0</v>
      </c>
      <c r="T8" s="160">
        <f>Summary!T62</f>
        <v>0</v>
      </c>
      <c r="U8" s="160">
        <f>Summary!U62</f>
        <v>0</v>
      </c>
      <c r="V8" s="160">
        <f>Summary!V62</f>
        <v>0</v>
      </c>
      <c r="W8" s="160">
        <f>Summary!W62</f>
        <v>0</v>
      </c>
      <c r="X8" s="160">
        <f>Summary!X62</f>
        <v>0</v>
      </c>
      <c r="Y8" s="160">
        <f>Summary!Y62</f>
        <v>0</v>
      </c>
      <c r="Z8" s="160">
        <f>Summary!Z62</f>
        <v>0</v>
      </c>
      <c r="AA8" s="160">
        <f>Summary!AA62</f>
        <v>0</v>
      </c>
      <c r="AB8" s="160">
        <f>Summary!AB62</f>
        <v>0</v>
      </c>
      <c r="AC8" s="160">
        <f>Summary!AC62</f>
        <v>1</v>
      </c>
      <c r="AD8" s="160">
        <f>Summary!AD62</f>
        <v>0</v>
      </c>
      <c r="AE8" s="160">
        <f>Summary!AE62</f>
        <v>0</v>
      </c>
      <c r="AF8" s="160">
        <f>Summary!AF62</f>
        <v>0</v>
      </c>
      <c r="AG8" s="95">
        <f t="shared" si="1"/>
        <v>14</v>
      </c>
    </row>
    <row r="9">
      <c r="A9" s="100"/>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401"/>
    </row>
    <row r="10">
      <c r="A10" s="213" t="s">
        <v>630</v>
      </c>
      <c r="B10" s="204">
        <f>Summary!B85</f>
        <v>80.6621544</v>
      </c>
      <c r="C10" s="204">
        <f>Summary!C85</f>
        <v>44.5766772</v>
      </c>
      <c r="D10" s="204">
        <f>Summary!D85</f>
        <v>0</v>
      </c>
      <c r="E10" s="204">
        <f>Summary!E85</f>
        <v>0</v>
      </c>
      <c r="F10" s="204">
        <f>Summary!F85</f>
        <v>0</v>
      </c>
      <c r="G10" s="204">
        <f>Summary!G85</f>
        <v>44.5766772</v>
      </c>
      <c r="H10" s="204">
        <f>Summary!H85</f>
        <v>0</v>
      </c>
      <c r="I10" s="204">
        <f>Summary!I85</f>
        <v>89.1533544</v>
      </c>
      <c r="J10" s="204">
        <f>Summary!J85</f>
        <v>0</v>
      </c>
      <c r="K10" s="204">
        <f>Summary!K85</f>
        <v>214.392186</v>
      </c>
      <c r="L10" s="204">
        <f>Summary!L85</f>
        <v>44.5766772</v>
      </c>
      <c r="M10" s="204">
        <f>Summary!M85</f>
        <v>44.5766772</v>
      </c>
      <c r="N10" s="204">
        <f>Summary!N85</f>
        <v>0</v>
      </c>
      <c r="O10" s="204">
        <f>Summary!O85</f>
        <v>0</v>
      </c>
      <c r="P10" s="204">
        <f>Summary!P85</f>
        <v>0</v>
      </c>
      <c r="Q10" s="204">
        <f>Summary!Q85</f>
        <v>0</v>
      </c>
      <c r="R10" s="204">
        <f>Summary!R85</f>
        <v>0</v>
      </c>
      <c r="S10" s="204">
        <f>Summary!S85</f>
        <v>0</v>
      </c>
      <c r="T10" s="204">
        <f>Summary!T85</f>
        <v>0</v>
      </c>
      <c r="U10" s="204">
        <f>Summary!U85</f>
        <v>0</v>
      </c>
      <c r="V10" s="204">
        <f>Summary!V85</f>
        <v>0</v>
      </c>
      <c r="W10" s="204">
        <f>Summary!W85</f>
        <v>0</v>
      </c>
      <c r="X10" s="204">
        <f>Summary!X85</f>
        <v>0</v>
      </c>
      <c r="Y10" s="204">
        <f>Summary!Y85</f>
        <v>0</v>
      </c>
      <c r="Z10" s="204">
        <f>Summary!Z85</f>
        <v>0</v>
      </c>
      <c r="AA10" s="204">
        <f>Summary!AA85</f>
        <v>0</v>
      </c>
      <c r="AB10" s="204">
        <f>Summary!AB85</f>
        <v>0</v>
      </c>
      <c r="AC10" s="204">
        <f>Summary!AC85</f>
        <v>63.6818772</v>
      </c>
      <c r="AD10" s="204">
        <f>Summary!AD85</f>
        <v>0</v>
      </c>
      <c r="AE10" s="204">
        <f>Summary!AE85</f>
        <v>0</v>
      </c>
      <c r="AF10" s="204">
        <f>Summary!AF85</f>
        <v>0</v>
      </c>
      <c r="AG10" s="95">
        <f>SUM(B10:AF10)</f>
        <v>626.1962808</v>
      </c>
    </row>
    <row r="11">
      <c r="A11" s="100"/>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401"/>
    </row>
    <row r="12">
      <c r="A12" s="141" t="s">
        <v>631</v>
      </c>
      <c r="B12" s="159"/>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397"/>
    </row>
    <row r="13">
      <c r="A13" s="157" t="s">
        <v>632</v>
      </c>
      <c r="B13" s="160">
        <v>1.0</v>
      </c>
      <c r="C13" s="160">
        <v>0.0</v>
      </c>
      <c r="D13" s="160">
        <v>0.0</v>
      </c>
      <c r="E13" s="160">
        <v>0.0</v>
      </c>
      <c r="F13" s="160">
        <v>0.0</v>
      </c>
      <c r="G13" s="160">
        <v>0.0</v>
      </c>
      <c r="H13" s="160">
        <v>0.0</v>
      </c>
      <c r="I13" s="160">
        <v>0.0</v>
      </c>
      <c r="J13" s="160">
        <v>0.0</v>
      </c>
      <c r="K13" s="160">
        <v>1.0</v>
      </c>
      <c r="L13" s="160">
        <v>0.0</v>
      </c>
      <c r="M13" s="160">
        <v>0.0</v>
      </c>
      <c r="N13" s="160">
        <v>0.0</v>
      </c>
      <c r="O13" s="160">
        <v>0.0</v>
      </c>
      <c r="P13" s="160">
        <v>0.0</v>
      </c>
      <c r="Q13" s="160">
        <v>0.0</v>
      </c>
      <c r="R13" s="160">
        <v>0.0</v>
      </c>
      <c r="S13" s="160">
        <v>0.0</v>
      </c>
      <c r="T13" s="160">
        <v>0.0</v>
      </c>
      <c r="U13" s="160">
        <v>0.0</v>
      </c>
      <c r="V13" s="160">
        <v>0.0</v>
      </c>
      <c r="W13" s="160">
        <v>0.0</v>
      </c>
      <c r="X13" s="160">
        <v>0.0</v>
      </c>
      <c r="Y13" s="160">
        <v>0.0</v>
      </c>
      <c r="Z13" s="160">
        <v>0.0</v>
      </c>
      <c r="AA13" s="160">
        <v>0.0</v>
      </c>
      <c r="AB13" s="160">
        <v>0.0</v>
      </c>
      <c r="AC13" s="160">
        <v>0.0</v>
      </c>
      <c r="AD13" s="160">
        <v>0.0</v>
      </c>
      <c r="AE13" s="160">
        <v>0.0</v>
      </c>
      <c r="AF13" s="160">
        <v>0.0</v>
      </c>
      <c r="AG13" s="156">
        <f t="shared" ref="AG13:AG17" si="2">SUM(B13:AF13)</f>
        <v>2</v>
      </c>
    </row>
    <row r="14">
      <c r="A14" s="157" t="s">
        <v>633</v>
      </c>
      <c r="B14" s="160">
        <v>0.0</v>
      </c>
      <c r="C14" s="160">
        <v>0.0</v>
      </c>
      <c r="D14" s="160">
        <v>0.0</v>
      </c>
      <c r="E14" s="160">
        <v>0.0</v>
      </c>
      <c r="F14" s="160">
        <v>0.0</v>
      </c>
      <c r="G14" s="160">
        <v>0.0</v>
      </c>
      <c r="H14" s="160">
        <v>0.0</v>
      </c>
      <c r="I14" s="160">
        <v>0.0</v>
      </c>
      <c r="J14" s="160">
        <v>0.0</v>
      </c>
      <c r="K14" s="160">
        <v>0.0</v>
      </c>
      <c r="L14" s="160">
        <v>0.0</v>
      </c>
      <c r="M14" s="160">
        <v>0.0</v>
      </c>
      <c r="N14" s="160">
        <v>0.0</v>
      </c>
      <c r="O14" s="160">
        <v>0.0</v>
      </c>
      <c r="P14" s="160">
        <v>0.0</v>
      </c>
      <c r="Q14" s="160">
        <v>0.0</v>
      </c>
      <c r="R14" s="160">
        <v>0.0</v>
      </c>
      <c r="S14" s="160">
        <v>0.0</v>
      </c>
      <c r="T14" s="160">
        <v>0.0</v>
      </c>
      <c r="U14" s="160">
        <v>0.0</v>
      </c>
      <c r="V14" s="160">
        <v>0.0</v>
      </c>
      <c r="W14" s="160">
        <v>0.0</v>
      </c>
      <c r="X14" s="160">
        <v>0.0</v>
      </c>
      <c r="Y14" s="160">
        <v>0.0</v>
      </c>
      <c r="Z14" s="160">
        <v>0.0</v>
      </c>
      <c r="AA14" s="160">
        <v>0.0</v>
      </c>
      <c r="AB14" s="160">
        <v>0.0</v>
      </c>
      <c r="AC14" s="160">
        <v>0.0</v>
      </c>
      <c r="AD14" s="160">
        <v>0.0</v>
      </c>
      <c r="AE14" s="160">
        <v>0.0</v>
      </c>
      <c r="AF14" s="160">
        <v>0.0</v>
      </c>
      <c r="AG14" s="156">
        <f t="shared" si="2"/>
        <v>0</v>
      </c>
    </row>
    <row r="15">
      <c r="A15" s="157" t="s">
        <v>634</v>
      </c>
      <c r="B15" s="160">
        <v>1.0</v>
      </c>
      <c r="C15" s="160">
        <v>1.0</v>
      </c>
      <c r="D15" s="160">
        <v>0.0</v>
      </c>
      <c r="E15" s="160">
        <v>0.0</v>
      </c>
      <c r="F15" s="160">
        <v>0.0</v>
      </c>
      <c r="G15" s="160">
        <v>1.0</v>
      </c>
      <c r="H15" s="160">
        <v>0.0</v>
      </c>
      <c r="I15" s="160">
        <v>2.0</v>
      </c>
      <c r="J15" s="160">
        <v>0.0</v>
      </c>
      <c r="K15" s="160">
        <v>4.0</v>
      </c>
      <c r="L15" s="160">
        <v>2.0</v>
      </c>
      <c r="M15" s="160">
        <v>1.0</v>
      </c>
      <c r="N15" s="160">
        <v>0.0</v>
      </c>
      <c r="O15" s="160">
        <v>0.0</v>
      </c>
      <c r="P15" s="160">
        <v>0.0</v>
      </c>
      <c r="Q15" s="160">
        <v>0.0</v>
      </c>
      <c r="R15" s="160">
        <v>0.0</v>
      </c>
      <c r="S15" s="160">
        <v>0.0</v>
      </c>
      <c r="T15" s="160">
        <v>0.0</v>
      </c>
      <c r="U15" s="160">
        <v>0.0</v>
      </c>
      <c r="V15" s="160">
        <v>0.0</v>
      </c>
      <c r="W15" s="160">
        <v>0.0</v>
      </c>
      <c r="X15" s="160">
        <v>0.0</v>
      </c>
      <c r="Y15" s="160">
        <v>0.0</v>
      </c>
      <c r="Z15" s="160">
        <v>0.0</v>
      </c>
      <c r="AA15" s="160">
        <v>0.0</v>
      </c>
      <c r="AB15" s="160">
        <v>0.0</v>
      </c>
      <c r="AC15" s="160">
        <v>1.0</v>
      </c>
      <c r="AD15" s="160">
        <v>0.0</v>
      </c>
      <c r="AE15" s="160">
        <v>0.0</v>
      </c>
      <c r="AF15" s="160">
        <v>0.0</v>
      </c>
      <c r="AG15" s="156">
        <f t="shared" si="2"/>
        <v>13</v>
      </c>
    </row>
    <row r="16">
      <c r="A16" s="157" t="s">
        <v>635</v>
      </c>
      <c r="B16" s="160">
        <v>0.0</v>
      </c>
      <c r="C16" s="160">
        <v>0.0</v>
      </c>
      <c r="D16" s="160">
        <v>0.0</v>
      </c>
      <c r="E16" s="160">
        <v>0.0</v>
      </c>
      <c r="F16" s="160">
        <v>0.0</v>
      </c>
      <c r="G16" s="160">
        <v>0.0</v>
      </c>
      <c r="H16" s="160">
        <v>0.0</v>
      </c>
      <c r="I16" s="160">
        <v>0.0</v>
      </c>
      <c r="J16" s="160">
        <v>0.0</v>
      </c>
      <c r="K16" s="160">
        <v>0.0</v>
      </c>
      <c r="L16" s="160">
        <v>0.0</v>
      </c>
      <c r="M16" s="160">
        <v>0.0</v>
      </c>
      <c r="N16" s="160">
        <v>0.0</v>
      </c>
      <c r="O16" s="160">
        <v>0.0</v>
      </c>
      <c r="P16" s="160">
        <v>0.0</v>
      </c>
      <c r="Q16" s="160">
        <v>0.0</v>
      </c>
      <c r="R16" s="160">
        <v>0.0</v>
      </c>
      <c r="S16" s="160">
        <v>0.0</v>
      </c>
      <c r="T16" s="160">
        <v>0.0</v>
      </c>
      <c r="U16" s="160">
        <v>0.0</v>
      </c>
      <c r="V16" s="160">
        <v>0.0</v>
      </c>
      <c r="W16" s="160">
        <v>0.0</v>
      </c>
      <c r="X16" s="160">
        <v>0.0</v>
      </c>
      <c r="Y16" s="160">
        <v>0.0</v>
      </c>
      <c r="Z16" s="160">
        <v>0.0</v>
      </c>
      <c r="AA16" s="160">
        <v>0.0</v>
      </c>
      <c r="AB16" s="160">
        <v>0.0</v>
      </c>
      <c r="AC16" s="160">
        <v>0.0</v>
      </c>
      <c r="AD16" s="160">
        <v>0.0</v>
      </c>
      <c r="AE16" s="160">
        <v>0.0</v>
      </c>
      <c r="AF16" s="160">
        <v>0.0</v>
      </c>
      <c r="AG16" s="156">
        <f t="shared" si="2"/>
        <v>0</v>
      </c>
    </row>
    <row r="17">
      <c r="A17" s="163" t="s">
        <v>127</v>
      </c>
      <c r="B17" s="299">
        <f t="shared" ref="B17:AF17" si="3">SUM(B13:B16)</f>
        <v>2</v>
      </c>
      <c r="C17" s="299">
        <f t="shared" si="3"/>
        <v>1</v>
      </c>
      <c r="D17" s="299">
        <f t="shared" si="3"/>
        <v>0</v>
      </c>
      <c r="E17" s="299">
        <f t="shared" si="3"/>
        <v>0</v>
      </c>
      <c r="F17" s="299">
        <f t="shared" si="3"/>
        <v>0</v>
      </c>
      <c r="G17" s="299">
        <f t="shared" si="3"/>
        <v>1</v>
      </c>
      <c r="H17" s="299">
        <f t="shared" si="3"/>
        <v>0</v>
      </c>
      <c r="I17" s="299">
        <f t="shared" si="3"/>
        <v>2</v>
      </c>
      <c r="J17" s="299">
        <f t="shared" si="3"/>
        <v>0</v>
      </c>
      <c r="K17" s="299">
        <f t="shared" si="3"/>
        <v>5</v>
      </c>
      <c r="L17" s="299">
        <f t="shared" si="3"/>
        <v>2</v>
      </c>
      <c r="M17" s="299">
        <f t="shared" si="3"/>
        <v>1</v>
      </c>
      <c r="N17" s="299">
        <f t="shared" si="3"/>
        <v>0</v>
      </c>
      <c r="O17" s="299">
        <f t="shared" si="3"/>
        <v>0</v>
      </c>
      <c r="P17" s="299">
        <f t="shared" si="3"/>
        <v>0</v>
      </c>
      <c r="Q17" s="299">
        <f t="shared" si="3"/>
        <v>0</v>
      </c>
      <c r="R17" s="299">
        <f t="shared" si="3"/>
        <v>0</v>
      </c>
      <c r="S17" s="299">
        <f t="shared" si="3"/>
        <v>0</v>
      </c>
      <c r="T17" s="299">
        <f t="shared" si="3"/>
        <v>0</v>
      </c>
      <c r="U17" s="299">
        <f t="shared" si="3"/>
        <v>0</v>
      </c>
      <c r="V17" s="299">
        <f t="shared" si="3"/>
        <v>0</v>
      </c>
      <c r="W17" s="299">
        <f t="shared" si="3"/>
        <v>0</v>
      </c>
      <c r="X17" s="299">
        <f t="shared" si="3"/>
        <v>0</v>
      </c>
      <c r="Y17" s="299">
        <f t="shared" si="3"/>
        <v>0</v>
      </c>
      <c r="Z17" s="299">
        <f t="shared" si="3"/>
        <v>0</v>
      </c>
      <c r="AA17" s="299">
        <f t="shared" si="3"/>
        <v>0</v>
      </c>
      <c r="AB17" s="299">
        <f t="shared" si="3"/>
        <v>0</v>
      </c>
      <c r="AC17" s="299">
        <f t="shared" si="3"/>
        <v>1</v>
      </c>
      <c r="AD17" s="299">
        <f t="shared" si="3"/>
        <v>0</v>
      </c>
      <c r="AE17" s="299">
        <f t="shared" si="3"/>
        <v>0</v>
      </c>
      <c r="AF17" s="299">
        <f t="shared" si="3"/>
        <v>0</v>
      </c>
      <c r="AG17" s="156">
        <f t="shared" si="2"/>
        <v>15</v>
      </c>
    </row>
    <row r="18">
      <c r="A18" s="100"/>
      <c r="B18" s="167"/>
      <c r="C18" s="167"/>
      <c r="D18" s="167"/>
      <c r="E18" s="167"/>
      <c r="F18" s="167"/>
      <c r="G18" s="167"/>
      <c r="H18" s="167"/>
      <c r="I18" s="167"/>
      <c r="J18" s="85"/>
      <c r="K18" s="85"/>
      <c r="L18" s="85"/>
      <c r="M18" s="85"/>
      <c r="N18" s="85"/>
      <c r="O18" s="85"/>
      <c r="P18" s="85"/>
      <c r="Q18" s="85"/>
      <c r="R18" s="85"/>
      <c r="S18" s="85"/>
      <c r="T18" s="85"/>
      <c r="U18" s="85"/>
      <c r="V18" s="85"/>
      <c r="W18" s="85"/>
      <c r="X18" s="85"/>
      <c r="Y18" s="85"/>
      <c r="Z18" s="85"/>
      <c r="AA18" s="85"/>
      <c r="AB18" s="85"/>
      <c r="AC18" s="85"/>
      <c r="AD18" s="85"/>
      <c r="AE18" s="85"/>
      <c r="AF18" s="85"/>
      <c r="AG18" s="402"/>
    </row>
    <row r="19">
      <c r="A19" s="157" t="s">
        <v>131</v>
      </c>
      <c r="B19" s="98"/>
      <c r="C19" s="98"/>
      <c r="D19" s="98"/>
      <c r="E19" s="98"/>
      <c r="F19" s="98"/>
      <c r="G19" s="98"/>
      <c r="H19" s="98"/>
      <c r="I19" s="98"/>
      <c r="J19" s="98"/>
      <c r="K19" s="98"/>
      <c r="L19" s="98"/>
      <c r="M19" s="98"/>
      <c r="N19" s="98"/>
      <c r="O19" s="98"/>
      <c r="P19" s="98"/>
      <c r="Q19" s="98"/>
      <c r="R19" s="98"/>
      <c r="S19" s="98"/>
      <c r="T19" s="98"/>
      <c r="U19" s="98"/>
      <c r="V19" s="98"/>
      <c r="W19" s="98"/>
      <c r="X19" s="98"/>
      <c r="Y19" s="98"/>
      <c r="Z19" s="98"/>
      <c r="AA19" s="91"/>
      <c r="AB19" s="91"/>
      <c r="AC19" s="91"/>
      <c r="AD19" s="91"/>
      <c r="AE19" s="91"/>
      <c r="AF19" s="91"/>
      <c r="AG19" s="156">
        <f t="shared" ref="AG19:AG27" si="4">SUM(B19:AF19)</f>
        <v>0</v>
      </c>
    </row>
    <row r="20">
      <c r="A20" s="157" t="s">
        <v>132</v>
      </c>
      <c r="B20" s="98"/>
      <c r="C20" s="98"/>
      <c r="D20" s="98"/>
      <c r="E20" s="98"/>
      <c r="F20" s="98"/>
      <c r="G20" s="98"/>
      <c r="H20" s="98"/>
      <c r="I20" s="98"/>
      <c r="J20" s="98"/>
      <c r="K20" s="98"/>
      <c r="L20" s="98"/>
      <c r="M20" s="98"/>
      <c r="N20" s="98"/>
      <c r="O20" s="98"/>
      <c r="P20" s="98"/>
      <c r="Q20" s="98"/>
      <c r="R20" s="98"/>
      <c r="S20" s="98"/>
      <c r="T20" s="98"/>
      <c r="U20" s="98"/>
      <c r="V20" s="98"/>
      <c r="W20" s="98"/>
      <c r="X20" s="98"/>
      <c r="Y20" s="98"/>
      <c r="Z20" s="98"/>
      <c r="AA20" s="91"/>
      <c r="AB20" s="91"/>
      <c r="AC20" s="91"/>
      <c r="AD20" s="91"/>
      <c r="AE20" s="91"/>
      <c r="AF20" s="91"/>
      <c r="AG20" s="156">
        <f t="shared" si="4"/>
        <v>0</v>
      </c>
    </row>
    <row r="21">
      <c r="A21" s="157" t="s">
        <v>636</v>
      </c>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1"/>
      <c r="AB21" s="91"/>
      <c r="AC21" s="91"/>
      <c r="AD21" s="91"/>
      <c r="AE21" s="91"/>
      <c r="AF21" s="91"/>
      <c r="AG21" s="156">
        <f t="shared" si="4"/>
        <v>0</v>
      </c>
    </row>
    <row r="22">
      <c r="A22" s="157" t="s">
        <v>637</v>
      </c>
      <c r="B22" s="403"/>
      <c r="C22" s="403"/>
      <c r="D22" s="403"/>
      <c r="E22" s="403"/>
      <c r="F22" s="403"/>
      <c r="G22" s="403"/>
      <c r="H22" s="403"/>
      <c r="I22" s="403"/>
      <c r="J22" s="403"/>
      <c r="K22" s="403"/>
      <c r="L22" s="403"/>
      <c r="M22" s="403"/>
      <c r="N22" s="403"/>
      <c r="O22" s="403"/>
      <c r="P22" s="403"/>
      <c r="Q22" s="403"/>
      <c r="R22" s="403"/>
      <c r="S22" s="403"/>
      <c r="T22" s="403"/>
      <c r="U22" s="403"/>
      <c r="V22" s="403"/>
      <c r="W22" s="403"/>
      <c r="X22" s="403"/>
      <c r="Y22" s="403"/>
      <c r="Z22" s="403"/>
      <c r="AA22" s="91"/>
      <c r="AB22" s="91"/>
      <c r="AC22" s="91"/>
      <c r="AD22" s="91"/>
      <c r="AE22" s="91"/>
      <c r="AF22" s="91"/>
      <c r="AG22" s="156">
        <f t="shared" si="4"/>
        <v>0</v>
      </c>
    </row>
    <row r="23">
      <c r="A23" s="157" t="s">
        <v>638</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1"/>
      <c r="AB23" s="91"/>
      <c r="AC23" s="91"/>
      <c r="AD23" s="91"/>
      <c r="AE23" s="91"/>
      <c r="AF23" s="91"/>
      <c r="AG23" s="156">
        <f t="shared" si="4"/>
        <v>0</v>
      </c>
    </row>
    <row r="24">
      <c r="A24" s="157" t="s">
        <v>639</v>
      </c>
      <c r="B24" s="403"/>
      <c r="C24" s="403"/>
      <c r="D24" s="403"/>
      <c r="E24" s="403"/>
      <c r="F24" s="403"/>
      <c r="G24" s="403"/>
      <c r="H24" s="403"/>
      <c r="I24" s="403"/>
      <c r="J24" s="403"/>
      <c r="K24" s="403"/>
      <c r="L24" s="403"/>
      <c r="M24" s="403"/>
      <c r="N24" s="403"/>
      <c r="O24" s="403"/>
      <c r="P24" s="403"/>
      <c r="Q24" s="403"/>
      <c r="R24" s="403"/>
      <c r="S24" s="403"/>
      <c r="T24" s="403"/>
      <c r="U24" s="403"/>
      <c r="V24" s="403"/>
      <c r="W24" s="403"/>
      <c r="X24" s="403"/>
      <c r="Y24" s="403"/>
      <c r="Z24" s="403"/>
      <c r="AA24" s="91"/>
      <c r="AB24" s="91"/>
      <c r="AC24" s="91"/>
      <c r="AD24" s="91"/>
      <c r="AE24" s="91"/>
      <c r="AF24" s="91"/>
      <c r="AG24" s="156">
        <f t="shared" si="4"/>
        <v>0</v>
      </c>
    </row>
    <row r="25">
      <c r="A25" s="157" t="s">
        <v>640</v>
      </c>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1"/>
      <c r="AB25" s="91"/>
      <c r="AC25" s="91"/>
      <c r="AD25" s="91"/>
      <c r="AE25" s="91"/>
      <c r="AF25" s="91"/>
      <c r="AG25" s="156">
        <f t="shared" si="4"/>
        <v>0</v>
      </c>
    </row>
    <row r="26">
      <c r="A26" s="157" t="s">
        <v>641</v>
      </c>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1"/>
      <c r="AB26" s="91"/>
      <c r="AC26" s="91"/>
      <c r="AD26" s="91"/>
      <c r="AE26" s="91"/>
      <c r="AF26" s="91"/>
      <c r="AG26" s="156">
        <f t="shared" si="4"/>
        <v>0</v>
      </c>
    </row>
    <row r="27">
      <c r="A27" s="163" t="s">
        <v>141</v>
      </c>
      <c r="B27" s="299">
        <f t="shared" ref="B27:AF27" si="5">SUM(B19:B26)</f>
        <v>0</v>
      </c>
      <c r="C27" s="299">
        <f t="shared" si="5"/>
        <v>0</v>
      </c>
      <c r="D27" s="299">
        <f t="shared" si="5"/>
        <v>0</v>
      </c>
      <c r="E27" s="299">
        <f t="shared" si="5"/>
        <v>0</v>
      </c>
      <c r="F27" s="299">
        <f t="shared" si="5"/>
        <v>0</v>
      </c>
      <c r="G27" s="299">
        <f t="shared" si="5"/>
        <v>0</v>
      </c>
      <c r="H27" s="299">
        <f t="shared" si="5"/>
        <v>0</v>
      </c>
      <c r="I27" s="299">
        <f t="shared" si="5"/>
        <v>0</v>
      </c>
      <c r="J27" s="299">
        <f t="shared" si="5"/>
        <v>0</v>
      </c>
      <c r="K27" s="299">
        <f t="shared" si="5"/>
        <v>0</v>
      </c>
      <c r="L27" s="299">
        <f t="shared" si="5"/>
        <v>0</v>
      </c>
      <c r="M27" s="299">
        <f t="shared" si="5"/>
        <v>0</v>
      </c>
      <c r="N27" s="299">
        <f t="shared" si="5"/>
        <v>0</v>
      </c>
      <c r="O27" s="299">
        <f t="shared" si="5"/>
        <v>0</v>
      </c>
      <c r="P27" s="299">
        <f t="shared" si="5"/>
        <v>0</v>
      </c>
      <c r="Q27" s="299">
        <f t="shared" si="5"/>
        <v>0</v>
      </c>
      <c r="R27" s="299">
        <f t="shared" si="5"/>
        <v>0</v>
      </c>
      <c r="S27" s="299">
        <f t="shared" si="5"/>
        <v>0</v>
      </c>
      <c r="T27" s="299">
        <f t="shared" si="5"/>
        <v>0</v>
      </c>
      <c r="U27" s="299">
        <f t="shared" si="5"/>
        <v>0</v>
      </c>
      <c r="V27" s="299">
        <f t="shared" si="5"/>
        <v>0</v>
      </c>
      <c r="W27" s="299">
        <f t="shared" si="5"/>
        <v>0</v>
      </c>
      <c r="X27" s="299">
        <f t="shared" si="5"/>
        <v>0</v>
      </c>
      <c r="Y27" s="299">
        <f t="shared" si="5"/>
        <v>0</v>
      </c>
      <c r="Z27" s="299">
        <f t="shared" si="5"/>
        <v>0</v>
      </c>
      <c r="AA27" s="299">
        <f t="shared" si="5"/>
        <v>0</v>
      </c>
      <c r="AB27" s="299">
        <f t="shared" si="5"/>
        <v>0</v>
      </c>
      <c r="AC27" s="299">
        <f t="shared" si="5"/>
        <v>0</v>
      </c>
      <c r="AD27" s="299">
        <f t="shared" si="5"/>
        <v>0</v>
      </c>
      <c r="AE27" s="299">
        <f t="shared" si="5"/>
        <v>0</v>
      </c>
      <c r="AF27" s="299">
        <f t="shared" si="5"/>
        <v>0</v>
      </c>
      <c r="AG27" s="156">
        <f t="shared" si="4"/>
        <v>0</v>
      </c>
    </row>
    <row r="28">
      <c r="A28" s="100"/>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401"/>
    </row>
    <row r="29">
      <c r="A29" s="404" t="s">
        <v>642</v>
      </c>
      <c r="B29" s="405"/>
      <c r="C29" s="405"/>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405"/>
      <c r="AF29" s="405"/>
      <c r="AG29" s="406"/>
    </row>
    <row r="30" outlineLevel="1">
      <c r="A30" s="407"/>
      <c r="AG30" s="406"/>
    </row>
    <row r="31" outlineLevel="1">
      <c r="A31" s="141" t="s">
        <v>643</v>
      </c>
      <c r="B31" s="189"/>
      <c r="C31" s="189"/>
      <c r="D31" s="189"/>
      <c r="E31" s="189"/>
      <c r="F31" s="189"/>
      <c r="G31" s="189"/>
      <c r="H31" s="189"/>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408"/>
    </row>
    <row r="32" outlineLevel="1">
      <c r="A32" s="213" t="s">
        <v>644</v>
      </c>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c r="AA32" s="303"/>
      <c r="AB32" s="303"/>
      <c r="AC32" s="303"/>
      <c r="AD32" s="303"/>
      <c r="AE32" s="303"/>
      <c r="AF32" s="303"/>
      <c r="AG32" s="95">
        <f t="shared" ref="AG32:AG37" si="6">SUM(B32:AF32)</f>
        <v>0</v>
      </c>
    </row>
    <row r="33" outlineLevel="1">
      <c r="A33" s="213" t="s">
        <v>645</v>
      </c>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c r="AA33" s="303"/>
      <c r="AB33" s="303"/>
      <c r="AC33" s="303"/>
      <c r="AD33" s="303"/>
      <c r="AE33" s="303"/>
      <c r="AF33" s="303"/>
      <c r="AG33" s="95">
        <f t="shared" si="6"/>
        <v>0</v>
      </c>
    </row>
    <row r="34" outlineLevel="1">
      <c r="A34" s="213" t="s">
        <v>646</v>
      </c>
      <c r="B34" s="403"/>
      <c r="C34" s="403"/>
      <c r="D34" s="303"/>
      <c r="E34" s="403"/>
      <c r="F34" s="303"/>
      <c r="G34" s="303"/>
      <c r="H34" s="403"/>
      <c r="I34" s="403"/>
      <c r="J34" s="403"/>
      <c r="K34" s="403"/>
      <c r="L34" s="403"/>
      <c r="M34" s="403"/>
      <c r="N34" s="403"/>
      <c r="O34" s="303"/>
      <c r="P34" s="303"/>
      <c r="Q34" s="303"/>
      <c r="R34" s="303"/>
      <c r="S34" s="303"/>
      <c r="T34" s="303"/>
      <c r="U34" s="303"/>
      <c r="V34" s="303"/>
      <c r="W34" s="303"/>
      <c r="X34" s="303"/>
      <c r="Y34" s="303"/>
      <c r="Z34" s="303"/>
      <c r="AA34" s="303"/>
      <c r="AB34" s="303"/>
      <c r="AC34" s="303"/>
      <c r="AD34" s="303"/>
      <c r="AE34" s="303"/>
      <c r="AF34" s="303"/>
      <c r="AG34" s="95">
        <f t="shared" si="6"/>
        <v>0</v>
      </c>
    </row>
    <row r="35" outlineLevel="1">
      <c r="A35" s="213" t="s">
        <v>647</v>
      </c>
      <c r="B35" s="403"/>
      <c r="C35" s="403"/>
      <c r="D35" s="303"/>
      <c r="E35" s="403"/>
      <c r="F35" s="403"/>
      <c r="G35" s="403"/>
      <c r="H35" s="403"/>
      <c r="I35" s="403"/>
      <c r="J35" s="403"/>
      <c r="K35" s="403"/>
      <c r="L35" s="403"/>
      <c r="M35" s="403"/>
      <c r="N35" s="403"/>
      <c r="O35" s="303"/>
      <c r="P35" s="303"/>
      <c r="Q35" s="303"/>
      <c r="R35" s="303"/>
      <c r="S35" s="303"/>
      <c r="T35" s="303"/>
      <c r="U35" s="303"/>
      <c r="V35" s="303"/>
      <c r="W35" s="303"/>
      <c r="X35" s="303"/>
      <c r="Y35" s="303"/>
      <c r="Z35" s="303"/>
      <c r="AA35" s="303"/>
      <c r="AB35" s="303"/>
      <c r="AC35" s="303"/>
      <c r="AD35" s="303"/>
      <c r="AE35" s="303"/>
      <c r="AF35" s="303"/>
      <c r="AG35" s="95">
        <f t="shared" si="6"/>
        <v>0</v>
      </c>
    </row>
    <row r="36" outlineLevel="1">
      <c r="A36" s="215" t="s">
        <v>221</v>
      </c>
      <c r="B36" s="330">
        <f t="shared" ref="B36:AF36" si="7">SUM(B32:B33)</f>
        <v>0</v>
      </c>
      <c r="C36" s="330">
        <f t="shared" si="7"/>
        <v>0</v>
      </c>
      <c r="D36" s="330">
        <f t="shared" si="7"/>
        <v>0</v>
      </c>
      <c r="E36" s="330">
        <f t="shared" si="7"/>
        <v>0</v>
      </c>
      <c r="F36" s="330">
        <f t="shared" si="7"/>
        <v>0</v>
      </c>
      <c r="G36" s="330">
        <f t="shared" si="7"/>
        <v>0</v>
      </c>
      <c r="H36" s="330">
        <f t="shared" si="7"/>
        <v>0</v>
      </c>
      <c r="I36" s="330">
        <f t="shared" si="7"/>
        <v>0</v>
      </c>
      <c r="J36" s="330">
        <f t="shared" si="7"/>
        <v>0</v>
      </c>
      <c r="K36" s="330">
        <f t="shared" si="7"/>
        <v>0</v>
      </c>
      <c r="L36" s="330">
        <f t="shared" si="7"/>
        <v>0</v>
      </c>
      <c r="M36" s="330">
        <f t="shared" si="7"/>
        <v>0</v>
      </c>
      <c r="N36" s="330">
        <f t="shared" si="7"/>
        <v>0</v>
      </c>
      <c r="O36" s="330">
        <f t="shared" si="7"/>
        <v>0</v>
      </c>
      <c r="P36" s="330">
        <f t="shared" si="7"/>
        <v>0</v>
      </c>
      <c r="Q36" s="330">
        <f t="shared" si="7"/>
        <v>0</v>
      </c>
      <c r="R36" s="330">
        <f t="shared" si="7"/>
        <v>0</v>
      </c>
      <c r="S36" s="330">
        <f t="shared" si="7"/>
        <v>0</v>
      </c>
      <c r="T36" s="330">
        <f t="shared" si="7"/>
        <v>0</v>
      </c>
      <c r="U36" s="330">
        <f t="shared" si="7"/>
        <v>0</v>
      </c>
      <c r="V36" s="330">
        <f t="shared" si="7"/>
        <v>0</v>
      </c>
      <c r="W36" s="330">
        <f t="shared" si="7"/>
        <v>0</v>
      </c>
      <c r="X36" s="330">
        <f t="shared" si="7"/>
        <v>0</v>
      </c>
      <c r="Y36" s="330">
        <f t="shared" si="7"/>
        <v>0</v>
      </c>
      <c r="Z36" s="330">
        <f t="shared" si="7"/>
        <v>0</v>
      </c>
      <c r="AA36" s="330">
        <f t="shared" si="7"/>
        <v>0</v>
      </c>
      <c r="AB36" s="330">
        <f t="shared" si="7"/>
        <v>0</v>
      </c>
      <c r="AC36" s="330">
        <f t="shared" si="7"/>
        <v>0</v>
      </c>
      <c r="AD36" s="330">
        <f t="shared" si="7"/>
        <v>0</v>
      </c>
      <c r="AE36" s="330">
        <f t="shared" si="7"/>
        <v>0</v>
      </c>
      <c r="AF36" s="330">
        <f t="shared" si="7"/>
        <v>0</v>
      </c>
      <c r="AG36" s="95">
        <f t="shared" si="6"/>
        <v>0</v>
      </c>
    </row>
    <row r="37" outlineLevel="1">
      <c r="A37" s="215" t="s">
        <v>222</v>
      </c>
      <c r="B37" s="330">
        <f t="shared" ref="B37:AF37" si="8">SUM(B34:B35)</f>
        <v>0</v>
      </c>
      <c r="C37" s="330">
        <f t="shared" si="8"/>
        <v>0</v>
      </c>
      <c r="D37" s="330">
        <f t="shared" si="8"/>
        <v>0</v>
      </c>
      <c r="E37" s="330">
        <f t="shared" si="8"/>
        <v>0</v>
      </c>
      <c r="F37" s="330">
        <f t="shared" si="8"/>
        <v>0</v>
      </c>
      <c r="G37" s="330">
        <f t="shared" si="8"/>
        <v>0</v>
      </c>
      <c r="H37" s="330">
        <f t="shared" si="8"/>
        <v>0</v>
      </c>
      <c r="I37" s="330">
        <f t="shared" si="8"/>
        <v>0</v>
      </c>
      <c r="J37" s="330">
        <f t="shared" si="8"/>
        <v>0</v>
      </c>
      <c r="K37" s="330">
        <f t="shared" si="8"/>
        <v>0</v>
      </c>
      <c r="L37" s="330">
        <f t="shared" si="8"/>
        <v>0</v>
      </c>
      <c r="M37" s="330">
        <f t="shared" si="8"/>
        <v>0</v>
      </c>
      <c r="N37" s="330">
        <f t="shared" si="8"/>
        <v>0</v>
      </c>
      <c r="O37" s="330">
        <f t="shared" si="8"/>
        <v>0</v>
      </c>
      <c r="P37" s="330">
        <f t="shared" si="8"/>
        <v>0</v>
      </c>
      <c r="Q37" s="330">
        <f t="shared" si="8"/>
        <v>0</v>
      </c>
      <c r="R37" s="330">
        <f t="shared" si="8"/>
        <v>0</v>
      </c>
      <c r="S37" s="330">
        <f t="shared" si="8"/>
        <v>0</v>
      </c>
      <c r="T37" s="330">
        <f t="shared" si="8"/>
        <v>0</v>
      </c>
      <c r="U37" s="330">
        <f t="shared" si="8"/>
        <v>0</v>
      </c>
      <c r="V37" s="330">
        <f t="shared" si="8"/>
        <v>0</v>
      </c>
      <c r="W37" s="330">
        <f t="shared" si="8"/>
        <v>0</v>
      </c>
      <c r="X37" s="330">
        <f t="shared" si="8"/>
        <v>0</v>
      </c>
      <c r="Y37" s="330">
        <f t="shared" si="8"/>
        <v>0</v>
      </c>
      <c r="Z37" s="330">
        <f t="shared" si="8"/>
        <v>0</v>
      </c>
      <c r="AA37" s="330">
        <f t="shared" si="8"/>
        <v>0</v>
      </c>
      <c r="AB37" s="330">
        <f t="shared" si="8"/>
        <v>0</v>
      </c>
      <c r="AC37" s="330">
        <f t="shared" si="8"/>
        <v>0</v>
      </c>
      <c r="AD37" s="330">
        <f t="shared" si="8"/>
        <v>0</v>
      </c>
      <c r="AE37" s="330">
        <f t="shared" si="8"/>
        <v>0</v>
      </c>
      <c r="AF37" s="330">
        <f t="shared" si="8"/>
        <v>0</v>
      </c>
      <c r="AG37" s="95">
        <f t="shared" si="6"/>
        <v>0</v>
      </c>
    </row>
    <row r="38" outlineLevel="1">
      <c r="A38" s="100"/>
      <c r="B38" s="130"/>
      <c r="C38" s="130"/>
      <c r="D38" s="130"/>
      <c r="E38" s="130"/>
      <c r="F38" s="130"/>
      <c r="G38" s="130"/>
      <c r="H38" s="130"/>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397"/>
    </row>
    <row r="39" outlineLevel="1">
      <c r="A39" s="213" t="s">
        <v>224</v>
      </c>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95">
        <f t="shared" ref="AG39:AG47" si="9">SUM(B39:AF39)</f>
        <v>0</v>
      </c>
    </row>
    <row r="40" outlineLevel="1">
      <c r="A40" s="213" t="s">
        <v>225</v>
      </c>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c r="AA40" s="303"/>
      <c r="AB40" s="303"/>
      <c r="AC40" s="303"/>
      <c r="AD40" s="303"/>
      <c r="AE40" s="303"/>
      <c r="AF40" s="303"/>
      <c r="AG40" s="95">
        <f t="shared" si="9"/>
        <v>0</v>
      </c>
    </row>
    <row r="41" outlineLevel="1">
      <c r="A41" s="213" t="s">
        <v>648</v>
      </c>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303"/>
      <c r="AF41" s="303"/>
      <c r="AG41" s="95">
        <f t="shared" si="9"/>
        <v>0</v>
      </c>
    </row>
    <row r="42" outlineLevel="1">
      <c r="A42" s="213" t="s">
        <v>649</v>
      </c>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95">
        <f t="shared" si="9"/>
        <v>0</v>
      </c>
    </row>
    <row r="43" outlineLevel="1">
      <c r="A43" s="213" t="s">
        <v>650</v>
      </c>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95">
        <f t="shared" si="9"/>
        <v>0</v>
      </c>
    </row>
    <row r="44" outlineLevel="1">
      <c r="A44" s="213" t="s">
        <v>651</v>
      </c>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c r="AA44" s="303"/>
      <c r="AB44" s="303"/>
      <c r="AC44" s="303"/>
      <c r="AD44" s="303"/>
      <c r="AE44" s="303"/>
      <c r="AF44" s="303"/>
      <c r="AG44" s="95">
        <f t="shared" si="9"/>
        <v>0</v>
      </c>
    </row>
    <row r="45" outlineLevel="1">
      <c r="A45" s="213" t="s">
        <v>652</v>
      </c>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95">
        <f t="shared" si="9"/>
        <v>0</v>
      </c>
    </row>
    <row r="46" outlineLevel="1">
      <c r="A46" s="213" t="s">
        <v>653</v>
      </c>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c r="AA46" s="303"/>
      <c r="AB46" s="303"/>
      <c r="AC46" s="303"/>
      <c r="AD46" s="303"/>
      <c r="AE46" s="303"/>
      <c r="AF46" s="303"/>
      <c r="AG46" s="95">
        <f t="shared" si="9"/>
        <v>0</v>
      </c>
    </row>
    <row r="47" outlineLevel="1">
      <c r="A47" s="217" t="s">
        <v>141</v>
      </c>
      <c r="B47" s="330">
        <f t="shared" ref="B47:AF47" si="10">SUM(B39:B46)</f>
        <v>0</v>
      </c>
      <c r="C47" s="330">
        <f t="shared" si="10"/>
        <v>0</v>
      </c>
      <c r="D47" s="330">
        <f t="shared" si="10"/>
        <v>0</v>
      </c>
      <c r="E47" s="330">
        <f t="shared" si="10"/>
        <v>0</v>
      </c>
      <c r="F47" s="330">
        <f t="shared" si="10"/>
        <v>0</v>
      </c>
      <c r="G47" s="330">
        <f t="shared" si="10"/>
        <v>0</v>
      </c>
      <c r="H47" s="330">
        <f t="shared" si="10"/>
        <v>0</v>
      </c>
      <c r="I47" s="330">
        <f t="shared" si="10"/>
        <v>0</v>
      </c>
      <c r="J47" s="330">
        <f t="shared" si="10"/>
        <v>0</v>
      </c>
      <c r="K47" s="330">
        <f t="shared" si="10"/>
        <v>0</v>
      </c>
      <c r="L47" s="330">
        <f t="shared" si="10"/>
        <v>0</v>
      </c>
      <c r="M47" s="330">
        <f t="shared" si="10"/>
        <v>0</v>
      </c>
      <c r="N47" s="330">
        <f t="shared" si="10"/>
        <v>0</v>
      </c>
      <c r="O47" s="330">
        <f t="shared" si="10"/>
        <v>0</v>
      </c>
      <c r="P47" s="330">
        <f t="shared" si="10"/>
        <v>0</v>
      </c>
      <c r="Q47" s="330">
        <f t="shared" si="10"/>
        <v>0</v>
      </c>
      <c r="R47" s="330">
        <f t="shared" si="10"/>
        <v>0</v>
      </c>
      <c r="S47" s="330">
        <f t="shared" si="10"/>
        <v>0</v>
      </c>
      <c r="T47" s="330">
        <f t="shared" si="10"/>
        <v>0</v>
      </c>
      <c r="U47" s="330">
        <f t="shared" si="10"/>
        <v>0</v>
      </c>
      <c r="V47" s="330">
        <f t="shared" si="10"/>
        <v>0</v>
      </c>
      <c r="W47" s="330">
        <f t="shared" si="10"/>
        <v>0</v>
      </c>
      <c r="X47" s="330">
        <f t="shared" si="10"/>
        <v>0</v>
      </c>
      <c r="Y47" s="330">
        <f t="shared" si="10"/>
        <v>0</v>
      </c>
      <c r="Z47" s="330">
        <f t="shared" si="10"/>
        <v>0</v>
      </c>
      <c r="AA47" s="330">
        <f t="shared" si="10"/>
        <v>0</v>
      </c>
      <c r="AB47" s="330">
        <f t="shared" si="10"/>
        <v>0</v>
      </c>
      <c r="AC47" s="330">
        <f t="shared" si="10"/>
        <v>0</v>
      </c>
      <c r="AD47" s="330">
        <f t="shared" si="10"/>
        <v>0</v>
      </c>
      <c r="AE47" s="330">
        <f t="shared" si="10"/>
        <v>0</v>
      </c>
      <c r="AF47" s="330">
        <f t="shared" si="10"/>
        <v>0</v>
      </c>
      <c r="AG47" s="95">
        <f t="shared" si="9"/>
        <v>0</v>
      </c>
    </row>
    <row r="48" outlineLevel="1">
      <c r="A48" s="100"/>
      <c r="B48" s="130"/>
      <c r="C48" s="130"/>
      <c r="D48" s="130"/>
      <c r="E48" s="130"/>
      <c r="F48" s="130"/>
      <c r="G48" s="130"/>
      <c r="H48" s="130"/>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397"/>
    </row>
    <row r="49" outlineLevel="1">
      <c r="A49" s="141" t="s">
        <v>654</v>
      </c>
      <c r="B49" s="130"/>
      <c r="C49" s="130"/>
      <c r="D49" s="130"/>
      <c r="E49" s="130"/>
      <c r="F49" s="130"/>
      <c r="G49" s="199"/>
      <c r="H49" s="130"/>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408"/>
    </row>
    <row r="50" outlineLevel="1">
      <c r="A50" s="213" t="s">
        <v>655</v>
      </c>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95">
        <f t="shared" ref="AG50:AG53" si="11">SUM(B50:AF50)</f>
        <v>0</v>
      </c>
    </row>
    <row r="51" outlineLevel="1">
      <c r="A51" s="213" t="s">
        <v>482</v>
      </c>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95">
        <f t="shared" si="11"/>
        <v>0</v>
      </c>
    </row>
    <row r="52" outlineLevel="1">
      <c r="A52" s="213" t="s">
        <v>656</v>
      </c>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95">
        <f t="shared" si="11"/>
        <v>0</v>
      </c>
    </row>
    <row r="53" outlineLevel="1">
      <c r="A53" s="350" t="s">
        <v>657</v>
      </c>
      <c r="B53" s="337">
        <f t="shared" ref="B53:AF53" si="12">SUM(B50:B52)</f>
        <v>0</v>
      </c>
      <c r="C53" s="337">
        <f t="shared" si="12"/>
        <v>0</v>
      </c>
      <c r="D53" s="337">
        <f t="shared" si="12"/>
        <v>0</v>
      </c>
      <c r="E53" s="337">
        <f t="shared" si="12"/>
        <v>0</v>
      </c>
      <c r="F53" s="337">
        <f t="shared" si="12"/>
        <v>0</v>
      </c>
      <c r="G53" s="337">
        <f t="shared" si="12"/>
        <v>0</v>
      </c>
      <c r="H53" s="337">
        <f t="shared" si="12"/>
        <v>0</v>
      </c>
      <c r="I53" s="337">
        <f t="shared" si="12"/>
        <v>0</v>
      </c>
      <c r="J53" s="337">
        <f t="shared" si="12"/>
        <v>0</v>
      </c>
      <c r="K53" s="337">
        <f t="shared" si="12"/>
        <v>0</v>
      </c>
      <c r="L53" s="337">
        <f t="shared" si="12"/>
        <v>0</v>
      </c>
      <c r="M53" s="337">
        <f t="shared" si="12"/>
        <v>0</v>
      </c>
      <c r="N53" s="337">
        <f t="shared" si="12"/>
        <v>0</v>
      </c>
      <c r="O53" s="337">
        <f t="shared" si="12"/>
        <v>0</v>
      </c>
      <c r="P53" s="337">
        <f t="shared" si="12"/>
        <v>0</v>
      </c>
      <c r="Q53" s="337">
        <f t="shared" si="12"/>
        <v>0</v>
      </c>
      <c r="R53" s="337">
        <f t="shared" si="12"/>
        <v>0</v>
      </c>
      <c r="S53" s="337">
        <f t="shared" si="12"/>
        <v>0</v>
      </c>
      <c r="T53" s="337">
        <f t="shared" si="12"/>
        <v>0</v>
      </c>
      <c r="U53" s="337">
        <f t="shared" si="12"/>
        <v>0</v>
      </c>
      <c r="V53" s="337">
        <f t="shared" si="12"/>
        <v>0</v>
      </c>
      <c r="W53" s="337">
        <f t="shared" si="12"/>
        <v>0</v>
      </c>
      <c r="X53" s="337">
        <f t="shared" si="12"/>
        <v>0</v>
      </c>
      <c r="Y53" s="337">
        <f t="shared" si="12"/>
        <v>0</v>
      </c>
      <c r="Z53" s="337">
        <f t="shared" si="12"/>
        <v>0</v>
      </c>
      <c r="AA53" s="337">
        <f t="shared" si="12"/>
        <v>0</v>
      </c>
      <c r="AB53" s="337">
        <f t="shared" si="12"/>
        <v>0</v>
      </c>
      <c r="AC53" s="337">
        <f t="shared" si="12"/>
        <v>0</v>
      </c>
      <c r="AD53" s="337">
        <f t="shared" si="12"/>
        <v>0</v>
      </c>
      <c r="AE53" s="337">
        <f t="shared" si="12"/>
        <v>0</v>
      </c>
      <c r="AF53" s="337">
        <f t="shared" si="12"/>
        <v>0</v>
      </c>
      <c r="AG53" s="95">
        <f t="shared" si="11"/>
        <v>0</v>
      </c>
    </row>
    <row r="54" outlineLevel="1">
      <c r="A54" s="100"/>
      <c r="B54" s="130"/>
      <c r="C54" s="130"/>
      <c r="D54" s="130"/>
      <c r="E54" s="130"/>
      <c r="F54" s="130"/>
      <c r="G54" s="130"/>
      <c r="H54" s="130"/>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397"/>
    </row>
    <row r="55" outlineLevel="1">
      <c r="A55" s="358" t="s">
        <v>307</v>
      </c>
      <c r="B55" s="116"/>
      <c r="C55" s="116"/>
      <c r="D55" s="116"/>
      <c r="E55" s="116"/>
      <c r="F55" s="116"/>
      <c r="G55" s="116"/>
      <c r="H55" s="116"/>
      <c r="I55" s="116"/>
      <c r="J55" s="116"/>
      <c r="K55" s="116"/>
      <c r="L55" s="116"/>
      <c r="M55" s="116"/>
      <c r="N55" s="116"/>
      <c r="O55" s="409"/>
      <c r="P55" s="409"/>
      <c r="Q55" s="409"/>
      <c r="R55" s="409"/>
      <c r="S55" s="409"/>
      <c r="T55" s="409"/>
      <c r="U55" s="409"/>
      <c r="V55" s="409"/>
      <c r="W55" s="409"/>
      <c r="X55" s="116"/>
      <c r="Y55" s="409"/>
      <c r="Z55" s="409"/>
      <c r="AA55" s="409"/>
      <c r="AB55" s="409"/>
      <c r="AC55" s="409"/>
      <c r="AD55" s="116"/>
      <c r="AE55" s="116"/>
      <c r="AF55" s="116"/>
      <c r="AG55" s="95">
        <f t="shared" ref="AG55:AG57" si="13">SUM(B55:AF55)</f>
        <v>0</v>
      </c>
    </row>
    <row r="56" outlineLevel="1">
      <c r="A56" s="410" t="s">
        <v>308</v>
      </c>
      <c r="B56" s="99"/>
      <c r="C56" s="99"/>
      <c r="D56" s="99"/>
      <c r="E56" s="99"/>
      <c r="F56" s="99"/>
      <c r="G56" s="313"/>
      <c r="H56" s="313"/>
      <c r="I56" s="313"/>
      <c r="J56" s="313"/>
      <c r="K56" s="99"/>
      <c r="L56" s="313"/>
      <c r="M56" s="313"/>
      <c r="N56" s="313"/>
      <c r="O56" s="313"/>
      <c r="P56" s="313"/>
      <c r="Q56" s="313"/>
      <c r="R56" s="313"/>
      <c r="S56" s="313"/>
      <c r="T56" s="313"/>
      <c r="U56" s="313"/>
      <c r="V56" s="313"/>
      <c r="W56" s="313"/>
      <c r="X56" s="313"/>
      <c r="Y56" s="313"/>
      <c r="Z56" s="313"/>
      <c r="AA56" s="313"/>
      <c r="AB56" s="313"/>
      <c r="AC56" s="313"/>
      <c r="AD56" s="313"/>
      <c r="AE56" s="313"/>
      <c r="AF56" s="313"/>
      <c r="AG56" s="95">
        <f t="shared" si="13"/>
        <v>0</v>
      </c>
    </row>
    <row r="57" outlineLevel="1">
      <c r="A57" s="411" t="s">
        <v>658</v>
      </c>
      <c r="B57" s="412">
        <f t="shared" ref="B57:AF57" si="14">sum(B55:B56)</f>
        <v>0</v>
      </c>
      <c r="C57" s="412">
        <f t="shared" si="14"/>
        <v>0</v>
      </c>
      <c r="D57" s="412">
        <f t="shared" si="14"/>
        <v>0</v>
      </c>
      <c r="E57" s="412">
        <f t="shared" si="14"/>
        <v>0</v>
      </c>
      <c r="F57" s="412">
        <f t="shared" si="14"/>
        <v>0</v>
      </c>
      <c r="G57" s="412">
        <f t="shared" si="14"/>
        <v>0</v>
      </c>
      <c r="H57" s="412">
        <f t="shared" si="14"/>
        <v>0</v>
      </c>
      <c r="I57" s="412">
        <f t="shared" si="14"/>
        <v>0</v>
      </c>
      <c r="J57" s="412">
        <f t="shared" si="14"/>
        <v>0</v>
      </c>
      <c r="K57" s="412">
        <f t="shared" si="14"/>
        <v>0</v>
      </c>
      <c r="L57" s="412">
        <f t="shared" si="14"/>
        <v>0</v>
      </c>
      <c r="M57" s="412">
        <f t="shared" si="14"/>
        <v>0</v>
      </c>
      <c r="N57" s="412">
        <f t="shared" si="14"/>
        <v>0</v>
      </c>
      <c r="O57" s="412">
        <f t="shared" si="14"/>
        <v>0</v>
      </c>
      <c r="P57" s="412">
        <f t="shared" si="14"/>
        <v>0</v>
      </c>
      <c r="Q57" s="412">
        <f t="shared" si="14"/>
        <v>0</v>
      </c>
      <c r="R57" s="412">
        <f t="shared" si="14"/>
        <v>0</v>
      </c>
      <c r="S57" s="412">
        <f t="shared" si="14"/>
        <v>0</v>
      </c>
      <c r="T57" s="412">
        <f t="shared" si="14"/>
        <v>0</v>
      </c>
      <c r="U57" s="412">
        <f t="shared" si="14"/>
        <v>0</v>
      </c>
      <c r="V57" s="412">
        <f t="shared" si="14"/>
        <v>0</v>
      </c>
      <c r="W57" s="412">
        <f t="shared" si="14"/>
        <v>0</v>
      </c>
      <c r="X57" s="412">
        <f t="shared" si="14"/>
        <v>0</v>
      </c>
      <c r="Y57" s="412">
        <f t="shared" si="14"/>
        <v>0</v>
      </c>
      <c r="Z57" s="412">
        <f t="shared" si="14"/>
        <v>0</v>
      </c>
      <c r="AA57" s="412">
        <f t="shared" si="14"/>
        <v>0</v>
      </c>
      <c r="AB57" s="412">
        <f t="shared" si="14"/>
        <v>0</v>
      </c>
      <c r="AC57" s="412">
        <f t="shared" si="14"/>
        <v>0</v>
      </c>
      <c r="AD57" s="412">
        <f t="shared" si="14"/>
        <v>0</v>
      </c>
      <c r="AE57" s="412">
        <f t="shared" si="14"/>
        <v>0</v>
      </c>
      <c r="AF57" s="412">
        <f t="shared" si="14"/>
        <v>0</v>
      </c>
      <c r="AG57" s="95">
        <f t="shared" si="13"/>
        <v>0</v>
      </c>
    </row>
    <row r="58" outlineLevel="1">
      <c r="A58" s="100"/>
      <c r="B58" s="130"/>
      <c r="C58" s="130"/>
      <c r="D58" s="130"/>
      <c r="E58" s="130"/>
      <c r="F58" s="130"/>
      <c r="G58" s="130"/>
      <c r="H58" s="130"/>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397"/>
    </row>
    <row r="59" outlineLevel="1">
      <c r="A59" s="413" t="s">
        <v>659</v>
      </c>
      <c r="B59" s="414"/>
      <c r="C59" s="414"/>
      <c r="D59" s="414"/>
      <c r="E59" s="414"/>
      <c r="F59" s="414"/>
      <c r="G59" s="414"/>
      <c r="H59" s="414"/>
      <c r="I59" s="414"/>
      <c r="J59" s="414"/>
      <c r="K59" s="414"/>
      <c r="L59" s="414"/>
      <c r="M59" s="414"/>
      <c r="N59" s="414"/>
      <c r="O59" s="414"/>
      <c r="P59" s="414"/>
      <c r="Q59" s="414"/>
      <c r="R59" s="414"/>
      <c r="S59" s="414"/>
      <c r="T59" s="415"/>
      <c r="U59" s="415"/>
      <c r="V59" s="415"/>
      <c r="W59" s="415"/>
      <c r="X59" s="415"/>
      <c r="Y59" s="415"/>
      <c r="Z59" s="415"/>
      <c r="AA59" s="415"/>
      <c r="AB59" s="415"/>
      <c r="AC59" s="415"/>
      <c r="AD59" s="415"/>
      <c r="AE59" s="222"/>
      <c r="AF59" s="222"/>
      <c r="AG59" s="408"/>
    </row>
    <row r="60" outlineLevel="1">
      <c r="A60" s="213" t="s">
        <v>660</v>
      </c>
      <c r="B60" s="303"/>
      <c r="C60" s="303"/>
      <c r="D60" s="303"/>
      <c r="E60" s="303"/>
      <c r="F60" s="303"/>
      <c r="G60" s="303"/>
      <c r="H60" s="303"/>
      <c r="I60" s="303"/>
      <c r="J60" s="303"/>
      <c r="K60" s="303"/>
      <c r="L60" s="303"/>
      <c r="M60" s="303"/>
      <c r="N60" s="303"/>
      <c r="O60" s="303"/>
      <c r="P60" s="303"/>
      <c r="Q60" s="303"/>
      <c r="R60" s="303"/>
      <c r="S60" s="303"/>
      <c r="T60" s="303"/>
      <c r="U60" s="303"/>
      <c r="V60" s="303"/>
      <c r="W60" s="303"/>
      <c r="X60" s="303"/>
      <c r="Y60" s="303"/>
      <c r="Z60" s="303"/>
      <c r="AA60" s="303"/>
      <c r="AB60" s="303"/>
      <c r="AC60" s="303"/>
      <c r="AD60" s="303"/>
      <c r="AE60" s="303"/>
      <c r="AF60" s="303"/>
      <c r="AG60" s="95">
        <f t="shared" ref="AG60:AG65" si="15">SUM(B60:AF60)</f>
        <v>0</v>
      </c>
    </row>
    <row r="61" outlineLevel="1">
      <c r="A61" s="213" t="s">
        <v>661</v>
      </c>
      <c r="B61" s="303"/>
      <c r="C61" s="303"/>
      <c r="D61" s="303"/>
      <c r="E61" s="303"/>
      <c r="F61" s="303"/>
      <c r="G61" s="303"/>
      <c r="H61" s="303"/>
      <c r="I61" s="303"/>
      <c r="J61" s="303"/>
      <c r="K61" s="303"/>
      <c r="L61" s="303"/>
      <c r="M61" s="303"/>
      <c r="N61" s="303"/>
      <c r="O61" s="303"/>
      <c r="P61" s="303"/>
      <c r="Q61" s="303"/>
      <c r="R61" s="303"/>
      <c r="S61" s="303"/>
      <c r="T61" s="303"/>
      <c r="U61" s="303"/>
      <c r="V61" s="303"/>
      <c r="W61" s="303"/>
      <c r="X61" s="303"/>
      <c r="Y61" s="303"/>
      <c r="Z61" s="303"/>
      <c r="AA61" s="303"/>
      <c r="AB61" s="303"/>
      <c r="AC61" s="303"/>
      <c r="AD61" s="303"/>
      <c r="AE61" s="303"/>
      <c r="AF61" s="303"/>
      <c r="AG61" s="95">
        <f t="shared" si="15"/>
        <v>0</v>
      </c>
    </row>
    <row r="62" outlineLevel="1">
      <c r="A62" s="213" t="s">
        <v>662</v>
      </c>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c r="AA62" s="303"/>
      <c r="AB62" s="303"/>
      <c r="AC62" s="303"/>
      <c r="AD62" s="303"/>
      <c r="AE62" s="303"/>
      <c r="AF62" s="303"/>
      <c r="AG62" s="95">
        <f t="shared" si="15"/>
        <v>0</v>
      </c>
    </row>
    <row r="63" outlineLevel="1">
      <c r="A63" s="213" t="s">
        <v>663</v>
      </c>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c r="AA63" s="303"/>
      <c r="AB63" s="303"/>
      <c r="AC63" s="303"/>
      <c r="AD63" s="303"/>
      <c r="AE63" s="303"/>
      <c r="AF63" s="303"/>
      <c r="AG63" s="95">
        <f t="shared" si="15"/>
        <v>0</v>
      </c>
    </row>
    <row r="64" outlineLevel="1">
      <c r="A64" s="215" t="s">
        <v>221</v>
      </c>
      <c r="B64" s="330">
        <f t="shared" ref="B64:AF64" si="16">SUM(B60:B61)</f>
        <v>0</v>
      </c>
      <c r="C64" s="330">
        <f t="shared" si="16"/>
        <v>0</v>
      </c>
      <c r="D64" s="330">
        <f t="shared" si="16"/>
        <v>0</v>
      </c>
      <c r="E64" s="330">
        <f t="shared" si="16"/>
        <v>0</v>
      </c>
      <c r="F64" s="330">
        <f t="shared" si="16"/>
        <v>0</v>
      </c>
      <c r="G64" s="330">
        <f t="shared" si="16"/>
        <v>0</v>
      </c>
      <c r="H64" s="330">
        <f t="shared" si="16"/>
        <v>0</v>
      </c>
      <c r="I64" s="330">
        <f t="shared" si="16"/>
        <v>0</v>
      </c>
      <c r="J64" s="330">
        <f t="shared" si="16"/>
        <v>0</v>
      </c>
      <c r="K64" s="330">
        <f t="shared" si="16"/>
        <v>0</v>
      </c>
      <c r="L64" s="330">
        <f t="shared" si="16"/>
        <v>0</v>
      </c>
      <c r="M64" s="330">
        <f t="shared" si="16"/>
        <v>0</v>
      </c>
      <c r="N64" s="330">
        <f t="shared" si="16"/>
        <v>0</v>
      </c>
      <c r="O64" s="330">
        <f t="shared" si="16"/>
        <v>0</v>
      </c>
      <c r="P64" s="330">
        <f t="shared" si="16"/>
        <v>0</v>
      </c>
      <c r="Q64" s="330">
        <f t="shared" si="16"/>
        <v>0</v>
      </c>
      <c r="R64" s="330">
        <f t="shared" si="16"/>
        <v>0</v>
      </c>
      <c r="S64" s="330">
        <f t="shared" si="16"/>
        <v>0</v>
      </c>
      <c r="T64" s="330">
        <f t="shared" si="16"/>
        <v>0</v>
      </c>
      <c r="U64" s="330">
        <f t="shared" si="16"/>
        <v>0</v>
      </c>
      <c r="V64" s="330">
        <f t="shared" si="16"/>
        <v>0</v>
      </c>
      <c r="W64" s="330">
        <f t="shared" si="16"/>
        <v>0</v>
      </c>
      <c r="X64" s="330">
        <f t="shared" si="16"/>
        <v>0</v>
      </c>
      <c r="Y64" s="330">
        <f t="shared" si="16"/>
        <v>0</v>
      </c>
      <c r="Z64" s="330">
        <f t="shared" si="16"/>
        <v>0</v>
      </c>
      <c r="AA64" s="330">
        <f t="shared" si="16"/>
        <v>0</v>
      </c>
      <c r="AB64" s="330">
        <f t="shared" si="16"/>
        <v>0</v>
      </c>
      <c r="AC64" s="330">
        <f t="shared" si="16"/>
        <v>0</v>
      </c>
      <c r="AD64" s="330">
        <f t="shared" si="16"/>
        <v>0</v>
      </c>
      <c r="AE64" s="330">
        <f t="shared" si="16"/>
        <v>0</v>
      </c>
      <c r="AF64" s="330">
        <f t="shared" si="16"/>
        <v>0</v>
      </c>
      <c r="AG64" s="95">
        <f t="shared" si="15"/>
        <v>0</v>
      </c>
    </row>
    <row r="65" outlineLevel="1">
      <c r="A65" s="215" t="s">
        <v>222</v>
      </c>
      <c r="B65" s="330">
        <f t="shared" ref="B65:AF65" si="17">SUM(B62:B63)</f>
        <v>0</v>
      </c>
      <c r="C65" s="330">
        <f t="shared" si="17"/>
        <v>0</v>
      </c>
      <c r="D65" s="330">
        <f t="shared" si="17"/>
        <v>0</v>
      </c>
      <c r="E65" s="330">
        <f t="shared" si="17"/>
        <v>0</v>
      </c>
      <c r="F65" s="330">
        <f t="shared" si="17"/>
        <v>0</v>
      </c>
      <c r="G65" s="330">
        <f t="shared" si="17"/>
        <v>0</v>
      </c>
      <c r="H65" s="330">
        <f t="shared" si="17"/>
        <v>0</v>
      </c>
      <c r="I65" s="330">
        <f t="shared" si="17"/>
        <v>0</v>
      </c>
      <c r="J65" s="330">
        <f t="shared" si="17"/>
        <v>0</v>
      </c>
      <c r="K65" s="330">
        <f t="shared" si="17"/>
        <v>0</v>
      </c>
      <c r="L65" s="330">
        <f t="shared" si="17"/>
        <v>0</v>
      </c>
      <c r="M65" s="330">
        <f t="shared" si="17"/>
        <v>0</v>
      </c>
      <c r="N65" s="330">
        <f t="shared" si="17"/>
        <v>0</v>
      </c>
      <c r="O65" s="330">
        <f t="shared" si="17"/>
        <v>0</v>
      </c>
      <c r="P65" s="330">
        <f t="shared" si="17"/>
        <v>0</v>
      </c>
      <c r="Q65" s="330">
        <f t="shared" si="17"/>
        <v>0</v>
      </c>
      <c r="R65" s="330">
        <f t="shared" si="17"/>
        <v>0</v>
      </c>
      <c r="S65" s="330">
        <f t="shared" si="17"/>
        <v>0</v>
      </c>
      <c r="T65" s="330">
        <f t="shared" si="17"/>
        <v>0</v>
      </c>
      <c r="U65" s="330">
        <f t="shared" si="17"/>
        <v>0</v>
      </c>
      <c r="V65" s="330">
        <f t="shared" si="17"/>
        <v>0</v>
      </c>
      <c r="W65" s="330">
        <f t="shared" si="17"/>
        <v>0</v>
      </c>
      <c r="X65" s="330">
        <f t="shared" si="17"/>
        <v>0</v>
      </c>
      <c r="Y65" s="330">
        <f t="shared" si="17"/>
        <v>0</v>
      </c>
      <c r="Z65" s="330">
        <f t="shared" si="17"/>
        <v>0</v>
      </c>
      <c r="AA65" s="330">
        <f t="shared" si="17"/>
        <v>0</v>
      </c>
      <c r="AB65" s="330">
        <f t="shared" si="17"/>
        <v>0</v>
      </c>
      <c r="AC65" s="330">
        <f t="shared" si="17"/>
        <v>0</v>
      </c>
      <c r="AD65" s="330">
        <f t="shared" si="17"/>
        <v>0</v>
      </c>
      <c r="AE65" s="330">
        <f t="shared" si="17"/>
        <v>0</v>
      </c>
      <c r="AF65" s="330">
        <f t="shared" si="17"/>
        <v>0</v>
      </c>
      <c r="AG65" s="95">
        <f t="shared" si="15"/>
        <v>0</v>
      </c>
    </row>
    <row r="66" outlineLevel="1">
      <c r="A66" s="100"/>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408"/>
    </row>
    <row r="67" outlineLevel="1">
      <c r="A67" s="213" t="s">
        <v>224</v>
      </c>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95">
        <f t="shared" ref="AG67:AG75" si="18">SUM(B67:AF67)</f>
        <v>0</v>
      </c>
    </row>
    <row r="68" outlineLevel="1">
      <c r="A68" s="213" t="s">
        <v>225</v>
      </c>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c r="AA68" s="303"/>
      <c r="AB68" s="303"/>
      <c r="AC68" s="303"/>
      <c r="AD68" s="303"/>
      <c r="AE68" s="303"/>
      <c r="AF68" s="303"/>
      <c r="AG68" s="95">
        <f t="shared" si="18"/>
        <v>0</v>
      </c>
    </row>
    <row r="69" outlineLevel="1">
      <c r="A69" s="213" t="s">
        <v>664</v>
      </c>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303"/>
      <c r="AE69" s="303"/>
      <c r="AF69" s="303"/>
      <c r="AG69" s="95">
        <f t="shared" si="18"/>
        <v>0</v>
      </c>
    </row>
    <row r="70" outlineLevel="1">
      <c r="A70" s="213" t="s">
        <v>665</v>
      </c>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303"/>
      <c r="AF70" s="303"/>
      <c r="AG70" s="95">
        <f t="shared" si="18"/>
        <v>0</v>
      </c>
    </row>
    <row r="71" outlineLevel="1">
      <c r="A71" s="213" t="s">
        <v>666</v>
      </c>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c r="AA71" s="303"/>
      <c r="AB71" s="303"/>
      <c r="AC71" s="303"/>
      <c r="AD71" s="303"/>
      <c r="AE71" s="303"/>
      <c r="AF71" s="303"/>
      <c r="AG71" s="95">
        <f t="shared" si="18"/>
        <v>0</v>
      </c>
    </row>
    <row r="72" outlineLevel="1">
      <c r="A72" s="213" t="s">
        <v>667</v>
      </c>
      <c r="B72" s="303"/>
      <c r="C72" s="303"/>
      <c r="D72" s="303"/>
      <c r="E72" s="303"/>
      <c r="F72" s="303"/>
      <c r="G72" s="303"/>
      <c r="H72" s="303"/>
      <c r="I72" s="303"/>
      <c r="J72" s="303"/>
      <c r="K72" s="303"/>
      <c r="L72" s="303"/>
      <c r="M72" s="303"/>
      <c r="N72" s="303"/>
      <c r="O72" s="303"/>
      <c r="P72" s="303"/>
      <c r="Q72" s="303"/>
      <c r="R72" s="303"/>
      <c r="S72" s="303"/>
      <c r="T72" s="303"/>
      <c r="U72" s="303"/>
      <c r="V72" s="303"/>
      <c r="W72" s="303"/>
      <c r="X72" s="303"/>
      <c r="Y72" s="303"/>
      <c r="Z72" s="303"/>
      <c r="AA72" s="303"/>
      <c r="AB72" s="303"/>
      <c r="AC72" s="303"/>
      <c r="AD72" s="303"/>
      <c r="AE72" s="303"/>
      <c r="AF72" s="303"/>
      <c r="AG72" s="95">
        <f t="shared" si="18"/>
        <v>0</v>
      </c>
    </row>
    <row r="73" outlineLevel="1">
      <c r="A73" s="213" t="s">
        <v>668</v>
      </c>
      <c r="B73" s="303"/>
      <c r="C73" s="303"/>
      <c r="D73" s="303"/>
      <c r="E73" s="303"/>
      <c r="F73" s="303"/>
      <c r="G73" s="303"/>
      <c r="H73" s="303"/>
      <c r="I73" s="303"/>
      <c r="J73" s="303"/>
      <c r="K73" s="303"/>
      <c r="L73" s="303"/>
      <c r="M73" s="303"/>
      <c r="N73" s="303"/>
      <c r="O73" s="303"/>
      <c r="P73" s="303"/>
      <c r="Q73" s="303"/>
      <c r="R73" s="303"/>
      <c r="S73" s="303"/>
      <c r="T73" s="303"/>
      <c r="U73" s="303"/>
      <c r="V73" s="303"/>
      <c r="W73" s="303"/>
      <c r="X73" s="303"/>
      <c r="Y73" s="303"/>
      <c r="Z73" s="303"/>
      <c r="AA73" s="303"/>
      <c r="AB73" s="303"/>
      <c r="AC73" s="303"/>
      <c r="AD73" s="303"/>
      <c r="AE73" s="303"/>
      <c r="AF73" s="303"/>
      <c r="AG73" s="95">
        <f t="shared" si="18"/>
        <v>0</v>
      </c>
    </row>
    <row r="74" outlineLevel="1">
      <c r="A74" s="213" t="s">
        <v>669</v>
      </c>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c r="AA74" s="303"/>
      <c r="AB74" s="303"/>
      <c r="AC74" s="303"/>
      <c r="AD74" s="303"/>
      <c r="AE74" s="303"/>
      <c r="AF74" s="303"/>
      <c r="AG74" s="95">
        <f t="shared" si="18"/>
        <v>0</v>
      </c>
    </row>
    <row r="75" outlineLevel="1">
      <c r="A75" s="217" t="s">
        <v>141</v>
      </c>
      <c r="B75" s="330">
        <f t="shared" ref="B75:AF75" si="19">SUM(B67:B74)</f>
        <v>0</v>
      </c>
      <c r="C75" s="330">
        <f t="shared" si="19"/>
        <v>0</v>
      </c>
      <c r="D75" s="330">
        <f t="shared" si="19"/>
        <v>0</v>
      </c>
      <c r="E75" s="330">
        <f t="shared" si="19"/>
        <v>0</v>
      </c>
      <c r="F75" s="330">
        <f t="shared" si="19"/>
        <v>0</v>
      </c>
      <c r="G75" s="330">
        <f t="shared" si="19"/>
        <v>0</v>
      </c>
      <c r="H75" s="330">
        <f t="shared" si="19"/>
        <v>0</v>
      </c>
      <c r="I75" s="330">
        <f t="shared" si="19"/>
        <v>0</v>
      </c>
      <c r="J75" s="330">
        <f t="shared" si="19"/>
        <v>0</v>
      </c>
      <c r="K75" s="330">
        <f t="shared" si="19"/>
        <v>0</v>
      </c>
      <c r="L75" s="330">
        <f t="shared" si="19"/>
        <v>0</v>
      </c>
      <c r="M75" s="330">
        <f t="shared" si="19"/>
        <v>0</v>
      </c>
      <c r="N75" s="330">
        <f t="shared" si="19"/>
        <v>0</v>
      </c>
      <c r="O75" s="330">
        <f t="shared" si="19"/>
        <v>0</v>
      </c>
      <c r="P75" s="330">
        <f t="shared" si="19"/>
        <v>0</v>
      </c>
      <c r="Q75" s="330">
        <f t="shared" si="19"/>
        <v>0</v>
      </c>
      <c r="R75" s="330">
        <f t="shared" si="19"/>
        <v>0</v>
      </c>
      <c r="S75" s="330">
        <f t="shared" si="19"/>
        <v>0</v>
      </c>
      <c r="T75" s="330">
        <f t="shared" si="19"/>
        <v>0</v>
      </c>
      <c r="U75" s="330">
        <f t="shared" si="19"/>
        <v>0</v>
      </c>
      <c r="V75" s="330">
        <f t="shared" si="19"/>
        <v>0</v>
      </c>
      <c r="W75" s="330">
        <f t="shared" si="19"/>
        <v>0</v>
      </c>
      <c r="X75" s="330">
        <f t="shared" si="19"/>
        <v>0</v>
      </c>
      <c r="Y75" s="330">
        <f t="shared" si="19"/>
        <v>0</v>
      </c>
      <c r="Z75" s="330">
        <f t="shared" si="19"/>
        <v>0</v>
      </c>
      <c r="AA75" s="330">
        <f t="shared" si="19"/>
        <v>0</v>
      </c>
      <c r="AB75" s="330">
        <f t="shared" si="19"/>
        <v>0</v>
      </c>
      <c r="AC75" s="330">
        <f t="shared" si="19"/>
        <v>0</v>
      </c>
      <c r="AD75" s="330">
        <f t="shared" si="19"/>
        <v>0</v>
      </c>
      <c r="AE75" s="330">
        <f t="shared" si="19"/>
        <v>0</v>
      </c>
      <c r="AF75" s="330">
        <f t="shared" si="19"/>
        <v>0</v>
      </c>
      <c r="AG75" s="95">
        <f t="shared" si="18"/>
        <v>0</v>
      </c>
    </row>
    <row r="76" outlineLevel="1">
      <c r="A76" s="100"/>
      <c r="B76" s="130"/>
      <c r="C76" s="130"/>
      <c r="D76" s="130"/>
      <c r="E76" s="130"/>
      <c r="F76" s="130"/>
      <c r="G76" s="130"/>
      <c r="H76" s="130"/>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397"/>
    </row>
    <row r="77" outlineLevel="1">
      <c r="A77" s="213" t="s">
        <v>670</v>
      </c>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c r="AB77" s="230"/>
      <c r="AC77" s="230"/>
      <c r="AD77" s="230"/>
      <c r="AE77" s="230"/>
      <c r="AF77" s="230"/>
      <c r="AG77" s="95">
        <f>SUM(B77:AF77)</f>
        <v>0</v>
      </c>
    </row>
    <row r="78" outlineLevel="1">
      <c r="A78" s="100"/>
      <c r="B78" s="130"/>
      <c r="C78" s="130"/>
      <c r="D78" s="130"/>
      <c r="E78" s="130"/>
      <c r="F78" s="130"/>
      <c r="G78" s="130"/>
      <c r="H78" s="130"/>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397"/>
    </row>
    <row r="79" outlineLevel="1">
      <c r="A79" s="141" t="s">
        <v>671</v>
      </c>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408"/>
    </row>
    <row r="80" outlineLevel="1">
      <c r="A80" s="213" t="s">
        <v>655</v>
      </c>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5">
        <f t="shared" ref="AG80:AG83" si="20">SUM(B80:AF80)</f>
        <v>0</v>
      </c>
    </row>
    <row r="81" outlineLevel="1">
      <c r="A81" s="213" t="s">
        <v>482</v>
      </c>
      <c r="B81" s="99"/>
      <c r="C81" s="99"/>
      <c r="D81" s="99"/>
      <c r="E81" s="99"/>
      <c r="F81" s="99"/>
      <c r="G81" s="99"/>
      <c r="H81" s="99"/>
      <c r="I81" s="99"/>
      <c r="J81" s="99"/>
      <c r="K81" s="99"/>
      <c r="L81" s="99"/>
      <c r="M81" s="99"/>
      <c r="N81" s="99"/>
      <c r="O81" s="99"/>
      <c r="P81" s="99"/>
      <c r="Q81" s="99"/>
      <c r="R81" s="99"/>
      <c r="S81" s="99"/>
      <c r="T81" s="99"/>
      <c r="U81" s="99"/>
      <c r="V81" s="313"/>
      <c r="W81" s="313"/>
      <c r="X81" s="313"/>
      <c r="Y81" s="313"/>
      <c r="Z81" s="313"/>
      <c r="AA81" s="313"/>
      <c r="AB81" s="313"/>
      <c r="AC81" s="313"/>
      <c r="AD81" s="313"/>
      <c r="AE81" s="313"/>
      <c r="AF81" s="313"/>
      <c r="AG81" s="95">
        <f t="shared" si="20"/>
        <v>0</v>
      </c>
    </row>
    <row r="82" outlineLevel="1">
      <c r="A82" s="213" t="s">
        <v>656</v>
      </c>
      <c r="B82" s="99"/>
      <c r="C82" s="99"/>
      <c r="D82" s="99"/>
      <c r="E82" s="99"/>
      <c r="F82" s="99"/>
      <c r="G82" s="313"/>
      <c r="H82" s="313"/>
      <c r="I82" s="313"/>
      <c r="J82" s="313"/>
      <c r="K82" s="99"/>
      <c r="L82" s="313"/>
      <c r="M82" s="313"/>
      <c r="N82" s="313"/>
      <c r="O82" s="313"/>
      <c r="P82" s="313"/>
      <c r="Q82" s="313"/>
      <c r="R82" s="313"/>
      <c r="S82" s="313"/>
      <c r="T82" s="313"/>
      <c r="U82" s="313"/>
      <c r="V82" s="313"/>
      <c r="W82" s="313"/>
      <c r="X82" s="313"/>
      <c r="Y82" s="313"/>
      <c r="Z82" s="313"/>
      <c r="AA82" s="313"/>
      <c r="AB82" s="313"/>
      <c r="AC82" s="313"/>
      <c r="AD82" s="313"/>
      <c r="AE82" s="313"/>
      <c r="AF82" s="313"/>
      <c r="AG82" s="95">
        <f t="shared" si="20"/>
        <v>0</v>
      </c>
    </row>
    <row r="83" outlineLevel="1">
      <c r="A83" s="350" t="s">
        <v>657</v>
      </c>
      <c r="B83" s="342">
        <f t="shared" ref="B83:AF83" si="21">sum(B80:B82)</f>
        <v>0</v>
      </c>
      <c r="C83" s="342">
        <f t="shared" si="21"/>
        <v>0</v>
      </c>
      <c r="D83" s="342">
        <f t="shared" si="21"/>
        <v>0</v>
      </c>
      <c r="E83" s="342">
        <f t="shared" si="21"/>
        <v>0</v>
      </c>
      <c r="F83" s="342">
        <f t="shared" si="21"/>
        <v>0</v>
      </c>
      <c r="G83" s="342">
        <f t="shared" si="21"/>
        <v>0</v>
      </c>
      <c r="H83" s="342">
        <f t="shared" si="21"/>
        <v>0</v>
      </c>
      <c r="I83" s="342">
        <f t="shared" si="21"/>
        <v>0</v>
      </c>
      <c r="J83" s="342">
        <f t="shared" si="21"/>
        <v>0</v>
      </c>
      <c r="K83" s="342">
        <f t="shared" si="21"/>
        <v>0</v>
      </c>
      <c r="L83" s="342">
        <f t="shared" si="21"/>
        <v>0</v>
      </c>
      <c r="M83" s="342">
        <f t="shared" si="21"/>
        <v>0</v>
      </c>
      <c r="N83" s="342">
        <f t="shared" si="21"/>
        <v>0</v>
      </c>
      <c r="O83" s="342">
        <f t="shared" si="21"/>
        <v>0</v>
      </c>
      <c r="P83" s="342">
        <f t="shared" si="21"/>
        <v>0</v>
      </c>
      <c r="Q83" s="342">
        <f t="shared" si="21"/>
        <v>0</v>
      </c>
      <c r="R83" s="342">
        <f t="shared" si="21"/>
        <v>0</v>
      </c>
      <c r="S83" s="342">
        <f t="shared" si="21"/>
        <v>0</v>
      </c>
      <c r="T83" s="342">
        <f t="shared" si="21"/>
        <v>0</v>
      </c>
      <c r="U83" s="342">
        <f t="shared" si="21"/>
        <v>0</v>
      </c>
      <c r="V83" s="342">
        <f t="shared" si="21"/>
        <v>0</v>
      </c>
      <c r="W83" s="342">
        <f t="shared" si="21"/>
        <v>0</v>
      </c>
      <c r="X83" s="342">
        <f t="shared" si="21"/>
        <v>0</v>
      </c>
      <c r="Y83" s="342">
        <f t="shared" si="21"/>
        <v>0</v>
      </c>
      <c r="Z83" s="342">
        <f t="shared" si="21"/>
        <v>0</v>
      </c>
      <c r="AA83" s="342">
        <f t="shared" si="21"/>
        <v>0</v>
      </c>
      <c r="AB83" s="342">
        <f t="shared" si="21"/>
        <v>0</v>
      </c>
      <c r="AC83" s="342">
        <f t="shared" si="21"/>
        <v>0</v>
      </c>
      <c r="AD83" s="342">
        <f t="shared" si="21"/>
        <v>0</v>
      </c>
      <c r="AE83" s="342">
        <f t="shared" si="21"/>
        <v>0</v>
      </c>
      <c r="AF83" s="342">
        <f t="shared" si="21"/>
        <v>0</v>
      </c>
      <c r="AG83" s="95">
        <f t="shared" si="20"/>
        <v>0</v>
      </c>
    </row>
    <row r="84" outlineLevel="1">
      <c r="A84" s="172"/>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c r="AA84" s="181"/>
      <c r="AB84" s="181"/>
      <c r="AC84" s="181"/>
      <c r="AD84" s="181"/>
      <c r="AE84" s="181"/>
      <c r="AF84" s="181"/>
      <c r="AG84" s="416"/>
    </row>
    <row r="85" outlineLevel="1">
      <c r="A85" s="358" t="s">
        <v>307</v>
      </c>
      <c r="B85" s="116"/>
      <c r="C85" s="116"/>
      <c r="D85" s="116"/>
      <c r="E85" s="116"/>
      <c r="F85" s="116"/>
      <c r="G85" s="116"/>
      <c r="H85" s="116"/>
      <c r="I85" s="116"/>
      <c r="J85" s="116"/>
      <c r="K85" s="116"/>
      <c r="L85" s="116"/>
      <c r="M85" s="116"/>
      <c r="N85" s="116"/>
      <c r="O85" s="409"/>
      <c r="P85" s="409"/>
      <c r="Q85" s="409"/>
      <c r="R85" s="409"/>
      <c r="S85" s="409"/>
      <c r="T85" s="409"/>
      <c r="U85" s="409"/>
      <c r="V85" s="409"/>
      <c r="W85" s="409"/>
      <c r="X85" s="116"/>
      <c r="Y85" s="409"/>
      <c r="Z85" s="409"/>
      <c r="AA85" s="409"/>
      <c r="AB85" s="409"/>
      <c r="AC85" s="409"/>
      <c r="AD85" s="116"/>
      <c r="AE85" s="116"/>
      <c r="AF85" s="116"/>
      <c r="AG85" s="95">
        <f t="shared" ref="AG85:AG87" si="22">SUM(B85:AF85)</f>
        <v>0</v>
      </c>
    </row>
    <row r="86" outlineLevel="1">
      <c r="A86" s="410" t="s">
        <v>308</v>
      </c>
      <c r="B86" s="99"/>
      <c r="C86" s="99"/>
      <c r="D86" s="99"/>
      <c r="E86" s="99"/>
      <c r="F86" s="99"/>
      <c r="G86" s="313"/>
      <c r="H86" s="313"/>
      <c r="I86" s="313"/>
      <c r="J86" s="313"/>
      <c r="K86" s="99"/>
      <c r="L86" s="313"/>
      <c r="M86" s="313"/>
      <c r="N86" s="313"/>
      <c r="O86" s="313"/>
      <c r="P86" s="313"/>
      <c r="Q86" s="313"/>
      <c r="R86" s="313"/>
      <c r="S86" s="313"/>
      <c r="T86" s="313"/>
      <c r="U86" s="313"/>
      <c r="V86" s="313"/>
      <c r="W86" s="313"/>
      <c r="X86" s="313"/>
      <c r="Y86" s="313"/>
      <c r="Z86" s="313"/>
      <c r="AA86" s="313"/>
      <c r="AB86" s="313"/>
      <c r="AC86" s="313"/>
      <c r="AD86" s="313"/>
      <c r="AE86" s="313"/>
      <c r="AF86" s="313"/>
      <c r="AG86" s="95">
        <f t="shared" si="22"/>
        <v>0</v>
      </c>
    </row>
    <row r="87" outlineLevel="1">
      <c r="A87" s="411" t="s">
        <v>658</v>
      </c>
      <c r="B87" s="412">
        <f t="shared" ref="B87:AF87" si="23">sum(B85:B86)</f>
        <v>0</v>
      </c>
      <c r="C87" s="412">
        <f t="shared" si="23"/>
        <v>0</v>
      </c>
      <c r="D87" s="412">
        <f t="shared" si="23"/>
        <v>0</v>
      </c>
      <c r="E87" s="412">
        <f t="shared" si="23"/>
        <v>0</v>
      </c>
      <c r="F87" s="412">
        <f t="shared" si="23"/>
        <v>0</v>
      </c>
      <c r="G87" s="412">
        <f t="shared" si="23"/>
        <v>0</v>
      </c>
      <c r="H87" s="412">
        <f t="shared" si="23"/>
        <v>0</v>
      </c>
      <c r="I87" s="412">
        <f t="shared" si="23"/>
        <v>0</v>
      </c>
      <c r="J87" s="412">
        <f t="shared" si="23"/>
        <v>0</v>
      </c>
      <c r="K87" s="412">
        <f t="shared" si="23"/>
        <v>0</v>
      </c>
      <c r="L87" s="412">
        <f t="shared" si="23"/>
        <v>0</v>
      </c>
      <c r="M87" s="412">
        <f t="shared" si="23"/>
        <v>0</v>
      </c>
      <c r="N87" s="412">
        <f t="shared" si="23"/>
        <v>0</v>
      </c>
      <c r="O87" s="412">
        <f t="shared" si="23"/>
        <v>0</v>
      </c>
      <c r="P87" s="412">
        <f t="shared" si="23"/>
        <v>0</v>
      </c>
      <c r="Q87" s="412">
        <f t="shared" si="23"/>
        <v>0</v>
      </c>
      <c r="R87" s="412">
        <f t="shared" si="23"/>
        <v>0</v>
      </c>
      <c r="S87" s="412">
        <f t="shared" si="23"/>
        <v>0</v>
      </c>
      <c r="T87" s="412">
        <f t="shared" si="23"/>
        <v>0</v>
      </c>
      <c r="U87" s="412">
        <f t="shared" si="23"/>
        <v>0</v>
      </c>
      <c r="V87" s="412">
        <f t="shared" si="23"/>
        <v>0</v>
      </c>
      <c r="W87" s="412">
        <f t="shared" si="23"/>
        <v>0</v>
      </c>
      <c r="X87" s="412">
        <f t="shared" si="23"/>
        <v>0</v>
      </c>
      <c r="Y87" s="412">
        <f t="shared" si="23"/>
        <v>0</v>
      </c>
      <c r="Z87" s="412">
        <f t="shared" si="23"/>
        <v>0</v>
      </c>
      <c r="AA87" s="412">
        <f t="shared" si="23"/>
        <v>0</v>
      </c>
      <c r="AB87" s="412">
        <f t="shared" si="23"/>
        <v>0</v>
      </c>
      <c r="AC87" s="412">
        <f t="shared" si="23"/>
        <v>0</v>
      </c>
      <c r="AD87" s="412">
        <f t="shared" si="23"/>
        <v>0</v>
      </c>
      <c r="AE87" s="412">
        <f t="shared" si="23"/>
        <v>0</v>
      </c>
      <c r="AF87" s="412">
        <f t="shared" si="23"/>
        <v>0</v>
      </c>
      <c r="AG87" s="95">
        <f t="shared" si="22"/>
        <v>0</v>
      </c>
    </row>
    <row r="88">
      <c r="A88" s="172"/>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c r="AA88" s="181"/>
      <c r="AB88" s="181"/>
      <c r="AC88" s="181"/>
      <c r="AD88" s="181"/>
      <c r="AE88" s="181"/>
      <c r="AF88" s="181"/>
      <c r="AG88" s="416"/>
    </row>
    <row r="89">
      <c r="A89" s="404" t="s">
        <v>672</v>
      </c>
      <c r="B89" s="405"/>
      <c r="C89" s="405"/>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405"/>
      <c r="AF89" s="405"/>
      <c r="AG89" s="406"/>
    </row>
    <row r="90" outlineLevel="1">
      <c r="A90" s="213" t="s">
        <v>673</v>
      </c>
      <c r="B90" s="165">
        <v>0.0</v>
      </c>
      <c r="C90" s="165">
        <v>0.0</v>
      </c>
      <c r="D90" s="165">
        <v>0.0</v>
      </c>
      <c r="E90" s="165">
        <v>0.0</v>
      </c>
      <c r="F90" s="165">
        <v>0.0</v>
      </c>
      <c r="G90" s="185">
        <v>0.0</v>
      </c>
      <c r="H90" s="185">
        <v>0.0</v>
      </c>
      <c r="I90" s="185">
        <v>0.0</v>
      </c>
      <c r="J90" s="185">
        <v>0.0</v>
      </c>
      <c r="K90" s="185">
        <v>0.0</v>
      </c>
      <c r="L90" s="185">
        <v>0.0</v>
      </c>
      <c r="M90" s="185">
        <v>0.0</v>
      </c>
      <c r="N90" s="185">
        <v>0.0</v>
      </c>
      <c r="O90" s="185">
        <v>0.0</v>
      </c>
      <c r="P90" s="165">
        <v>0.0</v>
      </c>
      <c r="Q90" s="165">
        <v>0.0</v>
      </c>
      <c r="R90" s="185">
        <v>0.0</v>
      </c>
      <c r="S90" s="185">
        <v>0.0</v>
      </c>
      <c r="T90" s="185">
        <v>0.0</v>
      </c>
      <c r="U90" s="185">
        <v>0.0</v>
      </c>
      <c r="V90" s="185">
        <v>0.0</v>
      </c>
      <c r="W90" s="185">
        <v>0.0</v>
      </c>
      <c r="X90" s="185">
        <v>0.0</v>
      </c>
      <c r="Y90" s="185">
        <v>0.0</v>
      </c>
      <c r="Z90" s="185">
        <v>0.0</v>
      </c>
      <c r="AA90" s="185">
        <v>0.0</v>
      </c>
      <c r="AB90" s="185">
        <v>0.0</v>
      </c>
      <c r="AC90" s="185">
        <v>0.0</v>
      </c>
      <c r="AD90" s="185">
        <v>0.0</v>
      </c>
      <c r="AE90" s="185">
        <v>0.0</v>
      </c>
      <c r="AF90" s="185">
        <v>0.0</v>
      </c>
      <c r="AG90" s="95">
        <f t="shared" ref="AG90:AG105" si="24">SUM(B90:AF90)</f>
        <v>0</v>
      </c>
    </row>
    <row r="91" outlineLevel="1">
      <c r="A91" s="213" t="s">
        <v>674</v>
      </c>
      <c r="B91" s="165">
        <v>0.0</v>
      </c>
      <c r="C91" s="165">
        <v>0.0</v>
      </c>
      <c r="D91" s="165">
        <v>0.0</v>
      </c>
      <c r="E91" s="165">
        <v>0.0</v>
      </c>
      <c r="F91" s="165">
        <v>0.0</v>
      </c>
      <c r="G91" s="185">
        <v>0.0</v>
      </c>
      <c r="H91" s="185">
        <v>0.0</v>
      </c>
      <c r="I91" s="185">
        <v>0.0</v>
      </c>
      <c r="J91" s="185">
        <v>0.0</v>
      </c>
      <c r="K91" s="185">
        <v>0.0</v>
      </c>
      <c r="L91" s="185">
        <v>0.0</v>
      </c>
      <c r="M91" s="185">
        <v>0.0</v>
      </c>
      <c r="N91" s="185">
        <v>0.0</v>
      </c>
      <c r="O91" s="185">
        <v>0.0</v>
      </c>
      <c r="P91" s="165">
        <v>0.0</v>
      </c>
      <c r="Q91" s="165">
        <v>0.0</v>
      </c>
      <c r="R91" s="185">
        <v>0.0</v>
      </c>
      <c r="S91" s="185">
        <v>0.0</v>
      </c>
      <c r="T91" s="185">
        <v>0.0</v>
      </c>
      <c r="U91" s="185">
        <v>0.0</v>
      </c>
      <c r="V91" s="185">
        <v>0.0</v>
      </c>
      <c r="W91" s="185">
        <v>0.0</v>
      </c>
      <c r="X91" s="185">
        <v>0.0</v>
      </c>
      <c r="Y91" s="185">
        <v>0.0</v>
      </c>
      <c r="Z91" s="185">
        <v>0.0</v>
      </c>
      <c r="AA91" s="185">
        <v>0.0</v>
      </c>
      <c r="AB91" s="185">
        <v>0.0</v>
      </c>
      <c r="AC91" s="185">
        <v>0.0</v>
      </c>
      <c r="AD91" s="185">
        <v>0.0</v>
      </c>
      <c r="AE91" s="185">
        <v>0.0</v>
      </c>
      <c r="AF91" s="185">
        <v>0.0</v>
      </c>
      <c r="AG91" s="95">
        <f t="shared" si="24"/>
        <v>0</v>
      </c>
    </row>
    <row r="92" outlineLevel="1">
      <c r="A92" s="213" t="s">
        <v>675</v>
      </c>
      <c r="B92" s="165">
        <v>0.0</v>
      </c>
      <c r="C92" s="165">
        <v>0.0</v>
      </c>
      <c r="D92" s="165">
        <v>0.0</v>
      </c>
      <c r="E92" s="165">
        <v>1.0</v>
      </c>
      <c r="F92" s="165">
        <v>0.0</v>
      </c>
      <c r="G92" s="185">
        <v>0.0</v>
      </c>
      <c r="H92" s="185">
        <v>0.0</v>
      </c>
      <c r="I92" s="185">
        <v>0.0</v>
      </c>
      <c r="J92" s="185">
        <v>0.0</v>
      </c>
      <c r="K92" s="185">
        <v>0.0</v>
      </c>
      <c r="L92" s="185">
        <v>0.0</v>
      </c>
      <c r="M92" s="185">
        <v>0.0</v>
      </c>
      <c r="N92" s="185">
        <v>0.0</v>
      </c>
      <c r="O92" s="185">
        <v>0.0</v>
      </c>
      <c r="P92" s="165">
        <v>0.0</v>
      </c>
      <c r="Q92" s="165">
        <v>0.0</v>
      </c>
      <c r="R92" s="185">
        <v>0.0</v>
      </c>
      <c r="S92" s="185">
        <v>0.0</v>
      </c>
      <c r="T92" s="185">
        <v>0.0</v>
      </c>
      <c r="U92" s="185">
        <v>0.0</v>
      </c>
      <c r="V92" s="185">
        <v>0.0</v>
      </c>
      <c r="W92" s="185">
        <v>0.0</v>
      </c>
      <c r="X92" s="185">
        <v>0.0</v>
      </c>
      <c r="Y92" s="185">
        <v>0.0</v>
      </c>
      <c r="Z92" s="185">
        <v>0.0</v>
      </c>
      <c r="AA92" s="185">
        <v>0.0</v>
      </c>
      <c r="AB92" s="185">
        <v>0.0</v>
      </c>
      <c r="AC92" s="185">
        <v>0.0</v>
      </c>
      <c r="AD92" s="185">
        <v>0.0</v>
      </c>
      <c r="AE92" s="185">
        <v>0.0</v>
      </c>
      <c r="AF92" s="185">
        <v>0.0</v>
      </c>
      <c r="AG92" s="95">
        <f t="shared" si="24"/>
        <v>1</v>
      </c>
    </row>
    <row r="93" outlineLevel="1">
      <c r="A93" s="213" t="s">
        <v>676</v>
      </c>
      <c r="B93" s="165">
        <v>0.0</v>
      </c>
      <c r="C93" s="165">
        <v>0.0</v>
      </c>
      <c r="D93" s="165">
        <v>0.0</v>
      </c>
      <c r="E93" s="165">
        <v>0.0</v>
      </c>
      <c r="F93" s="165">
        <v>0.0</v>
      </c>
      <c r="G93" s="185">
        <v>0.0</v>
      </c>
      <c r="H93" s="185">
        <v>0.0</v>
      </c>
      <c r="I93" s="185">
        <v>0.0</v>
      </c>
      <c r="J93" s="185">
        <v>0.0</v>
      </c>
      <c r="K93" s="185">
        <v>0.0</v>
      </c>
      <c r="L93" s="185">
        <v>0.0</v>
      </c>
      <c r="M93" s="185">
        <v>0.0</v>
      </c>
      <c r="N93" s="185">
        <v>0.0</v>
      </c>
      <c r="O93" s="185">
        <v>0.0</v>
      </c>
      <c r="P93" s="165">
        <v>0.0</v>
      </c>
      <c r="Q93" s="165">
        <v>0.0</v>
      </c>
      <c r="R93" s="185">
        <v>0.0</v>
      </c>
      <c r="S93" s="185">
        <v>0.0</v>
      </c>
      <c r="T93" s="185">
        <v>0.0</v>
      </c>
      <c r="U93" s="185">
        <v>0.0</v>
      </c>
      <c r="V93" s="185">
        <v>0.0</v>
      </c>
      <c r="W93" s="185">
        <v>0.0</v>
      </c>
      <c r="X93" s="185">
        <v>0.0</v>
      </c>
      <c r="Y93" s="185">
        <v>0.0</v>
      </c>
      <c r="Z93" s="185">
        <v>0.0</v>
      </c>
      <c r="AA93" s="185">
        <v>0.0</v>
      </c>
      <c r="AB93" s="185">
        <v>0.0</v>
      </c>
      <c r="AC93" s="185">
        <v>0.0</v>
      </c>
      <c r="AD93" s="185">
        <v>0.0</v>
      </c>
      <c r="AE93" s="185">
        <v>0.0</v>
      </c>
      <c r="AF93" s="185">
        <v>0.0</v>
      </c>
      <c r="AG93" s="95">
        <f t="shared" si="24"/>
        <v>0</v>
      </c>
    </row>
    <row r="94" outlineLevel="1">
      <c r="A94" s="215" t="s">
        <v>221</v>
      </c>
      <c r="B94" s="346">
        <f t="shared" ref="B94:F94" si="25">B90+B91</f>
        <v>0</v>
      </c>
      <c r="C94" s="346">
        <f t="shared" si="25"/>
        <v>0</v>
      </c>
      <c r="D94" s="346">
        <f t="shared" si="25"/>
        <v>0</v>
      </c>
      <c r="E94" s="346">
        <f t="shared" si="25"/>
        <v>0</v>
      </c>
      <c r="F94" s="346">
        <f t="shared" si="25"/>
        <v>0</v>
      </c>
      <c r="G94" s="417">
        <v>0.0</v>
      </c>
      <c r="H94" s="417">
        <v>0.0</v>
      </c>
      <c r="I94" s="417">
        <v>0.0</v>
      </c>
      <c r="J94" s="417">
        <v>0.0</v>
      </c>
      <c r="K94" s="417">
        <v>0.0</v>
      </c>
      <c r="L94" s="417">
        <v>0.0</v>
      </c>
      <c r="M94" s="417">
        <v>0.0</v>
      </c>
      <c r="N94" s="417">
        <v>0.0</v>
      </c>
      <c r="O94" s="417">
        <v>0.0</v>
      </c>
      <c r="P94" s="346">
        <f t="shared" ref="P94:AF94" si="26">P90+P91</f>
        <v>0</v>
      </c>
      <c r="Q94" s="346">
        <f t="shared" si="26"/>
        <v>0</v>
      </c>
      <c r="R94" s="330">
        <f t="shared" si="26"/>
        <v>0</v>
      </c>
      <c r="S94" s="330">
        <f t="shared" si="26"/>
        <v>0</v>
      </c>
      <c r="T94" s="330">
        <f t="shared" si="26"/>
        <v>0</v>
      </c>
      <c r="U94" s="330">
        <f t="shared" si="26"/>
        <v>0</v>
      </c>
      <c r="V94" s="330">
        <f t="shared" si="26"/>
        <v>0</v>
      </c>
      <c r="W94" s="330">
        <f t="shared" si="26"/>
        <v>0</v>
      </c>
      <c r="X94" s="330">
        <f t="shared" si="26"/>
        <v>0</v>
      </c>
      <c r="Y94" s="330">
        <f t="shared" si="26"/>
        <v>0</v>
      </c>
      <c r="Z94" s="330">
        <f t="shared" si="26"/>
        <v>0</v>
      </c>
      <c r="AA94" s="330">
        <f t="shared" si="26"/>
        <v>0</v>
      </c>
      <c r="AB94" s="330">
        <f t="shared" si="26"/>
        <v>0</v>
      </c>
      <c r="AC94" s="330">
        <f t="shared" si="26"/>
        <v>0</v>
      </c>
      <c r="AD94" s="330">
        <f t="shared" si="26"/>
        <v>0</v>
      </c>
      <c r="AE94" s="330">
        <f t="shared" si="26"/>
        <v>0</v>
      </c>
      <c r="AF94" s="330">
        <f t="shared" si="26"/>
        <v>0</v>
      </c>
      <c r="AG94" s="95">
        <f t="shared" si="24"/>
        <v>0</v>
      </c>
    </row>
    <row r="95" outlineLevel="1">
      <c r="A95" s="215" t="s">
        <v>222</v>
      </c>
      <c r="B95" s="346">
        <f t="shared" ref="B95:AF95" si="27">B92+B93</f>
        <v>0</v>
      </c>
      <c r="C95" s="346">
        <f t="shared" si="27"/>
        <v>0</v>
      </c>
      <c r="D95" s="346">
        <f t="shared" si="27"/>
        <v>0</v>
      </c>
      <c r="E95" s="346">
        <f t="shared" si="27"/>
        <v>1</v>
      </c>
      <c r="F95" s="346">
        <f t="shared" si="27"/>
        <v>0</v>
      </c>
      <c r="G95" s="330">
        <f t="shared" si="27"/>
        <v>0</v>
      </c>
      <c r="H95" s="330">
        <f t="shared" si="27"/>
        <v>0</v>
      </c>
      <c r="I95" s="330">
        <f t="shared" si="27"/>
        <v>0</v>
      </c>
      <c r="J95" s="330">
        <f t="shared" si="27"/>
        <v>0</v>
      </c>
      <c r="K95" s="330">
        <f t="shared" si="27"/>
        <v>0</v>
      </c>
      <c r="L95" s="330">
        <f t="shared" si="27"/>
        <v>0</v>
      </c>
      <c r="M95" s="330">
        <f t="shared" si="27"/>
        <v>0</v>
      </c>
      <c r="N95" s="330">
        <f t="shared" si="27"/>
        <v>0</v>
      </c>
      <c r="O95" s="330">
        <f t="shared" si="27"/>
        <v>0</v>
      </c>
      <c r="P95" s="346">
        <f t="shared" si="27"/>
        <v>0</v>
      </c>
      <c r="Q95" s="346">
        <f t="shared" si="27"/>
        <v>0</v>
      </c>
      <c r="R95" s="330">
        <f t="shared" si="27"/>
        <v>0</v>
      </c>
      <c r="S95" s="330">
        <f t="shared" si="27"/>
        <v>0</v>
      </c>
      <c r="T95" s="330">
        <f t="shared" si="27"/>
        <v>0</v>
      </c>
      <c r="U95" s="330">
        <f t="shared" si="27"/>
        <v>0</v>
      </c>
      <c r="V95" s="330">
        <f t="shared" si="27"/>
        <v>0</v>
      </c>
      <c r="W95" s="330">
        <f t="shared" si="27"/>
        <v>0</v>
      </c>
      <c r="X95" s="330">
        <f t="shared" si="27"/>
        <v>0</v>
      </c>
      <c r="Y95" s="330">
        <f t="shared" si="27"/>
        <v>0</v>
      </c>
      <c r="Z95" s="330">
        <f t="shared" si="27"/>
        <v>0</v>
      </c>
      <c r="AA95" s="330">
        <f t="shared" si="27"/>
        <v>0</v>
      </c>
      <c r="AB95" s="330">
        <f t="shared" si="27"/>
        <v>0</v>
      </c>
      <c r="AC95" s="330">
        <f t="shared" si="27"/>
        <v>0</v>
      </c>
      <c r="AD95" s="330">
        <f t="shared" si="27"/>
        <v>0</v>
      </c>
      <c r="AE95" s="330">
        <f t="shared" si="27"/>
        <v>0</v>
      </c>
      <c r="AF95" s="330">
        <f t="shared" si="27"/>
        <v>0</v>
      </c>
      <c r="AG95" s="95">
        <f t="shared" si="24"/>
        <v>1</v>
      </c>
    </row>
    <row r="96" outlineLevel="1">
      <c r="A96" s="100"/>
      <c r="B96" s="181"/>
      <c r="C96" s="181"/>
      <c r="D96" s="181"/>
      <c r="E96" s="181"/>
      <c r="F96" s="181"/>
      <c r="G96" s="284"/>
      <c r="H96" s="284"/>
      <c r="I96" s="284"/>
      <c r="J96" s="284"/>
      <c r="K96" s="284"/>
      <c r="L96" s="284"/>
      <c r="M96" s="284"/>
      <c r="N96" s="284"/>
      <c r="O96" s="284"/>
      <c r="P96" s="181"/>
      <c r="Q96" s="181"/>
      <c r="R96" s="284"/>
      <c r="S96" s="284"/>
      <c r="T96" s="284"/>
      <c r="U96" s="284"/>
      <c r="V96" s="284"/>
      <c r="W96" s="284"/>
      <c r="X96" s="284"/>
      <c r="Y96" s="284"/>
      <c r="Z96" s="284"/>
      <c r="AA96" s="284"/>
      <c r="AB96" s="284"/>
      <c r="AC96" s="284"/>
      <c r="AD96" s="284"/>
      <c r="AE96" s="284"/>
      <c r="AF96" s="284"/>
      <c r="AG96" s="95">
        <f t="shared" si="24"/>
        <v>0</v>
      </c>
    </row>
    <row r="97" outlineLevel="1">
      <c r="A97" s="213" t="s">
        <v>224</v>
      </c>
      <c r="B97" s="165">
        <v>0.0</v>
      </c>
      <c r="C97" s="165">
        <v>0.0</v>
      </c>
      <c r="D97" s="165">
        <v>0.0</v>
      </c>
      <c r="E97" s="165">
        <v>0.0</v>
      </c>
      <c r="F97" s="165">
        <v>0.0</v>
      </c>
      <c r="G97" s="185">
        <v>0.0</v>
      </c>
      <c r="H97" s="185">
        <v>0.0</v>
      </c>
      <c r="I97" s="185">
        <v>0.0</v>
      </c>
      <c r="J97" s="185">
        <v>0.0</v>
      </c>
      <c r="K97" s="185">
        <v>0.0</v>
      </c>
      <c r="L97" s="185">
        <v>0.0</v>
      </c>
      <c r="M97" s="185">
        <v>0.0</v>
      </c>
      <c r="N97" s="185">
        <v>0.0</v>
      </c>
      <c r="O97" s="185">
        <v>0.0</v>
      </c>
      <c r="P97" s="165">
        <v>0.0</v>
      </c>
      <c r="Q97" s="165">
        <v>0.0</v>
      </c>
      <c r="R97" s="185">
        <v>0.0</v>
      </c>
      <c r="S97" s="185">
        <v>0.0</v>
      </c>
      <c r="T97" s="185">
        <v>0.0</v>
      </c>
      <c r="U97" s="185">
        <v>0.0</v>
      </c>
      <c r="V97" s="185">
        <v>0.0</v>
      </c>
      <c r="W97" s="185">
        <v>0.0</v>
      </c>
      <c r="X97" s="185">
        <v>0.0</v>
      </c>
      <c r="Y97" s="185">
        <v>0.0</v>
      </c>
      <c r="Z97" s="185">
        <v>0.0</v>
      </c>
      <c r="AA97" s="185">
        <v>0.0</v>
      </c>
      <c r="AB97" s="185">
        <v>0.0</v>
      </c>
      <c r="AC97" s="185">
        <v>0.0</v>
      </c>
      <c r="AD97" s="185">
        <v>0.0</v>
      </c>
      <c r="AE97" s="185">
        <v>0.0</v>
      </c>
      <c r="AF97" s="185">
        <v>0.0</v>
      </c>
      <c r="AG97" s="95">
        <f t="shared" si="24"/>
        <v>0</v>
      </c>
    </row>
    <row r="98" outlineLevel="1">
      <c r="A98" s="213" t="s">
        <v>225</v>
      </c>
      <c r="B98" s="165">
        <v>0.0</v>
      </c>
      <c r="C98" s="165">
        <v>0.0</v>
      </c>
      <c r="D98" s="165">
        <v>0.0</v>
      </c>
      <c r="E98" s="165">
        <v>0.0</v>
      </c>
      <c r="F98" s="165">
        <v>0.0</v>
      </c>
      <c r="G98" s="185">
        <v>0.0</v>
      </c>
      <c r="H98" s="185">
        <v>0.0</v>
      </c>
      <c r="I98" s="185">
        <v>0.0</v>
      </c>
      <c r="J98" s="185">
        <v>0.0</v>
      </c>
      <c r="K98" s="185">
        <v>0.0</v>
      </c>
      <c r="L98" s="185">
        <v>0.0</v>
      </c>
      <c r="M98" s="185">
        <v>0.0</v>
      </c>
      <c r="N98" s="185">
        <v>0.0</v>
      </c>
      <c r="O98" s="185">
        <v>0.0</v>
      </c>
      <c r="P98" s="165">
        <v>0.0</v>
      </c>
      <c r="Q98" s="165">
        <v>0.0</v>
      </c>
      <c r="R98" s="185">
        <v>0.0</v>
      </c>
      <c r="S98" s="185">
        <v>0.0</v>
      </c>
      <c r="T98" s="185">
        <v>0.0</v>
      </c>
      <c r="U98" s="185">
        <v>0.0</v>
      </c>
      <c r="V98" s="185">
        <v>0.0</v>
      </c>
      <c r="W98" s="185">
        <v>0.0</v>
      </c>
      <c r="X98" s="185">
        <v>0.0</v>
      </c>
      <c r="Y98" s="185">
        <v>0.0</v>
      </c>
      <c r="Z98" s="185">
        <v>0.0</v>
      </c>
      <c r="AA98" s="185">
        <v>0.0</v>
      </c>
      <c r="AB98" s="185">
        <v>0.0</v>
      </c>
      <c r="AC98" s="185">
        <v>0.0</v>
      </c>
      <c r="AD98" s="185">
        <v>0.0</v>
      </c>
      <c r="AE98" s="185">
        <v>0.0</v>
      </c>
      <c r="AF98" s="185">
        <v>0.0</v>
      </c>
      <c r="AG98" s="95">
        <f t="shared" si="24"/>
        <v>0</v>
      </c>
    </row>
    <row r="99" outlineLevel="1">
      <c r="A99" s="213" t="s">
        <v>677</v>
      </c>
      <c r="B99" s="165">
        <v>0.0</v>
      </c>
      <c r="C99" s="165">
        <v>0.0</v>
      </c>
      <c r="D99" s="165">
        <v>0.0</v>
      </c>
      <c r="E99" s="165">
        <v>0.0</v>
      </c>
      <c r="F99" s="165">
        <v>0.0</v>
      </c>
      <c r="G99" s="185">
        <v>0.0</v>
      </c>
      <c r="H99" s="185">
        <v>0.0</v>
      </c>
      <c r="I99" s="185">
        <v>0.0</v>
      </c>
      <c r="J99" s="185">
        <v>0.0</v>
      </c>
      <c r="K99" s="185">
        <v>0.0</v>
      </c>
      <c r="L99" s="185">
        <v>0.0</v>
      </c>
      <c r="M99" s="185">
        <v>0.0</v>
      </c>
      <c r="N99" s="185">
        <v>0.0</v>
      </c>
      <c r="O99" s="185">
        <v>0.0</v>
      </c>
      <c r="P99" s="165">
        <v>0.0</v>
      </c>
      <c r="Q99" s="165">
        <v>0.0</v>
      </c>
      <c r="R99" s="185">
        <v>0.0</v>
      </c>
      <c r="S99" s="185">
        <v>0.0</v>
      </c>
      <c r="T99" s="185">
        <v>0.0</v>
      </c>
      <c r="U99" s="185">
        <v>0.0</v>
      </c>
      <c r="V99" s="185">
        <v>0.0</v>
      </c>
      <c r="W99" s="185">
        <v>0.0</v>
      </c>
      <c r="X99" s="185">
        <v>0.0</v>
      </c>
      <c r="Y99" s="185">
        <v>0.0</v>
      </c>
      <c r="Z99" s="185">
        <v>0.0</v>
      </c>
      <c r="AA99" s="185">
        <v>0.0</v>
      </c>
      <c r="AB99" s="185">
        <v>0.0</v>
      </c>
      <c r="AC99" s="185">
        <v>0.0</v>
      </c>
      <c r="AD99" s="185">
        <v>0.0</v>
      </c>
      <c r="AE99" s="185">
        <v>0.0</v>
      </c>
      <c r="AF99" s="185">
        <v>0.0</v>
      </c>
      <c r="AG99" s="95">
        <f t="shared" si="24"/>
        <v>0</v>
      </c>
    </row>
    <row r="100" outlineLevel="1">
      <c r="A100" s="213" t="s">
        <v>678</v>
      </c>
      <c r="B100" s="165">
        <v>0.0</v>
      </c>
      <c r="C100" s="165">
        <v>0.0</v>
      </c>
      <c r="D100" s="165">
        <v>0.0</v>
      </c>
      <c r="E100" s="165">
        <v>0.0</v>
      </c>
      <c r="F100" s="165">
        <v>0.0</v>
      </c>
      <c r="G100" s="185">
        <v>0.0</v>
      </c>
      <c r="H100" s="185">
        <v>0.0</v>
      </c>
      <c r="I100" s="185">
        <v>0.0</v>
      </c>
      <c r="J100" s="185">
        <v>0.0</v>
      </c>
      <c r="K100" s="185">
        <v>0.0</v>
      </c>
      <c r="L100" s="185">
        <v>0.0</v>
      </c>
      <c r="M100" s="185">
        <v>0.0</v>
      </c>
      <c r="N100" s="185">
        <v>0.0</v>
      </c>
      <c r="O100" s="185">
        <v>0.0</v>
      </c>
      <c r="P100" s="165">
        <v>0.0</v>
      </c>
      <c r="Q100" s="165">
        <v>0.0</v>
      </c>
      <c r="R100" s="185">
        <v>0.0</v>
      </c>
      <c r="S100" s="185">
        <v>0.0</v>
      </c>
      <c r="T100" s="185">
        <v>0.0</v>
      </c>
      <c r="U100" s="185">
        <v>0.0</v>
      </c>
      <c r="V100" s="185">
        <v>0.0</v>
      </c>
      <c r="W100" s="185">
        <v>0.0</v>
      </c>
      <c r="X100" s="185">
        <v>0.0</v>
      </c>
      <c r="Y100" s="185">
        <v>0.0</v>
      </c>
      <c r="Z100" s="185">
        <v>0.0</v>
      </c>
      <c r="AA100" s="185">
        <v>0.0</v>
      </c>
      <c r="AB100" s="185">
        <v>0.0</v>
      </c>
      <c r="AC100" s="185">
        <v>0.0</v>
      </c>
      <c r="AD100" s="185">
        <v>0.0</v>
      </c>
      <c r="AE100" s="185">
        <v>0.0</v>
      </c>
      <c r="AF100" s="185">
        <v>0.0</v>
      </c>
      <c r="AG100" s="95">
        <f t="shared" si="24"/>
        <v>0</v>
      </c>
    </row>
    <row r="101" outlineLevel="1">
      <c r="A101" s="213" t="s">
        <v>679</v>
      </c>
      <c r="B101" s="165">
        <v>0.0</v>
      </c>
      <c r="C101" s="165">
        <v>0.0</v>
      </c>
      <c r="D101" s="165">
        <v>0.0</v>
      </c>
      <c r="E101" s="165">
        <v>0.0</v>
      </c>
      <c r="F101" s="165">
        <v>0.0</v>
      </c>
      <c r="G101" s="185">
        <v>0.0</v>
      </c>
      <c r="H101" s="185">
        <v>0.0</v>
      </c>
      <c r="I101" s="185">
        <v>0.0</v>
      </c>
      <c r="J101" s="185">
        <v>0.0</v>
      </c>
      <c r="K101" s="185">
        <v>0.0</v>
      </c>
      <c r="L101" s="185">
        <v>0.0</v>
      </c>
      <c r="M101" s="185">
        <v>0.0</v>
      </c>
      <c r="N101" s="185">
        <v>0.0</v>
      </c>
      <c r="O101" s="185">
        <v>0.0</v>
      </c>
      <c r="P101" s="165">
        <v>0.0</v>
      </c>
      <c r="Q101" s="165">
        <v>0.0</v>
      </c>
      <c r="R101" s="185">
        <v>0.0</v>
      </c>
      <c r="S101" s="185">
        <v>0.0</v>
      </c>
      <c r="T101" s="185">
        <v>0.0</v>
      </c>
      <c r="U101" s="185">
        <v>0.0</v>
      </c>
      <c r="V101" s="185">
        <v>0.0</v>
      </c>
      <c r="W101" s="185">
        <v>0.0</v>
      </c>
      <c r="X101" s="185">
        <v>0.0</v>
      </c>
      <c r="Y101" s="185">
        <v>0.0</v>
      </c>
      <c r="Z101" s="185">
        <v>0.0</v>
      </c>
      <c r="AA101" s="185">
        <v>0.0</v>
      </c>
      <c r="AB101" s="185">
        <v>0.0</v>
      </c>
      <c r="AC101" s="185">
        <v>0.0</v>
      </c>
      <c r="AD101" s="185">
        <v>0.0</v>
      </c>
      <c r="AE101" s="185">
        <v>0.0</v>
      </c>
      <c r="AF101" s="185">
        <v>0.0</v>
      </c>
      <c r="AG101" s="95">
        <f t="shared" si="24"/>
        <v>0</v>
      </c>
    </row>
    <row r="102" outlineLevel="1">
      <c r="A102" s="213" t="s">
        <v>680</v>
      </c>
      <c r="B102" s="165">
        <v>0.0</v>
      </c>
      <c r="C102" s="165">
        <v>0.0</v>
      </c>
      <c r="D102" s="165">
        <v>0.0</v>
      </c>
      <c r="E102" s="165">
        <v>0.0</v>
      </c>
      <c r="F102" s="165">
        <v>0.0</v>
      </c>
      <c r="G102" s="185">
        <v>0.0</v>
      </c>
      <c r="H102" s="185">
        <v>0.0</v>
      </c>
      <c r="I102" s="185">
        <v>0.0</v>
      </c>
      <c r="J102" s="185">
        <v>0.0</v>
      </c>
      <c r="K102" s="185">
        <v>0.0</v>
      </c>
      <c r="L102" s="185">
        <v>0.0</v>
      </c>
      <c r="M102" s="185">
        <v>0.0</v>
      </c>
      <c r="N102" s="185">
        <v>0.0</v>
      </c>
      <c r="O102" s="185">
        <v>0.0</v>
      </c>
      <c r="P102" s="165">
        <v>0.0</v>
      </c>
      <c r="Q102" s="165">
        <v>0.0</v>
      </c>
      <c r="R102" s="185">
        <v>0.0</v>
      </c>
      <c r="S102" s="185">
        <v>0.0</v>
      </c>
      <c r="T102" s="185">
        <v>0.0</v>
      </c>
      <c r="U102" s="185">
        <v>0.0</v>
      </c>
      <c r="V102" s="185">
        <v>0.0</v>
      </c>
      <c r="W102" s="185">
        <v>0.0</v>
      </c>
      <c r="X102" s="185">
        <v>0.0</v>
      </c>
      <c r="Y102" s="185">
        <v>0.0</v>
      </c>
      <c r="Z102" s="185">
        <v>0.0</v>
      </c>
      <c r="AA102" s="185">
        <v>0.0</v>
      </c>
      <c r="AB102" s="185">
        <v>0.0</v>
      </c>
      <c r="AC102" s="185">
        <v>0.0</v>
      </c>
      <c r="AD102" s="185">
        <v>0.0</v>
      </c>
      <c r="AE102" s="185">
        <v>0.0</v>
      </c>
      <c r="AF102" s="185">
        <v>0.0</v>
      </c>
      <c r="AG102" s="95">
        <f t="shared" si="24"/>
        <v>0</v>
      </c>
    </row>
    <row r="103" outlineLevel="1">
      <c r="A103" s="213" t="s">
        <v>681</v>
      </c>
      <c r="B103" s="165">
        <v>0.0</v>
      </c>
      <c r="C103" s="165">
        <v>0.0</v>
      </c>
      <c r="D103" s="165">
        <v>0.0</v>
      </c>
      <c r="E103" s="165">
        <v>0.0</v>
      </c>
      <c r="F103" s="165">
        <v>0.0</v>
      </c>
      <c r="G103" s="185">
        <v>0.0</v>
      </c>
      <c r="H103" s="185">
        <v>0.0</v>
      </c>
      <c r="I103" s="185">
        <v>0.0</v>
      </c>
      <c r="J103" s="185">
        <v>0.0</v>
      </c>
      <c r="K103" s="185">
        <v>0.0</v>
      </c>
      <c r="L103" s="185">
        <v>0.0</v>
      </c>
      <c r="M103" s="185">
        <v>0.0</v>
      </c>
      <c r="N103" s="185">
        <v>0.0</v>
      </c>
      <c r="O103" s="185">
        <v>0.0</v>
      </c>
      <c r="P103" s="165">
        <v>0.0</v>
      </c>
      <c r="Q103" s="165">
        <v>0.0</v>
      </c>
      <c r="R103" s="185">
        <v>0.0</v>
      </c>
      <c r="S103" s="185">
        <v>0.0</v>
      </c>
      <c r="T103" s="185">
        <v>0.0</v>
      </c>
      <c r="U103" s="185">
        <v>0.0</v>
      </c>
      <c r="V103" s="185">
        <v>0.0</v>
      </c>
      <c r="W103" s="185">
        <v>0.0</v>
      </c>
      <c r="X103" s="185">
        <v>0.0</v>
      </c>
      <c r="Y103" s="185">
        <v>0.0</v>
      </c>
      <c r="Z103" s="185">
        <v>0.0</v>
      </c>
      <c r="AA103" s="185">
        <v>0.0</v>
      </c>
      <c r="AB103" s="185">
        <v>0.0</v>
      </c>
      <c r="AC103" s="185">
        <v>0.0</v>
      </c>
      <c r="AD103" s="185">
        <v>0.0</v>
      </c>
      <c r="AE103" s="185">
        <v>0.0</v>
      </c>
      <c r="AF103" s="185">
        <v>0.0</v>
      </c>
      <c r="AG103" s="95">
        <f t="shared" si="24"/>
        <v>0</v>
      </c>
    </row>
    <row r="104" outlineLevel="1">
      <c r="A104" s="213" t="s">
        <v>682</v>
      </c>
      <c r="B104" s="165">
        <v>0.0</v>
      </c>
      <c r="C104" s="165">
        <v>0.0</v>
      </c>
      <c r="D104" s="165">
        <v>0.0</v>
      </c>
      <c r="E104" s="165">
        <v>0.0</v>
      </c>
      <c r="F104" s="165">
        <v>0.0</v>
      </c>
      <c r="G104" s="185">
        <v>0.0</v>
      </c>
      <c r="H104" s="185">
        <v>0.0</v>
      </c>
      <c r="I104" s="185">
        <v>0.0</v>
      </c>
      <c r="J104" s="185">
        <v>0.0</v>
      </c>
      <c r="K104" s="185">
        <v>0.0</v>
      </c>
      <c r="L104" s="185">
        <v>0.0</v>
      </c>
      <c r="M104" s="185">
        <v>0.0</v>
      </c>
      <c r="N104" s="185">
        <v>0.0</v>
      </c>
      <c r="O104" s="185">
        <v>0.0</v>
      </c>
      <c r="P104" s="165">
        <v>0.0</v>
      </c>
      <c r="Q104" s="165">
        <v>0.0</v>
      </c>
      <c r="R104" s="185">
        <v>0.0</v>
      </c>
      <c r="S104" s="185">
        <v>0.0</v>
      </c>
      <c r="T104" s="185">
        <v>0.0</v>
      </c>
      <c r="U104" s="185">
        <v>0.0</v>
      </c>
      <c r="V104" s="185">
        <v>0.0</v>
      </c>
      <c r="W104" s="185">
        <v>0.0</v>
      </c>
      <c r="X104" s="185">
        <v>0.0</v>
      </c>
      <c r="Y104" s="185">
        <v>0.0</v>
      </c>
      <c r="Z104" s="185">
        <v>0.0</v>
      </c>
      <c r="AA104" s="185">
        <v>0.0</v>
      </c>
      <c r="AB104" s="185">
        <v>0.0</v>
      </c>
      <c r="AC104" s="185">
        <v>0.0</v>
      </c>
      <c r="AD104" s="185">
        <v>0.0</v>
      </c>
      <c r="AE104" s="185">
        <v>0.0</v>
      </c>
      <c r="AF104" s="185">
        <v>0.0</v>
      </c>
      <c r="AG104" s="95">
        <f t="shared" si="24"/>
        <v>0</v>
      </c>
    </row>
    <row r="105" outlineLevel="1">
      <c r="A105" s="217" t="s">
        <v>141</v>
      </c>
      <c r="B105" s="346">
        <f t="shared" ref="B105:AF105" si="28">SUM(B97:B101)</f>
        <v>0</v>
      </c>
      <c r="C105" s="346">
        <f t="shared" si="28"/>
        <v>0</v>
      </c>
      <c r="D105" s="346">
        <f t="shared" si="28"/>
        <v>0</v>
      </c>
      <c r="E105" s="346">
        <f t="shared" si="28"/>
        <v>0</v>
      </c>
      <c r="F105" s="346">
        <f t="shared" si="28"/>
        <v>0</v>
      </c>
      <c r="G105" s="330">
        <f t="shared" si="28"/>
        <v>0</v>
      </c>
      <c r="H105" s="330">
        <f t="shared" si="28"/>
        <v>0</v>
      </c>
      <c r="I105" s="330">
        <f t="shared" si="28"/>
        <v>0</v>
      </c>
      <c r="J105" s="330">
        <f t="shared" si="28"/>
        <v>0</v>
      </c>
      <c r="K105" s="330">
        <f t="shared" si="28"/>
        <v>0</v>
      </c>
      <c r="L105" s="330">
        <f t="shared" si="28"/>
        <v>0</v>
      </c>
      <c r="M105" s="330">
        <f t="shared" si="28"/>
        <v>0</v>
      </c>
      <c r="N105" s="330">
        <f t="shared" si="28"/>
        <v>0</v>
      </c>
      <c r="O105" s="330">
        <f t="shared" si="28"/>
        <v>0</v>
      </c>
      <c r="P105" s="346">
        <f t="shared" si="28"/>
        <v>0</v>
      </c>
      <c r="Q105" s="346">
        <f t="shared" si="28"/>
        <v>0</v>
      </c>
      <c r="R105" s="330">
        <f t="shared" si="28"/>
        <v>0</v>
      </c>
      <c r="S105" s="330">
        <f t="shared" si="28"/>
        <v>0</v>
      </c>
      <c r="T105" s="330">
        <f t="shared" si="28"/>
        <v>0</v>
      </c>
      <c r="U105" s="330">
        <f t="shared" si="28"/>
        <v>0</v>
      </c>
      <c r="V105" s="330">
        <f t="shared" si="28"/>
        <v>0</v>
      </c>
      <c r="W105" s="330">
        <f t="shared" si="28"/>
        <v>0</v>
      </c>
      <c r="X105" s="330">
        <f t="shared" si="28"/>
        <v>0</v>
      </c>
      <c r="Y105" s="330">
        <f t="shared" si="28"/>
        <v>0</v>
      </c>
      <c r="Z105" s="330">
        <f t="shared" si="28"/>
        <v>0</v>
      </c>
      <c r="AA105" s="330">
        <f t="shared" si="28"/>
        <v>0</v>
      </c>
      <c r="AB105" s="330">
        <f t="shared" si="28"/>
        <v>0</v>
      </c>
      <c r="AC105" s="330">
        <f t="shared" si="28"/>
        <v>0</v>
      </c>
      <c r="AD105" s="330">
        <f t="shared" si="28"/>
        <v>0</v>
      </c>
      <c r="AE105" s="330">
        <f t="shared" si="28"/>
        <v>0</v>
      </c>
      <c r="AF105" s="330">
        <f t="shared" si="28"/>
        <v>0</v>
      </c>
      <c r="AG105" s="95">
        <f t="shared" si="24"/>
        <v>0</v>
      </c>
    </row>
    <row r="106" outlineLevel="1">
      <c r="A106" s="348"/>
      <c r="B106" s="165"/>
      <c r="C106" s="165"/>
      <c r="D106" s="165"/>
      <c r="E106" s="165"/>
      <c r="F106" s="165"/>
      <c r="G106" s="418"/>
      <c r="H106" s="418"/>
      <c r="I106" s="418"/>
      <c r="J106" s="418"/>
      <c r="K106" s="418"/>
      <c r="L106" s="418"/>
      <c r="M106" s="418"/>
      <c r="N106" s="418"/>
      <c r="O106" s="418"/>
      <c r="P106" s="165"/>
      <c r="Q106" s="165"/>
      <c r="R106" s="418"/>
      <c r="S106" s="418"/>
      <c r="T106" s="418"/>
      <c r="U106" s="418"/>
      <c r="V106" s="418"/>
      <c r="W106" s="418"/>
      <c r="X106" s="418"/>
      <c r="Y106" s="418"/>
      <c r="Z106" s="418"/>
      <c r="AA106" s="418"/>
      <c r="AB106" s="418"/>
      <c r="AC106" s="418"/>
      <c r="AD106" s="418"/>
      <c r="AE106" s="418"/>
      <c r="AF106" s="418"/>
      <c r="AG106" s="416"/>
    </row>
    <row r="107" outlineLevel="1">
      <c r="A107" s="217" t="s">
        <v>577</v>
      </c>
      <c r="B107" s="346"/>
      <c r="C107" s="346"/>
      <c r="D107" s="346"/>
      <c r="E107" s="346"/>
      <c r="F107" s="346"/>
      <c r="G107" s="419"/>
      <c r="H107" s="419"/>
      <c r="I107" s="419"/>
      <c r="J107" s="419"/>
      <c r="K107" s="419"/>
      <c r="L107" s="419"/>
      <c r="M107" s="419"/>
      <c r="N107" s="419"/>
      <c r="O107" s="419"/>
      <c r="P107" s="346"/>
      <c r="Q107" s="346"/>
      <c r="R107" s="419"/>
      <c r="S107" s="419"/>
      <c r="T107" s="419"/>
      <c r="U107" s="419"/>
      <c r="V107" s="419"/>
      <c r="W107" s="419"/>
      <c r="X107" s="419"/>
      <c r="Y107" s="419"/>
      <c r="Z107" s="419"/>
      <c r="AA107" s="419"/>
      <c r="AB107" s="419"/>
      <c r="AC107" s="419"/>
      <c r="AD107" s="419"/>
      <c r="AE107" s="419"/>
      <c r="AF107" s="419"/>
      <c r="AG107" s="416"/>
    </row>
    <row r="108" outlineLevel="1">
      <c r="A108" s="213" t="s">
        <v>578</v>
      </c>
      <c r="B108" s="165">
        <v>0.0</v>
      </c>
      <c r="C108" s="165">
        <v>0.0</v>
      </c>
      <c r="D108" s="165">
        <v>0.0</v>
      </c>
      <c r="E108" s="165">
        <v>0.0</v>
      </c>
      <c r="F108" s="165">
        <v>0.0</v>
      </c>
      <c r="G108" s="185">
        <v>0.0</v>
      </c>
      <c r="H108" s="185">
        <v>0.0</v>
      </c>
      <c r="I108" s="185">
        <v>0.0</v>
      </c>
      <c r="J108" s="185">
        <v>0.0</v>
      </c>
      <c r="K108" s="185">
        <v>0.0</v>
      </c>
      <c r="L108" s="185">
        <v>0.0</v>
      </c>
      <c r="M108" s="185">
        <v>0.0</v>
      </c>
      <c r="N108" s="185">
        <v>0.0</v>
      </c>
      <c r="O108" s="185">
        <v>0.0</v>
      </c>
      <c r="P108" s="165">
        <v>0.0</v>
      </c>
      <c r="Q108" s="165">
        <v>0.0</v>
      </c>
      <c r="R108" s="185">
        <v>0.0</v>
      </c>
      <c r="S108" s="185">
        <v>0.0</v>
      </c>
      <c r="T108" s="185">
        <v>0.0</v>
      </c>
      <c r="U108" s="185">
        <v>0.0</v>
      </c>
      <c r="V108" s="185">
        <v>0.0</v>
      </c>
      <c r="W108" s="185">
        <v>0.0</v>
      </c>
      <c r="X108" s="185">
        <v>0.0</v>
      </c>
      <c r="Y108" s="185">
        <v>0.0</v>
      </c>
      <c r="Z108" s="185">
        <v>0.0</v>
      </c>
      <c r="AA108" s="185">
        <v>0.0</v>
      </c>
      <c r="AB108" s="185">
        <v>0.0</v>
      </c>
      <c r="AC108" s="185">
        <v>0.0</v>
      </c>
      <c r="AD108" s="185">
        <v>0.0</v>
      </c>
      <c r="AE108" s="185">
        <v>0.0</v>
      </c>
      <c r="AF108" s="185">
        <v>0.0</v>
      </c>
      <c r="AG108" s="95">
        <f t="shared" ref="AG108:AG110" si="29">SUM(B108:AF108)</f>
        <v>0</v>
      </c>
    </row>
    <row r="109" outlineLevel="1">
      <c r="A109" s="213" t="s">
        <v>579</v>
      </c>
      <c r="B109" s="165">
        <v>0.0</v>
      </c>
      <c r="C109" s="165">
        <v>0.0</v>
      </c>
      <c r="D109" s="165">
        <v>0.0</v>
      </c>
      <c r="E109" s="165">
        <v>0.0</v>
      </c>
      <c r="F109" s="165">
        <v>0.0</v>
      </c>
      <c r="G109" s="185">
        <v>0.0</v>
      </c>
      <c r="H109" s="185">
        <v>0.0</v>
      </c>
      <c r="I109" s="185">
        <v>0.0</v>
      </c>
      <c r="J109" s="185">
        <v>0.0</v>
      </c>
      <c r="K109" s="185">
        <v>0.0</v>
      </c>
      <c r="L109" s="185">
        <v>0.0</v>
      </c>
      <c r="M109" s="185">
        <v>0.0</v>
      </c>
      <c r="N109" s="185">
        <v>0.0</v>
      </c>
      <c r="O109" s="185">
        <v>0.0</v>
      </c>
      <c r="P109" s="165">
        <v>0.0</v>
      </c>
      <c r="Q109" s="165">
        <v>0.0</v>
      </c>
      <c r="R109" s="185">
        <v>0.0</v>
      </c>
      <c r="S109" s="185">
        <v>0.0</v>
      </c>
      <c r="T109" s="185">
        <v>0.0</v>
      </c>
      <c r="U109" s="185">
        <v>0.0</v>
      </c>
      <c r="V109" s="185">
        <v>0.0</v>
      </c>
      <c r="W109" s="185">
        <v>0.0</v>
      </c>
      <c r="X109" s="185">
        <v>0.0</v>
      </c>
      <c r="Y109" s="185">
        <v>0.0</v>
      </c>
      <c r="Z109" s="185">
        <v>0.0</v>
      </c>
      <c r="AA109" s="185">
        <v>0.0</v>
      </c>
      <c r="AB109" s="185">
        <v>0.0</v>
      </c>
      <c r="AC109" s="185">
        <v>0.0</v>
      </c>
      <c r="AD109" s="185">
        <v>0.0</v>
      </c>
      <c r="AE109" s="185">
        <v>0.0</v>
      </c>
      <c r="AF109" s="185">
        <v>0.0</v>
      </c>
      <c r="AG109" s="95">
        <f t="shared" si="29"/>
        <v>0</v>
      </c>
    </row>
    <row r="110" outlineLevel="1">
      <c r="A110" s="213" t="s">
        <v>580</v>
      </c>
      <c r="B110" s="165">
        <v>0.0</v>
      </c>
      <c r="C110" s="165">
        <v>0.0</v>
      </c>
      <c r="D110" s="165">
        <v>0.0</v>
      </c>
      <c r="E110" s="165">
        <v>0.0</v>
      </c>
      <c r="F110" s="165">
        <v>1.0</v>
      </c>
      <c r="G110" s="185">
        <v>0.0</v>
      </c>
      <c r="H110" s="185">
        <v>0.0</v>
      </c>
      <c r="I110" s="185">
        <v>0.0</v>
      </c>
      <c r="J110" s="185">
        <v>0.0</v>
      </c>
      <c r="K110" s="185">
        <v>0.0</v>
      </c>
      <c r="L110" s="185">
        <v>0.0</v>
      </c>
      <c r="M110" s="185">
        <v>0.0</v>
      </c>
      <c r="N110" s="185">
        <v>0.0</v>
      </c>
      <c r="O110" s="185">
        <v>0.0</v>
      </c>
      <c r="P110" s="165">
        <v>0.0</v>
      </c>
      <c r="Q110" s="165">
        <v>0.0</v>
      </c>
      <c r="R110" s="185">
        <v>0.0</v>
      </c>
      <c r="S110" s="185">
        <v>0.0</v>
      </c>
      <c r="T110" s="185">
        <v>0.0</v>
      </c>
      <c r="U110" s="185">
        <v>0.0</v>
      </c>
      <c r="V110" s="185">
        <v>0.0</v>
      </c>
      <c r="W110" s="185">
        <v>0.0</v>
      </c>
      <c r="X110" s="185">
        <v>0.0</v>
      </c>
      <c r="Y110" s="185">
        <v>0.0</v>
      </c>
      <c r="Z110" s="185">
        <v>0.0</v>
      </c>
      <c r="AA110" s="185">
        <v>0.0</v>
      </c>
      <c r="AB110" s="185">
        <v>0.0</v>
      </c>
      <c r="AC110" s="185">
        <v>0.0</v>
      </c>
      <c r="AD110" s="185">
        <v>0.0</v>
      </c>
      <c r="AE110" s="185">
        <v>0.0</v>
      </c>
      <c r="AF110" s="185">
        <v>0.0</v>
      </c>
      <c r="AG110" s="95">
        <f t="shared" si="29"/>
        <v>1</v>
      </c>
    </row>
    <row r="111" outlineLevel="1">
      <c r="A111" s="349"/>
      <c r="B111" s="165"/>
      <c r="C111" s="165"/>
      <c r="D111" s="165"/>
      <c r="E111" s="165"/>
      <c r="F111" s="165"/>
      <c r="G111" s="185">
        <v>0.0</v>
      </c>
      <c r="H111" s="185">
        <v>0.0</v>
      </c>
      <c r="I111" s="185">
        <v>0.0</v>
      </c>
      <c r="J111" s="185">
        <v>0.0</v>
      </c>
      <c r="K111" s="185">
        <v>0.0</v>
      </c>
      <c r="L111" s="185">
        <v>0.0</v>
      </c>
      <c r="M111" s="185">
        <v>0.0</v>
      </c>
      <c r="N111" s="185">
        <v>0.0</v>
      </c>
      <c r="O111" s="185">
        <v>0.0</v>
      </c>
      <c r="P111" s="165"/>
      <c r="Q111" s="165"/>
      <c r="R111" s="165"/>
      <c r="S111" s="165"/>
      <c r="T111" s="165"/>
      <c r="U111" s="165"/>
      <c r="V111" s="165"/>
      <c r="W111" s="165"/>
      <c r="X111" s="165"/>
      <c r="Y111" s="165"/>
      <c r="Z111" s="165"/>
      <c r="AA111" s="165"/>
      <c r="AB111" s="165"/>
      <c r="AC111" s="418"/>
      <c r="AD111" s="418"/>
      <c r="AE111" s="418"/>
      <c r="AF111" s="418"/>
      <c r="AG111" s="416"/>
    </row>
    <row r="112" outlineLevel="1">
      <c r="A112" s="350" t="s">
        <v>581</v>
      </c>
      <c r="B112" s="346">
        <v>0.0</v>
      </c>
      <c r="C112" s="346">
        <v>0.0</v>
      </c>
      <c r="D112" s="346">
        <v>0.0</v>
      </c>
      <c r="E112" s="346">
        <v>1.0</v>
      </c>
      <c r="F112" s="346">
        <v>1.0</v>
      </c>
      <c r="G112" s="330">
        <v>0.0</v>
      </c>
      <c r="H112" s="330">
        <v>0.0</v>
      </c>
      <c r="I112" s="330">
        <v>0.0</v>
      </c>
      <c r="J112" s="330">
        <v>0.0</v>
      </c>
      <c r="K112" s="330">
        <v>0.0</v>
      </c>
      <c r="L112" s="330">
        <v>0.0</v>
      </c>
      <c r="M112" s="330">
        <v>0.0</v>
      </c>
      <c r="N112" s="330">
        <v>0.0</v>
      </c>
      <c r="O112" s="330">
        <v>0.0</v>
      </c>
      <c r="P112" s="346">
        <v>0.0</v>
      </c>
      <c r="Q112" s="346">
        <v>0.0</v>
      </c>
      <c r="R112" s="346">
        <v>0.0</v>
      </c>
      <c r="S112" s="346">
        <v>0.0</v>
      </c>
      <c r="T112" s="346">
        <v>0.0</v>
      </c>
      <c r="U112" s="346">
        <v>0.0</v>
      </c>
      <c r="V112" s="346">
        <v>0.0</v>
      </c>
      <c r="W112" s="346">
        <v>0.0</v>
      </c>
      <c r="X112" s="346">
        <v>0.0</v>
      </c>
      <c r="Y112" s="346">
        <v>0.0</v>
      </c>
      <c r="Z112" s="346">
        <v>0.0</v>
      </c>
      <c r="AA112" s="346">
        <v>0.0</v>
      </c>
      <c r="AB112" s="346">
        <v>0.0</v>
      </c>
      <c r="AC112" s="330">
        <v>0.0</v>
      </c>
      <c r="AD112" s="330">
        <v>0.0</v>
      </c>
      <c r="AE112" s="330">
        <v>0.0</v>
      </c>
      <c r="AF112" s="330">
        <v>0.0</v>
      </c>
      <c r="AG112" s="95">
        <f>SUM(B112:AF112)</f>
        <v>2</v>
      </c>
    </row>
    <row r="113">
      <c r="A113" s="172"/>
      <c r="B113" s="181"/>
      <c r="C113" s="181"/>
      <c r="D113" s="181"/>
      <c r="E113" s="181"/>
      <c r="F113" s="181"/>
      <c r="G113" s="181"/>
      <c r="H113" s="284"/>
      <c r="I113" s="181"/>
      <c r="J113" s="181"/>
      <c r="K113" s="181"/>
      <c r="L113" s="181"/>
      <c r="M113" s="181"/>
      <c r="N113" s="181"/>
      <c r="O113" s="181"/>
      <c r="P113" s="181"/>
      <c r="Q113" s="181"/>
      <c r="R113" s="181"/>
      <c r="S113" s="181"/>
      <c r="T113" s="181"/>
      <c r="U113" s="85"/>
      <c r="V113" s="181"/>
      <c r="W113" s="181"/>
      <c r="X113" s="158"/>
      <c r="Y113" s="181"/>
      <c r="Z113" s="181"/>
      <c r="AA113" s="181"/>
      <c r="AB113" s="181"/>
      <c r="AC113" s="181"/>
      <c r="AD113" s="181"/>
      <c r="AE113" s="181"/>
      <c r="AF113" s="181"/>
      <c r="AG113" s="416"/>
    </row>
    <row r="114">
      <c r="A114" s="172"/>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81"/>
      <c r="AF114" s="181"/>
      <c r="AG114" s="416"/>
    </row>
    <row r="115" ht="28.5" customHeight="1">
      <c r="A115" s="396" t="s">
        <v>683</v>
      </c>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397"/>
    </row>
    <row r="116">
      <c r="A116" s="136" t="s">
        <v>90</v>
      </c>
      <c r="B116" s="137">
        <f>Summary!B27</f>
        <v>0</v>
      </c>
      <c r="C116" s="137">
        <f>Summary!C27</f>
        <v>0</v>
      </c>
      <c r="D116" s="137">
        <f>Summary!D27</f>
        <v>0</v>
      </c>
      <c r="E116" s="137">
        <f>Summary!E27</f>
        <v>0</v>
      </c>
      <c r="F116" s="137">
        <f>Summary!F27</f>
        <v>0</v>
      </c>
      <c r="G116" s="137">
        <f>Summary!G27</f>
        <v>0</v>
      </c>
      <c r="H116" s="137">
        <f>Summary!H27</f>
        <v>317.3586</v>
      </c>
      <c r="I116" s="137">
        <f>Summary!I27</f>
        <v>0</v>
      </c>
      <c r="J116" s="137">
        <f>Summary!J27</f>
        <v>0</v>
      </c>
      <c r="K116" s="137">
        <f>Summary!K27</f>
        <v>0</v>
      </c>
      <c r="L116" s="137">
        <f>Summary!L27</f>
        <v>317.3586</v>
      </c>
      <c r="M116" s="137">
        <f>Summary!M27</f>
        <v>0</v>
      </c>
      <c r="N116" s="137">
        <f>Summary!N27</f>
        <v>0</v>
      </c>
      <c r="O116" s="137">
        <f>Summary!O27</f>
        <v>0</v>
      </c>
      <c r="P116" s="137">
        <f>Summary!P27</f>
        <v>0</v>
      </c>
      <c r="Q116" s="137">
        <f>Summary!Q27</f>
        <v>0</v>
      </c>
      <c r="R116" s="137">
        <f>Summary!R27</f>
        <v>0</v>
      </c>
      <c r="S116" s="137">
        <f>Summary!S27</f>
        <v>0</v>
      </c>
      <c r="T116" s="137">
        <f>Summary!T27</f>
        <v>0</v>
      </c>
      <c r="U116" s="137">
        <f>Summary!U27</f>
        <v>0</v>
      </c>
      <c r="V116" s="137">
        <f>Summary!V27</f>
        <v>0</v>
      </c>
      <c r="W116" s="137">
        <f>Summary!W27</f>
        <v>0</v>
      </c>
      <c r="X116" s="137">
        <f>Summary!X27</f>
        <v>0</v>
      </c>
      <c r="Y116" s="137">
        <f>Summary!Y27</f>
        <v>0</v>
      </c>
      <c r="Z116" s="137">
        <f>Summary!Z27</f>
        <v>507.3492</v>
      </c>
      <c r="AA116" s="137">
        <f>Summary!AA27</f>
        <v>0</v>
      </c>
      <c r="AB116" s="137">
        <f>Summary!AB27</f>
        <v>0</v>
      </c>
      <c r="AC116" s="137">
        <f>Summary!AC27</f>
        <v>0</v>
      </c>
      <c r="AD116" s="137">
        <f>Summary!AD27</f>
        <v>0</v>
      </c>
      <c r="AE116" s="137">
        <f>Summary!AE27</f>
        <v>0</v>
      </c>
      <c r="AF116" s="137">
        <f>Summary!AF27</f>
        <v>0</v>
      </c>
      <c r="AG116" s="95">
        <f>SUM(B116:AF116)</f>
        <v>1142.0664</v>
      </c>
    </row>
    <row r="117" outlineLevel="1">
      <c r="A117" s="398" t="s">
        <v>121</v>
      </c>
      <c r="B117" s="399"/>
      <c r="C117" s="399"/>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c r="AA117" s="399"/>
      <c r="AB117" s="399"/>
      <c r="AC117" s="399"/>
      <c r="AD117" s="399"/>
      <c r="AE117" s="399"/>
      <c r="AF117" s="399"/>
      <c r="AG117" s="397"/>
    </row>
    <row r="118" outlineLevel="1">
      <c r="A118" s="400" t="s">
        <v>42</v>
      </c>
      <c r="B118" s="137">
        <f>Summary!B29</f>
        <v>0</v>
      </c>
      <c r="C118" s="137">
        <f>Summary!C29</f>
        <v>0</v>
      </c>
      <c r="D118" s="137">
        <f>Summary!D29</f>
        <v>0</v>
      </c>
      <c r="E118" s="137">
        <f>Summary!E29</f>
        <v>0</v>
      </c>
      <c r="F118" s="137">
        <f>Summary!F29</f>
        <v>0</v>
      </c>
      <c r="G118" s="137">
        <f>Summary!G29</f>
        <v>0</v>
      </c>
      <c r="H118" s="137">
        <f>Summary!H29</f>
        <v>18.3586</v>
      </c>
      <c r="I118" s="137">
        <f>Summary!I29</f>
        <v>0</v>
      </c>
      <c r="J118" s="137">
        <f>Summary!J29</f>
        <v>0</v>
      </c>
      <c r="K118" s="137">
        <f>Summary!K29</f>
        <v>0</v>
      </c>
      <c r="L118" s="137">
        <f>Summary!L29</f>
        <v>18.3586</v>
      </c>
      <c r="M118" s="137">
        <f>Summary!M29</f>
        <v>0</v>
      </c>
      <c r="N118" s="137">
        <f>Summary!N29</f>
        <v>0</v>
      </c>
      <c r="O118" s="137">
        <f>Summary!O29</f>
        <v>0</v>
      </c>
      <c r="P118" s="137">
        <f>Summary!P29</f>
        <v>0</v>
      </c>
      <c r="Q118" s="137">
        <f>Summary!Q29</f>
        <v>0</v>
      </c>
      <c r="R118" s="137">
        <f>Summary!R29</f>
        <v>0</v>
      </c>
      <c r="S118" s="137">
        <f>Summary!S29</f>
        <v>0</v>
      </c>
      <c r="T118" s="137">
        <f>Summary!T29</f>
        <v>0</v>
      </c>
      <c r="U118" s="137">
        <f>Summary!U29</f>
        <v>0</v>
      </c>
      <c r="V118" s="137">
        <f>Summary!V29</f>
        <v>0</v>
      </c>
      <c r="W118" s="137">
        <f>Summary!W29</f>
        <v>0</v>
      </c>
      <c r="X118" s="137">
        <f>Summary!X29</f>
        <v>0</v>
      </c>
      <c r="Y118" s="137">
        <f>Summary!Y29</f>
        <v>0</v>
      </c>
      <c r="Z118" s="137">
        <f>Summary!Z29</f>
        <v>29.3492</v>
      </c>
      <c r="AA118" s="137">
        <f>Summary!AA29</f>
        <v>0</v>
      </c>
      <c r="AB118" s="137">
        <f>Summary!AB29</f>
        <v>0</v>
      </c>
      <c r="AC118" s="137">
        <f>Summary!AC29</f>
        <v>0</v>
      </c>
      <c r="AD118" s="137">
        <f>Summary!AD29</f>
        <v>0</v>
      </c>
      <c r="AE118" s="137">
        <f>Summary!AE29</f>
        <v>0</v>
      </c>
      <c r="AF118" s="137">
        <f>Summary!AF29</f>
        <v>0</v>
      </c>
      <c r="AG118" s="95">
        <f t="shared" ref="AG118:AG120" si="30">SUM(B118:AF118)</f>
        <v>66.0664</v>
      </c>
    </row>
    <row r="119" outlineLevel="1">
      <c r="A119" s="400" t="s">
        <v>629</v>
      </c>
      <c r="B119" s="137" t="str">
        <f>Summary!B30</f>
        <v/>
      </c>
      <c r="C119" s="137" t="str">
        <f>Summary!C30</f>
        <v/>
      </c>
      <c r="D119" s="137" t="str">
        <f>Summary!D30</f>
        <v/>
      </c>
      <c r="E119" s="137" t="str">
        <f>Summary!E30</f>
        <v/>
      </c>
      <c r="F119" s="137" t="str">
        <f>Summary!F30</f>
        <v/>
      </c>
      <c r="G119" s="137" t="str">
        <f>Summary!G30</f>
        <v/>
      </c>
      <c r="H119" s="137" t="str">
        <f>Summary!H30</f>
        <v/>
      </c>
      <c r="I119" s="137" t="str">
        <f>Summary!I30</f>
        <v/>
      </c>
      <c r="J119" s="137" t="str">
        <f>Summary!J30</f>
        <v/>
      </c>
      <c r="K119" s="137" t="str">
        <f>Summary!K30</f>
        <v/>
      </c>
      <c r="L119" s="137" t="str">
        <f>Summary!L30</f>
        <v/>
      </c>
      <c r="M119" s="137" t="str">
        <f>Summary!M30</f>
        <v/>
      </c>
      <c r="N119" s="137" t="str">
        <f>Summary!N30</f>
        <v/>
      </c>
      <c r="O119" s="137" t="str">
        <f>Summary!O30</f>
        <v/>
      </c>
      <c r="P119" s="137" t="str">
        <f>Summary!P30</f>
        <v/>
      </c>
      <c r="Q119" s="137" t="str">
        <f>Summary!Q30</f>
        <v/>
      </c>
      <c r="R119" s="137" t="str">
        <f>Summary!R30</f>
        <v/>
      </c>
      <c r="S119" s="137" t="str">
        <f>Summary!S30</f>
        <v/>
      </c>
      <c r="T119" s="137" t="str">
        <f>Summary!T30</f>
        <v/>
      </c>
      <c r="U119" s="137" t="str">
        <f>Summary!U30</f>
        <v/>
      </c>
      <c r="V119" s="137" t="str">
        <f>Summary!V30</f>
        <v/>
      </c>
      <c r="W119" s="137" t="str">
        <f>Summary!W30</f>
        <v/>
      </c>
      <c r="X119" s="137" t="str">
        <f>Summary!X30</f>
        <v/>
      </c>
      <c r="Y119" s="137" t="str">
        <f>Summary!Y30</f>
        <v/>
      </c>
      <c r="Z119" s="137" t="str">
        <f>Summary!Z30</f>
        <v/>
      </c>
      <c r="AA119" s="137" t="str">
        <f>Summary!AA30</f>
        <v/>
      </c>
      <c r="AB119" s="137" t="str">
        <f>Summary!AB30</f>
        <v/>
      </c>
      <c r="AC119" s="137" t="str">
        <f>Summary!AC30</f>
        <v/>
      </c>
      <c r="AD119" s="137" t="str">
        <f>Summary!AD30</f>
        <v/>
      </c>
      <c r="AE119" s="137"/>
      <c r="AF119" s="137"/>
      <c r="AG119" s="95">
        <f t="shared" si="30"/>
        <v>0</v>
      </c>
    </row>
    <row r="120">
      <c r="A120" s="136" t="s">
        <v>97</v>
      </c>
      <c r="B120" s="160">
        <f>Summary!B63</f>
        <v>0</v>
      </c>
      <c r="C120" s="160">
        <f>Summary!C63</f>
        <v>0</v>
      </c>
      <c r="D120" s="160">
        <f>Summary!D63</f>
        <v>0</v>
      </c>
      <c r="E120" s="160">
        <f>Summary!E63</f>
        <v>0</v>
      </c>
      <c r="F120" s="160">
        <f>Summary!F63</f>
        <v>0</v>
      </c>
      <c r="G120" s="160">
        <f>Summary!G63</f>
        <v>0</v>
      </c>
      <c r="H120" s="160">
        <f>Summary!H63</f>
        <v>1</v>
      </c>
      <c r="I120" s="160">
        <f>Summary!I63</f>
        <v>0</v>
      </c>
      <c r="J120" s="160">
        <f>Summary!J63</f>
        <v>0</v>
      </c>
      <c r="K120" s="160">
        <f>Summary!K63</f>
        <v>0</v>
      </c>
      <c r="L120" s="160">
        <f>Summary!L63</f>
        <v>1</v>
      </c>
      <c r="M120" s="160">
        <f>Summary!M63</f>
        <v>0</v>
      </c>
      <c r="N120" s="160">
        <f>Summary!N63</f>
        <v>0</v>
      </c>
      <c r="O120" s="160">
        <f>Summary!O63</f>
        <v>0</v>
      </c>
      <c r="P120" s="160">
        <f>Summary!P63</f>
        <v>0</v>
      </c>
      <c r="Q120" s="160">
        <f>Summary!Q63</f>
        <v>0</v>
      </c>
      <c r="R120" s="160">
        <f>Summary!R63</f>
        <v>0</v>
      </c>
      <c r="S120" s="160">
        <f>Summary!S63</f>
        <v>0</v>
      </c>
      <c r="T120" s="160">
        <f>Summary!T63</f>
        <v>0</v>
      </c>
      <c r="U120" s="160">
        <f>Summary!U63</f>
        <v>0</v>
      </c>
      <c r="V120" s="160">
        <f>Summary!V63</f>
        <v>0</v>
      </c>
      <c r="W120" s="160">
        <f>Summary!W63</f>
        <v>0</v>
      </c>
      <c r="X120" s="160">
        <f>Summary!X63</f>
        <v>0</v>
      </c>
      <c r="Y120" s="160">
        <f>Summary!Y63</f>
        <v>0</v>
      </c>
      <c r="Z120" s="160">
        <f>Summary!Z63</f>
        <v>2</v>
      </c>
      <c r="AA120" s="160">
        <f>Summary!AA63</f>
        <v>0</v>
      </c>
      <c r="AB120" s="160">
        <f>Summary!AB63</f>
        <v>0</v>
      </c>
      <c r="AC120" s="160">
        <f>Summary!AC63</f>
        <v>0</v>
      </c>
      <c r="AD120" s="160">
        <f>Summary!AD63</f>
        <v>0</v>
      </c>
      <c r="AE120" s="160">
        <f>Summary!AE63</f>
        <v>0</v>
      </c>
      <c r="AF120" s="160">
        <f>Summary!AF63</f>
        <v>0</v>
      </c>
      <c r="AG120" s="95">
        <f t="shared" si="30"/>
        <v>4</v>
      </c>
    </row>
    <row r="121">
      <c r="A121" s="100"/>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397"/>
    </row>
    <row r="122">
      <c r="A122" s="213" t="s">
        <v>684</v>
      </c>
      <c r="B122" s="204">
        <f>Summary!B86</f>
        <v>0</v>
      </c>
      <c r="C122" s="204">
        <f>Summary!C86</f>
        <v>0</v>
      </c>
      <c r="D122" s="204">
        <f>Summary!D86</f>
        <v>0</v>
      </c>
      <c r="E122" s="204">
        <f>Summary!E86</f>
        <v>0</v>
      </c>
      <c r="F122" s="204">
        <f>Summary!F86</f>
        <v>0</v>
      </c>
      <c r="G122" s="204">
        <f>Summary!G86</f>
        <v>0</v>
      </c>
      <c r="H122" s="204">
        <f>Summary!H86</f>
        <v>47.60379</v>
      </c>
      <c r="I122" s="204">
        <f>Summary!I86</f>
        <v>0</v>
      </c>
      <c r="J122" s="204">
        <f>Summary!J86</f>
        <v>0</v>
      </c>
      <c r="K122" s="204">
        <f>Summary!K86</f>
        <v>0</v>
      </c>
      <c r="L122" s="204">
        <f>Summary!L86</f>
        <v>47.60379</v>
      </c>
      <c r="M122" s="204">
        <f>Summary!M86</f>
        <v>0</v>
      </c>
      <c r="N122" s="204">
        <f>Summary!N86</f>
        <v>0</v>
      </c>
      <c r="O122" s="204">
        <f>Summary!O86</f>
        <v>0</v>
      </c>
      <c r="P122" s="204">
        <f>Summary!P86</f>
        <v>0</v>
      </c>
      <c r="Q122" s="204">
        <f>Summary!Q86</f>
        <v>0</v>
      </c>
      <c r="R122" s="204">
        <f>Summary!R86</f>
        <v>0</v>
      </c>
      <c r="S122" s="204">
        <f>Summary!S86</f>
        <v>0</v>
      </c>
      <c r="T122" s="204">
        <f>Summary!T86</f>
        <v>0</v>
      </c>
      <c r="U122" s="204">
        <f>Summary!U86</f>
        <v>0</v>
      </c>
      <c r="V122" s="204">
        <f>Summary!V86</f>
        <v>0</v>
      </c>
      <c r="W122" s="204">
        <f>Summary!W86</f>
        <v>0</v>
      </c>
      <c r="X122" s="204">
        <f>Summary!X86</f>
        <v>0</v>
      </c>
      <c r="Y122" s="204">
        <f>Summary!Y86</f>
        <v>0</v>
      </c>
      <c r="Z122" s="204">
        <f>Summary!Z86</f>
        <v>76.10238</v>
      </c>
      <c r="AA122" s="204">
        <f>Summary!AA86</f>
        <v>0</v>
      </c>
      <c r="AB122" s="204">
        <f>Summary!AB86</f>
        <v>0</v>
      </c>
      <c r="AC122" s="204">
        <f>Summary!AC86</f>
        <v>0</v>
      </c>
      <c r="AD122" s="204">
        <f>Summary!AD86</f>
        <v>0</v>
      </c>
      <c r="AE122" s="204">
        <f>Summary!AE86</f>
        <v>0</v>
      </c>
      <c r="AF122" s="204">
        <f>Summary!AF86</f>
        <v>0</v>
      </c>
      <c r="AG122" s="95">
        <f>SUM(B122:AF122)</f>
        <v>171.30996</v>
      </c>
    </row>
    <row r="123">
      <c r="A123" s="100"/>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401"/>
    </row>
    <row r="124">
      <c r="A124" s="141" t="s">
        <v>685</v>
      </c>
      <c r="B124" s="159"/>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397"/>
    </row>
    <row r="125">
      <c r="A125" s="157" t="s">
        <v>686</v>
      </c>
      <c r="B125" s="159">
        <v>0.0</v>
      </c>
      <c r="C125" s="159">
        <v>0.0</v>
      </c>
      <c r="D125" s="159">
        <v>0.0</v>
      </c>
      <c r="E125" s="159">
        <v>0.0</v>
      </c>
      <c r="F125" s="159">
        <v>0.0</v>
      </c>
      <c r="G125" s="159">
        <v>0.0</v>
      </c>
      <c r="H125" s="159">
        <v>0.0</v>
      </c>
      <c r="I125" s="159">
        <v>0.0</v>
      </c>
      <c r="J125" s="159">
        <v>0.0</v>
      </c>
      <c r="K125" s="159">
        <v>0.0</v>
      </c>
      <c r="L125" s="159">
        <v>0.0</v>
      </c>
      <c r="M125" s="159">
        <v>0.0</v>
      </c>
      <c r="N125" s="159">
        <v>0.0</v>
      </c>
      <c r="O125" s="159">
        <v>0.0</v>
      </c>
      <c r="P125" s="159">
        <v>0.0</v>
      </c>
      <c r="Q125" s="159">
        <v>0.0</v>
      </c>
      <c r="R125" s="159">
        <v>0.0</v>
      </c>
      <c r="S125" s="159">
        <v>0.0</v>
      </c>
      <c r="T125" s="159">
        <v>0.0</v>
      </c>
      <c r="U125" s="159">
        <v>0.0</v>
      </c>
      <c r="V125" s="159">
        <v>0.0</v>
      </c>
      <c r="W125" s="159">
        <v>0.0</v>
      </c>
      <c r="X125" s="159">
        <v>0.0</v>
      </c>
      <c r="Y125" s="159">
        <v>0.0</v>
      </c>
      <c r="Z125" s="159">
        <v>0.0</v>
      </c>
      <c r="AA125" s="159">
        <v>0.0</v>
      </c>
      <c r="AB125" s="170">
        <v>0.0</v>
      </c>
      <c r="AC125" s="170">
        <v>0.0</v>
      </c>
      <c r="AD125" s="170">
        <v>0.0</v>
      </c>
      <c r="AE125" s="170">
        <v>0.0</v>
      </c>
      <c r="AF125" s="170">
        <v>0.0</v>
      </c>
      <c r="AG125" s="156">
        <f t="shared" ref="AG125:AG129" si="31">SUM(B125:AF125)</f>
        <v>0</v>
      </c>
    </row>
    <row r="126">
      <c r="A126" s="157" t="s">
        <v>687</v>
      </c>
      <c r="B126" s="159">
        <v>0.0</v>
      </c>
      <c r="C126" s="159">
        <v>0.0</v>
      </c>
      <c r="D126" s="159">
        <v>0.0</v>
      </c>
      <c r="E126" s="159">
        <v>0.0</v>
      </c>
      <c r="F126" s="159">
        <v>0.0</v>
      </c>
      <c r="G126" s="159">
        <v>0.0</v>
      </c>
      <c r="H126" s="159">
        <v>0.0</v>
      </c>
      <c r="I126" s="159">
        <v>0.0</v>
      </c>
      <c r="J126" s="159">
        <v>0.0</v>
      </c>
      <c r="K126" s="159">
        <v>0.0</v>
      </c>
      <c r="L126" s="159">
        <v>0.0</v>
      </c>
      <c r="M126" s="159">
        <v>0.0</v>
      </c>
      <c r="N126" s="159">
        <v>0.0</v>
      </c>
      <c r="O126" s="159">
        <v>0.0</v>
      </c>
      <c r="P126" s="159">
        <v>0.0</v>
      </c>
      <c r="Q126" s="159">
        <v>0.0</v>
      </c>
      <c r="R126" s="159">
        <v>0.0</v>
      </c>
      <c r="S126" s="159">
        <v>0.0</v>
      </c>
      <c r="T126" s="159">
        <v>0.0</v>
      </c>
      <c r="U126" s="159">
        <v>0.0</v>
      </c>
      <c r="V126" s="159">
        <v>0.0</v>
      </c>
      <c r="W126" s="159">
        <v>0.0</v>
      </c>
      <c r="X126" s="159">
        <v>0.0</v>
      </c>
      <c r="Y126" s="159">
        <v>0.0</v>
      </c>
      <c r="Z126" s="159">
        <v>0.0</v>
      </c>
      <c r="AA126" s="159">
        <v>0.0</v>
      </c>
      <c r="AB126" s="170">
        <v>0.0</v>
      </c>
      <c r="AC126" s="170">
        <v>0.0</v>
      </c>
      <c r="AD126" s="170">
        <v>0.0</v>
      </c>
      <c r="AE126" s="170">
        <v>0.0</v>
      </c>
      <c r="AF126" s="170">
        <v>0.0</v>
      </c>
      <c r="AG126" s="156">
        <f t="shared" si="31"/>
        <v>0</v>
      </c>
    </row>
    <row r="127">
      <c r="A127" s="157" t="s">
        <v>688</v>
      </c>
      <c r="B127" s="159">
        <v>0.0</v>
      </c>
      <c r="C127" s="159">
        <v>0.0</v>
      </c>
      <c r="D127" s="159">
        <v>0.0</v>
      </c>
      <c r="E127" s="159">
        <v>0.0</v>
      </c>
      <c r="F127" s="159">
        <v>0.0</v>
      </c>
      <c r="G127" s="159">
        <v>0.0</v>
      </c>
      <c r="H127" s="159">
        <v>1.0</v>
      </c>
      <c r="I127" s="159">
        <v>0.0</v>
      </c>
      <c r="J127" s="159">
        <v>0.0</v>
      </c>
      <c r="K127" s="159">
        <v>0.0</v>
      </c>
      <c r="L127" s="159">
        <v>1.0</v>
      </c>
      <c r="M127" s="159">
        <v>0.0</v>
      </c>
      <c r="N127" s="159">
        <v>0.0</v>
      </c>
      <c r="O127" s="159">
        <v>0.0</v>
      </c>
      <c r="P127" s="159">
        <v>0.0</v>
      </c>
      <c r="Q127" s="159">
        <v>0.0</v>
      </c>
      <c r="R127" s="159">
        <v>0.0</v>
      </c>
      <c r="S127" s="159">
        <v>0.0</v>
      </c>
      <c r="T127" s="159">
        <v>0.0</v>
      </c>
      <c r="U127" s="159">
        <v>0.0</v>
      </c>
      <c r="V127" s="159">
        <v>0.0</v>
      </c>
      <c r="W127" s="159">
        <v>0.0</v>
      </c>
      <c r="X127" s="159">
        <v>0.0</v>
      </c>
      <c r="Y127" s="159">
        <v>0.0</v>
      </c>
      <c r="Z127" s="159">
        <v>2.0</v>
      </c>
      <c r="AA127" s="159">
        <v>0.0</v>
      </c>
      <c r="AB127" s="420">
        <v>0.0</v>
      </c>
      <c r="AC127" s="420">
        <v>0.0</v>
      </c>
      <c r="AD127" s="420">
        <v>0.0</v>
      </c>
      <c r="AE127" s="420">
        <v>0.0</v>
      </c>
      <c r="AF127" s="420">
        <v>0.0</v>
      </c>
      <c r="AG127" s="156">
        <f t="shared" si="31"/>
        <v>4</v>
      </c>
    </row>
    <row r="128">
      <c r="A128" s="157" t="s">
        <v>689</v>
      </c>
      <c r="B128" s="159">
        <v>0.0</v>
      </c>
      <c r="C128" s="159">
        <v>0.0</v>
      </c>
      <c r="D128" s="159">
        <v>0.0</v>
      </c>
      <c r="E128" s="159">
        <v>0.0</v>
      </c>
      <c r="F128" s="159">
        <v>0.0</v>
      </c>
      <c r="G128" s="159">
        <v>0.0</v>
      </c>
      <c r="H128" s="159">
        <v>0.0</v>
      </c>
      <c r="I128" s="159">
        <v>0.0</v>
      </c>
      <c r="J128" s="159">
        <v>0.0</v>
      </c>
      <c r="K128" s="159">
        <v>0.0</v>
      </c>
      <c r="L128" s="159">
        <v>0.0</v>
      </c>
      <c r="M128" s="159">
        <v>0.0</v>
      </c>
      <c r="N128" s="159">
        <v>0.0</v>
      </c>
      <c r="O128" s="159">
        <v>0.0</v>
      </c>
      <c r="P128" s="159">
        <v>0.0</v>
      </c>
      <c r="Q128" s="159">
        <v>0.0</v>
      </c>
      <c r="R128" s="159">
        <v>0.0</v>
      </c>
      <c r="S128" s="159">
        <v>0.0</v>
      </c>
      <c r="T128" s="159">
        <v>0.0</v>
      </c>
      <c r="U128" s="159">
        <v>0.0</v>
      </c>
      <c r="V128" s="159">
        <v>0.0</v>
      </c>
      <c r="W128" s="159">
        <v>0.0</v>
      </c>
      <c r="X128" s="159">
        <v>0.0</v>
      </c>
      <c r="Y128" s="159">
        <v>0.0</v>
      </c>
      <c r="Z128" s="159">
        <v>0.0</v>
      </c>
      <c r="AA128" s="159">
        <v>0.0</v>
      </c>
      <c r="AB128" s="420">
        <v>0.0</v>
      </c>
      <c r="AC128" s="420">
        <v>0.0</v>
      </c>
      <c r="AD128" s="420">
        <v>0.0</v>
      </c>
      <c r="AE128" s="420">
        <v>0.0</v>
      </c>
      <c r="AF128" s="420">
        <v>0.0</v>
      </c>
      <c r="AG128" s="156">
        <f t="shared" si="31"/>
        <v>0</v>
      </c>
    </row>
    <row r="129">
      <c r="A129" s="163" t="s">
        <v>127</v>
      </c>
      <c r="B129" s="299">
        <f t="shared" ref="B129:AF129" si="32">SUM(B125:B128)</f>
        <v>0</v>
      </c>
      <c r="C129" s="299">
        <f t="shared" si="32"/>
        <v>0</v>
      </c>
      <c r="D129" s="299">
        <f t="shared" si="32"/>
        <v>0</v>
      </c>
      <c r="E129" s="299">
        <f t="shared" si="32"/>
        <v>0</v>
      </c>
      <c r="F129" s="299">
        <f t="shared" si="32"/>
        <v>0</v>
      </c>
      <c r="G129" s="299">
        <f t="shared" si="32"/>
        <v>0</v>
      </c>
      <c r="H129" s="299">
        <f t="shared" si="32"/>
        <v>1</v>
      </c>
      <c r="I129" s="299">
        <f t="shared" si="32"/>
        <v>0</v>
      </c>
      <c r="J129" s="299">
        <f t="shared" si="32"/>
        <v>0</v>
      </c>
      <c r="K129" s="299">
        <f t="shared" si="32"/>
        <v>0</v>
      </c>
      <c r="L129" s="299">
        <f t="shared" si="32"/>
        <v>1</v>
      </c>
      <c r="M129" s="299">
        <f t="shared" si="32"/>
        <v>0</v>
      </c>
      <c r="N129" s="299">
        <f t="shared" si="32"/>
        <v>0</v>
      </c>
      <c r="O129" s="299">
        <f t="shared" si="32"/>
        <v>0</v>
      </c>
      <c r="P129" s="299">
        <f t="shared" si="32"/>
        <v>0</v>
      </c>
      <c r="Q129" s="299">
        <f t="shared" si="32"/>
        <v>0</v>
      </c>
      <c r="R129" s="299">
        <f t="shared" si="32"/>
        <v>0</v>
      </c>
      <c r="S129" s="299">
        <f t="shared" si="32"/>
        <v>0</v>
      </c>
      <c r="T129" s="299">
        <f t="shared" si="32"/>
        <v>0</v>
      </c>
      <c r="U129" s="299">
        <f t="shared" si="32"/>
        <v>0</v>
      </c>
      <c r="V129" s="299">
        <f t="shared" si="32"/>
        <v>0</v>
      </c>
      <c r="W129" s="299">
        <f t="shared" si="32"/>
        <v>0</v>
      </c>
      <c r="X129" s="299">
        <f t="shared" si="32"/>
        <v>0</v>
      </c>
      <c r="Y129" s="299">
        <f t="shared" si="32"/>
        <v>0</v>
      </c>
      <c r="Z129" s="299">
        <f t="shared" si="32"/>
        <v>2</v>
      </c>
      <c r="AA129" s="299">
        <f t="shared" si="32"/>
        <v>0</v>
      </c>
      <c r="AB129" s="299">
        <f t="shared" si="32"/>
        <v>0</v>
      </c>
      <c r="AC129" s="299">
        <f t="shared" si="32"/>
        <v>0</v>
      </c>
      <c r="AD129" s="299">
        <f t="shared" si="32"/>
        <v>0</v>
      </c>
      <c r="AE129" s="299">
        <f t="shared" si="32"/>
        <v>0</v>
      </c>
      <c r="AF129" s="299">
        <f t="shared" si="32"/>
        <v>0</v>
      </c>
      <c r="AG129" s="156">
        <f t="shared" si="31"/>
        <v>4</v>
      </c>
    </row>
    <row r="130">
      <c r="A130" s="100"/>
      <c r="B130" s="167"/>
      <c r="C130" s="167"/>
      <c r="D130" s="167"/>
      <c r="E130" s="167"/>
      <c r="F130" s="167"/>
      <c r="G130" s="167"/>
      <c r="H130" s="167"/>
      <c r="I130" s="167"/>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402"/>
    </row>
    <row r="131">
      <c r="A131" s="157" t="s">
        <v>131</v>
      </c>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421"/>
      <c r="AC131" s="422"/>
      <c r="AD131" s="422"/>
      <c r="AE131" s="422"/>
      <c r="AF131" s="422"/>
      <c r="AG131" s="156">
        <f t="shared" ref="AG131:AG139" si="33">SUM(B131:AF131)</f>
        <v>0</v>
      </c>
    </row>
    <row r="132">
      <c r="A132" s="157" t="s">
        <v>132</v>
      </c>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421"/>
      <c r="AC132" s="422"/>
      <c r="AD132" s="422"/>
      <c r="AE132" s="422"/>
      <c r="AF132" s="422"/>
      <c r="AG132" s="156">
        <f t="shared" si="33"/>
        <v>0</v>
      </c>
    </row>
    <row r="133">
      <c r="A133" s="157" t="s">
        <v>690</v>
      </c>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421"/>
      <c r="AC133" s="422"/>
      <c r="AD133" s="422"/>
      <c r="AE133" s="422"/>
      <c r="AF133" s="422"/>
      <c r="AG133" s="156">
        <f t="shared" si="33"/>
        <v>0</v>
      </c>
    </row>
    <row r="134">
      <c r="A134" s="157" t="s">
        <v>691</v>
      </c>
      <c r="B134" s="403"/>
      <c r="C134" s="403"/>
      <c r="D134" s="403"/>
      <c r="E134" s="403"/>
      <c r="F134" s="403"/>
      <c r="G134" s="403"/>
      <c r="H134" s="403"/>
      <c r="I134" s="403"/>
      <c r="J134" s="403"/>
      <c r="K134" s="403"/>
      <c r="L134" s="403"/>
      <c r="M134" s="403"/>
      <c r="N134" s="403"/>
      <c r="O134" s="403"/>
      <c r="P134" s="403"/>
      <c r="Q134" s="403"/>
      <c r="R134" s="403"/>
      <c r="S134" s="403"/>
      <c r="T134" s="403"/>
      <c r="U134" s="403"/>
      <c r="V134" s="403"/>
      <c r="W134" s="403"/>
      <c r="X134" s="403"/>
      <c r="Y134" s="403"/>
      <c r="Z134" s="403"/>
      <c r="AA134" s="403"/>
      <c r="AB134" s="422"/>
      <c r="AC134" s="422"/>
      <c r="AD134" s="422"/>
      <c r="AE134" s="422"/>
      <c r="AF134" s="422"/>
      <c r="AG134" s="156">
        <f t="shared" si="33"/>
        <v>0</v>
      </c>
    </row>
    <row r="135">
      <c r="A135" s="157" t="s">
        <v>692</v>
      </c>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1"/>
      <c r="AD135" s="91"/>
      <c r="AE135" s="91"/>
      <c r="AF135" s="91"/>
      <c r="AG135" s="156">
        <f t="shared" si="33"/>
        <v>0</v>
      </c>
    </row>
    <row r="136">
      <c r="A136" s="157" t="s">
        <v>693</v>
      </c>
      <c r="B136" s="403"/>
      <c r="C136" s="403"/>
      <c r="D136" s="403"/>
      <c r="E136" s="403"/>
      <c r="F136" s="403"/>
      <c r="G136" s="403"/>
      <c r="H136" s="403"/>
      <c r="I136" s="403"/>
      <c r="J136" s="403"/>
      <c r="K136" s="403"/>
      <c r="L136" s="403"/>
      <c r="M136" s="403"/>
      <c r="N136" s="403"/>
      <c r="O136" s="403"/>
      <c r="P136" s="403"/>
      <c r="Q136" s="403"/>
      <c r="R136" s="403"/>
      <c r="S136" s="403"/>
      <c r="T136" s="403"/>
      <c r="U136" s="403"/>
      <c r="V136" s="403"/>
      <c r="W136" s="403"/>
      <c r="X136" s="403"/>
      <c r="Y136" s="403"/>
      <c r="Z136" s="403"/>
      <c r="AA136" s="403"/>
      <c r="AB136" s="91"/>
      <c r="AC136" s="91"/>
      <c r="AD136" s="91"/>
      <c r="AE136" s="91"/>
      <c r="AF136" s="91"/>
      <c r="AG136" s="156">
        <f t="shared" si="33"/>
        <v>0</v>
      </c>
    </row>
    <row r="137">
      <c r="A137" s="157" t="s">
        <v>694</v>
      </c>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1"/>
      <c r="AD137" s="91"/>
      <c r="AE137" s="91"/>
      <c r="AF137" s="91"/>
      <c r="AG137" s="156">
        <f t="shared" si="33"/>
        <v>0</v>
      </c>
    </row>
    <row r="138">
      <c r="A138" s="157" t="s">
        <v>695</v>
      </c>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1"/>
      <c r="AD138" s="91"/>
      <c r="AE138" s="91"/>
      <c r="AF138" s="91"/>
      <c r="AG138" s="156">
        <f t="shared" si="33"/>
        <v>0</v>
      </c>
    </row>
    <row r="139">
      <c r="A139" s="373" t="s">
        <v>141</v>
      </c>
      <c r="B139" s="423">
        <f t="shared" ref="B139:AF139" si="34">SUM(B131:B138)</f>
        <v>0</v>
      </c>
      <c r="C139" s="299">
        <f t="shared" si="34"/>
        <v>0</v>
      </c>
      <c r="D139" s="299">
        <f t="shared" si="34"/>
        <v>0</v>
      </c>
      <c r="E139" s="299">
        <f t="shared" si="34"/>
        <v>0</v>
      </c>
      <c r="F139" s="299">
        <f t="shared" si="34"/>
        <v>0</v>
      </c>
      <c r="G139" s="299">
        <f t="shared" si="34"/>
        <v>0</v>
      </c>
      <c r="H139" s="299">
        <f t="shared" si="34"/>
        <v>0</v>
      </c>
      <c r="I139" s="299">
        <f t="shared" si="34"/>
        <v>0</v>
      </c>
      <c r="J139" s="299">
        <f t="shared" si="34"/>
        <v>0</v>
      </c>
      <c r="K139" s="299">
        <f t="shared" si="34"/>
        <v>0</v>
      </c>
      <c r="L139" s="299">
        <f t="shared" si="34"/>
        <v>0</v>
      </c>
      <c r="M139" s="299">
        <f t="shared" si="34"/>
        <v>0</v>
      </c>
      <c r="N139" s="299">
        <f t="shared" si="34"/>
        <v>0</v>
      </c>
      <c r="O139" s="299">
        <f t="shared" si="34"/>
        <v>0</v>
      </c>
      <c r="P139" s="299">
        <f t="shared" si="34"/>
        <v>0</v>
      </c>
      <c r="Q139" s="299">
        <f t="shared" si="34"/>
        <v>0</v>
      </c>
      <c r="R139" s="299">
        <f t="shared" si="34"/>
        <v>0</v>
      </c>
      <c r="S139" s="299">
        <f t="shared" si="34"/>
        <v>0</v>
      </c>
      <c r="T139" s="299">
        <f t="shared" si="34"/>
        <v>0</v>
      </c>
      <c r="U139" s="299">
        <f t="shared" si="34"/>
        <v>0</v>
      </c>
      <c r="V139" s="299">
        <f t="shared" si="34"/>
        <v>0</v>
      </c>
      <c r="W139" s="299">
        <f t="shared" si="34"/>
        <v>0</v>
      </c>
      <c r="X139" s="299">
        <f t="shared" si="34"/>
        <v>0</v>
      </c>
      <c r="Y139" s="299">
        <f t="shared" si="34"/>
        <v>0</v>
      </c>
      <c r="Z139" s="299">
        <f t="shared" si="34"/>
        <v>0</v>
      </c>
      <c r="AA139" s="299">
        <f t="shared" si="34"/>
        <v>0</v>
      </c>
      <c r="AB139" s="299">
        <f t="shared" si="34"/>
        <v>0</v>
      </c>
      <c r="AC139" s="299">
        <f t="shared" si="34"/>
        <v>0</v>
      </c>
      <c r="AD139" s="299">
        <f t="shared" si="34"/>
        <v>0</v>
      </c>
      <c r="AE139" s="299">
        <f t="shared" si="34"/>
        <v>0</v>
      </c>
      <c r="AF139" s="299">
        <f t="shared" si="34"/>
        <v>0</v>
      </c>
      <c r="AG139" s="156">
        <f t="shared" si="33"/>
        <v>0</v>
      </c>
    </row>
    <row r="140">
      <c r="A140" s="100"/>
      <c r="B140" s="130"/>
      <c r="C140" s="130"/>
      <c r="D140" s="130"/>
      <c r="E140" s="130"/>
      <c r="F140" s="130"/>
      <c r="G140" s="130"/>
      <c r="H140" s="130"/>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397"/>
    </row>
    <row r="141">
      <c r="A141" s="404" t="s">
        <v>696</v>
      </c>
      <c r="B141" s="405"/>
      <c r="C141" s="405"/>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405"/>
      <c r="AF141" s="405"/>
      <c r="AG141" s="406"/>
    </row>
    <row r="142" outlineLevel="1">
      <c r="A142" s="407"/>
      <c r="AG142" s="406"/>
    </row>
    <row r="143" outlineLevel="1">
      <c r="A143" s="413" t="s">
        <v>697</v>
      </c>
      <c r="B143" s="424"/>
      <c r="C143" s="424"/>
      <c r="D143" s="424"/>
      <c r="E143" s="424"/>
      <c r="F143" s="424"/>
      <c r="G143" s="424"/>
      <c r="H143" s="424"/>
      <c r="I143" s="425"/>
      <c r="J143" s="425"/>
      <c r="K143" s="425"/>
      <c r="L143" s="425"/>
      <c r="M143" s="425"/>
      <c r="N143" s="425"/>
      <c r="O143" s="425"/>
      <c r="P143" s="425"/>
      <c r="Q143" s="425"/>
      <c r="R143" s="425"/>
      <c r="S143" s="425"/>
      <c r="T143" s="425"/>
      <c r="U143" s="425"/>
      <c r="V143" s="425"/>
      <c r="W143" s="425"/>
      <c r="X143" s="425"/>
      <c r="Y143" s="425"/>
      <c r="Z143" s="425"/>
      <c r="AA143" s="425"/>
      <c r="AB143" s="425"/>
      <c r="AC143" s="425"/>
      <c r="AD143" s="425"/>
      <c r="AE143" s="150"/>
      <c r="AF143" s="150"/>
      <c r="AG143" s="408"/>
    </row>
    <row r="144" outlineLevel="1">
      <c r="A144" s="213" t="s">
        <v>698</v>
      </c>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95">
        <f t="shared" ref="AG144:AG149" si="35">SUM(B144:AF144)</f>
        <v>0</v>
      </c>
    </row>
    <row r="145" outlineLevel="1">
      <c r="A145" s="213" t="s">
        <v>699</v>
      </c>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95">
        <f t="shared" si="35"/>
        <v>0</v>
      </c>
    </row>
    <row r="146" outlineLevel="1">
      <c r="A146" s="213" t="s">
        <v>700</v>
      </c>
      <c r="B146" s="403"/>
      <c r="C146" s="403"/>
      <c r="D146" s="403"/>
      <c r="E146" s="403"/>
      <c r="F146" s="403"/>
      <c r="G146" s="403"/>
      <c r="H146" s="403"/>
      <c r="I146" s="403"/>
      <c r="J146" s="403"/>
      <c r="K146" s="403"/>
      <c r="L146" s="403"/>
      <c r="M146" s="403"/>
      <c r="N146" s="403"/>
      <c r="O146" s="303"/>
      <c r="P146" s="303"/>
      <c r="Q146" s="303"/>
      <c r="R146" s="303"/>
      <c r="S146" s="303"/>
      <c r="T146" s="303"/>
      <c r="U146" s="303"/>
      <c r="V146" s="303"/>
      <c r="W146" s="303"/>
      <c r="X146" s="303"/>
      <c r="Y146" s="303"/>
      <c r="Z146" s="303"/>
      <c r="AA146" s="303"/>
      <c r="AB146" s="303"/>
      <c r="AC146" s="303"/>
      <c r="AD146" s="303"/>
      <c r="AE146" s="303"/>
      <c r="AF146" s="303"/>
      <c r="AG146" s="95">
        <f t="shared" si="35"/>
        <v>0</v>
      </c>
    </row>
    <row r="147" outlineLevel="1">
      <c r="A147" s="213" t="s">
        <v>701</v>
      </c>
      <c r="B147" s="403"/>
      <c r="C147" s="403"/>
      <c r="D147" s="403"/>
      <c r="E147" s="403"/>
      <c r="F147" s="403"/>
      <c r="G147" s="403"/>
      <c r="H147" s="403"/>
      <c r="I147" s="403"/>
      <c r="J147" s="403"/>
      <c r="K147" s="403"/>
      <c r="L147" s="403"/>
      <c r="M147" s="403"/>
      <c r="N147" s="403"/>
      <c r="O147" s="303"/>
      <c r="P147" s="303"/>
      <c r="Q147" s="303"/>
      <c r="R147" s="303"/>
      <c r="S147" s="303"/>
      <c r="T147" s="303"/>
      <c r="U147" s="303"/>
      <c r="V147" s="303"/>
      <c r="W147" s="303"/>
      <c r="X147" s="303"/>
      <c r="Y147" s="303"/>
      <c r="Z147" s="303"/>
      <c r="AA147" s="303"/>
      <c r="AB147" s="303"/>
      <c r="AC147" s="303"/>
      <c r="AD147" s="303"/>
      <c r="AE147" s="303"/>
      <c r="AF147" s="303"/>
      <c r="AG147" s="95">
        <f t="shared" si="35"/>
        <v>0</v>
      </c>
    </row>
    <row r="148" outlineLevel="1">
      <c r="A148" s="215" t="s">
        <v>221</v>
      </c>
      <c r="B148" s="330">
        <f t="shared" ref="B148:AF148" si="36">SUM(B144:B145)</f>
        <v>0</v>
      </c>
      <c r="C148" s="330">
        <f t="shared" si="36"/>
        <v>0</v>
      </c>
      <c r="D148" s="330">
        <f t="shared" si="36"/>
        <v>0</v>
      </c>
      <c r="E148" s="330">
        <f t="shared" si="36"/>
        <v>0</v>
      </c>
      <c r="F148" s="330">
        <f t="shared" si="36"/>
        <v>0</v>
      </c>
      <c r="G148" s="330">
        <f t="shared" si="36"/>
        <v>0</v>
      </c>
      <c r="H148" s="330">
        <f t="shared" si="36"/>
        <v>0</v>
      </c>
      <c r="I148" s="330">
        <f t="shared" si="36"/>
        <v>0</v>
      </c>
      <c r="J148" s="330">
        <f t="shared" si="36"/>
        <v>0</v>
      </c>
      <c r="K148" s="330">
        <f t="shared" si="36"/>
        <v>0</v>
      </c>
      <c r="L148" s="330">
        <f t="shared" si="36"/>
        <v>0</v>
      </c>
      <c r="M148" s="330">
        <f t="shared" si="36"/>
        <v>0</v>
      </c>
      <c r="N148" s="330">
        <f t="shared" si="36"/>
        <v>0</v>
      </c>
      <c r="O148" s="330">
        <f t="shared" si="36"/>
        <v>0</v>
      </c>
      <c r="P148" s="330">
        <f t="shared" si="36"/>
        <v>0</v>
      </c>
      <c r="Q148" s="330">
        <f t="shared" si="36"/>
        <v>0</v>
      </c>
      <c r="R148" s="330">
        <f t="shared" si="36"/>
        <v>0</v>
      </c>
      <c r="S148" s="330">
        <f t="shared" si="36"/>
        <v>0</v>
      </c>
      <c r="T148" s="330">
        <f t="shared" si="36"/>
        <v>0</v>
      </c>
      <c r="U148" s="330">
        <f t="shared" si="36"/>
        <v>0</v>
      </c>
      <c r="V148" s="330">
        <f t="shared" si="36"/>
        <v>0</v>
      </c>
      <c r="W148" s="330">
        <f t="shared" si="36"/>
        <v>0</v>
      </c>
      <c r="X148" s="330">
        <f t="shared" si="36"/>
        <v>0</v>
      </c>
      <c r="Y148" s="330">
        <f t="shared" si="36"/>
        <v>0</v>
      </c>
      <c r="Z148" s="330">
        <f t="shared" si="36"/>
        <v>0</v>
      </c>
      <c r="AA148" s="330">
        <f t="shared" si="36"/>
        <v>0</v>
      </c>
      <c r="AB148" s="330">
        <f t="shared" si="36"/>
        <v>0</v>
      </c>
      <c r="AC148" s="330">
        <f t="shared" si="36"/>
        <v>0</v>
      </c>
      <c r="AD148" s="330">
        <f t="shared" si="36"/>
        <v>0</v>
      </c>
      <c r="AE148" s="330">
        <f t="shared" si="36"/>
        <v>0</v>
      </c>
      <c r="AF148" s="330">
        <f t="shared" si="36"/>
        <v>0</v>
      </c>
      <c r="AG148" s="95">
        <f t="shared" si="35"/>
        <v>0</v>
      </c>
    </row>
    <row r="149" outlineLevel="1">
      <c r="A149" s="215" t="s">
        <v>222</v>
      </c>
      <c r="B149" s="330">
        <f t="shared" ref="B149:AF149" si="37">SUM(B146:B147)</f>
        <v>0</v>
      </c>
      <c r="C149" s="330">
        <f t="shared" si="37"/>
        <v>0</v>
      </c>
      <c r="D149" s="330">
        <f t="shared" si="37"/>
        <v>0</v>
      </c>
      <c r="E149" s="330">
        <f t="shared" si="37"/>
        <v>0</v>
      </c>
      <c r="F149" s="330">
        <f t="shared" si="37"/>
        <v>0</v>
      </c>
      <c r="G149" s="330">
        <f t="shared" si="37"/>
        <v>0</v>
      </c>
      <c r="H149" s="330">
        <f t="shared" si="37"/>
        <v>0</v>
      </c>
      <c r="I149" s="330">
        <f t="shared" si="37"/>
        <v>0</v>
      </c>
      <c r="J149" s="330">
        <f t="shared" si="37"/>
        <v>0</v>
      </c>
      <c r="K149" s="330">
        <f t="shared" si="37"/>
        <v>0</v>
      </c>
      <c r="L149" s="330">
        <f t="shared" si="37"/>
        <v>0</v>
      </c>
      <c r="M149" s="330">
        <f t="shared" si="37"/>
        <v>0</v>
      </c>
      <c r="N149" s="330">
        <f t="shared" si="37"/>
        <v>0</v>
      </c>
      <c r="O149" s="330">
        <f t="shared" si="37"/>
        <v>0</v>
      </c>
      <c r="P149" s="330">
        <f t="shared" si="37"/>
        <v>0</v>
      </c>
      <c r="Q149" s="330">
        <f t="shared" si="37"/>
        <v>0</v>
      </c>
      <c r="R149" s="330">
        <f t="shared" si="37"/>
        <v>0</v>
      </c>
      <c r="S149" s="330">
        <f t="shared" si="37"/>
        <v>0</v>
      </c>
      <c r="T149" s="330">
        <f t="shared" si="37"/>
        <v>0</v>
      </c>
      <c r="U149" s="330">
        <f t="shared" si="37"/>
        <v>0</v>
      </c>
      <c r="V149" s="330">
        <f t="shared" si="37"/>
        <v>0</v>
      </c>
      <c r="W149" s="330">
        <f t="shared" si="37"/>
        <v>0</v>
      </c>
      <c r="X149" s="330">
        <f t="shared" si="37"/>
        <v>0</v>
      </c>
      <c r="Y149" s="330">
        <f t="shared" si="37"/>
        <v>0</v>
      </c>
      <c r="Z149" s="330">
        <f t="shared" si="37"/>
        <v>0</v>
      </c>
      <c r="AA149" s="330">
        <f t="shared" si="37"/>
        <v>0</v>
      </c>
      <c r="AB149" s="330">
        <f t="shared" si="37"/>
        <v>0</v>
      </c>
      <c r="AC149" s="330">
        <f t="shared" si="37"/>
        <v>0</v>
      </c>
      <c r="AD149" s="330">
        <f t="shared" si="37"/>
        <v>0</v>
      </c>
      <c r="AE149" s="330">
        <f t="shared" si="37"/>
        <v>0</v>
      </c>
      <c r="AF149" s="330">
        <f t="shared" si="37"/>
        <v>0</v>
      </c>
      <c r="AG149" s="95">
        <f t="shared" si="35"/>
        <v>0</v>
      </c>
    </row>
    <row r="150" outlineLevel="1">
      <c r="A150" s="100"/>
      <c r="B150" s="307"/>
      <c r="C150" s="307"/>
      <c r="D150" s="307"/>
      <c r="E150" s="307"/>
      <c r="F150" s="307"/>
      <c r="G150" s="307"/>
      <c r="H150" s="307"/>
      <c r="I150" s="426"/>
      <c r="J150" s="426"/>
      <c r="K150" s="426"/>
      <c r="L150" s="426"/>
      <c r="M150" s="426"/>
      <c r="N150" s="426"/>
      <c r="O150" s="426"/>
      <c r="P150" s="426"/>
      <c r="Q150" s="426"/>
      <c r="R150" s="426"/>
      <c r="S150" s="426"/>
      <c r="T150" s="426"/>
      <c r="U150" s="426"/>
      <c r="V150" s="426"/>
      <c r="W150" s="426"/>
      <c r="X150" s="426"/>
      <c r="Y150" s="426"/>
      <c r="Z150" s="426"/>
      <c r="AA150" s="426"/>
      <c r="AB150" s="426"/>
      <c r="AC150" s="426"/>
      <c r="AD150" s="426"/>
      <c r="AE150" s="426"/>
      <c r="AF150" s="426"/>
      <c r="AG150" s="397"/>
    </row>
    <row r="151" outlineLevel="1">
      <c r="A151" s="213" t="s">
        <v>224</v>
      </c>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c r="AA151" s="303"/>
      <c r="AB151" s="303"/>
      <c r="AC151" s="303"/>
      <c r="AD151" s="303"/>
      <c r="AE151" s="303"/>
      <c r="AF151" s="303"/>
      <c r="AG151" s="95">
        <f t="shared" ref="AG151:AG159" si="38">SUM(B151:AF151)</f>
        <v>0</v>
      </c>
    </row>
    <row r="152" outlineLevel="1">
      <c r="A152" s="213" t="s">
        <v>225</v>
      </c>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c r="AA152" s="303"/>
      <c r="AB152" s="303"/>
      <c r="AC152" s="303"/>
      <c r="AD152" s="303"/>
      <c r="AE152" s="303"/>
      <c r="AF152" s="303"/>
      <c r="AG152" s="95">
        <f t="shared" si="38"/>
        <v>0</v>
      </c>
    </row>
    <row r="153" outlineLevel="1">
      <c r="A153" s="213" t="s">
        <v>702</v>
      </c>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c r="AA153" s="303"/>
      <c r="AB153" s="303"/>
      <c r="AC153" s="303"/>
      <c r="AD153" s="303"/>
      <c r="AE153" s="303"/>
      <c r="AF153" s="303"/>
      <c r="AG153" s="95">
        <f t="shared" si="38"/>
        <v>0</v>
      </c>
    </row>
    <row r="154" outlineLevel="1">
      <c r="A154" s="213" t="s">
        <v>703</v>
      </c>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c r="AA154" s="303"/>
      <c r="AB154" s="303"/>
      <c r="AC154" s="303"/>
      <c r="AD154" s="303"/>
      <c r="AE154" s="303"/>
      <c r="AF154" s="303"/>
      <c r="AG154" s="95">
        <f t="shared" si="38"/>
        <v>0</v>
      </c>
    </row>
    <row r="155" outlineLevel="1">
      <c r="A155" s="213" t="s">
        <v>704</v>
      </c>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c r="AA155" s="303"/>
      <c r="AB155" s="303"/>
      <c r="AC155" s="303"/>
      <c r="AD155" s="303"/>
      <c r="AE155" s="303"/>
      <c r="AF155" s="303"/>
      <c r="AG155" s="95">
        <f t="shared" si="38"/>
        <v>0</v>
      </c>
    </row>
    <row r="156" outlineLevel="1">
      <c r="A156" s="213" t="s">
        <v>705</v>
      </c>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c r="AA156" s="303"/>
      <c r="AB156" s="303"/>
      <c r="AC156" s="303"/>
      <c r="AD156" s="303"/>
      <c r="AE156" s="303"/>
      <c r="AF156" s="303"/>
      <c r="AG156" s="95">
        <f t="shared" si="38"/>
        <v>0</v>
      </c>
    </row>
    <row r="157" outlineLevel="1">
      <c r="A157" s="213" t="s">
        <v>706</v>
      </c>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c r="AA157" s="303"/>
      <c r="AB157" s="303"/>
      <c r="AC157" s="303"/>
      <c r="AD157" s="303"/>
      <c r="AE157" s="303"/>
      <c r="AF157" s="303"/>
      <c r="AG157" s="95">
        <f t="shared" si="38"/>
        <v>0</v>
      </c>
    </row>
    <row r="158" outlineLevel="1">
      <c r="A158" s="213" t="s">
        <v>707</v>
      </c>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c r="AA158" s="303"/>
      <c r="AB158" s="303"/>
      <c r="AC158" s="303"/>
      <c r="AD158" s="303"/>
      <c r="AE158" s="303"/>
      <c r="AF158" s="303"/>
      <c r="AG158" s="95">
        <f t="shared" si="38"/>
        <v>0</v>
      </c>
    </row>
    <row r="159" outlineLevel="1">
      <c r="A159" s="217" t="s">
        <v>141</v>
      </c>
      <c r="B159" s="330">
        <f t="shared" ref="B159:AF159" si="39">SUM(B151:B158)</f>
        <v>0</v>
      </c>
      <c r="C159" s="330">
        <f t="shared" si="39"/>
        <v>0</v>
      </c>
      <c r="D159" s="330">
        <f t="shared" si="39"/>
        <v>0</v>
      </c>
      <c r="E159" s="330">
        <f t="shared" si="39"/>
        <v>0</v>
      </c>
      <c r="F159" s="330">
        <f t="shared" si="39"/>
        <v>0</v>
      </c>
      <c r="G159" s="330">
        <f t="shared" si="39"/>
        <v>0</v>
      </c>
      <c r="H159" s="330">
        <f t="shared" si="39"/>
        <v>0</v>
      </c>
      <c r="I159" s="330">
        <f t="shared" si="39"/>
        <v>0</v>
      </c>
      <c r="J159" s="330">
        <f t="shared" si="39"/>
        <v>0</v>
      </c>
      <c r="K159" s="330">
        <f t="shared" si="39"/>
        <v>0</v>
      </c>
      <c r="L159" s="330">
        <f t="shared" si="39"/>
        <v>0</v>
      </c>
      <c r="M159" s="330">
        <f t="shared" si="39"/>
        <v>0</v>
      </c>
      <c r="N159" s="330">
        <f t="shared" si="39"/>
        <v>0</v>
      </c>
      <c r="O159" s="330">
        <f t="shared" si="39"/>
        <v>0</v>
      </c>
      <c r="P159" s="330">
        <f t="shared" si="39"/>
        <v>0</v>
      </c>
      <c r="Q159" s="330">
        <f t="shared" si="39"/>
        <v>0</v>
      </c>
      <c r="R159" s="330">
        <f t="shared" si="39"/>
        <v>0</v>
      </c>
      <c r="S159" s="330">
        <f t="shared" si="39"/>
        <v>0</v>
      </c>
      <c r="T159" s="330">
        <f t="shared" si="39"/>
        <v>0</v>
      </c>
      <c r="U159" s="330">
        <f t="shared" si="39"/>
        <v>0</v>
      </c>
      <c r="V159" s="330">
        <f t="shared" si="39"/>
        <v>0</v>
      </c>
      <c r="W159" s="330">
        <f t="shared" si="39"/>
        <v>0</v>
      </c>
      <c r="X159" s="330">
        <f t="shared" si="39"/>
        <v>0</v>
      </c>
      <c r="Y159" s="330">
        <f t="shared" si="39"/>
        <v>0</v>
      </c>
      <c r="Z159" s="330">
        <f t="shared" si="39"/>
        <v>0</v>
      </c>
      <c r="AA159" s="330">
        <f t="shared" si="39"/>
        <v>0</v>
      </c>
      <c r="AB159" s="330">
        <f t="shared" si="39"/>
        <v>0</v>
      </c>
      <c r="AC159" s="330">
        <f t="shared" si="39"/>
        <v>0</v>
      </c>
      <c r="AD159" s="330">
        <f t="shared" si="39"/>
        <v>0</v>
      </c>
      <c r="AE159" s="330">
        <f t="shared" si="39"/>
        <v>0</v>
      </c>
      <c r="AF159" s="330">
        <f t="shared" si="39"/>
        <v>0</v>
      </c>
      <c r="AG159" s="95">
        <f t="shared" si="38"/>
        <v>0</v>
      </c>
    </row>
    <row r="160" outlineLevel="1">
      <c r="A160" s="100"/>
      <c r="B160" s="130"/>
      <c r="C160" s="130"/>
      <c r="D160" s="130"/>
      <c r="E160" s="130"/>
      <c r="F160" s="130"/>
      <c r="G160" s="130"/>
      <c r="H160" s="130"/>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397"/>
    </row>
    <row r="161" outlineLevel="1">
      <c r="A161" s="141" t="s">
        <v>708</v>
      </c>
      <c r="B161" s="130"/>
      <c r="C161" s="130"/>
      <c r="D161" s="130"/>
      <c r="E161" s="130"/>
      <c r="F161" s="130"/>
      <c r="G161" s="199"/>
      <c r="H161" s="130"/>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406"/>
    </row>
    <row r="162" outlineLevel="1">
      <c r="A162" s="213" t="s">
        <v>655</v>
      </c>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95">
        <f t="shared" ref="AG162:AG165" si="40">SUM(B162:AF162)</f>
        <v>0</v>
      </c>
    </row>
    <row r="163" outlineLevel="1">
      <c r="A163" s="213" t="s">
        <v>482</v>
      </c>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95">
        <f t="shared" si="40"/>
        <v>0</v>
      </c>
    </row>
    <row r="164" outlineLevel="1">
      <c r="A164" s="213" t="s">
        <v>656</v>
      </c>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95">
        <f t="shared" si="40"/>
        <v>0</v>
      </c>
    </row>
    <row r="165" outlineLevel="1">
      <c r="A165" s="350" t="s">
        <v>657</v>
      </c>
      <c r="B165" s="337">
        <f t="shared" ref="B165:AF165" si="41">SUM(B162:B164)</f>
        <v>0</v>
      </c>
      <c r="C165" s="337">
        <f t="shared" si="41"/>
        <v>0</v>
      </c>
      <c r="D165" s="337">
        <f t="shared" si="41"/>
        <v>0</v>
      </c>
      <c r="E165" s="337">
        <f t="shared" si="41"/>
        <v>0</v>
      </c>
      <c r="F165" s="337">
        <f t="shared" si="41"/>
        <v>0</v>
      </c>
      <c r="G165" s="337">
        <f t="shared" si="41"/>
        <v>0</v>
      </c>
      <c r="H165" s="337">
        <f t="shared" si="41"/>
        <v>0</v>
      </c>
      <c r="I165" s="337">
        <f t="shared" si="41"/>
        <v>0</v>
      </c>
      <c r="J165" s="337">
        <f t="shared" si="41"/>
        <v>0</v>
      </c>
      <c r="K165" s="337">
        <f t="shared" si="41"/>
        <v>0</v>
      </c>
      <c r="L165" s="337">
        <f t="shared" si="41"/>
        <v>0</v>
      </c>
      <c r="M165" s="337">
        <f t="shared" si="41"/>
        <v>0</v>
      </c>
      <c r="N165" s="337">
        <f t="shared" si="41"/>
        <v>0</v>
      </c>
      <c r="O165" s="337">
        <f t="shared" si="41"/>
        <v>0</v>
      </c>
      <c r="P165" s="337">
        <f t="shared" si="41"/>
        <v>0</v>
      </c>
      <c r="Q165" s="337">
        <f t="shared" si="41"/>
        <v>0</v>
      </c>
      <c r="R165" s="337">
        <f t="shared" si="41"/>
        <v>0</v>
      </c>
      <c r="S165" s="337">
        <f t="shared" si="41"/>
        <v>0</v>
      </c>
      <c r="T165" s="337">
        <f t="shared" si="41"/>
        <v>0</v>
      </c>
      <c r="U165" s="337">
        <f t="shared" si="41"/>
        <v>0</v>
      </c>
      <c r="V165" s="337">
        <f t="shared" si="41"/>
        <v>0</v>
      </c>
      <c r="W165" s="337">
        <f t="shared" si="41"/>
        <v>0</v>
      </c>
      <c r="X165" s="337">
        <f t="shared" si="41"/>
        <v>0</v>
      </c>
      <c r="Y165" s="337">
        <f t="shared" si="41"/>
        <v>0</v>
      </c>
      <c r="Z165" s="337">
        <f t="shared" si="41"/>
        <v>0</v>
      </c>
      <c r="AA165" s="337">
        <f t="shared" si="41"/>
        <v>0</v>
      </c>
      <c r="AB165" s="337">
        <f t="shared" si="41"/>
        <v>0</v>
      </c>
      <c r="AC165" s="337">
        <f t="shared" si="41"/>
        <v>0</v>
      </c>
      <c r="AD165" s="337">
        <f t="shared" si="41"/>
        <v>0</v>
      </c>
      <c r="AE165" s="337">
        <f t="shared" si="41"/>
        <v>0</v>
      </c>
      <c r="AF165" s="337">
        <f t="shared" si="41"/>
        <v>0</v>
      </c>
      <c r="AG165" s="95">
        <f t="shared" si="40"/>
        <v>0</v>
      </c>
    </row>
    <row r="166" outlineLevel="1">
      <c r="A166" s="100"/>
      <c r="B166" s="130"/>
      <c r="C166" s="130"/>
      <c r="D166" s="130"/>
      <c r="E166" s="130"/>
      <c r="F166" s="130"/>
      <c r="G166" s="130"/>
      <c r="H166" s="130"/>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397"/>
    </row>
    <row r="167" outlineLevel="1">
      <c r="A167" s="427" t="s">
        <v>307</v>
      </c>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95">
        <f t="shared" ref="AG167:AG169" si="42">SUM(B167:AF167)</f>
        <v>0</v>
      </c>
    </row>
    <row r="168" outlineLevel="1">
      <c r="A168" s="410" t="s">
        <v>308</v>
      </c>
      <c r="B168" s="99"/>
      <c r="C168" s="99"/>
      <c r="D168" s="99"/>
      <c r="E168" s="99"/>
      <c r="F168" s="99"/>
      <c r="G168" s="313"/>
      <c r="H168" s="313"/>
      <c r="I168" s="313"/>
      <c r="J168" s="313"/>
      <c r="K168" s="99"/>
      <c r="L168" s="313"/>
      <c r="M168" s="313"/>
      <c r="N168" s="313"/>
      <c r="O168" s="313"/>
      <c r="P168" s="313"/>
      <c r="Q168" s="313"/>
      <c r="R168" s="313"/>
      <c r="S168" s="313"/>
      <c r="T168" s="313"/>
      <c r="U168" s="313"/>
      <c r="V168" s="313"/>
      <c r="W168" s="313"/>
      <c r="X168" s="313"/>
      <c r="Y168" s="313"/>
      <c r="Z168" s="313"/>
      <c r="AA168" s="313"/>
      <c r="AB168" s="313"/>
      <c r="AC168" s="313"/>
      <c r="AD168" s="313"/>
      <c r="AE168" s="313"/>
      <c r="AF168" s="313"/>
      <c r="AG168" s="95">
        <f t="shared" si="42"/>
        <v>0</v>
      </c>
    </row>
    <row r="169" outlineLevel="1">
      <c r="A169" s="411" t="s">
        <v>658</v>
      </c>
      <c r="B169" s="412">
        <f t="shared" ref="B169:AF169" si="43">sum(B167:B168)</f>
        <v>0</v>
      </c>
      <c r="C169" s="412">
        <f t="shared" si="43"/>
        <v>0</v>
      </c>
      <c r="D169" s="412">
        <f t="shared" si="43"/>
        <v>0</v>
      </c>
      <c r="E169" s="412">
        <f t="shared" si="43"/>
        <v>0</v>
      </c>
      <c r="F169" s="412">
        <f t="shared" si="43"/>
        <v>0</v>
      </c>
      <c r="G169" s="412">
        <f t="shared" si="43"/>
        <v>0</v>
      </c>
      <c r="H169" s="412">
        <f t="shared" si="43"/>
        <v>0</v>
      </c>
      <c r="I169" s="412">
        <f t="shared" si="43"/>
        <v>0</v>
      </c>
      <c r="J169" s="412">
        <f t="shared" si="43"/>
        <v>0</v>
      </c>
      <c r="K169" s="412">
        <f t="shared" si="43"/>
        <v>0</v>
      </c>
      <c r="L169" s="412">
        <f t="shared" si="43"/>
        <v>0</v>
      </c>
      <c r="M169" s="412">
        <f t="shared" si="43"/>
        <v>0</v>
      </c>
      <c r="N169" s="412">
        <f t="shared" si="43"/>
        <v>0</v>
      </c>
      <c r="O169" s="412">
        <f t="shared" si="43"/>
        <v>0</v>
      </c>
      <c r="P169" s="412">
        <f t="shared" si="43"/>
        <v>0</v>
      </c>
      <c r="Q169" s="412">
        <f t="shared" si="43"/>
        <v>0</v>
      </c>
      <c r="R169" s="412">
        <f t="shared" si="43"/>
        <v>0</v>
      </c>
      <c r="S169" s="412">
        <f t="shared" si="43"/>
        <v>0</v>
      </c>
      <c r="T169" s="412">
        <f t="shared" si="43"/>
        <v>0</v>
      </c>
      <c r="U169" s="412">
        <f t="shared" si="43"/>
        <v>0</v>
      </c>
      <c r="V169" s="412">
        <f t="shared" si="43"/>
        <v>0</v>
      </c>
      <c r="W169" s="412">
        <f t="shared" si="43"/>
        <v>0</v>
      </c>
      <c r="X169" s="412">
        <f t="shared" si="43"/>
        <v>0</v>
      </c>
      <c r="Y169" s="412">
        <f t="shared" si="43"/>
        <v>0</v>
      </c>
      <c r="Z169" s="412">
        <f t="shared" si="43"/>
        <v>0</v>
      </c>
      <c r="AA169" s="412">
        <f t="shared" si="43"/>
        <v>0</v>
      </c>
      <c r="AB169" s="412">
        <f t="shared" si="43"/>
        <v>0</v>
      </c>
      <c r="AC169" s="412">
        <f t="shared" si="43"/>
        <v>0</v>
      </c>
      <c r="AD169" s="412">
        <f t="shared" si="43"/>
        <v>0</v>
      </c>
      <c r="AE169" s="412">
        <f t="shared" si="43"/>
        <v>0</v>
      </c>
      <c r="AF169" s="412">
        <f t="shared" si="43"/>
        <v>0</v>
      </c>
      <c r="AG169" s="95">
        <f t="shared" si="42"/>
        <v>0</v>
      </c>
    </row>
    <row r="170" outlineLevel="1">
      <c r="A170" s="100"/>
      <c r="B170" s="130"/>
      <c r="C170" s="130"/>
      <c r="D170" s="130"/>
      <c r="E170" s="130"/>
      <c r="F170" s="130"/>
      <c r="G170" s="130"/>
      <c r="H170" s="130"/>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397"/>
    </row>
    <row r="171" outlineLevel="1">
      <c r="A171" s="413" t="s">
        <v>709</v>
      </c>
      <c r="B171" s="414"/>
      <c r="C171" s="414"/>
      <c r="D171" s="414"/>
      <c r="E171" s="414"/>
      <c r="F171" s="414"/>
      <c r="G171" s="414"/>
      <c r="H171" s="414"/>
      <c r="I171" s="414"/>
      <c r="J171" s="414"/>
      <c r="K171" s="414"/>
      <c r="L171" s="414"/>
      <c r="M171" s="414"/>
      <c r="N171" s="414"/>
      <c r="O171" s="414"/>
      <c r="P171" s="414"/>
      <c r="Q171" s="414"/>
      <c r="R171" s="414"/>
      <c r="S171" s="414"/>
      <c r="T171" s="415"/>
      <c r="U171" s="415"/>
      <c r="V171" s="415"/>
      <c r="W171" s="415"/>
      <c r="X171" s="415"/>
      <c r="Y171" s="415"/>
      <c r="Z171" s="415"/>
      <c r="AA171" s="415"/>
      <c r="AB171" s="415"/>
      <c r="AC171" s="415"/>
      <c r="AD171" s="415"/>
      <c r="AE171" s="222"/>
      <c r="AF171" s="222"/>
      <c r="AG171" s="408"/>
    </row>
    <row r="172" outlineLevel="1">
      <c r="A172" s="213" t="s">
        <v>710</v>
      </c>
      <c r="B172" s="428"/>
      <c r="C172" s="428"/>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c r="AA172" s="428"/>
      <c r="AB172" s="428"/>
      <c r="AC172" s="428"/>
      <c r="AD172" s="428"/>
      <c r="AE172" s="428"/>
      <c r="AF172" s="428"/>
      <c r="AG172" s="95">
        <f t="shared" ref="AG172:AG177" si="44">SUM(B172:AF172)</f>
        <v>0</v>
      </c>
    </row>
    <row r="173" outlineLevel="1">
      <c r="A173" s="213" t="s">
        <v>711</v>
      </c>
      <c r="B173" s="428"/>
      <c r="C173" s="428"/>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c r="AA173" s="428"/>
      <c r="AB173" s="428"/>
      <c r="AC173" s="428"/>
      <c r="AD173" s="428"/>
      <c r="AE173" s="428"/>
      <c r="AF173" s="428"/>
      <c r="AG173" s="95">
        <f t="shared" si="44"/>
        <v>0</v>
      </c>
    </row>
    <row r="174" outlineLevel="1">
      <c r="A174" s="213" t="s">
        <v>712</v>
      </c>
      <c r="B174" s="428"/>
      <c r="C174" s="428"/>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c r="AA174" s="428"/>
      <c r="AB174" s="428"/>
      <c r="AC174" s="428"/>
      <c r="AD174" s="428"/>
      <c r="AE174" s="428"/>
      <c r="AF174" s="428"/>
      <c r="AG174" s="95">
        <f t="shared" si="44"/>
        <v>0</v>
      </c>
    </row>
    <row r="175" outlineLevel="1">
      <c r="A175" s="213" t="s">
        <v>713</v>
      </c>
      <c r="B175" s="428"/>
      <c r="C175" s="428"/>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c r="AA175" s="428"/>
      <c r="AB175" s="428"/>
      <c r="AC175" s="428"/>
      <c r="AD175" s="428"/>
      <c r="AE175" s="428"/>
      <c r="AF175" s="428"/>
      <c r="AG175" s="95">
        <f t="shared" si="44"/>
        <v>0</v>
      </c>
    </row>
    <row r="176" outlineLevel="1">
      <c r="A176" s="215" t="s">
        <v>221</v>
      </c>
      <c r="B176" s="330">
        <f t="shared" ref="B176:AF176" si="45">SUM(B172:B173)</f>
        <v>0</v>
      </c>
      <c r="C176" s="330">
        <f t="shared" si="45"/>
        <v>0</v>
      </c>
      <c r="D176" s="330">
        <f t="shared" si="45"/>
        <v>0</v>
      </c>
      <c r="E176" s="330">
        <f t="shared" si="45"/>
        <v>0</v>
      </c>
      <c r="F176" s="330">
        <f t="shared" si="45"/>
        <v>0</v>
      </c>
      <c r="G176" s="330">
        <f t="shared" si="45"/>
        <v>0</v>
      </c>
      <c r="H176" s="330">
        <f t="shared" si="45"/>
        <v>0</v>
      </c>
      <c r="I176" s="330">
        <f t="shared" si="45"/>
        <v>0</v>
      </c>
      <c r="J176" s="330">
        <f t="shared" si="45"/>
        <v>0</v>
      </c>
      <c r="K176" s="330">
        <f t="shared" si="45"/>
        <v>0</v>
      </c>
      <c r="L176" s="330">
        <f t="shared" si="45"/>
        <v>0</v>
      </c>
      <c r="M176" s="330">
        <f t="shared" si="45"/>
        <v>0</v>
      </c>
      <c r="N176" s="330">
        <f t="shared" si="45"/>
        <v>0</v>
      </c>
      <c r="O176" s="330">
        <f t="shared" si="45"/>
        <v>0</v>
      </c>
      <c r="P176" s="330">
        <f t="shared" si="45"/>
        <v>0</v>
      </c>
      <c r="Q176" s="330">
        <f t="shared" si="45"/>
        <v>0</v>
      </c>
      <c r="R176" s="330">
        <f t="shared" si="45"/>
        <v>0</v>
      </c>
      <c r="S176" s="330">
        <f t="shared" si="45"/>
        <v>0</v>
      </c>
      <c r="T176" s="330">
        <f t="shared" si="45"/>
        <v>0</v>
      </c>
      <c r="U176" s="330">
        <f t="shared" si="45"/>
        <v>0</v>
      </c>
      <c r="V176" s="330">
        <f t="shared" si="45"/>
        <v>0</v>
      </c>
      <c r="W176" s="330">
        <f t="shared" si="45"/>
        <v>0</v>
      </c>
      <c r="X176" s="330">
        <f t="shared" si="45"/>
        <v>0</v>
      </c>
      <c r="Y176" s="330">
        <f t="shared" si="45"/>
        <v>0</v>
      </c>
      <c r="Z176" s="330">
        <f t="shared" si="45"/>
        <v>0</v>
      </c>
      <c r="AA176" s="330">
        <f t="shared" si="45"/>
        <v>0</v>
      </c>
      <c r="AB176" s="330">
        <f t="shared" si="45"/>
        <v>0</v>
      </c>
      <c r="AC176" s="330">
        <f t="shared" si="45"/>
        <v>0</v>
      </c>
      <c r="AD176" s="330">
        <f t="shared" si="45"/>
        <v>0</v>
      </c>
      <c r="AE176" s="330">
        <f t="shared" si="45"/>
        <v>0</v>
      </c>
      <c r="AF176" s="330">
        <f t="shared" si="45"/>
        <v>0</v>
      </c>
      <c r="AG176" s="95">
        <f t="shared" si="44"/>
        <v>0</v>
      </c>
    </row>
    <row r="177" outlineLevel="1">
      <c r="A177" s="215" t="s">
        <v>222</v>
      </c>
      <c r="B177" s="330">
        <f t="shared" ref="B177:AF177" si="46">SUM(B174:B175)</f>
        <v>0</v>
      </c>
      <c r="C177" s="330">
        <f t="shared" si="46"/>
        <v>0</v>
      </c>
      <c r="D177" s="330">
        <f t="shared" si="46"/>
        <v>0</v>
      </c>
      <c r="E177" s="330">
        <f t="shared" si="46"/>
        <v>0</v>
      </c>
      <c r="F177" s="330">
        <f t="shared" si="46"/>
        <v>0</v>
      </c>
      <c r="G177" s="330">
        <f t="shared" si="46"/>
        <v>0</v>
      </c>
      <c r="H177" s="330">
        <f t="shared" si="46"/>
        <v>0</v>
      </c>
      <c r="I177" s="330">
        <f t="shared" si="46"/>
        <v>0</v>
      </c>
      <c r="J177" s="330">
        <f t="shared" si="46"/>
        <v>0</v>
      </c>
      <c r="K177" s="330">
        <f t="shared" si="46"/>
        <v>0</v>
      </c>
      <c r="L177" s="330">
        <f t="shared" si="46"/>
        <v>0</v>
      </c>
      <c r="M177" s="330">
        <f t="shared" si="46"/>
        <v>0</v>
      </c>
      <c r="N177" s="330">
        <f t="shared" si="46"/>
        <v>0</v>
      </c>
      <c r="O177" s="330">
        <f t="shared" si="46"/>
        <v>0</v>
      </c>
      <c r="P177" s="330">
        <f t="shared" si="46"/>
        <v>0</v>
      </c>
      <c r="Q177" s="330">
        <f t="shared" si="46"/>
        <v>0</v>
      </c>
      <c r="R177" s="330">
        <f t="shared" si="46"/>
        <v>0</v>
      </c>
      <c r="S177" s="330">
        <f t="shared" si="46"/>
        <v>0</v>
      </c>
      <c r="T177" s="330">
        <f t="shared" si="46"/>
        <v>0</v>
      </c>
      <c r="U177" s="330">
        <f t="shared" si="46"/>
        <v>0</v>
      </c>
      <c r="V177" s="330">
        <f t="shared" si="46"/>
        <v>0</v>
      </c>
      <c r="W177" s="330">
        <f t="shared" si="46"/>
        <v>0</v>
      </c>
      <c r="X177" s="330">
        <f t="shared" si="46"/>
        <v>0</v>
      </c>
      <c r="Y177" s="330">
        <f t="shared" si="46"/>
        <v>0</v>
      </c>
      <c r="Z177" s="330">
        <f t="shared" si="46"/>
        <v>0</v>
      </c>
      <c r="AA177" s="330">
        <f t="shared" si="46"/>
        <v>0</v>
      </c>
      <c r="AB177" s="330">
        <f t="shared" si="46"/>
        <v>0</v>
      </c>
      <c r="AC177" s="330">
        <f t="shared" si="46"/>
        <v>0</v>
      </c>
      <c r="AD177" s="330">
        <f t="shared" si="46"/>
        <v>0</v>
      </c>
      <c r="AE177" s="330">
        <f t="shared" si="46"/>
        <v>0</v>
      </c>
      <c r="AF177" s="330">
        <f t="shared" si="46"/>
        <v>0</v>
      </c>
      <c r="AG177" s="95">
        <f t="shared" si="44"/>
        <v>0</v>
      </c>
    </row>
    <row r="178" outlineLevel="1">
      <c r="A178" s="100"/>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c r="AB178" s="181"/>
      <c r="AC178" s="181"/>
      <c r="AD178" s="181"/>
      <c r="AE178" s="181"/>
      <c r="AF178" s="181"/>
      <c r="AG178" s="408"/>
    </row>
    <row r="179" outlineLevel="1">
      <c r="A179" s="213" t="s">
        <v>224</v>
      </c>
      <c r="B179" s="428"/>
      <c r="C179" s="428"/>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c r="AA179" s="428"/>
      <c r="AB179" s="428"/>
      <c r="AC179" s="428"/>
      <c r="AD179" s="428"/>
      <c r="AE179" s="428"/>
      <c r="AF179" s="428"/>
      <c r="AG179" s="95">
        <f t="shared" ref="AG179:AG187" si="47">SUM(B179:AF179)</f>
        <v>0</v>
      </c>
    </row>
    <row r="180" outlineLevel="1">
      <c r="A180" s="213" t="s">
        <v>225</v>
      </c>
      <c r="B180" s="428"/>
      <c r="C180" s="428"/>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c r="AA180" s="428"/>
      <c r="AB180" s="428"/>
      <c r="AC180" s="428"/>
      <c r="AD180" s="428"/>
      <c r="AE180" s="428"/>
      <c r="AF180" s="428"/>
      <c r="AG180" s="95">
        <f t="shared" si="47"/>
        <v>0</v>
      </c>
    </row>
    <row r="181" outlineLevel="1">
      <c r="A181" s="213" t="s">
        <v>714</v>
      </c>
      <c r="B181" s="428"/>
      <c r="C181" s="428"/>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c r="AA181" s="428"/>
      <c r="AB181" s="428"/>
      <c r="AC181" s="428"/>
      <c r="AD181" s="428"/>
      <c r="AE181" s="428"/>
      <c r="AF181" s="428"/>
      <c r="AG181" s="95">
        <f t="shared" si="47"/>
        <v>0</v>
      </c>
    </row>
    <row r="182" outlineLevel="1">
      <c r="A182" s="213" t="s">
        <v>715</v>
      </c>
      <c r="B182" s="428"/>
      <c r="C182" s="428"/>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c r="AA182" s="428"/>
      <c r="AB182" s="428"/>
      <c r="AC182" s="428"/>
      <c r="AD182" s="428"/>
      <c r="AE182" s="428"/>
      <c r="AF182" s="428"/>
      <c r="AG182" s="95">
        <f t="shared" si="47"/>
        <v>0</v>
      </c>
    </row>
    <row r="183" outlineLevel="1">
      <c r="A183" s="213" t="s">
        <v>716</v>
      </c>
      <c r="B183" s="428"/>
      <c r="C183" s="428"/>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c r="AD183" s="428"/>
      <c r="AE183" s="428"/>
      <c r="AF183" s="428"/>
      <c r="AG183" s="95">
        <f t="shared" si="47"/>
        <v>0</v>
      </c>
    </row>
    <row r="184" outlineLevel="1">
      <c r="A184" s="213" t="s">
        <v>717</v>
      </c>
      <c r="B184" s="428"/>
      <c r="C184" s="428"/>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c r="AD184" s="428"/>
      <c r="AE184" s="428"/>
      <c r="AF184" s="428"/>
      <c r="AG184" s="95">
        <f t="shared" si="47"/>
        <v>0</v>
      </c>
    </row>
    <row r="185" outlineLevel="1">
      <c r="A185" s="213" t="s">
        <v>718</v>
      </c>
      <c r="B185" s="428"/>
      <c r="C185" s="428"/>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c r="AD185" s="428"/>
      <c r="AE185" s="428"/>
      <c r="AF185" s="428"/>
      <c r="AG185" s="95">
        <f t="shared" si="47"/>
        <v>0</v>
      </c>
    </row>
    <row r="186" outlineLevel="1">
      <c r="A186" s="213" t="s">
        <v>719</v>
      </c>
      <c r="B186" s="428"/>
      <c r="C186" s="428"/>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c r="AD186" s="428"/>
      <c r="AE186" s="428"/>
      <c r="AF186" s="428"/>
      <c r="AG186" s="95">
        <f t="shared" si="47"/>
        <v>0</v>
      </c>
    </row>
    <row r="187" outlineLevel="1">
      <c r="A187" s="217" t="s">
        <v>141</v>
      </c>
      <c r="B187" s="330">
        <f t="shared" ref="B187:AF187" si="48">SUM(B179:B186)</f>
        <v>0</v>
      </c>
      <c r="C187" s="330">
        <f t="shared" si="48"/>
        <v>0</v>
      </c>
      <c r="D187" s="330">
        <f t="shared" si="48"/>
        <v>0</v>
      </c>
      <c r="E187" s="330">
        <f t="shared" si="48"/>
        <v>0</v>
      </c>
      <c r="F187" s="330">
        <f t="shared" si="48"/>
        <v>0</v>
      </c>
      <c r="G187" s="330">
        <f t="shared" si="48"/>
        <v>0</v>
      </c>
      <c r="H187" s="330">
        <f t="shared" si="48"/>
        <v>0</v>
      </c>
      <c r="I187" s="330">
        <f t="shared" si="48"/>
        <v>0</v>
      </c>
      <c r="J187" s="330">
        <f t="shared" si="48"/>
        <v>0</v>
      </c>
      <c r="K187" s="330">
        <f t="shared" si="48"/>
        <v>0</v>
      </c>
      <c r="L187" s="330">
        <f t="shared" si="48"/>
        <v>0</v>
      </c>
      <c r="M187" s="330">
        <f t="shared" si="48"/>
        <v>0</v>
      </c>
      <c r="N187" s="330">
        <f t="shared" si="48"/>
        <v>0</v>
      </c>
      <c r="O187" s="330">
        <f t="shared" si="48"/>
        <v>0</v>
      </c>
      <c r="P187" s="330">
        <f t="shared" si="48"/>
        <v>0</v>
      </c>
      <c r="Q187" s="330">
        <f t="shared" si="48"/>
        <v>0</v>
      </c>
      <c r="R187" s="330">
        <f t="shared" si="48"/>
        <v>0</v>
      </c>
      <c r="S187" s="330">
        <f t="shared" si="48"/>
        <v>0</v>
      </c>
      <c r="T187" s="330">
        <f t="shared" si="48"/>
        <v>0</v>
      </c>
      <c r="U187" s="330">
        <f t="shared" si="48"/>
        <v>0</v>
      </c>
      <c r="V187" s="330">
        <f t="shared" si="48"/>
        <v>0</v>
      </c>
      <c r="W187" s="330">
        <f t="shared" si="48"/>
        <v>0</v>
      </c>
      <c r="X187" s="330">
        <f t="shared" si="48"/>
        <v>0</v>
      </c>
      <c r="Y187" s="330">
        <f t="shared" si="48"/>
        <v>0</v>
      </c>
      <c r="Z187" s="330">
        <f t="shared" si="48"/>
        <v>0</v>
      </c>
      <c r="AA187" s="330">
        <f t="shared" si="48"/>
        <v>0</v>
      </c>
      <c r="AB187" s="330">
        <f t="shared" si="48"/>
        <v>0</v>
      </c>
      <c r="AC187" s="330">
        <f t="shared" si="48"/>
        <v>0</v>
      </c>
      <c r="AD187" s="330">
        <f t="shared" si="48"/>
        <v>0</v>
      </c>
      <c r="AE187" s="330">
        <f t="shared" si="48"/>
        <v>0</v>
      </c>
      <c r="AF187" s="330">
        <f t="shared" si="48"/>
        <v>0</v>
      </c>
      <c r="AG187" s="95">
        <f t="shared" si="47"/>
        <v>0</v>
      </c>
    </row>
    <row r="188" outlineLevel="1">
      <c r="A188" s="172"/>
      <c r="AG188" s="406"/>
    </row>
    <row r="189" outlineLevel="1">
      <c r="A189" s="141" t="s">
        <v>720</v>
      </c>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c r="AB189" s="181"/>
      <c r="AC189" s="181"/>
      <c r="AD189" s="181"/>
      <c r="AE189" s="181"/>
      <c r="AF189" s="181"/>
      <c r="AG189" s="397"/>
    </row>
    <row r="190" outlineLevel="1">
      <c r="A190" s="213" t="s">
        <v>655</v>
      </c>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95">
        <f t="shared" ref="AG190:AG193" si="49">SUM(B190:AF190)</f>
        <v>0</v>
      </c>
    </row>
    <row r="191" outlineLevel="1">
      <c r="A191" s="213" t="s">
        <v>482</v>
      </c>
      <c r="B191" s="99"/>
      <c r="C191" s="99"/>
      <c r="D191" s="99"/>
      <c r="E191" s="99"/>
      <c r="F191" s="99"/>
      <c r="G191" s="313"/>
      <c r="H191" s="313"/>
      <c r="I191" s="313"/>
      <c r="J191" s="313"/>
      <c r="K191" s="99"/>
      <c r="L191" s="313"/>
      <c r="M191" s="313"/>
      <c r="N191" s="313"/>
      <c r="O191" s="313"/>
      <c r="P191" s="313"/>
      <c r="Q191" s="313"/>
      <c r="R191" s="313"/>
      <c r="S191" s="313"/>
      <c r="T191" s="313"/>
      <c r="U191" s="313"/>
      <c r="V191" s="313"/>
      <c r="W191" s="313"/>
      <c r="X191" s="313"/>
      <c r="Y191" s="313"/>
      <c r="Z191" s="313"/>
      <c r="AA191" s="313"/>
      <c r="AB191" s="313"/>
      <c r="AC191" s="313"/>
      <c r="AD191" s="313"/>
      <c r="AE191" s="313"/>
      <c r="AF191" s="313"/>
      <c r="AG191" s="95">
        <f t="shared" si="49"/>
        <v>0</v>
      </c>
    </row>
    <row r="192" outlineLevel="1">
      <c r="A192" s="213" t="s">
        <v>656</v>
      </c>
      <c r="B192" s="99"/>
      <c r="C192" s="99"/>
      <c r="D192" s="99"/>
      <c r="E192" s="99"/>
      <c r="F192" s="99"/>
      <c r="G192" s="313"/>
      <c r="H192" s="313"/>
      <c r="I192" s="313"/>
      <c r="J192" s="313"/>
      <c r="K192" s="99"/>
      <c r="L192" s="313"/>
      <c r="M192" s="313"/>
      <c r="N192" s="313"/>
      <c r="O192" s="313"/>
      <c r="P192" s="313"/>
      <c r="Q192" s="313"/>
      <c r="R192" s="313"/>
      <c r="S192" s="313"/>
      <c r="T192" s="313"/>
      <c r="U192" s="313"/>
      <c r="V192" s="313"/>
      <c r="W192" s="313"/>
      <c r="X192" s="313"/>
      <c r="Y192" s="313"/>
      <c r="Z192" s="313"/>
      <c r="AA192" s="313"/>
      <c r="AB192" s="313"/>
      <c r="AC192" s="313"/>
      <c r="AD192" s="313"/>
      <c r="AE192" s="313"/>
      <c r="AF192" s="313"/>
      <c r="AG192" s="95">
        <f t="shared" si="49"/>
        <v>0</v>
      </c>
    </row>
    <row r="193" outlineLevel="1">
      <c r="A193" s="411" t="s">
        <v>657</v>
      </c>
      <c r="B193" s="412">
        <f t="shared" ref="B193:AF193" si="50">sum(B190:B192)</f>
        <v>0</v>
      </c>
      <c r="C193" s="412">
        <f t="shared" si="50"/>
        <v>0</v>
      </c>
      <c r="D193" s="412">
        <f t="shared" si="50"/>
        <v>0</v>
      </c>
      <c r="E193" s="412">
        <f t="shared" si="50"/>
        <v>0</v>
      </c>
      <c r="F193" s="412">
        <f t="shared" si="50"/>
        <v>0</v>
      </c>
      <c r="G193" s="412">
        <f t="shared" si="50"/>
        <v>0</v>
      </c>
      <c r="H193" s="412">
        <f t="shared" si="50"/>
        <v>0</v>
      </c>
      <c r="I193" s="412">
        <f t="shared" si="50"/>
        <v>0</v>
      </c>
      <c r="J193" s="412">
        <f t="shared" si="50"/>
        <v>0</v>
      </c>
      <c r="K193" s="412">
        <f t="shared" si="50"/>
        <v>0</v>
      </c>
      <c r="L193" s="412">
        <f t="shared" si="50"/>
        <v>0</v>
      </c>
      <c r="M193" s="412">
        <f t="shared" si="50"/>
        <v>0</v>
      </c>
      <c r="N193" s="412">
        <f t="shared" si="50"/>
        <v>0</v>
      </c>
      <c r="O193" s="412">
        <f t="shared" si="50"/>
        <v>0</v>
      </c>
      <c r="P193" s="412">
        <f t="shared" si="50"/>
        <v>0</v>
      </c>
      <c r="Q193" s="412">
        <f t="shared" si="50"/>
        <v>0</v>
      </c>
      <c r="R193" s="412">
        <f t="shared" si="50"/>
        <v>0</v>
      </c>
      <c r="S193" s="412">
        <f t="shared" si="50"/>
        <v>0</v>
      </c>
      <c r="T193" s="412">
        <f t="shared" si="50"/>
        <v>0</v>
      </c>
      <c r="U193" s="412">
        <f t="shared" si="50"/>
        <v>0</v>
      </c>
      <c r="V193" s="412">
        <f t="shared" si="50"/>
        <v>0</v>
      </c>
      <c r="W193" s="412">
        <f t="shared" si="50"/>
        <v>0</v>
      </c>
      <c r="X193" s="412">
        <f t="shared" si="50"/>
        <v>0</v>
      </c>
      <c r="Y193" s="412">
        <f t="shared" si="50"/>
        <v>0</v>
      </c>
      <c r="Z193" s="412">
        <f t="shared" si="50"/>
        <v>0</v>
      </c>
      <c r="AA193" s="412">
        <f t="shared" si="50"/>
        <v>0</v>
      </c>
      <c r="AB193" s="412">
        <f t="shared" si="50"/>
        <v>0</v>
      </c>
      <c r="AC193" s="412">
        <f t="shared" si="50"/>
        <v>0</v>
      </c>
      <c r="AD193" s="412">
        <f t="shared" si="50"/>
        <v>0</v>
      </c>
      <c r="AE193" s="412">
        <f t="shared" si="50"/>
        <v>0</v>
      </c>
      <c r="AF193" s="412">
        <f t="shared" si="50"/>
        <v>0</v>
      </c>
      <c r="AG193" s="95">
        <f t="shared" si="49"/>
        <v>0</v>
      </c>
    </row>
    <row r="194" outlineLevel="1">
      <c r="A194" s="172"/>
      <c r="AG194" s="406"/>
    </row>
    <row r="195" outlineLevel="1">
      <c r="A195" s="427" t="s">
        <v>307</v>
      </c>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95">
        <f t="shared" ref="AG195:AG197" si="51">SUM(B195:AF195)</f>
        <v>0</v>
      </c>
    </row>
    <row r="196" outlineLevel="1">
      <c r="A196" s="410" t="s">
        <v>308</v>
      </c>
      <c r="B196" s="99"/>
      <c r="C196" s="99"/>
      <c r="D196" s="99"/>
      <c r="E196" s="99"/>
      <c r="F196" s="99"/>
      <c r="G196" s="313"/>
      <c r="H196" s="313"/>
      <c r="I196" s="313"/>
      <c r="J196" s="313"/>
      <c r="K196" s="99"/>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95">
        <f t="shared" si="51"/>
        <v>0</v>
      </c>
    </row>
    <row r="197" outlineLevel="1">
      <c r="A197" s="411" t="s">
        <v>658</v>
      </c>
      <c r="B197" s="412">
        <f t="shared" ref="B197:AF197" si="52">sum(B195:B196)</f>
        <v>0</v>
      </c>
      <c r="C197" s="412">
        <f t="shared" si="52"/>
        <v>0</v>
      </c>
      <c r="D197" s="412">
        <f t="shared" si="52"/>
        <v>0</v>
      </c>
      <c r="E197" s="412">
        <f t="shared" si="52"/>
        <v>0</v>
      </c>
      <c r="F197" s="412">
        <f t="shared" si="52"/>
        <v>0</v>
      </c>
      <c r="G197" s="412">
        <f t="shared" si="52"/>
        <v>0</v>
      </c>
      <c r="H197" s="412">
        <f t="shared" si="52"/>
        <v>0</v>
      </c>
      <c r="I197" s="412">
        <f t="shared" si="52"/>
        <v>0</v>
      </c>
      <c r="J197" s="412">
        <f t="shared" si="52"/>
        <v>0</v>
      </c>
      <c r="K197" s="412">
        <f t="shared" si="52"/>
        <v>0</v>
      </c>
      <c r="L197" s="412">
        <f t="shared" si="52"/>
        <v>0</v>
      </c>
      <c r="M197" s="412">
        <f t="shared" si="52"/>
        <v>0</v>
      </c>
      <c r="N197" s="412">
        <f t="shared" si="52"/>
        <v>0</v>
      </c>
      <c r="O197" s="412">
        <f t="shared" si="52"/>
        <v>0</v>
      </c>
      <c r="P197" s="412">
        <f t="shared" si="52"/>
        <v>0</v>
      </c>
      <c r="Q197" s="412">
        <f t="shared" si="52"/>
        <v>0</v>
      </c>
      <c r="R197" s="412">
        <f t="shared" si="52"/>
        <v>0</v>
      </c>
      <c r="S197" s="412">
        <f t="shared" si="52"/>
        <v>0</v>
      </c>
      <c r="T197" s="412">
        <f t="shared" si="52"/>
        <v>0</v>
      </c>
      <c r="U197" s="412">
        <f t="shared" si="52"/>
        <v>0</v>
      </c>
      <c r="V197" s="412">
        <f t="shared" si="52"/>
        <v>0</v>
      </c>
      <c r="W197" s="412">
        <f t="shared" si="52"/>
        <v>0</v>
      </c>
      <c r="X197" s="412">
        <f t="shared" si="52"/>
        <v>0</v>
      </c>
      <c r="Y197" s="412">
        <f t="shared" si="52"/>
        <v>0</v>
      </c>
      <c r="Z197" s="412">
        <f t="shared" si="52"/>
        <v>0</v>
      </c>
      <c r="AA197" s="412">
        <f t="shared" si="52"/>
        <v>0</v>
      </c>
      <c r="AB197" s="412">
        <f t="shared" si="52"/>
        <v>0</v>
      </c>
      <c r="AC197" s="412">
        <f t="shared" si="52"/>
        <v>0</v>
      </c>
      <c r="AD197" s="412">
        <f t="shared" si="52"/>
        <v>0</v>
      </c>
      <c r="AE197" s="412">
        <f t="shared" si="52"/>
        <v>0</v>
      </c>
      <c r="AF197" s="412">
        <f t="shared" si="52"/>
        <v>0</v>
      </c>
      <c r="AG197" s="95">
        <f t="shared" si="51"/>
        <v>0</v>
      </c>
    </row>
    <row r="198">
      <c r="A198" s="172"/>
      <c r="AG198" s="406"/>
    </row>
    <row r="199">
      <c r="A199" s="404" t="s">
        <v>721</v>
      </c>
      <c r="B199" s="405"/>
      <c r="C199" s="405"/>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405"/>
      <c r="AF199" s="405"/>
      <c r="AG199" s="406"/>
    </row>
    <row r="200" outlineLevel="1">
      <c r="A200" s="213" t="s">
        <v>722</v>
      </c>
      <c r="B200" s="165">
        <v>0.0</v>
      </c>
      <c r="C200" s="165">
        <v>0.0</v>
      </c>
      <c r="D200" s="165">
        <v>0.0</v>
      </c>
      <c r="E200" s="165">
        <v>0.0</v>
      </c>
      <c r="F200" s="165">
        <v>0.0</v>
      </c>
      <c r="G200" s="185">
        <v>0.0</v>
      </c>
      <c r="H200" s="185">
        <v>0.0</v>
      </c>
      <c r="I200" s="185">
        <v>0.0</v>
      </c>
      <c r="J200" s="185">
        <v>0.0</v>
      </c>
      <c r="K200" s="185">
        <v>0.0</v>
      </c>
      <c r="L200" s="185">
        <v>0.0</v>
      </c>
      <c r="M200" s="159">
        <v>0.0</v>
      </c>
      <c r="N200" s="185">
        <v>0.0</v>
      </c>
      <c r="O200" s="185">
        <v>0.0</v>
      </c>
      <c r="P200" s="165">
        <v>0.0</v>
      </c>
      <c r="Q200" s="165">
        <v>0.0</v>
      </c>
      <c r="R200" s="165">
        <v>0.0</v>
      </c>
      <c r="S200" s="185">
        <v>0.0</v>
      </c>
      <c r="T200" s="185">
        <v>0.0</v>
      </c>
      <c r="U200" s="185">
        <v>0.0</v>
      </c>
      <c r="V200" s="185">
        <v>0.0</v>
      </c>
      <c r="W200" s="185">
        <v>0.0</v>
      </c>
      <c r="X200" s="185">
        <v>0.0</v>
      </c>
      <c r="Y200" s="185">
        <v>0.0</v>
      </c>
      <c r="Z200" s="185">
        <v>0.0</v>
      </c>
      <c r="AA200" s="185">
        <v>0.0</v>
      </c>
      <c r="AB200" s="185">
        <v>0.0</v>
      </c>
      <c r="AC200" s="185">
        <v>0.0</v>
      </c>
      <c r="AD200" s="185">
        <v>0.0</v>
      </c>
      <c r="AE200" s="185">
        <v>0.0</v>
      </c>
      <c r="AF200" s="185">
        <v>0.0</v>
      </c>
      <c r="AG200" s="95">
        <f t="shared" ref="AG200:AG215" si="53">SUM(B200:AF200)</f>
        <v>0</v>
      </c>
    </row>
    <row r="201" outlineLevel="1">
      <c r="A201" s="213" t="s">
        <v>723</v>
      </c>
      <c r="B201" s="165">
        <v>0.0</v>
      </c>
      <c r="C201" s="165">
        <v>0.0</v>
      </c>
      <c r="D201" s="165">
        <v>0.0</v>
      </c>
      <c r="E201" s="165">
        <v>0.0</v>
      </c>
      <c r="F201" s="165">
        <v>0.0</v>
      </c>
      <c r="G201" s="185">
        <v>0.0</v>
      </c>
      <c r="H201" s="185">
        <v>0.0</v>
      </c>
      <c r="I201" s="185">
        <v>0.0</v>
      </c>
      <c r="J201" s="185">
        <v>0.0</v>
      </c>
      <c r="K201" s="185">
        <v>0.0</v>
      </c>
      <c r="L201" s="185">
        <v>0.0</v>
      </c>
      <c r="M201" s="185">
        <v>0.0</v>
      </c>
      <c r="N201" s="185">
        <v>0.0</v>
      </c>
      <c r="O201" s="185">
        <v>0.0</v>
      </c>
      <c r="P201" s="165">
        <v>0.0</v>
      </c>
      <c r="Q201" s="165">
        <v>0.0</v>
      </c>
      <c r="R201" s="165">
        <v>0.0</v>
      </c>
      <c r="S201" s="185">
        <v>0.0</v>
      </c>
      <c r="T201" s="185">
        <v>0.0</v>
      </c>
      <c r="U201" s="185">
        <v>0.0</v>
      </c>
      <c r="V201" s="185">
        <v>0.0</v>
      </c>
      <c r="W201" s="185">
        <v>0.0</v>
      </c>
      <c r="X201" s="185">
        <v>0.0</v>
      </c>
      <c r="Y201" s="185">
        <v>0.0</v>
      </c>
      <c r="Z201" s="185">
        <v>0.0</v>
      </c>
      <c r="AA201" s="185">
        <v>0.0</v>
      </c>
      <c r="AB201" s="185">
        <v>0.0</v>
      </c>
      <c r="AC201" s="185">
        <v>0.0</v>
      </c>
      <c r="AD201" s="185">
        <v>0.0</v>
      </c>
      <c r="AE201" s="185">
        <v>0.0</v>
      </c>
      <c r="AF201" s="185">
        <v>0.0</v>
      </c>
      <c r="AG201" s="95">
        <f t="shared" si="53"/>
        <v>0</v>
      </c>
    </row>
    <row r="202" outlineLevel="1">
      <c r="A202" s="213" t="s">
        <v>724</v>
      </c>
      <c r="B202" s="165">
        <v>0.0</v>
      </c>
      <c r="C202" s="165">
        <v>0.0</v>
      </c>
      <c r="D202" s="165">
        <v>0.0</v>
      </c>
      <c r="E202" s="165">
        <v>0.0</v>
      </c>
      <c r="F202" s="165">
        <v>0.0</v>
      </c>
      <c r="G202" s="185">
        <v>0.0</v>
      </c>
      <c r="H202" s="185">
        <v>0.0</v>
      </c>
      <c r="I202" s="185">
        <v>0.0</v>
      </c>
      <c r="J202" s="185">
        <v>0.0</v>
      </c>
      <c r="K202" s="185">
        <v>0.0</v>
      </c>
      <c r="L202" s="185">
        <v>0.0</v>
      </c>
      <c r="M202" s="185">
        <v>0.0</v>
      </c>
      <c r="N202" s="185">
        <v>0.0</v>
      </c>
      <c r="O202" s="185">
        <v>0.0</v>
      </c>
      <c r="P202" s="165">
        <v>0.0</v>
      </c>
      <c r="Q202" s="165">
        <v>0.0</v>
      </c>
      <c r="R202" s="165">
        <v>0.0</v>
      </c>
      <c r="S202" s="185">
        <v>0.0</v>
      </c>
      <c r="T202" s="185">
        <v>0.0</v>
      </c>
      <c r="U202" s="185">
        <v>0.0</v>
      </c>
      <c r="V202" s="185">
        <v>0.0</v>
      </c>
      <c r="W202" s="185">
        <v>0.0</v>
      </c>
      <c r="X202" s="185">
        <v>0.0</v>
      </c>
      <c r="Y202" s="185">
        <v>0.0</v>
      </c>
      <c r="Z202" s="185">
        <v>0.0</v>
      </c>
      <c r="AA202" s="185">
        <v>0.0</v>
      </c>
      <c r="AB202" s="185">
        <v>0.0</v>
      </c>
      <c r="AC202" s="185">
        <v>0.0</v>
      </c>
      <c r="AD202" s="185">
        <v>0.0</v>
      </c>
      <c r="AE202" s="185">
        <v>0.0</v>
      </c>
      <c r="AF202" s="185">
        <v>0.0</v>
      </c>
      <c r="AG202" s="95">
        <f t="shared" si="53"/>
        <v>0</v>
      </c>
    </row>
    <row r="203" outlineLevel="1">
      <c r="A203" s="213" t="s">
        <v>725</v>
      </c>
      <c r="B203" s="165">
        <v>0.0</v>
      </c>
      <c r="C203" s="165">
        <v>0.0</v>
      </c>
      <c r="D203" s="165">
        <v>0.0</v>
      </c>
      <c r="E203" s="165">
        <v>0.0</v>
      </c>
      <c r="F203" s="165">
        <v>0.0</v>
      </c>
      <c r="G203" s="185">
        <v>0.0</v>
      </c>
      <c r="H203" s="185">
        <v>0.0</v>
      </c>
      <c r="I203" s="185">
        <v>0.0</v>
      </c>
      <c r="J203" s="185">
        <v>0.0</v>
      </c>
      <c r="K203" s="185">
        <v>0.0</v>
      </c>
      <c r="L203" s="185">
        <v>0.0</v>
      </c>
      <c r="M203" s="185">
        <v>0.0</v>
      </c>
      <c r="N203" s="185">
        <v>0.0</v>
      </c>
      <c r="O203" s="185">
        <v>0.0</v>
      </c>
      <c r="P203" s="165">
        <v>0.0</v>
      </c>
      <c r="Q203" s="165">
        <v>0.0</v>
      </c>
      <c r="R203" s="165">
        <v>0.0</v>
      </c>
      <c r="S203" s="185">
        <v>0.0</v>
      </c>
      <c r="T203" s="185">
        <v>0.0</v>
      </c>
      <c r="U203" s="185">
        <v>0.0</v>
      </c>
      <c r="V203" s="185">
        <v>0.0</v>
      </c>
      <c r="W203" s="185">
        <v>0.0</v>
      </c>
      <c r="X203" s="185">
        <v>0.0</v>
      </c>
      <c r="Y203" s="185">
        <v>0.0</v>
      </c>
      <c r="Z203" s="185">
        <v>0.0</v>
      </c>
      <c r="AA203" s="185">
        <v>0.0</v>
      </c>
      <c r="AB203" s="185">
        <v>0.0</v>
      </c>
      <c r="AC203" s="185">
        <v>0.0</v>
      </c>
      <c r="AD203" s="185">
        <v>0.0</v>
      </c>
      <c r="AE203" s="185">
        <v>0.0</v>
      </c>
      <c r="AF203" s="185">
        <v>0.0</v>
      </c>
      <c r="AG203" s="95">
        <f t="shared" si="53"/>
        <v>0</v>
      </c>
    </row>
    <row r="204" outlineLevel="1">
      <c r="A204" s="215" t="s">
        <v>221</v>
      </c>
      <c r="B204" s="346">
        <f t="shared" ref="B204:F204" si="54">B200+B201</f>
        <v>0</v>
      </c>
      <c r="C204" s="346">
        <f t="shared" si="54"/>
        <v>0</v>
      </c>
      <c r="D204" s="346">
        <f t="shared" si="54"/>
        <v>0</v>
      </c>
      <c r="E204" s="346">
        <f t="shared" si="54"/>
        <v>0</v>
      </c>
      <c r="F204" s="346">
        <f t="shared" si="54"/>
        <v>0</v>
      </c>
      <c r="G204" s="417">
        <v>0.0</v>
      </c>
      <c r="H204" s="417">
        <v>0.0</v>
      </c>
      <c r="I204" s="417">
        <v>0.0</v>
      </c>
      <c r="J204" s="417">
        <v>0.0</v>
      </c>
      <c r="K204" s="417">
        <v>0.0</v>
      </c>
      <c r="L204" s="417">
        <v>0.0</v>
      </c>
      <c r="M204" s="417">
        <v>0.0</v>
      </c>
      <c r="N204" s="417">
        <v>0.0</v>
      </c>
      <c r="O204" s="417">
        <v>0.0</v>
      </c>
      <c r="P204" s="346">
        <f t="shared" ref="P204:AF204" si="55">P200+P201</f>
        <v>0</v>
      </c>
      <c r="Q204" s="346">
        <f t="shared" si="55"/>
        <v>0</v>
      </c>
      <c r="R204" s="346">
        <f t="shared" si="55"/>
        <v>0</v>
      </c>
      <c r="S204" s="330">
        <f t="shared" si="55"/>
        <v>0</v>
      </c>
      <c r="T204" s="330">
        <f t="shared" si="55"/>
        <v>0</v>
      </c>
      <c r="U204" s="330">
        <f t="shared" si="55"/>
        <v>0</v>
      </c>
      <c r="V204" s="330">
        <f t="shared" si="55"/>
        <v>0</v>
      </c>
      <c r="W204" s="330">
        <f t="shared" si="55"/>
        <v>0</v>
      </c>
      <c r="X204" s="330">
        <f t="shared" si="55"/>
        <v>0</v>
      </c>
      <c r="Y204" s="330">
        <f t="shared" si="55"/>
        <v>0</v>
      </c>
      <c r="Z204" s="330">
        <f t="shared" si="55"/>
        <v>0</v>
      </c>
      <c r="AA204" s="330">
        <f t="shared" si="55"/>
        <v>0</v>
      </c>
      <c r="AB204" s="330">
        <f t="shared" si="55"/>
        <v>0</v>
      </c>
      <c r="AC204" s="330">
        <f t="shared" si="55"/>
        <v>0</v>
      </c>
      <c r="AD204" s="330">
        <f t="shared" si="55"/>
        <v>0</v>
      </c>
      <c r="AE204" s="330">
        <f t="shared" si="55"/>
        <v>0</v>
      </c>
      <c r="AF204" s="330">
        <f t="shared" si="55"/>
        <v>0</v>
      </c>
      <c r="AG204" s="95">
        <f t="shared" si="53"/>
        <v>0</v>
      </c>
    </row>
    <row r="205" outlineLevel="1">
      <c r="A205" s="215" t="s">
        <v>222</v>
      </c>
      <c r="B205" s="346">
        <f t="shared" ref="B205:AF205" si="56">B202+B203</f>
        <v>0</v>
      </c>
      <c r="C205" s="346">
        <f t="shared" si="56"/>
        <v>0</v>
      </c>
      <c r="D205" s="346">
        <f t="shared" si="56"/>
        <v>0</v>
      </c>
      <c r="E205" s="346">
        <f t="shared" si="56"/>
        <v>0</v>
      </c>
      <c r="F205" s="346">
        <f t="shared" si="56"/>
        <v>0</v>
      </c>
      <c r="G205" s="330">
        <f t="shared" si="56"/>
        <v>0</v>
      </c>
      <c r="H205" s="330">
        <f t="shared" si="56"/>
        <v>0</v>
      </c>
      <c r="I205" s="330">
        <f t="shared" si="56"/>
        <v>0</v>
      </c>
      <c r="J205" s="330">
        <f t="shared" si="56"/>
        <v>0</v>
      </c>
      <c r="K205" s="330">
        <f t="shared" si="56"/>
        <v>0</v>
      </c>
      <c r="L205" s="330">
        <f t="shared" si="56"/>
        <v>0</v>
      </c>
      <c r="M205" s="330">
        <f t="shared" si="56"/>
        <v>0</v>
      </c>
      <c r="N205" s="330">
        <f t="shared" si="56"/>
        <v>0</v>
      </c>
      <c r="O205" s="330">
        <f t="shared" si="56"/>
        <v>0</v>
      </c>
      <c r="P205" s="346">
        <f t="shared" si="56"/>
        <v>0</v>
      </c>
      <c r="Q205" s="346">
        <f t="shared" si="56"/>
        <v>0</v>
      </c>
      <c r="R205" s="346">
        <f t="shared" si="56"/>
        <v>0</v>
      </c>
      <c r="S205" s="330">
        <f t="shared" si="56"/>
        <v>0</v>
      </c>
      <c r="T205" s="330">
        <f t="shared" si="56"/>
        <v>0</v>
      </c>
      <c r="U205" s="330">
        <f t="shared" si="56"/>
        <v>0</v>
      </c>
      <c r="V205" s="330">
        <f t="shared" si="56"/>
        <v>0</v>
      </c>
      <c r="W205" s="330">
        <f t="shared" si="56"/>
        <v>0</v>
      </c>
      <c r="X205" s="330">
        <f t="shared" si="56"/>
        <v>0</v>
      </c>
      <c r="Y205" s="330">
        <f t="shared" si="56"/>
        <v>0</v>
      </c>
      <c r="Z205" s="330">
        <f t="shared" si="56"/>
        <v>0</v>
      </c>
      <c r="AA205" s="330">
        <f t="shared" si="56"/>
        <v>0</v>
      </c>
      <c r="AB205" s="330">
        <f t="shared" si="56"/>
        <v>0</v>
      </c>
      <c r="AC205" s="330">
        <f t="shared" si="56"/>
        <v>0</v>
      </c>
      <c r="AD205" s="330">
        <f t="shared" si="56"/>
        <v>0</v>
      </c>
      <c r="AE205" s="330">
        <f t="shared" si="56"/>
        <v>0</v>
      </c>
      <c r="AF205" s="330">
        <f t="shared" si="56"/>
        <v>0</v>
      </c>
      <c r="AG205" s="95">
        <f t="shared" si="53"/>
        <v>0</v>
      </c>
    </row>
    <row r="206" outlineLevel="1">
      <c r="A206" s="100"/>
      <c r="B206" s="181"/>
      <c r="C206" s="181"/>
      <c r="D206" s="181"/>
      <c r="E206" s="181"/>
      <c r="F206" s="181"/>
      <c r="G206" s="284"/>
      <c r="H206" s="284"/>
      <c r="I206" s="284"/>
      <c r="J206" s="284"/>
      <c r="K206" s="284"/>
      <c r="L206" s="284"/>
      <c r="M206" s="284"/>
      <c r="N206" s="284"/>
      <c r="O206" s="284"/>
      <c r="P206" s="181"/>
      <c r="Q206" s="181"/>
      <c r="R206" s="181"/>
      <c r="S206" s="284"/>
      <c r="T206" s="284"/>
      <c r="U206" s="284"/>
      <c r="V206" s="284"/>
      <c r="W206" s="284"/>
      <c r="X206" s="284"/>
      <c r="Y206" s="284"/>
      <c r="Z206" s="284"/>
      <c r="AA206" s="284"/>
      <c r="AB206" s="284"/>
      <c r="AC206" s="284"/>
      <c r="AD206" s="284"/>
      <c r="AE206" s="284"/>
      <c r="AF206" s="284"/>
      <c r="AG206" s="95">
        <f t="shared" si="53"/>
        <v>0</v>
      </c>
    </row>
    <row r="207" outlineLevel="1">
      <c r="A207" s="213" t="s">
        <v>224</v>
      </c>
      <c r="B207" s="165">
        <v>0.0</v>
      </c>
      <c r="C207" s="165">
        <v>0.0</v>
      </c>
      <c r="D207" s="165">
        <v>0.0</v>
      </c>
      <c r="E207" s="165">
        <v>0.0</v>
      </c>
      <c r="F207" s="165">
        <v>0.0</v>
      </c>
      <c r="G207" s="185">
        <v>0.0</v>
      </c>
      <c r="H207" s="185">
        <v>0.0</v>
      </c>
      <c r="I207" s="185">
        <v>0.0</v>
      </c>
      <c r="J207" s="185">
        <v>0.0</v>
      </c>
      <c r="K207" s="185">
        <v>0.0</v>
      </c>
      <c r="L207" s="185">
        <v>0.0</v>
      </c>
      <c r="M207" s="185">
        <v>0.0</v>
      </c>
      <c r="N207" s="185">
        <v>0.0</v>
      </c>
      <c r="O207" s="185">
        <v>0.0</v>
      </c>
      <c r="P207" s="165">
        <v>0.0</v>
      </c>
      <c r="Q207" s="165">
        <v>0.0</v>
      </c>
      <c r="R207" s="165">
        <v>0.0</v>
      </c>
      <c r="S207" s="185">
        <v>0.0</v>
      </c>
      <c r="T207" s="185">
        <v>0.0</v>
      </c>
      <c r="U207" s="185">
        <v>0.0</v>
      </c>
      <c r="V207" s="185">
        <v>0.0</v>
      </c>
      <c r="W207" s="185">
        <v>0.0</v>
      </c>
      <c r="X207" s="185">
        <v>0.0</v>
      </c>
      <c r="Y207" s="185">
        <v>0.0</v>
      </c>
      <c r="Z207" s="185">
        <v>0.0</v>
      </c>
      <c r="AA207" s="185">
        <v>0.0</v>
      </c>
      <c r="AB207" s="185">
        <v>0.0</v>
      </c>
      <c r="AC207" s="185">
        <v>0.0</v>
      </c>
      <c r="AD207" s="185">
        <v>0.0</v>
      </c>
      <c r="AE207" s="185">
        <v>0.0</v>
      </c>
      <c r="AF207" s="185">
        <v>0.0</v>
      </c>
      <c r="AG207" s="95">
        <f t="shared" si="53"/>
        <v>0</v>
      </c>
    </row>
    <row r="208" outlineLevel="1">
      <c r="A208" s="213" t="s">
        <v>225</v>
      </c>
      <c r="B208" s="165">
        <v>0.0</v>
      </c>
      <c r="C208" s="165">
        <v>0.0</v>
      </c>
      <c r="D208" s="165">
        <v>0.0</v>
      </c>
      <c r="E208" s="165">
        <v>0.0</v>
      </c>
      <c r="F208" s="165">
        <v>0.0</v>
      </c>
      <c r="G208" s="185">
        <v>0.0</v>
      </c>
      <c r="H208" s="185">
        <v>0.0</v>
      </c>
      <c r="I208" s="185">
        <v>0.0</v>
      </c>
      <c r="J208" s="185">
        <v>0.0</v>
      </c>
      <c r="K208" s="185">
        <v>0.0</v>
      </c>
      <c r="L208" s="185">
        <v>0.0</v>
      </c>
      <c r="M208" s="185">
        <v>0.0</v>
      </c>
      <c r="N208" s="185">
        <v>0.0</v>
      </c>
      <c r="O208" s="185">
        <v>0.0</v>
      </c>
      <c r="P208" s="165">
        <v>0.0</v>
      </c>
      <c r="Q208" s="165">
        <v>0.0</v>
      </c>
      <c r="R208" s="165">
        <v>0.0</v>
      </c>
      <c r="S208" s="185">
        <v>0.0</v>
      </c>
      <c r="T208" s="185">
        <v>0.0</v>
      </c>
      <c r="U208" s="185">
        <v>0.0</v>
      </c>
      <c r="V208" s="185">
        <v>0.0</v>
      </c>
      <c r="W208" s="185">
        <v>0.0</v>
      </c>
      <c r="X208" s="185">
        <v>0.0</v>
      </c>
      <c r="Y208" s="185">
        <v>0.0</v>
      </c>
      <c r="Z208" s="185">
        <v>0.0</v>
      </c>
      <c r="AA208" s="185">
        <v>0.0</v>
      </c>
      <c r="AB208" s="185">
        <v>0.0</v>
      </c>
      <c r="AC208" s="185">
        <v>0.0</v>
      </c>
      <c r="AD208" s="185">
        <v>0.0</v>
      </c>
      <c r="AE208" s="185">
        <v>0.0</v>
      </c>
      <c r="AF208" s="185">
        <v>0.0</v>
      </c>
      <c r="AG208" s="95">
        <f t="shared" si="53"/>
        <v>0</v>
      </c>
    </row>
    <row r="209" outlineLevel="1">
      <c r="A209" s="213" t="s">
        <v>726</v>
      </c>
      <c r="B209" s="165">
        <v>0.0</v>
      </c>
      <c r="C209" s="165">
        <v>0.0</v>
      </c>
      <c r="D209" s="165">
        <v>0.0</v>
      </c>
      <c r="E209" s="165">
        <v>0.0</v>
      </c>
      <c r="F209" s="165">
        <v>0.0</v>
      </c>
      <c r="G209" s="185">
        <v>0.0</v>
      </c>
      <c r="H209" s="185">
        <v>0.0</v>
      </c>
      <c r="I209" s="185">
        <v>0.0</v>
      </c>
      <c r="J209" s="185">
        <v>0.0</v>
      </c>
      <c r="K209" s="185">
        <v>0.0</v>
      </c>
      <c r="L209" s="185">
        <v>0.0</v>
      </c>
      <c r="M209" s="185">
        <v>0.0</v>
      </c>
      <c r="N209" s="185">
        <v>0.0</v>
      </c>
      <c r="O209" s="185">
        <v>0.0</v>
      </c>
      <c r="P209" s="165">
        <v>0.0</v>
      </c>
      <c r="Q209" s="165">
        <v>0.0</v>
      </c>
      <c r="R209" s="165">
        <v>0.0</v>
      </c>
      <c r="S209" s="185">
        <v>0.0</v>
      </c>
      <c r="T209" s="185">
        <v>0.0</v>
      </c>
      <c r="U209" s="185">
        <v>0.0</v>
      </c>
      <c r="V209" s="185">
        <v>0.0</v>
      </c>
      <c r="W209" s="185">
        <v>0.0</v>
      </c>
      <c r="X209" s="185">
        <v>0.0</v>
      </c>
      <c r="Y209" s="185">
        <v>0.0</v>
      </c>
      <c r="Z209" s="185">
        <v>0.0</v>
      </c>
      <c r="AA209" s="185">
        <v>0.0</v>
      </c>
      <c r="AB209" s="185">
        <v>0.0</v>
      </c>
      <c r="AC209" s="185">
        <v>0.0</v>
      </c>
      <c r="AD209" s="185">
        <v>0.0</v>
      </c>
      <c r="AE209" s="185">
        <v>0.0</v>
      </c>
      <c r="AF209" s="185">
        <v>0.0</v>
      </c>
      <c r="AG209" s="95">
        <f t="shared" si="53"/>
        <v>0</v>
      </c>
    </row>
    <row r="210" outlineLevel="1">
      <c r="A210" s="213" t="s">
        <v>727</v>
      </c>
      <c r="B210" s="165">
        <v>0.0</v>
      </c>
      <c r="C210" s="165">
        <v>0.0</v>
      </c>
      <c r="D210" s="165">
        <v>0.0</v>
      </c>
      <c r="E210" s="165">
        <v>0.0</v>
      </c>
      <c r="F210" s="165">
        <v>0.0</v>
      </c>
      <c r="G210" s="185">
        <v>0.0</v>
      </c>
      <c r="H210" s="185">
        <v>0.0</v>
      </c>
      <c r="I210" s="185">
        <v>0.0</v>
      </c>
      <c r="J210" s="185">
        <v>0.0</v>
      </c>
      <c r="K210" s="185">
        <v>0.0</v>
      </c>
      <c r="L210" s="185">
        <v>0.0</v>
      </c>
      <c r="M210" s="185">
        <v>0.0</v>
      </c>
      <c r="N210" s="185">
        <v>0.0</v>
      </c>
      <c r="O210" s="185">
        <v>0.0</v>
      </c>
      <c r="P210" s="165">
        <v>0.0</v>
      </c>
      <c r="Q210" s="165">
        <v>0.0</v>
      </c>
      <c r="R210" s="165">
        <v>0.0</v>
      </c>
      <c r="S210" s="185">
        <v>0.0</v>
      </c>
      <c r="T210" s="185">
        <v>0.0</v>
      </c>
      <c r="U210" s="185">
        <v>0.0</v>
      </c>
      <c r="V210" s="185">
        <v>0.0</v>
      </c>
      <c r="W210" s="185">
        <v>0.0</v>
      </c>
      <c r="X210" s="185">
        <v>0.0</v>
      </c>
      <c r="Y210" s="185">
        <v>0.0</v>
      </c>
      <c r="Z210" s="185">
        <v>0.0</v>
      </c>
      <c r="AA210" s="185">
        <v>0.0</v>
      </c>
      <c r="AB210" s="185">
        <v>0.0</v>
      </c>
      <c r="AC210" s="185">
        <v>0.0</v>
      </c>
      <c r="AD210" s="185">
        <v>0.0</v>
      </c>
      <c r="AE210" s="185">
        <v>0.0</v>
      </c>
      <c r="AF210" s="185">
        <v>0.0</v>
      </c>
      <c r="AG210" s="95">
        <f t="shared" si="53"/>
        <v>0</v>
      </c>
    </row>
    <row r="211" outlineLevel="1">
      <c r="A211" s="213" t="s">
        <v>728</v>
      </c>
      <c r="B211" s="165">
        <v>0.0</v>
      </c>
      <c r="C211" s="165">
        <v>0.0</v>
      </c>
      <c r="D211" s="165">
        <v>0.0</v>
      </c>
      <c r="E211" s="165">
        <v>0.0</v>
      </c>
      <c r="F211" s="165">
        <v>0.0</v>
      </c>
      <c r="G211" s="185">
        <v>0.0</v>
      </c>
      <c r="H211" s="185">
        <v>0.0</v>
      </c>
      <c r="I211" s="185">
        <v>0.0</v>
      </c>
      <c r="J211" s="185">
        <v>0.0</v>
      </c>
      <c r="K211" s="185">
        <v>0.0</v>
      </c>
      <c r="L211" s="185">
        <v>0.0</v>
      </c>
      <c r="M211" s="185">
        <v>0.0</v>
      </c>
      <c r="N211" s="185">
        <v>0.0</v>
      </c>
      <c r="O211" s="185">
        <v>0.0</v>
      </c>
      <c r="P211" s="165">
        <v>0.0</v>
      </c>
      <c r="Q211" s="165">
        <v>0.0</v>
      </c>
      <c r="R211" s="165">
        <v>0.0</v>
      </c>
      <c r="S211" s="185">
        <v>0.0</v>
      </c>
      <c r="T211" s="185">
        <v>0.0</v>
      </c>
      <c r="U211" s="185">
        <v>0.0</v>
      </c>
      <c r="V211" s="185">
        <v>0.0</v>
      </c>
      <c r="W211" s="185">
        <v>0.0</v>
      </c>
      <c r="X211" s="185">
        <v>0.0</v>
      </c>
      <c r="Y211" s="185">
        <v>0.0</v>
      </c>
      <c r="Z211" s="185">
        <v>0.0</v>
      </c>
      <c r="AA211" s="185">
        <v>0.0</v>
      </c>
      <c r="AB211" s="185">
        <v>0.0</v>
      </c>
      <c r="AC211" s="185">
        <v>0.0</v>
      </c>
      <c r="AD211" s="185">
        <v>0.0</v>
      </c>
      <c r="AE211" s="185">
        <v>0.0</v>
      </c>
      <c r="AF211" s="185">
        <v>0.0</v>
      </c>
      <c r="AG211" s="95">
        <f t="shared" si="53"/>
        <v>0</v>
      </c>
    </row>
    <row r="212" outlineLevel="1">
      <c r="A212" s="213" t="s">
        <v>729</v>
      </c>
      <c r="B212" s="165">
        <v>0.0</v>
      </c>
      <c r="C212" s="165">
        <v>0.0</v>
      </c>
      <c r="D212" s="165">
        <v>0.0</v>
      </c>
      <c r="E212" s="165">
        <v>0.0</v>
      </c>
      <c r="F212" s="165">
        <v>0.0</v>
      </c>
      <c r="G212" s="185">
        <v>0.0</v>
      </c>
      <c r="H212" s="185">
        <v>0.0</v>
      </c>
      <c r="I212" s="185">
        <v>0.0</v>
      </c>
      <c r="J212" s="185">
        <v>0.0</v>
      </c>
      <c r="K212" s="185">
        <v>0.0</v>
      </c>
      <c r="L212" s="185">
        <v>0.0</v>
      </c>
      <c r="M212" s="185">
        <v>0.0</v>
      </c>
      <c r="N212" s="185">
        <v>0.0</v>
      </c>
      <c r="O212" s="185">
        <v>0.0</v>
      </c>
      <c r="P212" s="165">
        <v>0.0</v>
      </c>
      <c r="Q212" s="165">
        <v>0.0</v>
      </c>
      <c r="R212" s="165">
        <v>0.0</v>
      </c>
      <c r="S212" s="185">
        <v>0.0</v>
      </c>
      <c r="T212" s="185">
        <v>0.0</v>
      </c>
      <c r="U212" s="185">
        <v>0.0</v>
      </c>
      <c r="V212" s="185">
        <v>0.0</v>
      </c>
      <c r="W212" s="185">
        <v>0.0</v>
      </c>
      <c r="X212" s="185">
        <v>0.0</v>
      </c>
      <c r="Y212" s="185">
        <v>0.0</v>
      </c>
      <c r="Z212" s="185">
        <v>0.0</v>
      </c>
      <c r="AA212" s="185">
        <v>0.0</v>
      </c>
      <c r="AB212" s="185">
        <v>0.0</v>
      </c>
      <c r="AC212" s="185">
        <v>0.0</v>
      </c>
      <c r="AD212" s="185">
        <v>0.0</v>
      </c>
      <c r="AE212" s="185">
        <v>0.0</v>
      </c>
      <c r="AF212" s="185">
        <v>0.0</v>
      </c>
      <c r="AG212" s="95">
        <f t="shared" si="53"/>
        <v>0</v>
      </c>
    </row>
    <row r="213" outlineLevel="1">
      <c r="A213" s="213" t="s">
        <v>730</v>
      </c>
      <c r="B213" s="165">
        <v>0.0</v>
      </c>
      <c r="C213" s="165">
        <v>0.0</v>
      </c>
      <c r="D213" s="165">
        <v>0.0</v>
      </c>
      <c r="E213" s="165">
        <v>0.0</v>
      </c>
      <c r="F213" s="165">
        <v>0.0</v>
      </c>
      <c r="G213" s="185">
        <v>0.0</v>
      </c>
      <c r="H213" s="185">
        <v>0.0</v>
      </c>
      <c r="I213" s="185">
        <v>0.0</v>
      </c>
      <c r="J213" s="185">
        <v>0.0</v>
      </c>
      <c r="K213" s="185">
        <v>0.0</v>
      </c>
      <c r="L213" s="185">
        <v>0.0</v>
      </c>
      <c r="M213" s="185">
        <v>0.0</v>
      </c>
      <c r="N213" s="185">
        <v>0.0</v>
      </c>
      <c r="O213" s="185">
        <v>0.0</v>
      </c>
      <c r="P213" s="165">
        <v>0.0</v>
      </c>
      <c r="Q213" s="165">
        <v>0.0</v>
      </c>
      <c r="R213" s="165">
        <v>0.0</v>
      </c>
      <c r="S213" s="185">
        <v>0.0</v>
      </c>
      <c r="T213" s="185">
        <v>0.0</v>
      </c>
      <c r="U213" s="185">
        <v>0.0</v>
      </c>
      <c r="V213" s="185">
        <v>0.0</v>
      </c>
      <c r="W213" s="185">
        <v>0.0</v>
      </c>
      <c r="X213" s="185">
        <v>0.0</v>
      </c>
      <c r="Y213" s="185">
        <v>0.0</v>
      </c>
      <c r="Z213" s="185">
        <v>0.0</v>
      </c>
      <c r="AA213" s="185">
        <v>0.0</v>
      </c>
      <c r="AB213" s="185">
        <v>0.0</v>
      </c>
      <c r="AC213" s="185">
        <v>0.0</v>
      </c>
      <c r="AD213" s="185">
        <v>0.0</v>
      </c>
      <c r="AE213" s="185">
        <v>0.0</v>
      </c>
      <c r="AF213" s="185">
        <v>0.0</v>
      </c>
      <c r="AG213" s="95">
        <f t="shared" si="53"/>
        <v>0</v>
      </c>
    </row>
    <row r="214" outlineLevel="1">
      <c r="A214" s="213" t="s">
        <v>731</v>
      </c>
      <c r="B214" s="165">
        <v>0.0</v>
      </c>
      <c r="C214" s="165">
        <v>0.0</v>
      </c>
      <c r="D214" s="165">
        <v>0.0</v>
      </c>
      <c r="E214" s="165">
        <v>0.0</v>
      </c>
      <c r="F214" s="165">
        <v>0.0</v>
      </c>
      <c r="G214" s="185">
        <v>0.0</v>
      </c>
      <c r="H214" s="185">
        <v>0.0</v>
      </c>
      <c r="I214" s="185">
        <v>0.0</v>
      </c>
      <c r="J214" s="185">
        <v>0.0</v>
      </c>
      <c r="K214" s="185">
        <v>0.0</v>
      </c>
      <c r="L214" s="185">
        <v>0.0</v>
      </c>
      <c r="M214" s="185">
        <v>0.0</v>
      </c>
      <c r="N214" s="185">
        <v>0.0</v>
      </c>
      <c r="O214" s="185">
        <v>0.0</v>
      </c>
      <c r="P214" s="165">
        <v>0.0</v>
      </c>
      <c r="Q214" s="165">
        <v>0.0</v>
      </c>
      <c r="R214" s="165">
        <v>0.0</v>
      </c>
      <c r="S214" s="185">
        <v>0.0</v>
      </c>
      <c r="T214" s="185">
        <v>0.0</v>
      </c>
      <c r="U214" s="185">
        <v>0.0</v>
      </c>
      <c r="V214" s="185">
        <v>0.0</v>
      </c>
      <c r="W214" s="185">
        <v>0.0</v>
      </c>
      <c r="X214" s="185">
        <v>0.0</v>
      </c>
      <c r="Y214" s="185">
        <v>0.0</v>
      </c>
      <c r="Z214" s="185">
        <v>0.0</v>
      </c>
      <c r="AA214" s="185">
        <v>0.0</v>
      </c>
      <c r="AB214" s="185">
        <v>0.0</v>
      </c>
      <c r="AC214" s="185">
        <v>0.0</v>
      </c>
      <c r="AD214" s="185">
        <v>0.0</v>
      </c>
      <c r="AE214" s="185">
        <v>0.0</v>
      </c>
      <c r="AF214" s="185">
        <v>0.0</v>
      </c>
      <c r="AG214" s="95">
        <f t="shared" si="53"/>
        <v>0</v>
      </c>
    </row>
    <row r="215" outlineLevel="1">
      <c r="A215" s="217" t="s">
        <v>141</v>
      </c>
      <c r="B215" s="346">
        <f t="shared" ref="B215:AF215" si="57">SUM(B207:B211)</f>
        <v>0</v>
      </c>
      <c r="C215" s="346">
        <f t="shared" si="57"/>
        <v>0</v>
      </c>
      <c r="D215" s="346">
        <f t="shared" si="57"/>
        <v>0</v>
      </c>
      <c r="E215" s="346">
        <f t="shared" si="57"/>
        <v>0</v>
      </c>
      <c r="F215" s="346">
        <f t="shared" si="57"/>
        <v>0</v>
      </c>
      <c r="G215" s="330">
        <f t="shared" si="57"/>
        <v>0</v>
      </c>
      <c r="H215" s="330">
        <f t="shared" si="57"/>
        <v>0</v>
      </c>
      <c r="I215" s="330">
        <f t="shared" si="57"/>
        <v>0</v>
      </c>
      <c r="J215" s="330">
        <f t="shared" si="57"/>
        <v>0</v>
      </c>
      <c r="K215" s="330">
        <f t="shared" si="57"/>
        <v>0</v>
      </c>
      <c r="L215" s="330">
        <f t="shared" si="57"/>
        <v>0</v>
      </c>
      <c r="M215" s="330">
        <f t="shared" si="57"/>
        <v>0</v>
      </c>
      <c r="N215" s="330">
        <f t="shared" si="57"/>
        <v>0</v>
      </c>
      <c r="O215" s="330">
        <f t="shared" si="57"/>
        <v>0</v>
      </c>
      <c r="P215" s="346">
        <f t="shared" si="57"/>
        <v>0</v>
      </c>
      <c r="Q215" s="346">
        <f t="shared" si="57"/>
        <v>0</v>
      </c>
      <c r="R215" s="346">
        <f t="shared" si="57"/>
        <v>0</v>
      </c>
      <c r="S215" s="330">
        <f t="shared" si="57"/>
        <v>0</v>
      </c>
      <c r="T215" s="330">
        <f t="shared" si="57"/>
        <v>0</v>
      </c>
      <c r="U215" s="330">
        <f t="shared" si="57"/>
        <v>0</v>
      </c>
      <c r="V215" s="330">
        <f t="shared" si="57"/>
        <v>0</v>
      </c>
      <c r="W215" s="330">
        <f t="shared" si="57"/>
        <v>0</v>
      </c>
      <c r="X215" s="330">
        <f t="shared" si="57"/>
        <v>0</v>
      </c>
      <c r="Y215" s="330">
        <f t="shared" si="57"/>
        <v>0</v>
      </c>
      <c r="Z215" s="330">
        <f t="shared" si="57"/>
        <v>0</v>
      </c>
      <c r="AA215" s="330">
        <f t="shared" si="57"/>
        <v>0</v>
      </c>
      <c r="AB215" s="330">
        <f t="shared" si="57"/>
        <v>0</v>
      </c>
      <c r="AC215" s="330">
        <f t="shared" si="57"/>
        <v>0</v>
      </c>
      <c r="AD215" s="330">
        <f t="shared" si="57"/>
        <v>0</v>
      </c>
      <c r="AE215" s="330">
        <f t="shared" si="57"/>
        <v>0</v>
      </c>
      <c r="AF215" s="330">
        <f t="shared" si="57"/>
        <v>0</v>
      </c>
      <c r="AG215" s="95">
        <f t="shared" si="53"/>
        <v>0</v>
      </c>
    </row>
    <row r="216" outlineLevel="1">
      <c r="A216" s="348"/>
      <c r="B216" s="165"/>
      <c r="C216" s="165"/>
      <c r="D216" s="165"/>
      <c r="E216" s="165"/>
      <c r="F216" s="165"/>
      <c r="G216" s="418"/>
      <c r="H216" s="418"/>
      <c r="I216" s="418"/>
      <c r="J216" s="418"/>
      <c r="K216" s="418"/>
      <c r="L216" s="418"/>
      <c r="M216" s="418"/>
      <c r="N216" s="418"/>
      <c r="O216" s="418"/>
      <c r="P216" s="165"/>
      <c r="Q216" s="165"/>
      <c r="R216" s="165"/>
      <c r="S216" s="418"/>
      <c r="T216" s="418"/>
      <c r="U216" s="418"/>
      <c r="V216" s="418"/>
      <c r="W216" s="418"/>
      <c r="X216" s="418"/>
      <c r="Y216" s="418"/>
      <c r="Z216" s="418"/>
      <c r="AA216" s="418"/>
      <c r="AB216" s="418"/>
      <c r="AC216" s="418"/>
      <c r="AD216" s="418"/>
      <c r="AE216" s="418"/>
      <c r="AF216" s="418"/>
      <c r="AG216" s="397"/>
    </row>
    <row r="217" outlineLevel="1">
      <c r="A217" s="217" t="s">
        <v>577</v>
      </c>
      <c r="B217" s="346"/>
      <c r="C217" s="346"/>
      <c r="D217" s="346"/>
      <c r="E217" s="346"/>
      <c r="F217" s="346"/>
      <c r="G217" s="419"/>
      <c r="H217" s="419"/>
      <c r="I217" s="419"/>
      <c r="J217" s="419"/>
      <c r="K217" s="419"/>
      <c r="L217" s="419"/>
      <c r="M217" s="419"/>
      <c r="N217" s="419"/>
      <c r="O217" s="419"/>
      <c r="P217" s="346"/>
      <c r="Q217" s="346"/>
      <c r="R217" s="346"/>
      <c r="S217" s="419"/>
      <c r="T217" s="419"/>
      <c r="U217" s="419"/>
      <c r="V217" s="419"/>
      <c r="W217" s="419"/>
      <c r="X217" s="419"/>
      <c r="Y217" s="419"/>
      <c r="Z217" s="419"/>
      <c r="AA217" s="419"/>
      <c r="AB217" s="419"/>
      <c r="AC217" s="419"/>
      <c r="AD217" s="419"/>
      <c r="AE217" s="419"/>
      <c r="AF217" s="419"/>
      <c r="AG217" s="397"/>
    </row>
    <row r="218" outlineLevel="1">
      <c r="A218" s="213" t="s">
        <v>578</v>
      </c>
      <c r="B218" s="165">
        <v>0.0</v>
      </c>
      <c r="C218" s="165">
        <v>0.0</v>
      </c>
      <c r="D218" s="165">
        <v>0.0</v>
      </c>
      <c r="E218" s="165">
        <v>0.0</v>
      </c>
      <c r="F218" s="165">
        <v>0.0</v>
      </c>
      <c r="G218" s="185">
        <v>0.0</v>
      </c>
      <c r="H218" s="185">
        <v>0.0</v>
      </c>
      <c r="I218" s="185">
        <v>0.0</v>
      </c>
      <c r="J218" s="185">
        <v>0.0</v>
      </c>
      <c r="K218" s="185">
        <v>0.0</v>
      </c>
      <c r="L218" s="185">
        <v>0.0</v>
      </c>
      <c r="M218" s="185">
        <v>0.0</v>
      </c>
      <c r="N218" s="185">
        <v>0.0</v>
      </c>
      <c r="O218" s="185">
        <v>0.0</v>
      </c>
      <c r="P218" s="165">
        <v>0.0</v>
      </c>
      <c r="Q218" s="165">
        <v>0.0</v>
      </c>
      <c r="R218" s="165">
        <v>0.0</v>
      </c>
      <c r="S218" s="185">
        <v>0.0</v>
      </c>
      <c r="T218" s="185">
        <v>0.0</v>
      </c>
      <c r="U218" s="185">
        <v>0.0</v>
      </c>
      <c r="V218" s="185">
        <v>0.0</v>
      </c>
      <c r="W218" s="185">
        <v>0.0</v>
      </c>
      <c r="X218" s="185">
        <v>0.0</v>
      </c>
      <c r="Y218" s="185">
        <v>0.0</v>
      </c>
      <c r="Z218" s="185">
        <v>0.0</v>
      </c>
      <c r="AA218" s="185">
        <v>0.0</v>
      </c>
      <c r="AB218" s="185">
        <v>0.0</v>
      </c>
      <c r="AC218" s="185">
        <v>0.0</v>
      </c>
      <c r="AD218" s="185">
        <v>0.0</v>
      </c>
      <c r="AE218" s="185">
        <v>0.0</v>
      </c>
      <c r="AF218" s="185">
        <v>0.0</v>
      </c>
      <c r="AG218" s="95">
        <f t="shared" ref="AG218:AG222" si="58">SUM(B218:AF218)</f>
        <v>0</v>
      </c>
    </row>
    <row r="219" outlineLevel="1">
      <c r="A219" s="213" t="s">
        <v>579</v>
      </c>
      <c r="B219" s="165">
        <v>0.0</v>
      </c>
      <c r="C219" s="165">
        <v>0.0</v>
      </c>
      <c r="D219" s="165">
        <v>0.0</v>
      </c>
      <c r="E219" s="165">
        <v>0.0</v>
      </c>
      <c r="F219" s="165">
        <v>0.0</v>
      </c>
      <c r="G219" s="185">
        <v>0.0</v>
      </c>
      <c r="H219" s="185">
        <v>0.0</v>
      </c>
      <c r="I219" s="185">
        <v>0.0</v>
      </c>
      <c r="J219" s="185">
        <v>0.0</v>
      </c>
      <c r="K219" s="185">
        <v>0.0</v>
      </c>
      <c r="L219" s="185">
        <v>0.0</v>
      </c>
      <c r="M219" s="185">
        <v>0.0</v>
      </c>
      <c r="N219" s="185">
        <v>0.0</v>
      </c>
      <c r="O219" s="185">
        <v>0.0</v>
      </c>
      <c r="P219" s="165">
        <v>0.0</v>
      </c>
      <c r="Q219" s="165">
        <v>0.0</v>
      </c>
      <c r="R219" s="165">
        <v>0.0</v>
      </c>
      <c r="S219" s="185">
        <v>0.0</v>
      </c>
      <c r="T219" s="185">
        <v>0.0</v>
      </c>
      <c r="U219" s="185">
        <v>0.0</v>
      </c>
      <c r="V219" s="185">
        <v>0.0</v>
      </c>
      <c r="W219" s="185">
        <v>0.0</v>
      </c>
      <c r="X219" s="185">
        <v>0.0</v>
      </c>
      <c r="Y219" s="185">
        <v>0.0</v>
      </c>
      <c r="Z219" s="185">
        <v>0.0</v>
      </c>
      <c r="AA219" s="185">
        <v>0.0</v>
      </c>
      <c r="AB219" s="185">
        <v>0.0</v>
      </c>
      <c r="AC219" s="185">
        <v>0.0</v>
      </c>
      <c r="AD219" s="185">
        <v>0.0</v>
      </c>
      <c r="AE219" s="185">
        <v>0.0</v>
      </c>
      <c r="AF219" s="185">
        <v>0.0</v>
      </c>
      <c r="AG219" s="95">
        <f t="shared" si="58"/>
        <v>0</v>
      </c>
    </row>
    <row r="220" outlineLevel="1">
      <c r="A220" s="213" t="s">
        <v>580</v>
      </c>
      <c r="B220" s="165">
        <v>0.0</v>
      </c>
      <c r="C220" s="165">
        <v>0.0</v>
      </c>
      <c r="D220" s="165">
        <v>0.0</v>
      </c>
      <c r="E220" s="165">
        <v>0.0</v>
      </c>
      <c r="F220" s="165">
        <v>0.0</v>
      </c>
      <c r="G220" s="185">
        <v>0.0</v>
      </c>
      <c r="H220" s="185">
        <v>0.0</v>
      </c>
      <c r="I220" s="185">
        <v>0.0</v>
      </c>
      <c r="J220" s="185">
        <v>0.0</v>
      </c>
      <c r="K220" s="185">
        <v>0.0</v>
      </c>
      <c r="L220" s="185">
        <v>0.0</v>
      </c>
      <c r="M220" s="185">
        <v>0.0</v>
      </c>
      <c r="N220" s="185">
        <v>0.0</v>
      </c>
      <c r="O220" s="185">
        <v>0.0</v>
      </c>
      <c r="P220" s="165">
        <v>0.0</v>
      </c>
      <c r="Q220" s="165">
        <v>0.0</v>
      </c>
      <c r="R220" s="165">
        <v>0.0</v>
      </c>
      <c r="S220" s="185">
        <v>0.0</v>
      </c>
      <c r="T220" s="185">
        <v>0.0</v>
      </c>
      <c r="U220" s="185">
        <v>0.0</v>
      </c>
      <c r="V220" s="185">
        <v>0.0</v>
      </c>
      <c r="W220" s="185">
        <v>0.0</v>
      </c>
      <c r="X220" s="185">
        <v>0.0</v>
      </c>
      <c r="Y220" s="185">
        <v>0.0</v>
      </c>
      <c r="Z220" s="185">
        <v>0.0</v>
      </c>
      <c r="AA220" s="185">
        <v>0.0</v>
      </c>
      <c r="AB220" s="185">
        <v>0.0</v>
      </c>
      <c r="AC220" s="185">
        <v>0.0</v>
      </c>
      <c r="AD220" s="185">
        <v>0.0</v>
      </c>
      <c r="AE220" s="185">
        <v>0.0</v>
      </c>
      <c r="AF220" s="185">
        <v>0.0</v>
      </c>
      <c r="AG220" s="95">
        <f t="shared" si="58"/>
        <v>0</v>
      </c>
    </row>
    <row r="221" outlineLevel="1">
      <c r="A221" s="349"/>
      <c r="B221" s="165"/>
      <c r="C221" s="165"/>
      <c r="D221" s="165"/>
      <c r="E221" s="165"/>
      <c r="F221" s="165"/>
      <c r="G221" s="185">
        <v>0.0</v>
      </c>
      <c r="H221" s="185">
        <v>0.0</v>
      </c>
      <c r="I221" s="185">
        <v>0.0</v>
      </c>
      <c r="J221" s="185">
        <v>0.0</v>
      </c>
      <c r="K221" s="185">
        <v>0.0</v>
      </c>
      <c r="L221" s="185">
        <v>0.0</v>
      </c>
      <c r="M221" s="185">
        <v>0.0</v>
      </c>
      <c r="N221" s="185">
        <v>0.0</v>
      </c>
      <c r="O221" s="185">
        <v>0.0</v>
      </c>
      <c r="P221" s="165"/>
      <c r="Q221" s="165"/>
      <c r="R221" s="165"/>
      <c r="S221" s="165"/>
      <c r="T221" s="165"/>
      <c r="U221" s="165"/>
      <c r="V221" s="418"/>
      <c r="W221" s="165"/>
      <c r="X221" s="165"/>
      <c r="Y221" s="165"/>
      <c r="Z221" s="165"/>
      <c r="AA221" s="165"/>
      <c r="AB221" s="165"/>
      <c r="AC221" s="418"/>
      <c r="AD221" s="418"/>
      <c r="AE221" s="418"/>
      <c r="AF221" s="418"/>
      <c r="AG221" s="95">
        <f t="shared" si="58"/>
        <v>0</v>
      </c>
    </row>
    <row r="222" outlineLevel="1">
      <c r="A222" s="350" t="s">
        <v>581</v>
      </c>
      <c r="B222" s="346">
        <v>0.0</v>
      </c>
      <c r="C222" s="346">
        <v>0.0</v>
      </c>
      <c r="D222" s="346">
        <v>0.0</v>
      </c>
      <c r="E222" s="346">
        <v>0.0</v>
      </c>
      <c r="F222" s="346">
        <v>0.0</v>
      </c>
      <c r="G222" s="330">
        <v>0.0</v>
      </c>
      <c r="H222" s="330">
        <v>0.0</v>
      </c>
      <c r="I222" s="330">
        <v>0.0</v>
      </c>
      <c r="J222" s="330">
        <v>0.0</v>
      </c>
      <c r="K222" s="330">
        <v>0.0</v>
      </c>
      <c r="L222" s="330">
        <v>0.0</v>
      </c>
      <c r="M222" s="330">
        <v>0.0</v>
      </c>
      <c r="N222" s="330">
        <v>0.0</v>
      </c>
      <c r="O222" s="330">
        <v>0.0</v>
      </c>
      <c r="P222" s="346">
        <v>0.0</v>
      </c>
      <c r="Q222" s="346">
        <v>0.0</v>
      </c>
      <c r="R222" s="346">
        <v>0.0</v>
      </c>
      <c r="S222" s="346">
        <v>0.0</v>
      </c>
      <c r="T222" s="346">
        <v>0.0</v>
      </c>
      <c r="U222" s="346">
        <v>0.0</v>
      </c>
      <c r="V222" s="330">
        <v>0.0</v>
      </c>
      <c r="W222" s="346">
        <v>0.0</v>
      </c>
      <c r="X222" s="346">
        <v>0.0</v>
      </c>
      <c r="Y222" s="346">
        <v>0.0</v>
      </c>
      <c r="Z222" s="346">
        <v>0.0</v>
      </c>
      <c r="AA222" s="346">
        <v>0.0</v>
      </c>
      <c r="AB222" s="330">
        <v>0.0</v>
      </c>
      <c r="AC222" s="330">
        <v>0.0</v>
      </c>
      <c r="AD222" s="330">
        <v>0.0</v>
      </c>
      <c r="AE222" s="330">
        <v>0.0</v>
      </c>
      <c r="AF222" s="330">
        <v>0.0</v>
      </c>
      <c r="AG222" s="95">
        <f t="shared" si="58"/>
        <v>0</v>
      </c>
    </row>
    <row r="223" outlineLevel="1">
      <c r="A223" s="100"/>
      <c r="B223" s="130"/>
      <c r="C223" s="130"/>
      <c r="D223" s="130"/>
      <c r="E223" s="130"/>
      <c r="F223" s="130"/>
      <c r="G223" s="130"/>
      <c r="H223" s="429"/>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397"/>
    </row>
    <row r="224" outlineLevel="1">
      <c r="A224" s="430"/>
      <c r="B224" s="431"/>
      <c r="C224" s="431"/>
      <c r="D224" s="431"/>
      <c r="E224" s="431"/>
      <c r="F224" s="431"/>
      <c r="G224" s="431"/>
      <c r="H224" s="431"/>
      <c r="I224" s="431"/>
      <c r="J224" s="431"/>
      <c r="K224" s="431"/>
      <c r="L224" s="431"/>
      <c r="M224" s="431"/>
      <c r="N224" s="431"/>
      <c r="O224" s="431"/>
      <c r="P224" s="431"/>
      <c r="Q224" s="431"/>
      <c r="R224" s="431"/>
      <c r="S224" s="431"/>
      <c r="T224" s="431"/>
      <c r="U224" s="431"/>
      <c r="V224" s="431"/>
      <c r="W224" s="431"/>
      <c r="X224" s="431"/>
      <c r="Y224" s="431"/>
      <c r="Z224" s="431"/>
      <c r="AA224" s="431"/>
      <c r="AB224" s="431"/>
      <c r="AC224" s="431"/>
      <c r="AD224" s="431"/>
      <c r="AE224" s="431"/>
      <c r="AF224" s="431"/>
      <c r="AG224" s="408"/>
    </row>
    <row r="225">
      <c r="A225" s="172"/>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408"/>
    </row>
    <row r="226" ht="22.5" customHeight="1">
      <c r="A226" s="432"/>
      <c r="B226" s="433"/>
      <c r="C226" s="433"/>
      <c r="D226" s="433"/>
      <c r="E226" s="433"/>
      <c r="F226" s="433"/>
      <c r="G226" s="433"/>
      <c r="H226" s="433"/>
      <c r="I226" s="433"/>
      <c r="J226" s="433"/>
      <c r="K226" s="433"/>
      <c r="L226" s="433"/>
      <c r="M226" s="433"/>
      <c r="N226" s="433"/>
      <c r="O226" s="433"/>
      <c r="P226" s="433"/>
      <c r="Q226" s="433"/>
      <c r="R226" s="433"/>
      <c r="S226" s="433"/>
      <c r="T226" s="433"/>
      <c r="U226" s="433"/>
      <c r="V226" s="433"/>
      <c r="W226" s="433"/>
      <c r="X226" s="433"/>
      <c r="Y226" s="433"/>
      <c r="Z226" s="433"/>
      <c r="AA226" s="433"/>
      <c r="AB226" s="433"/>
      <c r="AC226" s="433"/>
      <c r="AD226" s="433"/>
      <c r="AE226" s="434"/>
      <c r="AF226" s="434"/>
      <c r="AG226" s="408"/>
    </row>
    <row r="227">
      <c r="A227" s="172"/>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408"/>
    </row>
    <row r="228">
      <c r="A228" s="141" t="s">
        <v>732</v>
      </c>
      <c r="B228" s="159"/>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397"/>
    </row>
    <row r="229" outlineLevel="1">
      <c r="A229" s="379" t="s">
        <v>733</v>
      </c>
      <c r="B229" s="86">
        <v>0.0</v>
      </c>
      <c r="C229" s="86">
        <v>0.0</v>
      </c>
      <c r="D229" s="86">
        <v>0.0</v>
      </c>
      <c r="E229" s="86">
        <v>0.0</v>
      </c>
      <c r="F229" s="86">
        <v>0.0</v>
      </c>
      <c r="G229" s="86">
        <v>0.0</v>
      </c>
      <c r="H229" s="86">
        <v>0.0</v>
      </c>
      <c r="I229" s="86">
        <v>0.0</v>
      </c>
      <c r="J229" s="86">
        <v>0.0</v>
      </c>
      <c r="K229" s="86">
        <v>0.0</v>
      </c>
      <c r="L229" s="86">
        <v>0.0</v>
      </c>
      <c r="M229" s="86">
        <v>0.0</v>
      </c>
      <c r="N229" s="86"/>
      <c r="O229" s="86"/>
      <c r="P229" s="86"/>
      <c r="Q229" s="86"/>
      <c r="R229" s="86"/>
      <c r="S229" s="86"/>
      <c r="T229" s="86"/>
      <c r="U229" s="86"/>
      <c r="V229" s="86"/>
      <c r="W229" s="86"/>
      <c r="X229" s="86"/>
      <c r="Y229" s="86"/>
      <c r="Z229" s="161"/>
      <c r="AA229" s="86"/>
      <c r="AB229" s="86"/>
      <c r="AC229" s="161"/>
      <c r="AD229" s="161"/>
      <c r="AE229" s="161"/>
      <c r="AF229" s="161"/>
      <c r="AG229" s="397">
        <f t="shared" ref="AG229:AG233" si="59">sum(B229:AD229)</f>
        <v>0</v>
      </c>
    </row>
    <row r="230" outlineLevel="1">
      <c r="A230" s="379" t="s">
        <v>734</v>
      </c>
      <c r="B230" s="86">
        <v>0.0</v>
      </c>
      <c r="C230" s="86">
        <v>0.0</v>
      </c>
      <c r="D230" s="86">
        <v>0.0</v>
      </c>
      <c r="E230" s="86">
        <v>0.0</v>
      </c>
      <c r="F230" s="86">
        <v>0.0</v>
      </c>
      <c r="G230" s="86">
        <v>0.0</v>
      </c>
      <c r="H230" s="86">
        <v>0.0</v>
      </c>
      <c r="I230" s="86">
        <v>0.0</v>
      </c>
      <c r="J230" s="86">
        <v>0.0</v>
      </c>
      <c r="K230" s="86">
        <v>0.0</v>
      </c>
      <c r="L230" s="86">
        <v>0.0</v>
      </c>
      <c r="M230" s="86">
        <v>0.0</v>
      </c>
      <c r="N230" s="86"/>
      <c r="O230" s="86"/>
      <c r="P230" s="86"/>
      <c r="Q230" s="86"/>
      <c r="R230" s="86"/>
      <c r="S230" s="86"/>
      <c r="T230" s="86"/>
      <c r="U230" s="86"/>
      <c r="V230" s="86"/>
      <c r="W230" s="86"/>
      <c r="X230" s="86"/>
      <c r="Y230" s="86"/>
      <c r="Z230" s="161"/>
      <c r="AA230" s="86"/>
      <c r="AB230" s="86"/>
      <c r="AC230" s="161"/>
      <c r="AD230" s="161"/>
      <c r="AE230" s="161"/>
      <c r="AF230" s="161"/>
      <c r="AG230" s="397">
        <f t="shared" si="59"/>
        <v>0</v>
      </c>
    </row>
    <row r="231" outlineLevel="1">
      <c r="A231" s="379" t="s">
        <v>735</v>
      </c>
      <c r="B231" s="86">
        <v>0.0</v>
      </c>
      <c r="C231" s="86">
        <v>0.0</v>
      </c>
      <c r="D231" s="86">
        <v>0.0</v>
      </c>
      <c r="E231" s="86">
        <v>0.0</v>
      </c>
      <c r="F231" s="86">
        <v>0.0</v>
      </c>
      <c r="G231" s="86">
        <v>0.0</v>
      </c>
      <c r="H231" s="86">
        <v>0.0</v>
      </c>
      <c r="I231" s="86">
        <v>0.0</v>
      </c>
      <c r="J231" s="86">
        <v>0.0</v>
      </c>
      <c r="K231" s="86">
        <v>0.0</v>
      </c>
      <c r="L231" s="86">
        <v>0.0</v>
      </c>
      <c r="M231" s="86">
        <v>0.0</v>
      </c>
      <c r="N231" s="86"/>
      <c r="O231" s="86"/>
      <c r="P231" s="86"/>
      <c r="Q231" s="86"/>
      <c r="R231" s="86"/>
      <c r="S231" s="86"/>
      <c r="T231" s="86"/>
      <c r="U231" s="86"/>
      <c r="V231" s="86"/>
      <c r="W231" s="86"/>
      <c r="X231" s="86"/>
      <c r="Y231" s="86"/>
      <c r="Z231" s="162"/>
      <c r="AA231" s="86"/>
      <c r="AB231" s="86"/>
      <c r="AC231" s="86"/>
      <c r="AD231" s="86"/>
      <c r="AE231" s="86"/>
      <c r="AF231" s="86"/>
      <c r="AG231" s="397">
        <f t="shared" si="59"/>
        <v>0</v>
      </c>
    </row>
    <row r="232" outlineLevel="1">
      <c r="A232" s="379" t="s">
        <v>736</v>
      </c>
      <c r="B232" s="86">
        <v>0.0</v>
      </c>
      <c r="C232" s="86">
        <v>0.0</v>
      </c>
      <c r="D232" s="86">
        <v>0.0</v>
      </c>
      <c r="E232" s="86">
        <v>0.0</v>
      </c>
      <c r="F232" s="86">
        <v>0.0</v>
      </c>
      <c r="G232" s="86">
        <v>0.0</v>
      </c>
      <c r="H232" s="86">
        <v>0.0</v>
      </c>
      <c r="I232" s="86">
        <v>0.0</v>
      </c>
      <c r="J232" s="86">
        <v>0.0</v>
      </c>
      <c r="K232" s="86">
        <v>0.0</v>
      </c>
      <c r="L232" s="86">
        <v>0.0</v>
      </c>
      <c r="M232" s="86">
        <v>0.0</v>
      </c>
      <c r="N232" s="86"/>
      <c r="O232" s="86"/>
      <c r="P232" s="86"/>
      <c r="Q232" s="86"/>
      <c r="R232" s="86"/>
      <c r="S232" s="86"/>
      <c r="T232" s="86"/>
      <c r="U232" s="86"/>
      <c r="V232" s="86"/>
      <c r="W232" s="86"/>
      <c r="X232" s="86"/>
      <c r="Y232" s="86"/>
      <c r="Z232" s="162"/>
      <c r="AA232" s="86"/>
      <c r="AB232" s="86"/>
      <c r="AC232" s="86"/>
      <c r="AD232" s="86"/>
      <c r="AE232" s="86"/>
      <c r="AF232" s="86"/>
      <c r="AG232" s="397">
        <f t="shared" si="59"/>
        <v>0</v>
      </c>
    </row>
    <row r="233" outlineLevel="1">
      <c r="A233" s="435" t="s">
        <v>504</v>
      </c>
      <c r="B233" s="436">
        <f t="shared" ref="B233:AF233" si="60">SUM(B229:B232)</f>
        <v>0</v>
      </c>
      <c r="C233" s="436">
        <f t="shared" si="60"/>
        <v>0</v>
      </c>
      <c r="D233" s="436">
        <f t="shared" si="60"/>
        <v>0</v>
      </c>
      <c r="E233" s="436">
        <f t="shared" si="60"/>
        <v>0</v>
      </c>
      <c r="F233" s="436">
        <f t="shared" si="60"/>
        <v>0</v>
      </c>
      <c r="G233" s="436">
        <f t="shared" si="60"/>
        <v>0</v>
      </c>
      <c r="H233" s="436">
        <f t="shared" si="60"/>
        <v>0</v>
      </c>
      <c r="I233" s="436">
        <f t="shared" si="60"/>
        <v>0</v>
      </c>
      <c r="J233" s="436">
        <f t="shared" si="60"/>
        <v>0</v>
      </c>
      <c r="K233" s="436">
        <f t="shared" si="60"/>
        <v>0</v>
      </c>
      <c r="L233" s="436">
        <f t="shared" si="60"/>
        <v>0</v>
      </c>
      <c r="M233" s="436">
        <f t="shared" si="60"/>
        <v>0</v>
      </c>
      <c r="N233" s="436">
        <f t="shared" si="60"/>
        <v>0</v>
      </c>
      <c r="O233" s="436">
        <f t="shared" si="60"/>
        <v>0</v>
      </c>
      <c r="P233" s="436">
        <f t="shared" si="60"/>
        <v>0</v>
      </c>
      <c r="Q233" s="436">
        <f t="shared" si="60"/>
        <v>0</v>
      </c>
      <c r="R233" s="436">
        <f t="shared" si="60"/>
        <v>0</v>
      </c>
      <c r="S233" s="436">
        <f t="shared" si="60"/>
        <v>0</v>
      </c>
      <c r="T233" s="436">
        <f t="shared" si="60"/>
        <v>0</v>
      </c>
      <c r="U233" s="436">
        <f t="shared" si="60"/>
        <v>0</v>
      </c>
      <c r="V233" s="436">
        <f t="shared" si="60"/>
        <v>0</v>
      </c>
      <c r="W233" s="436">
        <f t="shared" si="60"/>
        <v>0</v>
      </c>
      <c r="X233" s="436">
        <f t="shared" si="60"/>
        <v>0</v>
      </c>
      <c r="Y233" s="436">
        <f t="shared" si="60"/>
        <v>0</v>
      </c>
      <c r="Z233" s="436">
        <f t="shared" si="60"/>
        <v>0</v>
      </c>
      <c r="AA233" s="436">
        <f t="shared" si="60"/>
        <v>0</v>
      </c>
      <c r="AB233" s="436">
        <f t="shared" si="60"/>
        <v>0</v>
      </c>
      <c r="AC233" s="436">
        <f t="shared" si="60"/>
        <v>0</v>
      </c>
      <c r="AD233" s="436">
        <f t="shared" si="60"/>
        <v>0</v>
      </c>
      <c r="AE233" s="436">
        <f t="shared" si="60"/>
        <v>0</v>
      </c>
      <c r="AF233" s="436">
        <f t="shared" si="60"/>
        <v>0</v>
      </c>
      <c r="AG233" s="397">
        <f t="shared" si="59"/>
        <v>0</v>
      </c>
    </row>
    <row r="234" outlineLevel="1">
      <c r="A234" s="100"/>
      <c r="B234" s="167"/>
      <c r="C234" s="167"/>
      <c r="D234" s="167"/>
      <c r="E234" s="167"/>
      <c r="F234" s="167"/>
      <c r="G234" s="167"/>
      <c r="H234" s="167"/>
      <c r="I234" s="167"/>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437"/>
    </row>
    <row r="235" outlineLevel="1">
      <c r="A235" s="379" t="s">
        <v>131</v>
      </c>
      <c r="B235" s="159">
        <v>0.0</v>
      </c>
      <c r="C235" s="159">
        <v>0.0</v>
      </c>
      <c r="D235" s="159">
        <v>0.0</v>
      </c>
      <c r="E235" s="159">
        <v>0.0</v>
      </c>
      <c r="F235" s="159">
        <v>0.0</v>
      </c>
      <c r="G235" s="159">
        <v>0.0</v>
      </c>
      <c r="H235" s="159">
        <v>0.0</v>
      </c>
      <c r="I235" s="159">
        <v>0.0</v>
      </c>
      <c r="J235" s="159">
        <v>0.0</v>
      </c>
      <c r="K235" s="159">
        <v>0.0</v>
      </c>
      <c r="L235" s="159">
        <v>0.0</v>
      </c>
      <c r="M235" s="159">
        <v>0.0</v>
      </c>
      <c r="N235" s="159"/>
      <c r="O235" s="159"/>
      <c r="P235" s="159"/>
      <c r="Q235" s="159"/>
      <c r="R235" s="159"/>
      <c r="S235" s="159"/>
      <c r="T235" s="159"/>
      <c r="U235" s="159"/>
      <c r="V235" s="86"/>
      <c r="W235" s="86"/>
      <c r="X235" s="86"/>
      <c r="Y235" s="86"/>
      <c r="Z235" s="169"/>
      <c r="AA235" s="86"/>
      <c r="AB235" s="86"/>
      <c r="AC235" s="169"/>
      <c r="AD235" s="169"/>
      <c r="AE235" s="169"/>
      <c r="AF235" s="169"/>
      <c r="AG235" s="397">
        <f t="shared" ref="AG235:AG243" si="61">sum(B235:AD235)</f>
        <v>0</v>
      </c>
    </row>
    <row r="236" outlineLevel="1">
      <c r="A236" s="379" t="s">
        <v>132</v>
      </c>
      <c r="B236" s="159">
        <v>0.0</v>
      </c>
      <c r="C236" s="159">
        <v>0.0</v>
      </c>
      <c r="D236" s="159">
        <v>0.0</v>
      </c>
      <c r="E236" s="159">
        <v>0.0</v>
      </c>
      <c r="F236" s="159">
        <v>0.0</v>
      </c>
      <c r="G236" s="159">
        <v>0.0</v>
      </c>
      <c r="H236" s="159">
        <v>0.0</v>
      </c>
      <c r="I236" s="159">
        <v>0.0</v>
      </c>
      <c r="J236" s="159">
        <v>0.0</v>
      </c>
      <c r="K236" s="159">
        <v>0.0</v>
      </c>
      <c r="L236" s="159">
        <v>0.0</v>
      </c>
      <c r="M236" s="159">
        <v>0.0</v>
      </c>
      <c r="N236" s="159"/>
      <c r="O236" s="159"/>
      <c r="P236" s="159"/>
      <c r="Q236" s="159"/>
      <c r="R236" s="159"/>
      <c r="S236" s="159"/>
      <c r="T236" s="159"/>
      <c r="U236" s="159"/>
      <c r="V236" s="86"/>
      <c r="W236" s="86"/>
      <c r="X236" s="86"/>
      <c r="Y236" s="86"/>
      <c r="Z236" s="161"/>
      <c r="AA236" s="166"/>
      <c r="AB236" s="86"/>
      <c r="AC236" s="166"/>
      <c r="AD236" s="166"/>
      <c r="AE236" s="166"/>
      <c r="AF236" s="166"/>
      <c r="AG236" s="397">
        <f t="shared" si="61"/>
        <v>0</v>
      </c>
    </row>
    <row r="237" outlineLevel="1">
      <c r="A237" s="379" t="s">
        <v>737</v>
      </c>
      <c r="B237" s="159">
        <v>0.0</v>
      </c>
      <c r="C237" s="159">
        <v>0.0</v>
      </c>
      <c r="D237" s="159">
        <v>0.0</v>
      </c>
      <c r="E237" s="159">
        <v>0.0</v>
      </c>
      <c r="F237" s="159">
        <v>0.0</v>
      </c>
      <c r="G237" s="159">
        <v>0.0</v>
      </c>
      <c r="H237" s="159">
        <v>0.0</v>
      </c>
      <c r="I237" s="159">
        <v>0.0</v>
      </c>
      <c r="J237" s="159">
        <v>0.0</v>
      </c>
      <c r="K237" s="159">
        <v>0.0</v>
      </c>
      <c r="L237" s="159">
        <v>0.0</v>
      </c>
      <c r="M237" s="159">
        <v>0.0</v>
      </c>
      <c r="N237" s="159"/>
      <c r="O237" s="159"/>
      <c r="P237" s="159"/>
      <c r="Q237" s="159"/>
      <c r="R237" s="159"/>
      <c r="S237" s="159"/>
      <c r="T237" s="159"/>
      <c r="U237" s="159"/>
      <c r="V237" s="159"/>
      <c r="W237" s="159"/>
      <c r="X237" s="159"/>
      <c r="Y237" s="159"/>
      <c r="Z237" s="170"/>
      <c r="AA237" s="159"/>
      <c r="AB237" s="159"/>
      <c r="AC237" s="170"/>
      <c r="AD237" s="170"/>
      <c r="AE237" s="170"/>
      <c r="AF237" s="170"/>
      <c r="AG237" s="397">
        <f t="shared" si="61"/>
        <v>0</v>
      </c>
    </row>
    <row r="238" outlineLevel="1">
      <c r="A238" s="379" t="s">
        <v>738</v>
      </c>
      <c r="B238" s="158">
        <v>0.0</v>
      </c>
      <c r="C238" s="158">
        <v>0.0</v>
      </c>
      <c r="D238" s="158">
        <v>0.0</v>
      </c>
      <c r="E238" s="158">
        <v>0.0</v>
      </c>
      <c r="F238" s="158">
        <v>0.0</v>
      </c>
      <c r="G238" s="158">
        <v>0.0</v>
      </c>
      <c r="H238" s="158">
        <v>0.0</v>
      </c>
      <c r="I238" s="158">
        <v>0.0</v>
      </c>
      <c r="J238" s="158">
        <v>0.0</v>
      </c>
      <c r="K238" s="158">
        <v>0.0</v>
      </c>
      <c r="L238" s="158">
        <v>0.0</v>
      </c>
      <c r="M238" s="158">
        <v>0.0</v>
      </c>
      <c r="N238" s="158"/>
      <c r="O238" s="158"/>
      <c r="P238" s="158"/>
      <c r="Q238" s="158"/>
      <c r="R238" s="158"/>
      <c r="S238" s="158"/>
      <c r="T238" s="158"/>
      <c r="U238" s="158"/>
      <c r="V238" s="159"/>
      <c r="W238" s="159"/>
      <c r="X238" s="159"/>
      <c r="Y238" s="159"/>
      <c r="Z238" s="170"/>
      <c r="AA238" s="159"/>
      <c r="AB238" s="159"/>
      <c r="AC238" s="170"/>
      <c r="AD238" s="170"/>
      <c r="AE238" s="170"/>
      <c r="AF238" s="170"/>
      <c r="AG238" s="397">
        <f t="shared" si="61"/>
        <v>0</v>
      </c>
    </row>
    <row r="239" outlineLevel="1">
      <c r="A239" s="379" t="s">
        <v>739</v>
      </c>
      <c r="B239" s="159">
        <v>0.0</v>
      </c>
      <c r="C239" s="159">
        <v>0.0</v>
      </c>
      <c r="D239" s="159">
        <v>0.0</v>
      </c>
      <c r="E239" s="159">
        <v>0.0</v>
      </c>
      <c r="F239" s="159">
        <v>0.0</v>
      </c>
      <c r="G239" s="159">
        <v>0.0</v>
      </c>
      <c r="H239" s="159">
        <v>0.0</v>
      </c>
      <c r="I239" s="159">
        <v>0.0</v>
      </c>
      <c r="J239" s="159">
        <v>0.0</v>
      </c>
      <c r="K239" s="159">
        <v>0.0</v>
      </c>
      <c r="L239" s="159">
        <v>0.0</v>
      </c>
      <c r="M239" s="159">
        <v>0.0</v>
      </c>
      <c r="N239" s="159"/>
      <c r="O239" s="159"/>
      <c r="P239" s="159"/>
      <c r="Q239" s="159"/>
      <c r="R239" s="159"/>
      <c r="S239" s="159"/>
      <c r="T239" s="159"/>
      <c r="U239" s="159"/>
      <c r="V239" s="159"/>
      <c r="W239" s="159"/>
      <c r="X239" s="159"/>
      <c r="Y239" s="159"/>
      <c r="Z239" s="159"/>
      <c r="AA239" s="86"/>
      <c r="AB239" s="159"/>
      <c r="AC239" s="170"/>
      <c r="AD239" s="170"/>
      <c r="AE239" s="170"/>
      <c r="AF239" s="170"/>
      <c r="AG239" s="397">
        <f t="shared" si="61"/>
        <v>0</v>
      </c>
    </row>
    <row r="240" outlineLevel="1">
      <c r="A240" s="379" t="s">
        <v>740</v>
      </c>
      <c r="B240" s="158">
        <v>0.0</v>
      </c>
      <c r="C240" s="158">
        <v>0.0</v>
      </c>
      <c r="D240" s="158">
        <v>0.0</v>
      </c>
      <c r="E240" s="158">
        <v>0.0</v>
      </c>
      <c r="F240" s="158">
        <v>0.0</v>
      </c>
      <c r="G240" s="158">
        <v>0.0</v>
      </c>
      <c r="H240" s="158">
        <v>0.0</v>
      </c>
      <c r="I240" s="158">
        <v>0.0</v>
      </c>
      <c r="J240" s="158">
        <v>0.0</v>
      </c>
      <c r="K240" s="158">
        <v>0.0</v>
      </c>
      <c r="L240" s="158">
        <v>0.0</v>
      </c>
      <c r="M240" s="158">
        <v>0.0</v>
      </c>
      <c r="N240" s="158"/>
      <c r="O240" s="158"/>
      <c r="P240" s="158"/>
      <c r="Q240" s="158"/>
      <c r="R240" s="158"/>
      <c r="S240" s="158"/>
      <c r="T240" s="158"/>
      <c r="U240" s="158"/>
      <c r="V240" s="159"/>
      <c r="W240" s="159"/>
      <c r="X240" s="159"/>
      <c r="Y240" s="159"/>
      <c r="Z240" s="159"/>
      <c r="AA240" s="86"/>
      <c r="AB240" s="159"/>
      <c r="AC240" s="170"/>
      <c r="AD240" s="170"/>
      <c r="AE240" s="170"/>
      <c r="AF240" s="170"/>
      <c r="AG240" s="397">
        <f t="shared" si="61"/>
        <v>0</v>
      </c>
    </row>
    <row r="241" outlineLevel="1">
      <c r="A241" s="379" t="s">
        <v>741</v>
      </c>
      <c r="B241" s="159">
        <v>0.0</v>
      </c>
      <c r="C241" s="159">
        <v>0.0</v>
      </c>
      <c r="D241" s="159">
        <v>0.0</v>
      </c>
      <c r="E241" s="159">
        <v>0.0</v>
      </c>
      <c r="F241" s="159">
        <v>0.0</v>
      </c>
      <c r="G241" s="159">
        <v>0.0</v>
      </c>
      <c r="H241" s="159">
        <v>0.0</v>
      </c>
      <c r="I241" s="159">
        <v>0.0</v>
      </c>
      <c r="J241" s="159">
        <v>0.0</v>
      </c>
      <c r="K241" s="159">
        <v>0.0</v>
      </c>
      <c r="L241" s="159">
        <v>0.0</v>
      </c>
      <c r="M241" s="159">
        <v>0.0</v>
      </c>
      <c r="N241" s="159"/>
      <c r="O241" s="159"/>
      <c r="P241" s="159"/>
      <c r="Q241" s="159"/>
      <c r="R241" s="159"/>
      <c r="S241" s="159"/>
      <c r="T241" s="159"/>
      <c r="U241" s="159"/>
      <c r="V241" s="159"/>
      <c r="W241" s="159"/>
      <c r="X241" s="159"/>
      <c r="Y241" s="159"/>
      <c r="Z241" s="159"/>
      <c r="AA241" s="86"/>
      <c r="AB241" s="159"/>
      <c r="AC241" s="170"/>
      <c r="AD241" s="170"/>
      <c r="AE241" s="170"/>
      <c r="AF241" s="170"/>
      <c r="AG241" s="397">
        <f t="shared" si="61"/>
        <v>0</v>
      </c>
    </row>
    <row r="242" outlineLevel="1">
      <c r="A242" s="379" t="s">
        <v>742</v>
      </c>
      <c r="B242" s="159">
        <v>0.0</v>
      </c>
      <c r="C242" s="159">
        <v>0.0</v>
      </c>
      <c r="D242" s="159">
        <v>0.0</v>
      </c>
      <c r="E242" s="159">
        <v>0.0</v>
      </c>
      <c r="F242" s="159">
        <v>0.0</v>
      </c>
      <c r="G242" s="159">
        <v>0.0</v>
      </c>
      <c r="H242" s="159">
        <v>0.0</v>
      </c>
      <c r="I242" s="159">
        <v>0.0</v>
      </c>
      <c r="J242" s="159">
        <v>0.0</v>
      </c>
      <c r="K242" s="159">
        <v>0.0</v>
      </c>
      <c r="L242" s="159">
        <v>0.0</v>
      </c>
      <c r="M242" s="159">
        <v>0.0</v>
      </c>
      <c r="N242" s="159"/>
      <c r="O242" s="159"/>
      <c r="P242" s="159"/>
      <c r="Q242" s="159"/>
      <c r="R242" s="159"/>
      <c r="S242" s="159"/>
      <c r="T242" s="159"/>
      <c r="U242" s="159"/>
      <c r="V242" s="159"/>
      <c r="W242" s="159"/>
      <c r="X242" s="159"/>
      <c r="Y242" s="159"/>
      <c r="Z242" s="159"/>
      <c r="AA242" s="86"/>
      <c r="AB242" s="159"/>
      <c r="AC242" s="170"/>
      <c r="AD242" s="170"/>
      <c r="AE242" s="170"/>
      <c r="AF242" s="170"/>
      <c r="AG242" s="397">
        <f t="shared" si="61"/>
        <v>0</v>
      </c>
    </row>
    <row r="243" outlineLevel="1">
      <c r="A243" s="435" t="s">
        <v>115</v>
      </c>
      <c r="B243" s="436">
        <f t="shared" ref="B243:AF243" si="62">SUM(B235:B242)</f>
        <v>0</v>
      </c>
      <c r="C243" s="436">
        <f t="shared" si="62"/>
        <v>0</v>
      </c>
      <c r="D243" s="436">
        <f t="shared" si="62"/>
        <v>0</v>
      </c>
      <c r="E243" s="436">
        <f t="shared" si="62"/>
        <v>0</v>
      </c>
      <c r="F243" s="436">
        <f t="shared" si="62"/>
        <v>0</v>
      </c>
      <c r="G243" s="436">
        <f t="shared" si="62"/>
        <v>0</v>
      </c>
      <c r="H243" s="436">
        <f t="shared" si="62"/>
        <v>0</v>
      </c>
      <c r="I243" s="436">
        <f t="shared" si="62"/>
        <v>0</v>
      </c>
      <c r="J243" s="436">
        <f t="shared" si="62"/>
        <v>0</v>
      </c>
      <c r="K243" s="436">
        <f t="shared" si="62"/>
        <v>0</v>
      </c>
      <c r="L243" s="436">
        <f t="shared" si="62"/>
        <v>0</v>
      </c>
      <c r="M243" s="436">
        <f t="shared" si="62"/>
        <v>0</v>
      </c>
      <c r="N243" s="436">
        <f t="shared" si="62"/>
        <v>0</v>
      </c>
      <c r="O243" s="436">
        <f t="shared" si="62"/>
        <v>0</v>
      </c>
      <c r="P243" s="436">
        <f t="shared" si="62"/>
        <v>0</v>
      </c>
      <c r="Q243" s="436">
        <f t="shared" si="62"/>
        <v>0</v>
      </c>
      <c r="R243" s="436">
        <f t="shared" si="62"/>
        <v>0</v>
      </c>
      <c r="S243" s="436">
        <f t="shared" si="62"/>
        <v>0</v>
      </c>
      <c r="T243" s="436">
        <f t="shared" si="62"/>
        <v>0</v>
      </c>
      <c r="U243" s="436">
        <f t="shared" si="62"/>
        <v>0</v>
      </c>
      <c r="V243" s="436">
        <f t="shared" si="62"/>
        <v>0</v>
      </c>
      <c r="W243" s="436">
        <f t="shared" si="62"/>
        <v>0</v>
      </c>
      <c r="X243" s="436">
        <f t="shared" si="62"/>
        <v>0</v>
      </c>
      <c r="Y243" s="436">
        <f t="shared" si="62"/>
        <v>0</v>
      </c>
      <c r="Z243" s="436">
        <f t="shared" si="62"/>
        <v>0</v>
      </c>
      <c r="AA243" s="436">
        <f t="shared" si="62"/>
        <v>0</v>
      </c>
      <c r="AB243" s="436">
        <f t="shared" si="62"/>
        <v>0</v>
      </c>
      <c r="AC243" s="436">
        <f t="shared" si="62"/>
        <v>0</v>
      </c>
      <c r="AD243" s="436">
        <f t="shared" si="62"/>
        <v>0</v>
      </c>
      <c r="AE243" s="436">
        <f t="shared" si="62"/>
        <v>0</v>
      </c>
      <c r="AF243" s="436">
        <f t="shared" si="62"/>
        <v>0</v>
      </c>
      <c r="AG243" s="397">
        <f t="shared" si="61"/>
        <v>0</v>
      </c>
    </row>
    <row r="244">
      <c r="A244" s="172"/>
      <c r="AG244" s="406"/>
    </row>
    <row r="245">
      <c r="A245" s="438" t="s">
        <v>387</v>
      </c>
      <c r="B245" s="439"/>
      <c r="C245" s="439"/>
      <c r="D245" s="439"/>
      <c r="E245" s="439"/>
      <c r="F245" s="439"/>
      <c r="G245" s="439"/>
      <c r="H245" s="439"/>
      <c r="I245" s="439"/>
      <c r="J245" s="439"/>
      <c r="K245" s="439"/>
      <c r="L245" s="439"/>
      <c r="M245" s="439"/>
      <c r="N245" s="439"/>
      <c r="O245" s="439"/>
      <c r="P245" s="439"/>
      <c r="Q245" s="439"/>
      <c r="R245" s="439"/>
      <c r="S245" s="439"/>
      <c r="T245" s="439"/>
      <c r="U245" s="439"/>
      <c r="V245" s="439"/>
      <c r="W245" s="439"/>
      <c r="X245" s="439"/>
      <c r="Y245" s="439"/>
      <c r="Z245" s="439"/>
      <c r="AA245" s="439"/>
      <c r="AB245" s="439"/>
      <c r="AC245" s="439"/>
      <c r="AD245" s="439"/>
      <c r="AE245" s="439"/>
      <c r="AF245" s="439"/>
      <c r="AG245" s="408"/>
    </row>
    <row r="246">
      <c r="A246" s="440" t="s">
        <v>388</v>
      </c>
      <c r="B246" s="441">
        <v>0.0</v>
      </c>
      <c r="C246" s="441">
        <v>0.0</v>
      </c>
      <c r="D246" s="441">
        <v>0.0</v>
      </c>
      <c r="E246" s="441">
        <v>0.0</v>
      </c>
      <c r="F246" s="441">
        <v>0.0</v>
      </c>
      <c r="G246" s="441">
        <v>0.0</v>
      </c>
      <c r="H246" s="441">
        <v>0.0</v>
      </c>
      <c r="I246" s="441">
        <v>0.0</v>
      </c>
      <c r="J246" s="441">
        <v>0.0</v>
      </c>
      <c r="K246" s="441">
        <v>0.0</v>
      </c>
      <c r="L246" s="441">
        <v>0.0</v>
      </c>
      <c r="M246" s="441">
        <v>0.0</v>
      </c>
      <c r="N246" s="441">
        <v>0.0</v>
      </c>
      <c r="O246" s="441">
        <v>0.0</v>
      </c>
      <c r="P246" s="441">
        <v>0.0</v>
      </c>
      <c r="Q246" s="441">
        <v>0.0</v>
      </c>
      <c r="R246" s="441">
        <v>0.0</v>
      </c>
      <c r="S246" s="441">
        <v>0.0</v>
      </c>
      <c r="T246" s="441">
        <v>0.0</v>
      </c>
      <c r="U246" s="441">
        <v>0.0</v>
      </c>
      <c r="V246" s="441">
        <v>0.0</v>
      </c>
      <c r="W246" s="441">
        <v>0.0</v>
      </c>
      <c r="X246" s="441">
        <v>0.0</v>
      </c>
      <c r="Y246" s="441">
        <v>0.0</v>
      </c>
      <c r="Z246" s="441">
        <v>0.0</v>
      </c>
      <c r="AA246" s="441">
        <v>0.0</v>
      </c>
      <c r="AB246" s="441">
        <v>0.0</v>
      </c>
      <c r="AC246" s="441">
        <v>0.0</v>
      </c>
      <c r="AD246" s="441">
        <v>0.0</v>
      </c>
      <c r="AE246" s="441">
        <v>0.0</v>
      </c>
      <c r="AF246" s="441">
        <v>0.0</v>
      </c>
      <c r="AG246" s="95">
        <f t="shared" ref="AG246:AG260" si="64">SUM(B246:AF246)</f>
        <v>0</v>
      </c>
    </row>
    <row r="247">
      <c r="A247" s="440" t="s">
        <v>743</v>
      </c>
      <c r="B247" s="137">
        <f t="shared" ref="B247:AF247" si="63">B122+B10</f>
        <v>80.6621544</v>
      </c>
      <c r="C247" s="137">
        <f t="shared" si="63"/>
        <v>44.5766772</v>
      </c>
      <c r="D247" s="137">
        <f t="shared" si="63"/>
        <v>0</v>
      </c>
      <c r="E247" s="137">
        <f t="shared" si="63"/>
        <v>0</v>
      </c>
      <c r="F247" s="137">
        <f t="shared" si="63"/>
        <v>0</v>
      </c>
      <c r="G247" s="137">
        <f t="shared" si="63"/>
        <v>44.5766772</v>
      </c>
      <c r="H247" s="137">
        <f t="shared" si="63"/>
        <v>47.60379</v>
      </c>
      <c r="I247" s="137">
        <f t="shared" si="63"/>
        <v>89.1533544</v>
      </c>
      <c r="J247" s="137">
        <f t="shared" si="63"/>
        <v>0</v>
      </c>
      <c r="K247" s="137">
        <f t="shared" si="63"/>
        <v>214.392186</v>
      </c>
      <c r="L247" s="137">
        <f t="shared" si="63"/>
        <v>92.1804672</v>
      </c>
      <c r="M247" s="137">
        <f t="shared" si="63"/>
        <v>44.5766772</v>
      </c>
      <c r="N247" s="137">
        <f t="shared" si="63"/>
        <v>0</v>
      </c>
      <c r="O247" s="137">
        <f t="shared" si="63"/>
        <v>0</v>
      </c>
      <c r="P247" s="137">
        <f t="shared" si="63"/>
        <v>0</v>
      </c>
      <c r="Q247" s="137">
        <f t="shared" si="63"/>
        <v>0</v>
      </c>
      <c r="R247" s="137">
        <f t="shared" si="63"/>
        <v>0</v>
      </c>
      <c r="S247" s="137">
        <f t="shared" si="63"/>
        <v>0</v>
      </c>
      <c r="T247" s="137">
        <f t="shared" si="63"/>
        <v>0</v>
      </c>
      <c r="U247" s="137">
        <f t="shared" si="63"/>
        <v>0</v>
      </c>
      <c r="V247" s="137">
        <f t="shared" si="63"/>
        <v>0</v>
      </c>
      <c r="W247" s="137">
        <f t="shared" si="63"/>
        <v>0</v>
      </c>
      <c r="X247" s="137">
        <f t="shared" si="63"/>
        <v>0</v>
      </c>
      <c r="Y247" s="137">
        <f t="shared" si="63"/>
        <v>0</v>
      </c>
      <c r="Z247" s="137">
        <f t="shared" si="63"/>
        <v>76.10238</v>
      </c>
      <c r="AA247" s="137">
        <f t="shared" si="63"/>
        <v>0</v>
      </c>
      <c r="AB247" s="137">
        <f t="shared" si="63"/>
        <v>0</v>
      </c>
      <c r="AC247" s="137">
        <f t="shared" si="63"/>
        <v>63.6818772</v>
      </c>
      <c r="AD247" s="137">
        <f t="shared" si="63"/>
        <v>0</v>
      </c>
      <c r="AE247" s="137">
        <f t="shared" si="63"/>
        <v>0</v>
      </c>
      <c r="AF247" s="137">
        <f t="shared" si="63"/>
        <v>0</v>
      </c>
      <c r="AG247" s="95">
        <f t="shared" si="64"/>
        <v>797.5062408</v>
      </c>
    </row>
    <row r="248">
      <c r="A248" s="238" t="s">
        <v>744</v>
      </c>
      <c r="B248" s="241">
        <f>(B13+B14+B125+B126)*'Data - P&amp;L'!$C$3</f>
        <v>86.9</v>
      </c>
      <c r="C248" s="241">
        <f>(C13+C14+C125+C126)*'Data - P&amp;L'!$C$3</f>
        <v>0</v>
      </c>
      <c r="D248" s="241">
        <f>(D13+D14+D125+D126)*'Data - P&amp;L'!$C$3</f>
        <v>0</v>
      </c>
      <c r="E248" s="241">
        <f>(E13+E14+E125+E126)*'Data - P&amp;L'!$C$3</f>
        <v>0</v>
      </c>
      <c r="F248" s="241">
        <f>(F13+F14+F125+F126)*'Data - P&amp;L'!$C$3</f>
        <v>0</v>
      </c>
      <c r="G248" s="241">
        <f>(G13+G14+G125+G126)*'Data - P&amp;L'!$C$3</f>
        <v>0</v>
      </c>
      <c r="H248" s="241">
        <f>(H13+H14+H125+H126)*'Data - P&amp;L'!$C$3</f>
        <v>0</v>
      </c>
      <c r="I248" s="241">
        <f>(I13+I14+I125+I126)*'Data - P&amp;L'!$C$3</f>
        <v>0</v>
      </c>
      <c r="J248" s="241">
        <f>(J13+J14+J125+J126)*'Data - P&amp;L'!$C$3</f>
        <v>0</v>
      </c>
      <c r="K248" s="241">
        <f>(K13+K14+K125+K126)*'Data - P&amp;L'!$C$3</f>
        <v>86.9</v>
      </c>
      <c r="L248" s="241">
        <f>(L13+L14+L125+L126)*'Data - P&amp;L'!$C$3</f>
        <v>0</v>
      </c>
      <c r="M248" s="241">
        <f>(M13+M14+M125+M126)*'Data - P&amp;L'!$C$3</f>
        <v>0</v>
      </c>
      <c r="N248" s="241">
        <f>(N13+N14+N125+N126)*'Data - P&amp;L'!$C$3</f>
        <v>0</v>
      </c>
      <c r="O248" s="241">
        <f>(O13+O14+O125+O126)*'Data - P&amp;L'!$C$3</f>
        <v>0</v>
      </c>
      <c r="P248" s="241">
        <f>(P13+P14+P125+P126)*'Data - P&amp;L'!$C$3</f>
        <v>0</v>
      </c>
      <c r="Q248" s="241">
        <f>(Q13+Q14+Q125+Q126)*'Data - P&amp;L'!$C$3</f>
        <v>0</v>
      </c>
      <c r="R248" s="241">
        <f>(R13+R14+R125+R126)*'Data - P&amp;L'!$C$3</f>
        <v>0</v>
      </c>
      <c r="S248" s="241">
        <f>(S13+S14+S125+S126)*'Data - P&amp;L'!$C$3</f>
        <v>0</v>
      </c>
      <c r="T248" s="241">
        <f>(T13+T14+T125+T126)*'Data - P&amp;L'!$C$3</f>
        <v>0</v>
      </c>
      <c r="U248" s="241">
        <f>(U13+U14+U125+U126)*'Data - P&amp;L'!$C$3</f>
        <v>0</v>
      </c>
      <c r="V248" s="241">
        <f>(V13+V14+V125+V126)*'Data - P&amp;L'!$C$3</f>
        <v>0</v>
      </c>
      <c r="W248" s="241">
        <f>(W13+W14+W125+W126)*'Data - P&amp;L'!$C$3</f>
        <v>0</v>
      </c>
      <c r="X248" s="241">
        <f>(X13+X14+X125+X126)*'Data - P&amp;L'!$C$3</f>
        <v>0</v>
      </c>
      <c r="Y248" s="241">
        <f>(Y13+Y14+Y125+Y126)*'Data - P&amp;L'!$C$3</f>
        <v>0</v>
      </c>
      <c r="Z248" s="241">
        <f>(Z13+Z14+Z125+Z126)*'Data - P&amp;L'!$C$3</f>
        <v>0</v>
      </c>
      <c r="AA248" s="241">
        <f>(AA13+AA14+AA125+AA126)*'Data - P&amp;L'!$C$3</f>
        <v>0</v>
      </c>
      <c r="AB248" s="241">
        <f>(AB13+AB14+AB125+AB126)*'Data - P&amp;L'!$C$3</f>
        <v>0</v>
      </c>
      <c r="AC248" s="241">
        <f>(AC13+AC14+AC125+AC126)*'Data - P&amp;L'!$C$3</f>
        <v>0</v>
      </c>
      <c r="AD248" s="241">
        <f>(AD13+AD14+AD125+AD126)*'Data - P&amp;L'!$C$3</f>
        <v>0</v>
      </c>
      <c r="AE248" s="241">
        <f>(AE13+AE14+AE125+AE126)*'Data - P&amp;L'!$C$3</f>
        <v>0</v>
      </c>
      <c r="AF248" s="241">
        <f>(AF13+AF14+AF125+AF126)*'Data - P&amp;L'!$C$3</f>
        <v>0</v>
      </c>
      <c r="AG248" s="95">
        <f t="shared" si="64"/>
        <v>173.8</v>
      </c>
    </row>
    <row r="249" ht="19.5" customHeight="1">
      <c r="A249" s="240" t="s">
        <v>745</v>
      </c>
      <c r="B249" s="137">
        <f>(B15+B16+B127+B128)*'Data - P&amp;L'!$C$4</f>
        <v>97.61</v>
      </c>
      <c r="C249" s="137">
        <f>(C15+C16+C127+C128)*'Data - P&amp;L'!$C$4</f>
        <v>97.61</v>
      </c>
      <c r="D249" s="137">
        <f>(D15+D16+D127+D128)*'Data - P&amp;L'!$C$4</f>
        <v>0</v>
      </c>
      <c r="E249" s="137">
        <f>(E15+E16+E127+E128)*'Data - P&amp;L'!$C$4</f>
        <v>0</v>
      </c>
      <c r="F249" s="137">
        <f>(F15+F16+F127+F128)*'Data - P&amp;L'!$C$4</f>
        <v>0</v>
      </c>
      <c r="G249" s="137">
        <f>(G15+G16+G127+G128)*'Data - P&amp;L'!$C$4</f>
        <v>97.61</v>
      </c>
      <c r="H249" s="137">
        <f>(H15+H16+H127+H128)*'Data - P&amp;L'!$C$4</f>
        <v>97.61</v>
      </c>
      <c r="I249" s="137">
        <f>(I15+I16+I127+I128)*'Data - P&amp;L'!$C$4</f>
        <v>195.22</v>
      </c>
      <c r="J249" s="137">
        <f>(J15+J16+J127+J128)*'Data - P&amp;L'!$C$4</f>
        <v>0</v>
      </c>
      <c r="K249" s="137">
        <f>(K15+K16+K127+K128)*'Data - P&amp;L'!$C$4</f>
        <v>390.44</v>
      </c>
      <c r="L249" s="137">
        <f>(L15+L16+L127+L128)*'Data - P&amp;L'!$C$4</f>
        <v>292.83</v>
      </c>
      <c r="M249" s="137">
        <f>(M15+M16+M127+M128)*'Data - P&amp;L'!$C$4</f>
        <v>97.61</v>
      </c>
      <c r="N249" s="137">
        <f>(N15+N16+N127+N128)*'Data - P&amp;L'!$C$4</f>
        <v>0</v>
      </c>
      <c r="O249" s="137">
        <f>(O15+O16+O127+O128)*'Data - P&amp;L'!$C$4</f>
        <v>0</v>
      </c>
      <c r="P249" s="137">
        <f>(P15+P16+P127+P128)*'Data - P&amp;L'!$C$4</f>
        <v>0</v>
      </c>
      <c r="Q249" s="137">
        <f>(Q15+Q16+Q127+Q128)*'Data - P&amp;L'!$C$4</f>
        <v>0</v>
      </c>
      <c r="R249" s="137">
        <f>(R15+R16+R127+R128)*'Data - P&amp;L'!$C$4</f>
        <v>0</v>
      </c>
      <c r="S249" s="137">
        <f>(S15+S16+S127+S128)*'Data - P&amp;L'!$C$4</f>
        <v>0</v>
      </c>
      <c r="T249" s="137">
        <f>(T15+T16+T127+T128)*'Data - P&amp;L'!$C$4</f>
        <v>0</v>
      </c>
      <c r="U249" s="137">
        <f>(U15+U16+U127+U128)*'Data - P&amp;L'!$C$4</f>
        <v>0</v>
      </c>
      <c r="V249" s="137">
        <f>(V15+V16+V127+V128)*'Data - P&amp;L'!$C$4</f>
        <v>0</v>
      </c>
      <c r="W249" s="137">
        <f>(W15+W16+W127+W128)*'Data - P&amp;L'!$C$4</f>
        <v>0</v>
      </c>
      <c r="X249" s="137">
        <f>(X15+X16+X127+X128)*'Data - P&amp;L'!$C$4</f>
        <v>0</v>
      </c>
      <c r="Y249" s="137">
        <f>(Y15+Y16+Y127+Y128)*'Data - P&amp;L'!$C$4</f>
        <v>0</v>
      </c>
      <c r="Z249" s="137">
        <f>(Z15+Z16+Z127+Z128)*'Data - P&amp;L'!$C$4</f>
        <v>195.22</v>
      </c>
      <c r="AA249" s="137">
        <f>(AA15+AA16+AA127+AA128)*'Data - P&amp;L'!$C$4</f>
        <v>0</v>
      </c>
      <c r="AB249" s="137">
        <f>(AB15+AB16+AB127+AB128)*'Data - P&amp;L'!$C$4</f>
        <v>0</v>
      </c>
      <c r="AC249" s="137">
        <f>(AC15+AC16+AC127+AC128)*'Data - P&amp;L'!$C$4</f>
        <v>97.61</v>
      </c>
      <c r="AD249" s="137">
        <f>(AD15+AD16+AD127+AD128)*'Data - P&amp;L'!$C$4</f>
        <v>0</v>
      </c>
      <c r="AE249" s="137">
        <f>(AE15+AE16+AE127+AE128)*'Data - P&amp;L'!$C$4</f>
        <v>0</v>
      </c>
      <c r="AF249" s="137">
        <f>(AF15+AF16+AF127+AF128)*'Data - P&amp;L'!$C$4</f>
        <v>0</v>
      </c>
      <c r="AG249" s="95">
        <f t="shared" si="64"/>
        <v>1659.37</v>
      </c>
    </row>
    <row r="250" ht="17.25" customHeight="1">
      <c r="A250" s="240" t="s">
        <v>746</v>
      </c>
      <c r="B250" s="137">
        <f>(B19+B131)*'Data - P&amp;L'!$C$6</f>
        <v>0</v>
      </c>
      <c r="C250" s="137">
        <f>(C19+C131)*'Data - P&amp;L'!$C$6</f>
        <v>0</v>
      </c>
      <c r="D250" s="137">
        <f>(D19+D131)*'Data - P&amp;L'!$C$6</f>
        <v>0</v>
      </c>
      <c r="E250" s="137">
        <f>(E19+E131)*'Data - P&amp;L'!$C$6</f>
        <v>0</v>
      </c>
      <c r="F250" s="137">
        <f>(F19+F131)*'Data - P&amp;L'!$C$6</f>
        <v>0</v>
      </c>
      <c r="G250" s="137">
        <f>(G19+G131)*'Data - P&amp;L'!$C$6</f>
        <v>0</v>
      </c>
      <c r="H250" s="137">
        <f>(H19+H131)*'Data - P&amp;L'!$C$6</f>
        <v>0</v>
      </c>
      <c r="I250" s="137">
        <f>(I19+I131)*'Data - P&amp;L'!$C$6</f>
        <v>0</v>
      </c>
      <c r="J250" s="137">
        <f>(J19+J131)*'Data - P&amp;L'!$C$6</f>
        <v>0</v>
      </c>
      <c r="K250" s="137">
        <f>(K19+K131)*'Data - P&amp;L'!$C$6</f>
        <v>0</v>
      </c>
      <c r="L250" s="137">
        <f>(L19+L131)*'Data - P&amp;L'!$C$6</f>
        <v>0</v>
      </c>
      <c r="M250" s="137">
        <f>(M19+M131)*'Data - P&amp;L'!$C$6</f>
        <v>0</v>
      </c>
      <c r="N250" s="137">
        <f>(N19+N131)*'Data - P&amp;L'!$C$6</f>
        <v>0</v>
      </c>
      <c r="O250" s="137">
        <f>(O19+O131)*'Data - P&amp;L'!$C$6</f>
        <v>0</v>
      </c>
      <c r="P250" s="137">
        <f>(P19+P131)*'Data - P&amp;L'!$C$6</f>
        <v>0</v>
      </c>
      <c r="Q250" s="137">
        <f>(Q19+Q131)*'Data - P&amp;L'!$C$6</f>
        <v>0</v>
      </c>
      <c r="R250" s="137">
        <f>(R19+R131)*'Data - P&amp;L'!$C$6</f>
        <v>0</v>
      </c>
      <c r="S250" s="137">
        <f>(S19+S131)*'Data - P&amp;L'!$C$6</f>
        <v>0</v>
      </c>
      <c r="T250" s="137">
        <f>(T19+T131)*'Data - P&amp;L'!$C$6</f>
        <v>0</v>
      </c>
      <c r="U250" s="137">
        <f>(U19+U131)*'Data - P&amp;L'!$C$6</f>
        <v>0</v>
      </c>
      <c r="V250" s="137">
        <f>(V19+V131)*'Data - P&amp;L'!$C$6</f>
        <v>0</v>
      </c>
      <c r="W250" s="137">
        <f>(W19+W131)*'Data - P&amp;L'!$C$6</f>
        <v>0</v>
      </c>
      <c r="X250" s="137">
        <f>(X19+X131)*'Data - P&amp;L'!$C$6</f>
        <v>0</v>
      </c>
      <c r="Y250" s="137">
        <f>(Y19+Y131)*'Data - P&amp;L'!$C$6</f>
        <v>0</v>
      </c>
      <c r="Z250" s="137">
        <f>(Z19+Z131)*'Data - P&amp;L'!$C$6</f>
        <v>0</v>
      </c>
      <c r="AA250" s="137">
        <f>(AA19+AA131)*'Data - P&amp;L'!$C$6</f>
        <v>0</v>
      </c>
      <c r="AB250" s="137">
        <f>(AB19+AB131)*'Data - P&amp;L'!$C$6</f>
        <v>0</v>
      </c>
      <c r="AC250" s="137">
        <f>(AC19+AC131)*'Data - P&amp;L'!$C$6</f>
        <v>0</v>
      </c>
      <c r="AD250" s="137">
        <f>(AD19+AD131)*'Data - P&amp;L'!$C$6</f>
        <v>0</v>
      </c>
      <c r="AE250" s="137">
        <f>(AE19+AE131)*'Data - P&amp;L'!$C$6</f>
        <v>0</v>
      </c>
      <c r="AF250" s="137">
        <f>(AF19+AF131)*'Data - P&amp;L'!$C$6</f>
        <v>0</v>
      </c>
      <c r="AG250" s="95">
        <f t="shared" si="64"/>
        <v>0</v>
      </c>
    </row>
    <row r="251">
      <c r="A251" s="240" t="s">
        <v>747</v>
      </c>
      <c r="B251" s="137">
        <f>(B20+B132)*'Data - P&amp;L'!$C$8</f>
        <v>0</v>
      </c>
      <c r="C251" s="137">
        <f>(C20+C132)*'Data - P&amp;L'!$C$8</f>
        <v>0</v>
      </c>
      <c r="D251" s="137">
        <f>(D20+D132)*'Data - P&amp;L'!$C$8</f>
        <v>0</v>
      </c>
      <c r="E251" s="137">
        <f>(E20+E132)*'Data - P&amp;L'!$C$8</f>
        <v>0</v>
      </c>
      <c r="F251" s="137">
        <f>(F20+F132)*'Data - P&amp;L'!$C$8</f>
        <v>0</v>
      </c>
      <c r="G251" s="137">
        <f>(G20+G132)*'Data - P&amp;L'!$C$8</f>
        <v>0</v>
      </c>
      <c r="H251" s="137">
        <f>(H20+H132)*'Data - P&amp;L'!$C$8</f>
        <v>0</v>
      </c>
      <c r="I251" s="137">
        <f>(I20+I132)*'Data - P&amp;L'!$C$8</f>
        <v>0</v>
      </c>
      <c r="J251" s="137">
        <f>(J20+J132)*'Data - P&amp;L'!$C$8</f>
        <v>0</v>
      </c>
      <c r="K251" s="137">
        <f>(K20+K132)*'Data - P&amp;L'!$C$8</f>
        <v>0</v>
      </c>
      <c r="L251" s="137">
        <f>(L20+L132)*'Data - P&amp;L'!$C$8</f>
        <v>0</v>
      </c>
      <c r="M251" s="137">
        <f>(M20+M132)*'Data - P&amp;L'!$C$8</f>
        <v>0</v>
      </c>
      <c r="N251" s="137">
        <f>(N20+N132)*'Data - P&amp;L'!$C$8</f>
        <v>0</v>
      </c>
      <c r="O251" s="137">
        <f>(O20+O132)*'Data - P&amp;L'!$C$8</f>
        <v>0</v>
      </c>
      <c r="P251" s="137">
        <f>(P20+P132)*'Data - P&amp;L'!$C$8</f>
        <v>0</v>
      </c>
      <c r="Q251" s="137">
        <f>(Q20+Q132)*'Data - P&amp;L'!$C$8</f>
        <v>0</v>
      </c>
      <c r="R251" s="137">
        <f>(R20+R132)*'Data - P&amp;L'!$C$8</f>
        <v>0</v>
      </c>
      <c r="S251" s="137">
        <f>(S20+S132)*'Data - P&amp;L'!$C$8</f>
        <v>0</v>
      </c>
      <c r="T251" s="137">
        <f>(T20+T132)*'Data - P&amp;L'!$C$8</f>
        <v>0</v>
      </c>
      <c r="U251" s="137">
        <f>(U20+U132)*'Data - P&amp;L'!$C$8</f>
        <v>0</v>
      </c>
      <c r="V251" s="137">
        <f>(V20+V132)*'Data - P&amp;L'!$C$8</f>
        <v>0</v>
      </c>
      <c r="W251" s="137">
        <f>(W20+W132)*'Data - P&amp;L'!$C$8</f>
        <v>0</v>
      </c>
      <c r="X251" s="137">
        <f>(X20+X132)*'Data - P&amp;L'!$C$8</f>
        <v>0</v>
      </c>
      <c r="Y251" s="137">
        <f>(Y20+Y132)*'Data - P&amp;L'!$C$8</f>
        <v>0</v>
      </c>
      <c r="Z251" s="137">
        <f>(Z20+Z132)*'Data - P&amp;L'!$C$8</f>
        <v>0</v>
      </c>
      <c r="AA251" s="137">
        <f>(AA20+AA132)*'Data - P&amp;L'!$C$8</f>
        <v>0</v>
      </c>
      <c r="AB251" s="137">
        <f>(AB20+AB132)*'Data - P&amp;L'!$C$8</f>
        <v>0</v>
      </c>
      <c r="AC251" s="137">
        <f>(AC20+AC132)*'Data - P&amp;L'!$C$8</f>
        <v>0</v>
      </c>
      <c r="AD251" s="137">
        <f>(AD20+AD132)*'Data - P&amp;L'!$C$8</f>
        <v>0</v>
      </c>
      <c r="AE251" s="137">
        <f>(AE20+AE132)*'Data - P&amp;L'!$C$8</f>
        <v>0</v>
      </c>
      <c r="AF251" s="137">
        <f>(AF20+AF132)*'Data - P&amp;L'!$C$8</f>
        <v>0</v>
      </c>
      <c r="AG251" s="95">
        <f t="shared" si="64"/>
        <v>0</v>
      </c>
    </row>
    <row r="252" ht="15.75" customHeight="1">
      <c r="A252" s="240" t="s">
        <v>748</v>
      </c>
      <c r="B252" s="137">
        <f>(B21+B22+B133+B134)*'Data - P&amp;L'!$C$9</f>
        <v>0</v>
      </c>
      <c r="C252" s="137">
        <f>(C21+C22+C133+C134)*'Data - P&amp;L'!$C$9</f>
        <v>0</v>
      </c>
      <c r="D252" s="137">
        <f>(D21+D22+D133+D134)*'Data - P&amp;L'!$C$9</f>
        <v>0</v>
      </c>
      <c r="E252" s="137">
        <f>(E21+E22+E133+E134)*'Data - P&amp;L'!$C$9</f>
        <v>0</v>
      </c>
      <c r="F252" s="137">
        <f>(F21+F22+F133+F134)*'Data - P&amp;L'!$C$9</f>
        <v>0</v>
      </c>
      <c r="G252" s="137">
        <f>(G21+G22+G133+G134)*'Data - P&amp;L'!$C$9</f>
        <v>0</v>
      </c>
      <c r="H252" s="137">
        <f>(H21+H22+H133+H134)*'Data - P&amp;L'!$C$9</f>
        <v>0</v>
      </c>
      <c r="I252" s="137">
        <f>(I21+I22+I133+I134)*'Data - P&amp;L'!$C$9</f>
        <v>0</v>
      </c>
      <c r="J252" s="137">
        <f>(J21+J22+J133+J134)*'Data - P&amp;L'!$C$9</f>
        <v>0</v>
      </c>
      <c r="K252" s="137">
        <f>(K21+K22+K133+K134)*'Data - P&amp;L'!$C$9</f>
        <v>0</v>
      </c>
      <c r="L252" s="137">
        <f>(L21+L22+L133+L134)*'Data - P&amp;L'!$C$9</f>
        <v>0</v>
      </c>
      <c r="M252" s="137">
        <f>(M21+M22+M133+M134)*'Data - P&amp;L'!$C$9</f>
        <v>0</v>
      </c>
      <c r="N252" s="137">
        <f>(N21+N22+N133+N134)*'Data - P&amp;L'!$C$9</f>
        <v>0</v>
      </c>
      <c r="O252" s="137">
        <f>(O21+O22+O133+O134)*'Data - P&amp;L'!$C$9</f>
        <v>0</v>
      </c>
      <c r="P252" s="137">
        <f>(P21+P22+P133+P134)*'Data - P&amp;L'!$C$9</f>
        <v>0</v>
      </c>
      <c r="Q252" s="137">
        <f>(Q21+Q22+Q133+Q134)*'Data - P&amp;L'!$C$9</f>
        <v>0</v>
      </c>
      <c r="R252" s="137">
        <f>(R21+R22+R133+R134)*'Data - P&amp;L'!$C$9</f>
        <v>0</v>
      </c>
      <c r="S252" s="137">
        <f>(S21+S22+S133+S134)*'Data - P&amp;L'!$C$9</f>
        <v>0</v>
      </c>
      <c r="T252" s="137">
        <f>(T21+T22+T133+T134)*'Data - P&amp;L'!$C$9</f>
        <v>0</v>
      </c>
      <c r="U252" s="137">
        <f>(U21+U22+U133+U134)*'Data - P&amp;L'!$C$9</f>
        <v>0</v>
      </c>
      <c r="V252" s="137">
        <f>(V21+V22+V133+V134)*'Data - P&amp;L'!$C$9</f>
        <v>0</v>
      </c>
      <c r="W252" s="137">
        <f>(W21+W22+W133+W134)*'Data - P&amp;L'!$C$9</f>
        <v>0</v>
      </c>
      <c r="X252" s="137">
        <f>(X21+X22+X133+X134)*'Data - P&amp;L'!$C$9</f>
        <v>0</v>
      </c>
      <c r="Y252" s="137">
        <f>(Y21+Y22+Y133+Y134)*'Data - P&amp;L'!$C$9</f>
        <v>0</v>
      </c>
      <c r="Z252" s="137">
        <f>(Z21+Z22+Z133+Z134)*'Data - P&amp;L'!$C$9</f>
        <v>0</v>
      </c>
      <c r="AA252" s="137">
        <f>(AA21+AA22+AA133+AA134)*'Data - P&amp;L'!$C$9</f>
        <v>0</v>
      </c>
      <c r="AB252" s="137">
        <f>(AB21+AB22+AB133+AB134)*'Data - P&amp;L'!$C$9</f>
        <v>0</v>
      </c>
      <c r="AC252" s="137">
        <f>(AC21+AC22+AC133+AC134)*'Data - P&amp;L'!$C$9</f>
        <v>0</v>
      </c>
      <c r="AD252" s="137">
        <f>(AD21+AD22+AD133+AD134)*'Data - P&amp;L'!$C$9</f>
        <v>0</v>
      </c>
      <c r="AE252" s="137">
        <f>(AE21+AE22+AE133+AE134)*'Data - P&amp;L'!$C$9</f>
        <v>0</v>
      </c>
      <c r="AF252" s="137">
        <f>(AF21+AF22+AF133+AF134)*'Data - P&amp;L'!$C$9</f>
        <v>0</v>
      </c>
      <c r="AG252" s="95">
        <f t="shared" si="64"/>
        <v>0</v>
      </c>
    </row>
    <row r="253" ht="18.0" customHeight="1">
      <c r="A253" s="240" t="s">
        <v>749</v>
      </c>
      <c r="B253" s="137">
        <f>(B23+B24+B135+B136)*'Data - P&amp;L'!$C$5</f>
        <v>0</v>
      </c>
      <c r="C253" s="137">
        <f>(C23+C24+C135+C136)*'Data - P&amp;L'!$C$5</f>
        <v>0</v>
      </c>
      <c r="D253" s="137">
        <f>(D23+D24+D135+D136)*'Data - P&amp;L'!$C$5</f>
        <v>0</v>
      </c>
      <c r="E253" s="137">
        <f>(E23+E24+E135+E136)*'Data - P&amp;L'!$C$5</f>
        <v>0</v>
      </c>
      <c r="F253" s="137">
        <f>(F23+F24+F135+F136)*'Data - P&amp;L'!$C$5</f>
        <v>0</v>
      </c>
      <c r="G253" s="137">
        <f>(G23+G24+G135+G136)*'Data - P&amp;L'!$C$5</f>
        <v>0</v>
      </c>
      <c r="H253" s="137">
        <f>(H23+H24+H135+H136)*'Data - P&amp;L'!$C$5</f>
        <v>0</v>
      </c>
      <c r="I253" s="137">
        <f>(I23+I24+I135+I136)*'Data - P&amp;L'!$C$5</f>
        <v>0</v>
      </c>
      <c r="J253" s="137">
        <f>(J23+J24+J135+J136)*'Data - P&amp;L'!$C$5</f>
        <v>0</v>
      </c>
      <c r="K253" s="137">
        <f>(K23+K24+K135+K136)*'Data - P&amp;L'!$C$5</f>
        <v>0</v>
      </c>
      <c r="L253" s="137">
        <f>(L23+L24+L135+L136)*'Data - P&amp;L'!$C$5</f>
        <v>0</v>
      </c>
      <c r="M253" s="137">
        <f>(M23+M24+M135+M136)*'Data - P&amp;L'!$C$5</f>
        <v>0</v>
      </c>
      <c r="N253" s="137">
        <f>(N23+N24+N135+N136)*'Data - P&amp;L'!$C$5</f>
        <v>0</v>
      </c>
      <c r="O253" s="137">
        <f>(O23+O24+O135+O136)*'Data - P&amp;L'!$C$5</f>
        <v>0</v>
      </c>
      <c r="P253" s="137">
        <f>(P23+P24+P135+P136)*'Data - P&amp;L'!$C$5</f>
        <v>0</v>
      </c>
      <c r="Q253" s="137">
        <f>(Q23+Q24+Q135+Q136)*'Data - P&amp;L'!$C$5</f>
        <v>0</v>
      </c>
      <c r="R253" s="137">
        <f>(R23+R24+R135+R136)*'Data - P&amp;L'!$C$5</f>
        <v>0</v>
      </c>
      <c r="S253" s="137">
        <f>(S23+S24+S135+S136)*'Data - P&amp;L'!$C$5</f>
        <v>0</v>
      </c>
      <c r="T253" s="137">
        <f>(T23+T24+T135+T136)*'Data - P&amp;L'!$C$5</f>
        <v>0</v>
      </c>
      <c r="U253" s="137">
        <f>(U23+U24+U135+U136)*'Data - P&amp;L'!$C$5</f>
        <v>0</v>
      </c>
      <c r="V253" s="137">
        <f>(V23+V24+V135+V136)*'Data - P&amp;L'!$C$5</f>
        <v>0</v>
      </c>
      <c r="W253" s="137">
        <f>(W23+W24+W135+W136)*'Data - P&amp;L'!$C$5</f>
        <v>0</v>
      </c>
      <c r="X253" s="137">
        <f>(X23+X24+X135+X136)*'Data - P&amp;L'!$C$5</f>
        <v>0</v>
      </c>
      <c r="Y253" s="137">
        <f>(Y23+Y24+Y135+Y136)*'Data - P&amp;L'!$C$5</f>
        <v>0</v>
      </c>
      <c r="Z253" s="137">
        <f>(Z23+Z24+Z135+Z136)*'Data - P&amp;L'!$C$5</f>
        <v>0</v>
      </c>
      <c r="AA253" s="137">
        <f>(AA23+AA24+AA135+AA136)*'Data - P&amp;L'!$C$5</f>
        <v>0</v>
      </c>
      <c r="AB253" s="137">
        <f>(AB23+AB24+AB135+AB136)*'Data - P&amp;L'!$C$5</f>
        <v>0</v>
      </c>
      <c r="AC253" s="137">
        <f>(AC23+AC24+AC135+AC136)*'Data - P&amp;L'!$C$5</f>
        <v>0</v>
      </c>
      <c r="AD253" s="137">
        <f>(AD23+AD24+AD135+AD136)*'Data - P&amp;L'!$C$5</f>
        <v>0</v>
      </c>
      <c r="AE253" s="137">
        <f>(AE23+AE24+AE135+AE136)*'Data - P&amp;L'!$C$5</f>
        <v>0</v>
      </c>
      <c r="AF253" s="137">
        <f>(AF23+AF24+AF135+AF136)*'Data - P&amp;L'!$C$5</f>
        <v>0</v>
      </c>
      <c r="AG253" s="95">
        <f t="shared" si="64"/>
        <v>0</v>
      </c>
    </row>
    <row r="254">
      <c r="A254" s="246" t="s">
        <v>750</v>
      </c>
      <c r="B254" s="247">
        <f>(B25+B26+B137+B138)*'Data - P&amp;L'!$C$10</f>
        <v>0</v>
      </c>
      <c r="C254" s="247">
        <f>(C25+C26+C137+C138)*'Data - P&amp;L'!$C$10</f>
        <v>0</v>
      </c>
      <c r="D254" s="247">
        <f>(D25+D26+D137+D138)*'Data - P&amp;L'!$C$10</f>
        <v>0</v>
      </c>
      <c r="E254" s="247">
        <f>(E25+E26+E137+E138)*'Data - P&amp;L'!$C$10</f>
        <v>0</v>
      </c>
      <c r="F254" s="247">
        <f>(F25+F26+F137+F138)*'Data - P&amp;L'!$C$10</f>
        <v>0</v>
      </c>
      <c r="G254" s="247">
        <f>(G25+G26+G137+G138)*'Data - P&amp;L'!$C$10</f>
        <v>0</v>
      </c>
      <c r="H254" s="247">
        <f>(H25+H26+H137+H138)*'Data - P&amp;L'!$C$10</f>
        <v>0</v>
      </c>
      <c r="I254" s="247">
        <f>(I25+I26+I137+I138)*'Data - P&amp;L'!$C$10</f>
        <v>0</v>
      </c>
      <c r="J254" s="247">
        <f>(J25+J26+J137+J138)*'Data - P&amp;L'!$C$10</f>
        <v>0</v>
      </c>
      <c r="K254" s="247">
        <f>(K25+K26+K137+K138)*'Data - P&amp;L'!$C$10</f>
        <v>0</v>
      </c>
      <c r="L254" s="247">
        <f>(L25+L26+L137+L138)*'Data - P&amp;L'!$C$10</f>
        <v>0</v>
      </c>
      <c r="M254" s="247">
        <f>(M25+M26+M137+M138)*'Data - P&amp;L'!$C$10</f>
        <v>0</v>
      </c>
      <c r="N254" s="247">
        <f>(N25+N26+N137+N138)*'Data - P&amp;L'!$C$10</f>
        <v>0</v>
      </c>
      <c r="O254" s="247">
        <f>(O25+O26+O137+O138)*'Data - P&amp;L'!$C$10</f>
        <v>0</v>
      </c>
      <c r="P254" s="247">
        <f>(P25+P26+P137+P138)*'Data - P&amp;L'!$C$10</f>
        <v>0</v>
      </c>
      <c r="Q254" s="247">
        <f>(Q25+Q26+Q137+Q138)*'Data - P&amp;L'!$C$10</f>
        <v>0</v>
      </c>
      <c r="R254" s="247">
        <f>(R25+R26+R137+R138)*'Data - P&amp;L'!$C$10</f>
        <v>0</v>
      </c>
      <c r="S254" s="247">
        <f>(S25+S26+S137+S138)*'Data - P&amp;L'!$C$10</f>
        <v>0</v>
      </c>
      <c r="T254" s="247">
        <f>(T25+T26+T137+T138)*'Data - P&amp;L'!$C$10</f>
        <v>0</v>
      </c>
      <c r="U254" s="247">
        <f>(U25+U26+U137+U138)*'Data - P&amp;L'!$C$10</f>
        <v>0</v>
      </c>
      <c r="V254" s="247">
        <f>(V25+V26+V137+V138)*'Data - P&amp;L'!$C$10</f>
        <v>0</v>
      </c>
      <c r="W254" s="247">
        <f>(W25+W26+W137+W138)*'Data - P&amp;L'!$C$10</f>
        <v>0</v>
      </c>
      <c r="X254" s="247">
        <f>(X25+X26+X137+X138)*'Data - P&amp;L'!$C$10</f>
        <v>0</v>
      </c>
      <c r="Y254" s="247">
        <f>(Y25+Y26+Y137+Y138)*'Data - P&amp;L'!$C$10</f>
        <v>0</v>
      </c>
      <c r="Z254" s="247">
        <f>(Z25+Z26+Z137+Z138)*'Data - P&amp;L'!$C$10</f>
        <v>0</v>
      </c>
      <c r="AA254" s="247">
        <f>(AA25+AA26+AA137+AA138)*'Data - P&amp;L'!$C$10</f>
        <v>0</v>
      </c>
      <c r="AB254" s="247">
        <f>(AB25+AB26+AB137+AB138)*'Data - P&amp;L'!$C$10</f>
        <v>0</v>
      </c>
      <c r="AC254" s="247">
        <f>(AC25+AC26+AC137+AC138)*'Data - P&amp;L'!$C$10</f>
        <v>0</v>
      </c>
      <c r="AD254" s="247">
        <f>(AD25+AD26+AD137+AD138)*'Data - P&amp;L'!$C$10</f>
        <v>0</v>
      </c>
      <c r="AE254" s="247">
        <f>(AE25+AE26+AE137+AE138)*'Data - P&amp;L'!$C$10</f>
        <v>0</v>
      </c>
      <c r="AF254" s="247">
        <f>(AF25+AF26+AF137+AF138)*'Data - P&amp;L'!$C$10</f>
        <v>0</v>
      </c>
      <c r="AG254" s="95">
        <f t="shared" si="64"/>
        <v>0</v>
      </c>
    </row>
    <row r="255" ht="16.5" customHeight="1">
      <c r="A255" s="442" t="s">
        <v>751</v>
      </c>
      <c r="B255" s="137">
        <f>(B17*'Data - P&amp;L'!$C$38)+(B129*'Data - P&amp;L'!$C$39)</f>
        <v>23.88</v>
      </c>
      <c r="C255" s="137">
        <f>(C17*'Data - P&amp;L'!$C$38)+(C129*'Data - P&amp;L'!$C$39)</f>
        <v>11.94</v>
      </c>
      <c r="D255" s="137">
        <f>(D17*'Data - P&amp;L'!$C$38)+(D129*'Data - P&amp;L'!$C$39)</f>
        <v>0</v>
      </c>
      <c r="E255" s="137">
        <f>(E17*'Data - P&amp;L'!$C$38)+(E129*'Data - P&amp;L'!$C$39)</f>
        <v>0</v>
      </c>
      <c r="F255" s="137">
        <f>(F17*'Data - P&amp;L'!$C$38)+(F129*'Data - P&amp;L'!$C$39)</f>
        <v>0</v>
      </c>
      <c r="G255" s="137">
        <f>(G17*'Data - P&amp;L'!$C$38)+(G129*'Data - P&amp;L'!$C$39)</f>
        <v>11.94</v>
      </c>
      <c r="H255" s="137">
        <f>(H17*'Data - P&amp;L'!$C$38)+(H129*'Data - P&amp;L'!$C$39)</f>
        <v>11.94</v>
      </c>
      <c r="I255" s="137">
        <f>(I17*'Data - P&amp;L'!$C$38)+(I129*'Data - P&amp;L'!$C$39)</f>
        <v>23.88</v>
      </c>
      <c r="J255" s="137">
        <f>(J17*'Data - P&amp;L'!$C$38)+(J129*'Data - P&amp;L'!$C$39)</f>
        <v>0</v>
      </c>
      <c r="K255" s="137">
        <f>(K17*'Data - P&amp;L'!$C$38)+(K129*'Data - P&amp;L'!$C$39)</f>
        <v>59.7</v>
      </c>
      <c r="L255" s="137">
        <f>(L17*'Data - P&amp;L'!$C$38)+(L129*'Data - P&amp;L'!$C$39)</f>
        <v>35.82</v>
      </c>
      <c r="M255" s="137">
        <f>(M17*'Data - P&amp;L'!$C$38)+(M129*'Data - P&amp;L'!$C$39)</f>
        <v>11.94</v>
      </c>
      <c r="N255" s="137">
        <f>(N17*'Data - P&amp;L'!$C$38)+(N129*'Data - P&amp;L'!$C$39)</f>
        <v>0</v>
      </c>
      <c r="O255" s="137">
        <f>(O17*'Data - P&amp;L'!$C$38)+(O129*'Data - P&amp;L'!$C$39)</f>
        <v>0</v>
      </c>
      <c r="P255" s="137">
        <f>(P17*'Data - P&amp;L'!$C$38)+(P129*'Data - P&amp;L'!$C$39)</f>
        <v>0</v>
      </c>
      <c r="Q255" s="137">
        <f>(Q17*'Data - P&amp;L'!$C$38)+(Q129*'Data - P&amp;L'!$C$39)</f>
        <v>0</v>
      </c>
      <c r="R255" s="137">
        <f>(R17*'Data - P&amp;L'!$C$38)+(R129*'Data - P&amp;L'!$C$39)</f>
        <v>0</v>
      </c>
      <c r="S255" s="137">
        <f>(S17*'Data - P&amp;L'!$C$38)+(S129*'Data - P&amp;L'!$C$39)</f>
        <v>0</v>
      </c>
      <c r="T255" s="137">
        <f>(T17*'Data - P&amp;L'!$C$38)+(T129*'Data - P&amp;L'!$C$39)</f>
        <v>0</v>
      </c>
      <c r="U255" s="137">
        <f>(U17*'Data - P&amp;L'!$C$38)+(U129*'Data - P&amp;L'!$C$39)</f>
        <v>0</v>
      </c>
      <c r="V255" s="137">
        <f>(V17*'Data - P&amp;L'!$C$38)+(V129*'Data - P&amp;L'!$C$39)</f>
        <v>0</v>
      </c>
      <c r="W255" s="137">
        <f>(W17*'Data - P&amp;L'!$C$38)+(W129*'Data - P&amp;L'!$C$39)</f>
        <v>0</v>
      </c>
      <c r="X255" s="137">
        <f>(X17*'Data - P&amp;L'!$C$38)+(X129*'Data - P&amp;L'!$C$39)</f>
        <v>0</v>
      </c>
      <c r="Y255" s="137">
        <f>(Y17*'Data - P&amp;L'!$C$38)+(Y129*'Data - P&amp;L'!$C$39)</f>
        <v>0</v>
      </c>
      <c r="Z255" s="137">
        <f>(Z17*'Data - P&amp;L'!$C$38)+(Z129*'Data - P&amp;L'!$C$39)</f>
        <v>23.88</v>
      </c>
      <c r="AA255" s="137">
        <f>(AA17*'Data - P&amp;L'!$C$38)+(AA129*'Data - P&amp;L'!$C$39)</f>
        <v>0</v>
      </c>
      <c r="AB255" s="137">
        <f>(AB17*'Data - P&amp;L'!$C$38)+(AB129*'Data - P&amp;L'!$C$39)</f>
        <v>0</v>
      </c>
      <c r="AC255" s="137">
        <f>(AC17*'Data - P&amp;L'!$C$38)+(AC129*'Data - P&amp;L'!$C$39)</f>
        <v>11.94</v>
      </c>
      <c r="AD255" s="137">
        <f>(AD17*'Data - P&amp;L'!$C$38)+(AD129*'Data - P&amp;L'!$C$39)</f>
        <v>0</v>
      </c>
      <c r="AE255" s="137">
        <f>(AE17*'Data - P&amp;L'!$C$38)+(AE129*'Data - P&amp;L'!$C$39)</f>
        <v>0</v>
      </c>
      <c r="AF255" s="137">
        <f>(AF17*'Data - P&amp;L'!$C$38)+(AF129*'Data - P&amp;L'!$C$39)</f>
        <v>0</v>
      </c>
      <c r="AG255" s="95">
        <f t="shared" si="64"/>
        <v>226.86</v>
      </c>
    </row>
    <row r="256" ht="20.25" customHeight="1">
      <c r="A256" s="240" t="s">
        <v>752</v>
      </c>
      <c r="B256" s="137">
        <f>(B17*'Data - P&amp;L'!$C$34)+(B129*'Data - P&amp;L'!$C$35)</f>
        <v>60.16</v>
      </c>
      <c r="C256" s="137">
        <f>(C17*'Data - P&amp;L'!$C$34)+(C129*'Data - P&amp;L'!$C$35)</f>
        <v>30.08</v>
      </c>
      <c r="D256" s="137">
        <f>(D17*'Data - P&amp;L'!$C$34)+(D129*'Data - P&amp;L'!$C$35)</f>
        <v>0</v>
      </c>
      <c r="E256" s="137">
        <f>(E17*'Data - P&amp;L'!$C$34)+(E129*'Data - P&amp;L'!$C$35)</f>
        <v>0</v>
      </c>
      <c r="F256" s="137">
        <f>(F17*'Data - P&amp;L'!$C$34)+(F129*'Data - P&amp;L'!$C$35)</f>
        <v>0</v>
      </c>
      <c r="G256" s="137">
        <f>(G17*'Data - P&amp;L'!$C$34)+(G129*'Data - P&amp;L'!$C$35)</f>
        <v>30.08</v>
      </c>
      <c r="H256" s="137">
        <f>(H17*'Data - P&amp;L'!$C$34)+(H129*'Data - P&amp;L'!$C$35)</f>
        <v>15.06</v>
      </c>
      <c r="I256" s="137">
        <f>(I17*'Data - P&amp;L'!$C$34)+(I129*'Data - P&amp;L'!$C$35)</f>
        <v>60.16</v>
      </c>
      <c r="J256" s="137">
        <f>(J17*'Data - P&amp;L'!$C$34)+(J129*'Data - P&amp;L'!$C$35)</f>
        <v>0</v>
      </c>
      <c r="K256" s="137">
        <f>(K17*'Data - P&amp;L'!$C$34)+(K129*'Data - P&amp;L'!$C$35)</f>
        <v>150.4</v>
      </c>
      <c r="L256" s="137">
        <f>(L17*'Data - P&amp;L'!$C$34)+(L129*'Data - P&amp;L'!$C$35)</f>
        <v>75.22</v>
      </c>
      <c r="M256" s="137">
        <f>(M17*'Data - P&amp;L'!$C$34)+(M129*'Data - P&amp;L'!$C$35)</f>
        <v>30.08</v>
      </c>
      <c r="N256" s="137">
        <f>(N17*'Data - P&amp;L'!$C$34)+(N129*'Data - P&amp;L'!$C$35)</f>
        <v>0</v>
      </c>
      <c r="O256" s="137">
        <f>(O17*'Data - P&amp;L'!$C$34)+(O129*'Data - P&amp;L'!$C$35)</f>
        <v>0</v>
      </c>
      <c r="P256" s="137">
        <f>(P17*'Data - P&amp;L'!$C$34)+(P129*'Data - P&amp;L'!$C$35)</f>
        <v>0</v>
      </c>
      <c r="Q256" s="137">
        <f>(Q17*'Data - P&amp;L'!$C$34)+(Q129*'Data - P&amp;L'!$C$35)</f>
        <v>0</v>
      </c>
      <c r="R256" s="137">
        <f>(R17*'Data - P&amp;L'!$C$34)+(R129*'Data - P&amp;L'!$C$35)</f>
        <v>0</v>
      </c>
      <c r="S256" s="137">
        <f>(S17*'Data - P&amp;L'!$C$34)+(S129*'Data - P&amp;L'!$C$35)</f>
        <v>0</v>
      </c>
      <c r="T256" s="137">
        <f>(T17*'Data - P&amp;L'!$C$34)+(T129*'Data - P&amp;L'!$C$35)</f>
        <v>0</v>
      </c>
      <c r="U256" s="137">
        <f>(U17*'Data - P&amp;L'!$C$34)+(U129*'Data - P&amp;L'!$C$35)</f>
        <v>0</v>
      </c>
      <c r="V256" s="137">
        <f>(V17*'Data - P&amp;L'!$C$34)+(V129*'Data - P&amp;L'!$C$35)</f>
        <v>0</v>
      </c>
      <c r="W256" s="137">
        <f>(W17*'Data - P&amp;L'!$C$34)+(W129*'Data - P&amp;L'!$C$35)</f>
        <v>0</v>
      </c>
      <c r="X256" s="137">
        <f>(X17*'Data - P&amp;L'!$C$34)+(X129*'Data - P&amp;L'!$C$35)</f>
        <v>0</v>
      </c>
      <c r="Y256" s="137">
        <f>(Y17*'Data - P&amp;L'!$C$34)+(Y129*'Data - P&amp;L'!$C$35)</f>
        <v>0</v>
      </c>
      <c r="Z256" s="137">
        <f>(Z17*'Data - P&amp;L'!$C$34)+(Z129*'Data - P&amp;L'!$C$35)</f>
        <v>30.12</v>
      </c>
      <c r="AA256" s="137">
        <f>(AA17*'Data - P&amp;L'!$C$34)+(AA129*'Data - P&amp;L'!$C$35)</f>
        <v>0</v>
      </c>
      <c r="AB256" s="137">
        <f>(AB17*'Data - P&amp;L'!$C$34)+(AB129*'Data - P&amp;L'!$C$35)</f>
        <v>0</v>
      </c>
      <c r="AC256" s="137">
        <f>(AC17*'Data - P&amp;L'!$C$34)+(AC129*'Data - P&amp;L'!$C$35)</f>
        <v>30.08</v>
      </c>
      <c r="AD256" s="137">
        <f>(AD17*'Data - P&amp;L'!$C$34)+(AD129*'Data - P&amp;L'!$C$35)</f>
        <v>0</v>
      </c>
      <c r="AE256" s="137">
        <f>(AE17*'Data - P&amp;L'!$C$34)+(AE129*'Data - P&amp;L'!$C$35)</f>
        <v>0</v>
      </c>
      <c r="AF256" s="137">
        <f>(AF17*'Data - P&amp;L'!$C$34)+(AF129*'Data - P&amp;L'!$C$35)</f>
        <v>0</v>
      </c>
      <c r="AG256" s="95">
        <f t="shared" si="64"/>
        <v>511.44</v>
      </c>
    </row>
    <row r="257" ht="20.25" customHeight="1">
      <c r="A257" s="240" t="s">
        <v>753</v>
      </c>
      <c r="B257" s="137">
        <f>(B27*'Data - P&amp;L'!$D$38)+(B139*'Data - P&amp;L'!$D$39)</f>
        <v>0</v>
      </c>
      <c r="C257" s="137">
        <f>(C27*'Data - P&amp;L'!$D$38)+(C139*'Data - P&amp;L'!$D$39)</f>
        <v>0</v>
      </c>
      <c r="D257" s="137">
        <f>(D27*'Data - P&amp;L'!$D$38)+(D139*'Data - P&amp;L'!$D$39)</f>
        <v>0</v>
      </c>
      <c r="E257" s="137">
        <f>(E27*'Data - P&amp;L'!$D$38)+(E139*'Data - P&amp;L'!$D$39)</f>
        <v>0</v>
      </c>
      <c r="F257" s="137">
        <f>(F27*'Data - P&amp;L'!$D$38)+(F139*'Data - P&amp;L'!$D$39)</f>
        <v>0</v>
      </c>
      <c r="G257" s="137">
        <f>(G27*'Data - P&amp;L'!$D$38)+(G139*'Data - P&amp;L'!$D$39)</f>
        <v>0</v>
      </c>
      <c r="H257" s="137">
        <f>(H27*'Data - P&amp;L'!$D$38)+(H139*'Data - P&amp;L'!$D$39)</f>
        <v>0</v>
      </c>
      <c r="I257" s="137">
        <f>(I27*'Data - P&amp;L'!$D$38)+(I139*'Data - P&amp;L'!$D$39)</f>
        <v>0</v>
      </c>
      <c r="J257" s="137">
        <f>(J27*'Data - P&amp;L'!$D$38)+(J139*'Data - P&amp;L'!$D$39)</f>
        <v>0</v>
      </c>
      <c r="K257" s="137">
        <f>(K27*'Data - P&amp;L'!$D$38)+(K139*'Data - P&amp;L'!$D$39)</f>
        <v>0</v>
      </c>
      <c r="L257" s="137">
        <f>(L27*'Data - P&amp;L'!$D$38)+(L139*'Data - P&amp;L'!$D$39)</f>
        <v>0</v>
      </c>
      <c r="M257" s="137">
        <f>(M27*'Data - P&amp;L'!$D$38)+(M139*'Data - P&amp;L'!$D$39)</f>
        <v>0</v>
      </c>
      <c r="N257" s="137">
        <f>(N27*'Data - P&amp;L'!$D$38)+(N139*'Data - P&amp;L'!$D$39)</f>
        <v>0</v>
      </c>
      <c r="O257" s="137">
        <f>(O27*'Data - P&amp;L'!$D$38)+(O139*'Data - P&amp;L'!$D$39)</f>
        <v>0</v>
      </c>
      <c r="P257" s="137">
        <f>(P27*'Data - P&amp;L'!$D$38)+(P139*'Data - P&amp;L'!$D$39)</f>
        <v>0</v>
      </c>
      <c r="Q257" s="137">
        <f>(Q27*'Data - P&amp;L'!$D$38)+(Q139*'Data - P&amp;L'!$D$39)</f>
        <v>0</v>
      </c>
      <c r="R257" s="137">
        <f>(R27*'Data - P&amp;L'!$D$38)+(R139*'Data - P&amp;L'!$D$39)</f>
        <v>0</v>
      </c>
      <c r="S257" s="137">
        <f>(S27*'Data - P&amp;L'!$D$38)+(S139*'Data - P&amp;L'!$D$39)</f>
        <v>0</v>
      </c>
      <c r="T257" s="137">
        <f>(T27*'Data - P&amp;L'!$D$38)+(T139*'Data - P&amp;L'!$D$39)</f>
        <v>0</v>
      </c>
      <c r="U257" s="137">
        <f>(U27*'Data - P&amp;L'!$D$38)+(U139*'Data - P&amp;L'!$D$39)</f>
        <v>0</v>
      </c>
      <c r="V257" s="137">
        <f>(V27*'Data - P&amp;L'!$D$38)+(V139*'Data - P&amp;L'!$D$39)</f>
        <v>0</v>
      </c>
      <c r="W257" s="137">
        <f>(W27*'Data - P&amp;L'!$D$38)+(W139*'Data - P&amp;L'!$D$39)</f>
        <v>0</v>
      </c>
      <c r="X257" s="137">
        <f>(X27*'Data - P&amp;L'!$D$38)+(X139*'Data - P&amp;L'!$D$39)</f>
        <v>0</v>
      </c>
      <c r="Y257" s="137">
        <f>(Y27*'Data - P&amp;L'!$D$38)+(Y139*'Data - P&amp;L'!$D$39)</f>
        <v>0</v>
      </c>
      <c r="Z257" s="137">
        <f>(Z27*'Data - P&amp;L'!$D$38)+(Z139*'Data - P&amp;L'!$D$39)</f>
        <v>0</v>
      </c>
      <c r="AA257" s="137">
        <f>(AA27*'Data - P&amp;L'!$D$38)+(AA139*'Data - P&amp;L'!$D$39)</f>
        <v>0</v>
      </c>
      <c r="AB257" s="137">
        <f>(AB27*'Data - P&amp;L'!$D$38)+(AB139*'Data - P&amp;L'!$D$39)</f>
        <v>0</v>
      </c>
      <c r="AC257" s="137">
        <f>(AC27*'Data - P&amp;L'!$D$38)+(AC139*'Data - P&amp;L'!$D$39)</f>
        <v>0</v>
      </c>
      <c r="AD257" s="137">
        <f>(AD27*'Data - P&amp;L'!$D$38)+(AD139*'Data - P&amp;L'!$D$39)</f>
        <v>0</v>
      </c>
      <c r="AE257" s="137">
        <f>(AE27*'Data - P&amp;L'!$D$38)+(AE139*'Data - P&amp;L'!$D$39)</f>
        <v>0</v>
      </c>
      <c r="AF257" s="137">
        <f>(AF27*'Data - P&amp;L'!$D$38)+(AF139*'Data - P&amp;L'!$D$39)</f>
        <v>0</v>
      </c>
      <c r="AG257" s="95">
        <f t="shared" si="64"/>
        <v>0</v>
      </c>
    </row>
    <row r="258" ht="20.25" customHeight="1">
      <c r="A258" s="246" t="s">
        <v>754</v>
      </c>
      <c r="B258" s="247">
        <f>(B27*'Data - P&amp;L'!$D$34)+(B139*'Data - P&amp;L'!$D$35)</f>
        <v>0</v>
      </c>
      <c r="C258" s="247">
        <f>(C27*'Data - P&amp;L'!$D$34)+(C139*'Data - P&amp;L'!$D$35)</f>
        <v>0</v>
      </c>
      <c r="D258" s="247">
        <f>(D27*'Data - P&amp;L'!$D$34)+(D139*'Data - P&amp;L'!$D$35)</f>
        <v>0</v>
      </c>
      <c r="E258" s="247">
        <f>(E27*'Data - P&amp;L'!$D$34)+(E139*'Data - P&amp;L'!$D$35)</f>
        <v>0</v>
      </c>
      <c r="F258" s="247">
        <f>(F27*'Data - P&amp;L'!$D$34)+(F139*'Data - P&amp;L'!$D$35)</f>
        <v>0</v>
      </c>
      <c r="G258" s="247">
        <f>(G27*'Data - P&amp;L'!$D$34)+(G139*'Data - P&amp;L'!$D$35)</f>
        <v>0</v>
      </c>
      <c r="H258" s="247">
        <f>(H27*'Data - P&amp;L'!$D$34)+(H139*'Data - P&amp;L'!$D$35)</f>
        <v>0</v>
      </c>
      <c r="I258" s="247">
        <f>(I27*'Data - P&amp;L'!$D$34)+(I139*'Data - P&amp;L'!$D$35)</f>
        <v>0</v>
      </c>
      <c r="J258" s="247">
        <f>(J27*'Data - P&amp;L'!$D$34)+(J139*'Data - P&amp;L'!$D$35)</f>
        <v>0</v>
      </c>
      <c r="K258" s="247">
        <f>(K27*'Data - P&amp;L'!$D$34)+(K139*'Data - P&amp;L'!$D$35)</f>
        <v>0</v>
      </c>
      <c r="L258" s="247">
        <f>(L27*'Data - P&amp;L'!$D$34)+(L139*'Data - P&amp;L'!$D$35)</f>
        <v>0</v>
      </c>
      <c r="M258" s="247">
        <f>(M27*'Data - P&amp;L'!$D$34)+(M139*'Data - P&amp;L'!$D$35)</f>
        <v>0</v>
      </c>
      <c r="N258" s="247">
        <f>(N27*'Data - P&amp;L'!$D$34)+(N139*'Data - P&amp;L'!$D$35)</f>
        <v>0</v>
      </c>
      <c r="O258" s="247">
        <f>(O27*'Data - P&amp;L'!$D$34)+(O139*'Data - P&amp;L'!$D$35)</f>
        <v>0</v>
      </c>
      <c r="P258" s="247">
        <f>(P27*'Data - P&amp;L'!$D$34)+(P139*'Data - P&amp;L'!$D$35)</f>
        <v>0</v>
      </c>
      <c r="Q258" s="247">
        <f>(Q27*'Data - P&amp;L'!$D$34)+(Q139*'Data - P&amp;L'!$D$35)</f>
        <v>0</v>
      </c>
      <c r="R258" s="247">
        <f>(R27*'Data - P&amp;L'!$D$34)+(R139*'Data - P&amp;L'!$D$35)</f>
        <v>0</v>
      </c>
      <c r="S258" s="247">
        <f>(S27*'Data - P&amp;L'!$D$34)+(S139*'Data - P&amp;L'!$D$35)</f>
        <v>0</v>
      </c>
      <c r="T258" s="247">
        <f>(T27*'Data - P&amp;L'!$D$34)+(T139*'Data - P&amp;L'!$D$35)</f>
        <v>0</v>
      </c>
      <c r="U258" s="247">
        <f>(U27*'Data - P&amp;L'!$D$34)+(U139*'Data - P&amp;L'!$D$35)</f>
        <v>0</v>
      </c>
      <c r="V258" s="247">
        <f>(V27*'Data - P&amp;L'!$D$34)+(V139*'Data - P&amp;L'!$D$35)</f>
        <v>0</v>
      </c>
      <c r="W258" s="247">
        <f>(W27*'Data - P&amp;L'!$D$34)+(W139*'Data - P&amp;L'!$D$35)</f>
        <v>0</v>
      </c>
      <c r="X258" s="247">
        <f>(X27*'Data - P&amp;L'!$D$34)+(X139*'Data - P&amp;L'!$D$35)</f>
        <v>0</v>
      </c>
      <c r="Y258" s="247">
        <f>(Y27*'Data - P&amp;L'!$D$34)+(Y139*'Data - P&amp;L'!$D$35)</f>
        <v>0</v>
      </c>
      <c r="Z258" s="247">
        <f>(Z27*'Data - P&amp;L'!$D$34)+(Z139*'Data - P&amp;L'!$D$35)</f>
        <v>0</v>
      </c>
      <c r="AA258" s="247">
        <f>(AA27*'Data - P&amp;L'!$D$34)+(AA139*'Data - P&amp;L'!$D$35)</f>
        <v>0</v>
      </c>
      <c r="AB258" s="247">
        <f>(AB27*'Data - P&amp;L'!$D$34)+(AB139*'Data - P&amp;L'!$D$35)</f>
        <v>0</v>
      </c>
      <c r="AC258" s="247">
        <f>(AC27*'Data - P&amp;L'!$D$34)+(AC139*'Data - P&amp;L'!$D$35)</f>
        <v>0</v>
      </c>
      <c r="AD258" s="247">
        <f>(AD27*'Data - P&amp;L'!$D$34)+(AD139*'Data - P&amp;L'!$D$35)</f>
        <v>0</v>
      </c>
      <c r="AE258" s="247">
        <f>(AE27*'Data - P&amp;L'!$D$34)+(AE139*'Data - P&amp;L'!$D$35)</f>
        <v>0</v>
      </c>
      <c r="AF258" s="247">
        <f>(AF27*'Data - P&amp;L'!$D$34)+(AF139*'Data - P&amp;L'!$D$35)</f>
        <v>0</v>
      </c>
      <c r="AG258" s="95">
        <f t="shared" si="64"/>
        <v>0</v>
      </c>
    </row>
    <row r="259">
      <c r="A259" s="240" t="s">
        <v>755</v>
      </c>
      <c r="B259" s="443">
        <f t="shared" ref="B259:AF259" si="65">B6</f>
        <v>23.330772</v>
      </c>
      <c r="C259" s="443">
        <f t="shared" si="65"/>
        <v>12.893386</v>
      </c>
      <c r="D259" s="443">
        <f t="shared" si="65"/>
        <v>0</v>
      </c>
      <c r="E259" s="443">
        <f t="shared" si="65"/>
        <v>0</v>
      </c>
      <c r="F259" s="443">
        <f t="shared" si="65"/>
        <v>0</v>
      </c>
      <c r="G259" s="443">
        <f t="shared" si="65"/>
        <v>12.893386</v>
      </c>
      <c r="H259" s="443">
        <f t="shared" si="65"/>
        <v>0</v>
      </c>
      <c r="I259" s="443">
        <f t="shared" si="65"/>
        <v>25.786772</v>
      </c>
      <c r="J259" s="443">
        <f t="shared" si="65"/>
        <v>0</v>
      </c>
      <c r="K259" s="443">
        <f t="shared" si="65"/>
        <v>62.01093</v>
      </c>
      <c r="L259" s="443">
        <f t="shared" si="65"/>
        <v>12.893386</v>
      </c>
      <c r="M259" s="443">
        <f t="shared" si="65"/>
        <v>12.893386</v>
      </c>
      <c r="N259" s="443">
        <f t="shared" si="65"/>
        <v>0</v>
      </c>
      <c r="O259" s="443">
        <f t="shared" si="65"/>
        <v>0</v>
      </c>
      <c r="P259" s="443">
        <f t="shared" si="65"/>
        <v>0</v>
      </c>
      <c r="Q259" s="443">
        <f t="shared" si="65"/>
        <v>0</v>
      </c>
      <c r="R259" s="443">
        <f t="shared" si="65"/>
        <v>0</v>
      </c>
      <c r="S259" s="443">
        <f t="shared" si="65"/>
        <v>0</v>
      </c>
      <c r="T259" s="443">
        <f t="shared" si="65"/>
        <v>0</v>
      </c>
      <c r="U259" s="443">
        <f t="shared" si="65"/>
        <v>0</v>
      </c>
      <c r="V259" s="443">
        <f t="shared" si="65"/>
        <v>0</v>
      </c>
      <c r="W259" s="443">
        <f t="shared" si="65"/>
        <v>0</v>
      </c>
      <c r="X259" s="443">
        <f t="shared" si="65"/>
        <v>0</v>
      </c>
      <c r="Y259" s="443">
        <f t="shared" si="65"/>
        <v>0</v>
      </c>
      <c r="Z259" s="443">
        <f t="shared" si="65"/>
        <v>0</v>
      </c>
      <c r="AA259" s="443">
        <f t="shared" si="65"/>
        <v>0</v>
      </c>
      <c r="AB259" s="443">
        <f t="shared" si="65"/>
        <v>0</v>
      </c>
      <c r="AC259" s="443">
        <f t="shared" si="65"/>
        <v>18.419386</v>
      </c>
      <c r="AD259" s="443">
        <f t="shared" si="65"/>
        <v>0</v>
      </c>
      <c r="AE259" s="443">
        <f t="shared" si="65"/>
        <v>0</v>
      </c>
      <c r="AF259" s="443">
        <f t="shared" si="65"/>
        <v>0</v>
      </c>
      <c r="AG259" s="95">
        <f t="shared" si="64"/>
        <v>181.121404</v>
      </c>
    </row>
    <row r="260">
      <c r="A260" s="246" t="s">
        <v>756</v>
      </c>
      <c r="B260" s="444">
        <f t="shared" ref="B260:AF260" si="66">B118</f>
        <v>0</v>
      </c>
      <c r="C260" s="444">
        <f t="shared" si="66"/>
        <v>0</v>
      </c>
      <c r="D260" s="444">
        <f t="shared" si="66"/>
        <v>0</v>
      </c>
      <c r="E260" s="444">
        <f t="shared" si="66"/>
        <v>0</v>
      </c>
      <c r="F260" s="444">
        <f t="shared" si="66"/>
        <v>0</v>
      </c>
      <c r="G260" s="444">
        <f t="shared" si="66"/>
        <v>0</v>
      </c>
      <c r="H260" s="444">
        <f t="shared" si="66"/>
        <v>18.3586</v>
      </c>
      <c r="I260" s="444">
        <f t="shared" si="66"/>
        <v>0</v>
      </c>
      <c r="J260" s="444">
        <f t="shared" si="66"/>
        <v>0</v>
      </c>
      <c r="K260" s="444">
        <f t="shared" si="66"/>
        <v>0</v>
      </c>
      <c r="L260" s="444">
        <f t="shared" si="66"/>
        <v>18.3586</v>
      </c>
      <c r="M260" s="444">
        <f t="shared" si="66"/>
        <v>0</v>
      </c>
      <c r="N260" s="444">
        <f t="shared" si="66"/>
        <v>0</v>
      </c>
      <c r="O260" s="444">
        <f t="shared" si="66"/>
        <v>0</v>
      </c>
      <c r="P260" s="444">
        <f t="shared" si="66"/>
        <v>0</v>
      </c>
      <c r="Q260" s="444">
        <f t="shared" si="66"/>
        <v>0</v>
      </c>
      <c r="R260" s="444">
        <f t="shared" si="66"/>
        <v>0</v>
      </c>
      <c r="S260" s="444">
        <f t="shared" si="66"/>
        <v>0</v>
      </c>
      <c r="T260" s="444">
        <f t="shared" si="66"/>
        <v>0</v>
      </c>
      <c r="U260" s="444">
        <f t="shared" si="66"/>
        <v>0</v>
      </c>
      <c r="V260" s="444">
        <f t="shared" si="66"/>
        <v>0</v>
      </c>
      <c r="W260" s="444">
        <f t="shared" si="66"/>
        <v>0</v>
      </c>
      <c r="X260" s="444">
        <f t="shared" si="66"/>
        <v>0</v>
      </c>
      <c r="Y260" s="444">
        <f t="shared" si="66"/>
        <v>0</v>
      </c>
      <c r="Z260" s="444">
        <f t="shared" si="66"/>
        <v>29.3492</v>
      </c>
      <c r="AA260" s="444">
        <f t="shared" si="66"/>
        <v>0</v>
      </c>
      <c r="AB260" s="444">
        <f t="shared" si="66"/>
        <v>0</v>
      </c>
      <c r="AC260" s="444">
        <f t="shared" si="66"/>
        <v>0</v>
      </c>
      <c r="AD260" s="444">
        <f t="shared" si="66"/>
        <v>0</v>
      </c>
      <c r="AE260" s="444">
        <f t="shared" si="66"/>
        <v>0</v>
      </c>
      <c r="AF260" s="444">
        <f t="shared" si="66"/>
        <v>0</v>
      </c>
      <c r="AG260" s="95">
        <f t="shared" si="64"/>
        <v>66.0664</v>
      </c>
    </row>
    <row r="261">
      <c r="A261" s="172"/>
      <c r="AG261" s="445"/>
    </row>
    <row r="262">
      <c r="A262" s="215" t="s">
        <v>413</v>
      </c>
      <c r="B262" s="256">
        <f t="shared" ref="B262:AF262" si="67">SUM(B246:B260)</f>
        <v>372.5429264</v>
      </c>
      <c r="C262" s="256">
        <f t="shared" si="67"/>
        <v>197.1000632</v>
      </c>
      <c r="D262" s="256">
        <f t="shared" si="67"/>
        <v>0</v>
      </c>
      <c r="E262" s="256">
        <f t="shared" si="67"/>
        <v>0</v>
      </c>
      <c r="F262" s="256">
        <f t="shared" si="67"/>
        <v>0</v>
      </c>
      <c r="G262" s="256">
        <f t="shared" si="67"/>
        <v>197.1000632</v>
      </c>
      <c r="H262" s="256">
        <f t="shared" si="67"/>
        <v>190.57239</v>
      </c>
      <c r="I262" s="256">
        <f t="shared" si="67"/>
        <v>394.2001264</v>
      </c>
      <c r="J262" s="256">
        <f t="shared" si="67"/>
        <v>0</v>
      </c>
      <c r="K262" s="256">
        <f t="shared" si="67"/>
        <v>963.843116</v>
      </c>
      <c r="L262" s="256">
        <f t="shared" si="67"/>
        <v>527.3024532</v>
      </c>
      <c r="M262" s="256">
        <f t="shared" si="67"/>
        <v>197.1000632</v>
      </c>
      <c r="N262" s="256">
        <f t="shared" si="67"/>
        <v>0</v>
      </c>
      <c r="O262" s="256">
        <f t="shared" si="67"/>
        <v>0</v>
      </c>
      <c r="P262" s="256">
        <f t="shared" si="67"/>
        <v>0</v>
      </c>
      <c r="Q262" s="256">
        <f t="shared" si="67"/>
        <v>0</v>
      </c>
      <c r="R262" s="256">
        <f t="shared" si="67"/>
        <v>0</v>
      </c>
      <c r="S262" s="256">
        <f t="shared" si="67"/>
        <v>0</v>
      </c>
      <c r="T262" s="256">
        <f t="shared" si="67"/>
        <v>0</v>
      </c>
      <c r="U262" s="256">
        <f t="shared" si="67"/>
        <v>0</v>
      </c>
      <c r="V262" s="256">
        <f t="shared" si="67"/>
        <v>0</v>
      </c>
      <c r="W262" s="256">
        <f t="shared" si="67"/>
        <v>0</v>
      </c>
      <c r="X262" s="256">
        <f t="shared" si="67"/>
        <v>0</v>
      </c>
      <c r="Y262" s="256">
        <f t="shared" si="67"/>
        <v>0</v>
      </c>
      <c r="Z262" s="256">
        <f t="shared" si="67"/>
        <v>354.67158</v>
      </c>
      <c r="AA262" s="256">
        <f t="shared" si="67"/>
        <v>0</v>
      </c>
      <c r="AB262" s="256">
        <f t="shared" si="67"/>
        <v>0</v>
      </c>
      <c r="AC262" s="256">
        <f t="shared" si="67"/>
        <v>221.7312632</v>
      </c>
      <c r="AD262" s="256">
        <f t="shared" si="67"/>
        <v>0</v>
      </c>
      <c r="AE262" s="256">
        <f t="shared" si="67"/>
        <v>0</v>
      </c>
      <c r="AF262" s="256">
        <f t="shared" si="67"/>
        <v>0</v>
      </c>
      <c r="AG262" s="95">
        <f>SUM(B262:AF262)</f>
        <v>3616.164045</v>
      </c>
    </row>
    <row r="263">
      <c r="A263" s="172"/>
      <c r="AG263" s="406"/>
    </row>
    <row r="264">
      <c r="A264" s="438" t="s">
        <v>418</v>
      </c>
      <c r="B264" s="446"/>
      <c r="C264" s="446"/>
      <c r="D264" s="446"/>
      <c r="E264" s="446"/>
      <c r="F264" s="446"/>
      <c r="G264" s="446"/>
      <c r="H264" s="446"/>
      <c r="I264" s="446"/>
      <c r="J264" s="446"/>
      <c r="K264" s="446"/>
      <c r="L264" s="446"/>
      <c r="M264" s="446"/>
      <c r="N264" s="446"/>
      <c r="O264" s="446"/>
      <c r="P264" s="446"/>
      <c r="Q264" s="446"/>
      <c r="R264" s="446"/>
      <c r="S264" s="446"/>
      <c r="T264" s="446"/>
      <c r="U264" s="446"/>
      <c r="V264" s="446"/>
      <c r="W264" s="446"/>
      <c r="X264" s="446"/>
      <c r="Y264" s="446"/>
      <c r="Z264" s="446"/>
      <c r="AA264" s="446"/>
      <c r="AB264" s="446"/>
      <c r="AC264" s="446"/>
      <c r="AD264" s="446"/>
      <c r="AE264" s="446"/>
      <c r="AF264" s="446"/>
      <c r="AG264" s="445"/>
    </row>
    <row r="265">
      <c r="A265" s="240" t="s">
        <v>757</v>
      </c>
      <c r="B265" s="269">
        <f t="shared" ref="B265:AF265" si="68">SUM(B266:B272)-B275</f>
        <v>0</v>
      </c>
      <c r="C265" s="269">
        <f t="shared" si="68"/>
        <v>0</v>
      </c>
      <c r="D265" s="269">
        <f t="shared" si="68"/>
        <v>0</v>
      </c>
      <c r="E265" s="269">
        <f t="shared" si="68"/>
        <v>6.66</v>
      </c>
      <c r="F265" s="269">
        <f t="shared" si="68"/>
        <v>6</v>
      </c>
      <c r="G265" s="269">
        <f t="shared" si="68"/>
        <v>0</v>
      </c>
      <c r="H265" s="269">
        <f t="shared" si="68"/>
        <v>0</v>
      </c>
      <c r="I265" s="269">
        <f t="shared" si="68"/>
        <v>0</v>
      </c>
      <c r="J265" s="269">
        <f t="shared" si="68"/>
        <v>0</v>
      </c>
      <c r="K265" s="269">
        <f t="shared" si="68"/>
        <v>0</v>
      </c>
      <c r="L265" s="269">
        <f t="shared" si="68"/>
        <v>0</v>
      </c>
      <c r="M265" s="269">
        <f t="shared" si="68"/>
        <v>0</v>
      </c>
      <c r="N265" s="269">
        <f t="shared" si="68"/>
        <v>0</v>
      </c>
      <c r="O265" s="269">
        <f t="shared" si="68"/>
        <v>0</v>
      </c>
      <c r="P265" s="269">
        <f t="shared" si="68"/>
        <v>0</v>
      </c>
      <c r="Q265" s="269">
        <f t="shared" si="68"/>
        <v>0</v>
      </c>
      <c r="R265" s="269">
        <f t="shared" si="68"/>
        <v>0</v>
      </c>
      <c r="S265" s="269">
        <f t="shared" si="68"/>
        <v>0</v>
      </c>
      <c r="T265" s="269">
        <f t="shared" si="68"/>
        <v>0</v>
      </c>
      <c r="U265" s="269">
        <f t="shared" si="68"/>
        <v>0</v>
      </c>
      <c r="V265" s="269">
        <f t="shared" si="68"/>
        <v>0</v>
      </c>
      <c r="W265" s="269">
        <f t="shared" si="68"/>
        <v>0</v>
      </c>
      <c r="X265" s="269">
        <f t="shared" si="68"/>
        <v>0</v>
      </c>
      <c r="Y265" s="269">
        <f t="shared" si="68"/>
        <v>0</v>
      </c>
      <c r="Z265" s="269">
        <f t="shared" si="68"/>
        <v>0</v>
      </c>
      <c r="AA265" s="269">
        <f t="shared" si="68"/>
        <v>0</v>
      </c>
      <c r="AB265" s="269">
        <f t="shared" si="68"/>
        <v>0</v>
      </c>
      <c r="AC265" s="269">
        <f t="shared" si="68"/>
        <v>0</v>
      </c>
      <c r="AD265" s="269">
        <f t="shared" si="68"/>
        <v>0</v>
      </c>
      <c r="AE265" s="269">
        <f t="shared" si="68"/>
        <v>0</v>
      </c>
      <c r="AF265" s="269">
        <f t="shared" si="68"/>
        <v>0</v>
      </c>
      <c r="AG265" s="95">
        <f>SUM(B265:AF265)</f>
        <v>12.66</v>
      </c>
    </row>
    <row r="266" outlineLevel="1">
      <c r="A266" s="151" t="s">
        <v>758</v>
      </c>
      <c r="B266" s="255">
        <f>(B32+B33+B144+B145)*'Data - P&amp;L'!$C$3</f>
        <v>0</v>
      </c>
      <c r="C266" s="255">
        <f>(C32+C33+C144+C145)*'Data - P&amp;L'!$C$3</f>
        <v>0</v>
      </c>
      <c r="D266" s="255">
        <f>(D32+D33+D144+D145)*'Data - P&amp;L'!$C$3</f>
        <v>0</v>
      </c>
      <c r="E266" s="255">
        <f>(E32+E33+E144+E145)*'Data - P&amp;L'!$C$3</f>
        <v>0</v>
      </c>
      <c r="F266" s="255">
        <f>(F32+F33+F144+F145)*'Data - P&amp;L'!$C$3</f>
        <v>0</v>
      </c>
      <c r="G266" s="255">
        <f>(G32+G33+G144+G145)*'Data - P&amp;L'!$C$3</f>
        <v>0</v>
      </c>
      <c r="H266" s="255">
        <f>(H32+H33+H144+H145)*'Data - P&amp;L'!$C$3</f>
        <v>0</v>
      </c>
      <c r="I266" s="255">
        <f>(I32+I33+I144+I145)*'Data - P&amp;L'!$C$3</f>
        <v>0</v>
      </c>
      <c r="J266" s="255">
        <f>(J32+J33+J144+J145)*'Data - P&amp;L'!$C$3</f>
        <v>0</v>
      </c>
      <c r="K266" s="255">
        <f>(K32+K33+K144+K145)*'Data - P&amp;L'!$C$3</f>
        <v>0</v>
      </c>
      <c r="L266" s="255">
        <f>(L32+L33+L144+L145)*'Data - P&amp;L'!$C$3</f>
        <v>0</v>
      </c>
      <c r="M266" s="255">
        <f>(M32+M33+M144+M145)*'Data - P&amp;L'!$C$3</f>
        <v>0</v>
      </c>
      <c r="N266" s="255">
        <f>(N32+N33+N144+N145)*'Data - P&amp;L'!$C$3</f>
        <v>0</v>
      </c>
      <c r="O266" s="255">
        <f>(O32+O33+O144+O145)*'Data - P&amp;L'!$C$3</f>
        <v>0</v>
      </c>
      <c r="P266" s="255">
        <f>(P32+P33+P144+P145)*'Data - P&amp;L'!$C$3</f>
        <v>0</v>
      </c>
      <c r="Q266" s="255">
        <f>(Q32+Q33+Q144+Q145)*'Data - P&amp;L'!$C$3</f>
        <v>0</v>
      </c>
      <c r="R266" s="255">
        <f>(R32+R33+R144+R145)*'Data - P&amp;L'!$C$3</f>
        <v>0</v>
      </c>
      <c r="S266" s="255">
        <f>(S32+S33+S144+S145)*'Data - P&amp;L'!$C$3</f>
        <v>0</v>
      </c>
      <c r="T266" s="255">
        <f>(T32+T33+T144+T145)*'Data - P&amp;L'!$C$3</f>
        <v>0</v>
      </c>
      <c r="U266" s="255">
        <f>(U32+U33+U144+U145)*'Data - P&amp;L'!$C$3</f>
        <v>0</v>
      </c>
      <c r="V266" s="255">
        <f>(V32+V33+V144+V145)*'Data - P&amp;L'!$C$3</f>
        <v>0</v>
      </c>
      <c r="W266" s="255">
        <f>(W32+W33+W144+W145)*'Data - P&amp;L'!$C$3</f>
        <v>0</v>
      </c>
      <c r="X266" s="255">
        <f>(X32+X33+X144+X145)*'Data - P&amp;L'!$C$3</f>
        <v>0</v>
      </c>
      <c r="Y266" s="255">
        <f>(Y32+Y33+Y144+Y145)*'Data - P&amp;L'!$C$3</f>
        <v>0</v>
      </c>
      <c r="Z266" s="255">
        <f>(Z32+Z33+Z144+Z145)*'Data - P&amp;L'!$C$3</f>
        <v>0</v>
      </c>
      <c r="AA266" s="255">
        <f>(AA32+AA33+AA144+AA145)*'Data - P&amp;L'!$C$3</f>
        <v>0</v>
      </c>
      <c r="AB266" s="255">
        <f>(AB32+AB33+AB144+AB145)*'Data - P&amp;L'!$C$3</f>
        <v>0</v>
      </c>
      <c r="AC266" s="255">
        <f>(AC32+AC33+AC144+AC145)*'Data - P&amp;L'!$C$3</f>
        <v>0</v>
      </c>
      <c r="AD266" s="255">
        <f>(AD32+AD33+AD144+AD145)*'Data - P&amp;L'!$C$3</f>
        <v>0</v>
      </c>
      <c r="AE266" s="255">
        <f>(AE32+AE33+AE144+AE145)*'Data - P&amp;L'!$C$3</f>
        <v>0</v>
      </c>
      <c r="AF266" s="255">
        <f>(AF32+AF33+AF144+AF145)*'Data - P&amp;L'!$C$3</f>
        <v>0</v>
      </c>
      <c r="AG266" s="445">
        <f t="shared" ref="AG266:AG275" si="69">SUM(B266:AD266)</f>
        <v>0</v>
      </c>
    </row>
    <row r="267" outlineLevel="1">
      <c r="A267" s="151" t="s">
        <v>759</v>
      </c>
      <c r="B267" s="255">
        <f>(B34+B35+B146+B147)*'Data - P&amp;L'!$C$4</f>
        <v>0</v>
      </c>
      <c r="C267" s="255">
        <f>(C34+C35+C146+C147)*'Data - P&amp;L'!$C$4</f>
        <v>0</v>
      </c>
      <c r="D267" s="255">
        <f>(D34+D35+D146+D147)*'Data - P&amp;L'!$C$4</f>
        <v>0</v>
      </c>
      <c r="E267" s="255">
        <f>(E34+E35+E146+E147)*'Data - P&amp;L'!$C$4</f>
        <v>0</v>
      </c>
      <c r="F267" s="255">
        <f>(F34+F35+F146+F147)*'Data - P&amp;L'!$C$4</f>
        <v>0</v>
      </c>
      <c r="G267" s="255">
        <f>(G34+G35+G146+G147)*'Data - P&amp;L'!$C$4</f>
        <v>0</v>
      </c>
      <c r="H267" s="255">
        <f>(H34+H35+H146+H147)*'Data - P&amp;L'!$C$4</f>
        <v>0</v>
      </c>
      <c r="I267" s="255">
        <f>(I34+I35+I146+I147)*'Data - P&amp;L'!$C$4</f>
        <v>0</v>
      </c>
      <c r="J267" s="255">
        <f>(J34+J35+J146+J147)*'Data - P&amp;L'!$C$4</f>
        <v>0</v>
      </c>
      <c r="K267" s="255">
        <f>(K34+K35+K146+K147)*'Data - P&amp;L'!$C$4</f>
        <v>0</v>
      </c>
      <c r="L267" s="255">
        <f>(L34+L35+L146+L147)*'Data - P&amp;L'!$C$4</f>
        <v>0</v>
      </c>
      <c r="M267" s="255">
        <f>(M34+M35+M146+M147)*'Data - P&amp;L'!$C$4</f>
        <v>0</v>
      </c>
      <c r="N267" s="255">
        <f>(N34+N35+N146+N147)*'Data - P&amp;L'!$C$4</f>
        <v>0</v>
      </c>
      <c r="O267" s="255">
        <f>(O34+O35+O146+O147)*'Data - P&amp;L'!$C$4</f>
        <v>0</v>
      </c>
      <c r="P267" s="255">
        <f>(P34+P35+P146+P147)*'Data - P&amp;L'!$C$4</f>
        <v>0</v>
      </c>
      <c r="Q267" s="255">
        <f>(Q34+Q35+Q146+Q147)*'Data - P&amp;L'!$C$4</f>
        <v>0</v>
      </c>
      <c r="R267" s="255">
        <f>(R34+R35+R146+R147)*'Data - P&amp;L'!$C$4</f>
        <v>0</v>
      </c>
      <c r="S267" s="255">
        <f>(S34+S35+S146+S147)*'Data - P&amp;L'!$C$4</f>
        <v>0</v>
      </c>
      <c r="T267" s="255">
        <f>(T34+T35+T146+T147)*'Data - P&amp;L'!$C$4</f>
        <v>0</v>
      </c>
      <c r="U267" s="255">
        <f>(U34+U35+U146+U147)*'Data - P&amp;L'!$C$4</f>
        <v>0</v>
      </c>
      <c r="V267" s="255">
        <f>(V34+V35+V146+V147)*'Data - P&amp;L'!$C$4</f>
        <v>0</v>
      </c>
      <c r="W267" s="255">
        <f>(W34+W35+W146+W147)*'Data - P&amp;L'!$C$4</f>
        <v>0</v>
      </c>
      <c r="X267" s="255">
        <f>(X34+X35+X146+X147)*'Data - P&amp;L'!$C$4</f>
        <v>0</v>
      </c>
      <c r="Y267" s="255">
        <f>(Y34+Y35+Y146+Y147)*'Data - P&amp;L'!$C$4</f>
        <v>0</v>
      </c>
      <c r="Z267" s="255">
        <f>(Z34+Z35+Z146+Z147)*'Data - P&amp;L'!$C$4</f>
        <v>0</v>
      </c>
      <c r="AA267" s="255">
        <f>(AA34+AA35+AA146+AA147)*'Data - P&amp;L'!$C$4</f>
        <v>0</v>
      </c>
      <c r="AB267" s="255">
        <f>(AB34+AB35+AB146+AB147)*'Data - P&amp;L'!$C$4</f>
        <v>0</v>
      </c>
      <c r="AC267" s="255">
        <f>(AC34+AC35+AC146+AC147)*'Data - P&amp;L'!$C$4</f>
        <v>0</v>
      </c>
      <c r="AD267" s="255">
        <f>(AD34+AD35+AD146+AD147)*'Data - P&amp;L'!$C$4</f>
        <v>0</v>
      </c>
      <c r="AE267" s="255">
        <f>(AE34+AE35+AE146+AE147)*'Data - P&amp;L'!$C$4</f>
        <v>0</v>
      </c>
      <c r="AF267" s="255">
        <f>(AF34+AF35+AF146+AF147)*'Data - P&amp;L'!$C$4</f>
        <v>0</v>
      </c>
      <c r="AG267" s="445">
        <f t="shared" si="69"/>
        <v>0</v>
      </c>
    </row>
    <row r="268" outlineLevel="1">
      <c r="A268" s="151" t="s">
        <v>760</v>
      </c>
      <c r="B268" s="255">
        <f>(B39+B151)*'Data - P&amp;L'!$C$6</f>
        <v>0</v>
      </c>
      <c r="C268" s="255">
        <f>(C93+C104)*'Data - P&amp;L'!$C$6</f>
        <v>0</v>
      </c>
      <c r="D268" s="255">
        <f>(D93+D104)*'Data - P&amp;L'!$C$6</f>
        <v>0</v>
      </c>
      <c r="E268" s="255">
        <f>(E93+E104)*'Data - P&amp;L'!$C$6</f>
        <v>0</v>
      </c>
      <c r="F268" s="255">
        <f>(F93+F104)*'Data - P&amp;L'!$C$6</f>
        <v>0</v>
      </c>
      <c r="G268" s="255">
        <f>(G93+G104)*'Data - P&amp;L'!$C$6</f>
        <v>0</v>
      </c>
      <c r="H268" s="255">
        <f>(H93+H104)*'Data - P&amp;L'!$C$6</f>
        <v>0</v>
      </c>
      <c r="I268" s="255">
        <f>(I93+I104)*'Data - P&amp;L'!$C$6</f>
        <v>0</v>
      </c>
      <c r="J268" s="255">
        <f>(J93+J104)*'Data - P&amp;L'!$C$6</f>
        <v>0</v>
      </c>
      <c r="K268" s="255">
        <f>(K93+K104)*'Data - P&amp;L'!$C$6</f>
        <v>0</v>
      </c>
      <c r="L268" s="255">
        <f>(L93+L104)*'Data - P&amp;L'!$C$6</f>
        <v>0</v>
      </c>
      <c r="M268" s="255">
        <f>(M93+M104)*'Data - P&amp;L'!$C$6</f>
        <v>0</v>
      </c>
      <c r="N268" s="255">
        <f>(N93+N104)*'Data - P&amp;L'!$C$6</f>
        <v>0</v>
      </c>
      <c r="O268" s="255">
        <f>(O93+O104)*'Data - P&amp;L'!$C$6</f>
        <v>0</v>
      </c>
      <c r="P268" s="255">
        <f>(P93+P104)*'Data - P&amp;L'!$C$6</f>
        <v>0</v>
      </c>
      <c r="Q268" s="255">
        <f>(Q93+Q104)*'Data - P&amp;L'!$C$6</f>
        <v>0</v>
      </c>
      <c r="R268" s="255">
        <f>(R93+R104)*'Data - P&amp;L'!$C$6</f>
        <v>0</v>
      </c>
      <c r="S268" s="255">
        <f>(S93+S104)*'Data - P&amp;L'!$C$6</f>
        <v>0</v>
      </c>
      <c r="T268" s="255">
        <f>(T93+T104)*'Data - P&amp;L'!$C$6</f>
        <v>0</v>
      </c>
      <c r="U268" s="255">
        <f>(U93+U104)*'Data - P&amp;L'!$C$6</f>
        <v>0</v>
      </c>
      <c r="V268" s="255">
        <f>(V93+V104)*'Data - P&amp;L'!$C$6</f>
        <v>0</v>
      </c>
      <c r="W268" s="255">
        <f>(W93+W104)*'Data - P&amp;L'!$C$6</f>
        <v>0</v>
      </c>
      <c r="X268" s="255">
        <f>(X93+X104)*'Data - P&amp;L'!$C$6</f>
        <v>0</v>
      </c>
      <c r="Y268" s="255">
        <f>(Y93+Y104)*'Data - P&amp;L'!$C$6</f>
        <v>0</v>
      </c>
      <c r="Z268" s="255">
        <f>(Z93+Z104)*'Data - P&amp;L'!$C$6</f>
        <v>0</v>
      </c>
      <c r="AA268" s="255">
        <f>(AA93+AA104)*'Data - P&amp;L'!$C$6</f>
        <v>0</v>
      </c>
      <c r="AB268" s="255">
        <f>(AB93+AB104)*'Data - P&amp;L'!$C$6</f>
        <v>0</v>
      </c>
      <c r="AC268" s="255">
        <f>(AC93+AC104)*'Data - P&amp;L'!$C$6</f>
        <v>0</v>
      </c>
      <c r="AD268" s="255">
        <f>(AD93+AD104)*'Data - P&amp;L'!$C$6</f>
        <v>0</v>
      </c>
      <c r="AE268" s="255">
        <f>(AE93+AE104)*'Data - P&amp;L'!$C$6</f>
        <v>0</v>
      </c>
      <c r="AF268" s="255">
        <f>(AF93+AF104)*'Data - P&amp;L'!$C$6</f>
        <v>0</v>
      </c>
      <c r="AG268" s="445">
        <f t="shared" si="69"/>
        <v>0</v>
      </c>
    </row>
    <row r="269" outlineLevel="1">
      <c r="A269" s="151" t="s">
        <v>761</v>
      </c>
      <c r="B269" s="255">
        <f>(B40+B152)*'Data - P&amp;L'!$C$8</f>
        <v>0</v>
      </c>
      <c r="C269" s="255">
        <f>(C94+C105)*'Data - P&amp;L'!$C$8</f>
        <v>0</v>
      </c>
      <c r="D269" s="255">
        <f>(D94+D105)*'Data - P&amp;L'!$C$8</f>
        <v>0</v>
      </c>
      <c r="E269" s="255">
        <f>(E94+E105)*'Data - P&amp;L'!$C$8</f>
        <v>0</v>
      </c>
      <c r="F269" s="255">
        <f>(F94+F105)*'Data - P&amp;L'!$C$8</f>
        <v>0</v>
      </c>
      <c r="G269" s="255">
        <f>(G94+G105)*'Data - P&amp;L'!$C$8</f>
        <v>0</v>
      </c>
      <c r="H269" s="255">
        <f>(H94+H105)*'Data - P&amp;L'!$C$8</f>
        <v>0</v>
      </c>
      <c r="I269" s="255">
        <f>(I94+I105)*'Data - P&amp;L'!$C$8</f>
        <v>0</v>
      </c>
      <c r="J269" s="255">
        <f>(J94+J105)*'Data - P&amp;L'!$C$8</f>
        <v>0</v>
      </c>
      <c r="K269" s="255">
        <f>(K94+K105)*'Data - P&amp;L'!$C$8</f>
        <v>0</v>
      </c>
      <c r="L269" s="255">
        <f>(L94+L105)*'Data - P&amp;L'!$C$8</f>
        <v>0</v>
      </c>
      <c r="M269" s="255">
        <f>(M94+M105)*'Data - P&amp;L'!$C$8</f>
        <v>0</v>
      </c>
      <c r="N269" s="255">
        <f>(N94+N105)*'Data - P&amp;L'!$C$8</f>
        <v>0</v>
      </c>
      <c r="O269" s="255">
        <f>(O94+O105)*'Data - P&amp;L'!$C$8</f>
        <v>0</v>
      </c>
      <c r="P269" s="255">
        <f>(P94+P105)*'Data - P&amp;L'!$C$8</f>
        <v>0</v>
      </c>
      <c r="Q269" s="255">
        <f>(Q94+Q105)*'Data - P&amp;L'!$C$8</f>
        <v>0</v>
      </c>
      <c r="R269" s="255">
        <f>(R94+R105)*'Data - P&amp;L'!$C$8</f>
        <v>0</v>
      </c>
      <c r="S269" s="255">
        <f>(S94+S105)*'Data - P&amp;L'!$C$8</f>
        <v>0</v>
      </c>
      <c r="T269" s="255">
        <f>(T94+T105)*'Data - P&amp;L'!$C$8</f>
        <v>0</v>
      </c>
      <c r="U269" s="255">
        <f>(U94+U105)*'Data - P&amp;L'!$C$8</f>
        <v>0</v>
      </c>
      <c r="V269" s="255">
        <f>(V94+V105)*'Data - P&amp;L'!$C$8</f>
        <v>0</v>
      </c>
      <c r="W269" s="255">
        <f>(W94+W105)*'Data - P&amp;L'!$C$8</f>
        <v>0</v>
      </c>
      <c r="X269" s="255">
        <f>(X94+X105)*'Data - P&amp;L'!$C$8</f>
        <v>0</v>
      </c>
      <c r="Y269" s="255">
        <f>(Y94+Y105)*'Data - P&amp;L'!$C$8</f>
        <v>0</v>
      </c>
      <c r="Z269" s="255">
        <f>(Z94+Z105)*'Data - P&amp;L'!$C$8</f>
        <v>0</v>
      </c>
      <c r="AA269" s="255">
        <f>(AA94+AA105)*'Data - P&amp;L'!$C$8</f>
        <v>0</v>
      </c>
      <c r="AB269" s="255">
        <f>(AB94+AB105)*'Data - P&amp;L'!$C$8</f>
        <v>0</v>
      </c>
      <c r="AC269" s="255">
        <f>(AC94+AC105)*'Data - P&amp;L'!$C$8</f>
        <v>0</v>
      </c>
      <c r="AD269" s="255">
        <f>(AD94+AD105)*'Data - P&amp;L'!$C$8</f>
        <v>0</v>
      </c>
      <c r="AE269" s="255">
        <f>(AE94+AE105)*'Data - P&amp;L'!$C$8</f>
        <v>0</v>
      </c>
      <c r="AF269" s="255">
        <f>(AF94+AF105)*'Data - P&amp;L'!$C$8</f>
        <v>0</v>
      </c>
      <c r="AG269" s="445">
        <f t="shared" si="69"/>
        <v>0</v>
      </c>
    </row>
    <row r="270" outlineLevel="1">
      <c r="A270" s="151" t="s">
        <v>762</v>
      </c>
      <c r="B270" s="255">
        <f>(B41+B42+B153+B154)*'Data - P&amp;L'!$C$9</f>
        <v>0</v>
      </c>
      <c r="C270" s="255">
        <f>(C95+C96+C106+C107)*'Data - P&amp;L'!$C$9</f>
        <v>0</v>
      </c>
      <c r="D270" s="255">
        <f>(D95+D96+D106+D107)*'Data - P&amp;L'!$C$9</f>
        <v>0</v>
      </c>
      <c r="E270" s="255">
        <f>(E95+E96+E106+E107)*'Data - P&amp;L'!$C$9</f>
        <v>6.66</v>
      </c>
      <c r="F270" s="255">
        <f>(F95+F96+F106+F107)*'Data - P&amp;L'!$C$9</f>
        <v>0</v>
      </c>
      <c r="G270" s="255">
        <f>(G95+G96+G106+G107)*'Data - P&amp;L'!$C$9</f>
        <v>0</v>
      </c>
      <c r="H270" s="255">
        <f>(H95+H96+H106+H107)*'Data - P&amp;L'!$C$9</f>
        <v>0</v>
      </c>
      <c r="I270" s="255">
        <f>(I95+I96+I106+I107)*'Data - P&amp;L'!$C$9</f>
        <v>0</v>
      </c>
      <c r="J270" s="255">
        <f>(J95+J96+J106+J107)*'Data - P&amp;L'!$C$9</f>
        <v>0</v>
      </c>
      <c r="K270" s="255">
        <f>(K95+K96+K106+K107)*'Data - P&amp;L'!$C$9</f>
        <v>0</v>
      </c>
      <c r="L270" s="255">
        <f>(L95+L96+L106+L107)*'Data - P&amp;L'!$C$9</f>
        <v>0</v>
      </c>
      <c r="M270" s="255">
        <f>(M95+M96+M106+M107)*'Data - P&amp;L'!$C$9</f>
        <v>0</v>
      </c>
      <c r="N270" s="255">
        <f>(N95+N96+N106+N107)*'Data - P&amp;L'!$C$9</f>
        <v>0</v>
      </c>
      <c r="O270" s="255">
        <f>(O95+O96+O106+O107)*'Data - P&amp;L'!$C$9</f>
        <v>0</v>
      </c>
      <c r="P270" s="255">
        <f>(P95+P96+P106+P107)*'Data - P&amp;L'!$C$9</f>
        <v>0</v>
      </c>
      <c r="Q270" s="255">
        <f>(Q95+Q96+Q106+Q107)*'Data - P&amp;L'!$C$9</f>
        <v>0</v>
      </c>
      <c r="R270" s="255">
        <f>(R95+R96+R106+R107)*'Data - P&amp;L'!$C$9</f>
        <v>0</v>
      </c>
      <c r="S270" s="255">
        <f>(S95+S96+S106+S107)*'Data - P&amp;L'!$C$9</f>
        <v>0</v>
      </c>
      <c r="T270" s="255">
        <f>(T95+T96+T106+T107)*'Data - P&amp;L'!$C$9</f>
        <v>0</v>
      </c>
      <c r="U270" s="255">
        <f>(U95+U96+U106+U107)*'Data - P&amp;L'!$C$9</f>
        <v>0</v>
      </c>
      <c r="V270" s="255">
        <f>(V95+V96+V106+V107)*'Data - P&amp;L'!$C$9</f>
        <v>0</v>
      </c>
      <c r="W270" s="255">
        <f>(W95+W96+W106+W107)*'Data - P&amp;L'!$C$9</f>
        <v>0</v>
      </c>
      <c r="X270" s="255">
        <f>(X95+X96+X106+X107)*'Data - P&amp;L'!$C$9</f>
        <v>0</v>
      </c>
      <c r="Y270" s="255">
        <f>(Y95+Y96+Y106+Y107)*'Data - P&amp;L'!$C$9</f>
        <v>0</v>
      </c>
      <c r="Z270" s="255">
        <f>(Z95+Z96+Z106+Z107)*'Data - P&amp;L'!$C$9</f>
        <v>0</v>
      </c>
      <c r="AA270" s="255">
        <f>(AA95+AA96+AA106+AA107)*'Data - P&amp;L'!$C$9</f>
        <v>0</v>
      </c>
      <c r="AB270" s="255">
        <f>(AB95+AB96+AB106+AB107)*'Data - P&amp;L'!$C$9</f>
        <v>0</v>
      </c>
      <c r="AC270" s="255">
        <f>(AC95+AC96+AC106+AC107)*'Data - P&amp;L'!$C$9</f>
        <v>0</v>
      </c>
      <c r="AD270" s="255">
        <f>(AD95+AD96+AD106+AD107)*'Data - P&amp;L'!$C$9</f>
        <v>0</v>
      </c>
      <c r="AE270" s="255">
        <f>(AE95+AE96+AE106+AE107)*'Data - P&amp;L'!$C$9</f>
        <v>0</v>
      </c>
      <c r="AF270" s="255">
        <f>(AF95+AF96+AF106+AF107)*'Data - P&amp;L'!$C$9</f>
        <v>0</v>
      </c>
      <c r="AG270" s="445">
        <f t="shared" si="69"/>
        <v>6.66</v>
      </c>
    </row>
    <row r="271" outlineLevel="1">
      <c r="A271" s="151" t="s">
        <v>763</v>
      </c>
      <c r="B271" s="255">
        <f>(B43+B44+B155+B156)*'Data - P&amp;L'!$C$5</f>
        <v>0</v>
      </c>
      <c r="C271" s="255">
        <f>(C97+C98+C108+C109)*'Data - P&amp;L'!$C$5</f>
        <v>0</v>
      </c>
      <c r="D271" s="255">
        <f>(D97+D98+D108+D109)*'Data - P&amp;L'!$C$5</f>
        <v>0</v>
      </c>
      <c r="E271" s="255">
        <f>(E97+E98+E108+E109)*'Data - P&amp;L'!$C$5</f>
        <v>0</v>
      </c>
      <c r="F271" s="255">
        <f>(F97+F98+F108+F109)*'Data - P&amp;L'!$C$5</f>
        <v>0</v>
      </c>
      <c r="G271" s="255">
        <f>(G97+G98+G108+G109)*'Data - P&amp;L'!$C$5</f>
        <v>0</v>
      </c>
      <c r="H271" s="255">
        <f>(H97+H98+H108+H109)*'Data - P&amp;L'!$C$5</f>
        <v>0</v>
      </c>
      <c r="I271" s="255">
        <f>(I97+I98+I108+I109)*'Data - P&amp;L'!$C$5</f>
        <v>0</v>
      </c>
      <c r="J271" s="255">
        <f>(J97+J98+J108+J109)*'Data - P&amp;L'!$C$5</f>
        <v>0</v>
      </c>
      <c r="K271" s="255">
        <f>(K97+K98+K108+K109)*'Data - P&amp;L'!$C$5</f>
        <v>0</v>
      </c>
      <c r="L271" s="255">
        <f>(L97+L98+L108+L109)*'Data - P&amp;L'!$C$5</f>
        <v>0</v>
      </c>
      <c r="M271" s="255">
        <f>(M97+M98+M108+M109)*'Data - P&amp;L'!$C$5</f>
        <v>0</v>
      </c>
      <c r="N271" s="255">
        <f>(N97+N98+N108+N109)*'Data - P&amp;L'!$C$5</f>
        <v>0</v>
      </c>
      <c r="O271" s="255">
        <f>(O97+O98+O108+O109)*'Data - P&amp;L'!$C$5</f>
        <v>0</v>
      </c>
      <c r="P271" s="255">
        <f>(P97+P98+P108+P109)*'Data - P&amp;L'!$C$5</f>
        <v>0</v>
      </c>
      <c r="Q271" s="255">
        <f>(Q97+Q98+Q108+Q109)*'Data - P&amp;L'!$C$5</f>
        <v>0</v>
      </c>
      <c r="R271" s="255">
        <f>(R97+R98+R108+R109)*'Data - P&amp;L'!$C$5</f>
        <v>0</v>
      </c>
      <c r="S271" s="255">
        <f>(S97+S98+S108+S109)*'Data - P&amp;L'!$C$5</f>
        <v>0</v>
      </c>
      <c r="T271" s="255">
        <f>(T97+T98+T108+T109)*'Data - P&amp;L'!$C$5</f>
        <v>0</v>
      </c>
      <c r="U271" s="255">
        <f>(U97+U98+U108+U109)*'Data - P&amp;L'!$C$5</f>
        <v>0</v>
      </c>
      <c r="V271" s="255">
        <f>(V97+V98+V108+V109)*'Data - P&amp;L'!$C$5</f>
        <v>0</v>
      </c>
      <c r="W271" s="255">
        <f>(W97+W98+W108+W109)*'Data - P&amp;L'!$C$5</f>
        <v>0</v>
      </c>
      <c r="X271" s="255">
        <f>(X97+X98+X108+X109)*'Data - P&amp;L'!$C$5</f>
        <v>0</v>
      </c>
      <c r="Y271" s="255">
        <f>(Y97+Y98+Y108+Y109)*'Data - P&amp;L'!$C$5</f>
        <v>0</v>
      </c>
      <c r="Z271" s="255">
        <f>(Z97+Z98+Z108+Z109)*'Data - P&amp;L'!$C$5</f>
        <v>0</v>
      </c>
      <c r="AA271" s="255">
        <f>(AA97+AA98+AA108+AA109)*'Data - P&amp;L'!$C$5</f>
        <v>0</v>
      </c>
      <c r="AB271" s="255">
        <f>(AB97+AB98+AB108+AB109)*'Data - P&amp;L'!$C$5</f>
        <v>0</v>
      </c>
      <c r="AC271" s="255">
        <f>(AC97+AC98+AC108+AC109)*'Data - P&amp;L'!$C$5</f>
        <v>0</v>
      </c>
      <c r="AD271" s="255">
        <f>(AD97+AD98+AD108+AD109)*'Data - P&amp;L'!$C$5</f>
        <v>0</v>
      </c>
      <c r="AE271" s="255">
        <f>(AE97+AE98+AE108+AE109)*'Data - P&amp;L'!$C$5</f>
        <v>0</v>
      </c>
      <c r="AF271" s="255">
        <f>(AF97+AF98+AF108+AF109)*'Data - P&amp;L'!$C$5</f>
        <v>0</v>
      </c>
      <c r="AG271" s="445">
        <f t="shared" si="69"/>
        <v>0</v>
      </c>
    </row>
    <row r="272" outlineLevel="1">
      <c r="A272" s="151" t="s">
        <v>764</v>
      </c>
      <c r="B272" s="255">
        <f>(B45+B46+B157+B158)*'Data - P&amp;L'!$C$10</f>
        <v>0</v>
      </c>
      <c r="C272" s="255">
        <f>(C99+C100+C110+C111)*'Data - P&amp;L'!$C$10</f>
        <v>0</v>
      </c>
      <c r="D272" s="255">
        <f>(D99+D100+D110+D111)*'Data - P&amp;L'!$C$10</f>
        <v>0</v>
      </c>
      <c r="E272" s="255">
        <f>(E99+E100+E110+E111)*'Data - P&amp;L'!$C$10</f>
        <v>0</v>
      </c>
      <c r="F272" s="255">
        <f>(F99+F100+F110+F111)*'Data - P&amp;L'!$C$10</f>
        <v>6</v>
      </c>
      <c r="G272" s="255">
        <f>(G99+G100+G110+G111)*'Data - P&amp;L'!$C$10</f>
        <v>0</v>
      </c>
      <c r="H272" s="255">
        <f>(H99+H100+H110+H111)*'Data - P&amp;L'!$C$10</f>
        <v>0</v>
      </c>
      <c r="I272" s="255">
        <f>(I99+I100+I110+I111)*'Data - P&amp;L'!$C$10</f>
        <v>0</v>
      </c>
      <c r="J272" s="255">
        <f>(J99+J100+J110+J111)*'Data - P&amp;L'!$C$10</f>
        <v>0</v>
      </c>
      <c r="K272" s="255">
        <f>(K99+K100+K110+K111)*'Data - P&amp;L'!$C$10</f>
        <v>0</v>
      </c>
      <c r="L272" s="255">
        <f>(L99+L100+L110+L111)*'Data - P&amp;L'!$C$10</f>
        <v>0</v>
      </c>
      <c r="M272" s="255">
        <f>(M99+M100+M110+M111)*'Data - P&amp;L'!$C$10</f>
        <v>0</v>
      </c>
      <c r="N272" s="255">
        <f>(N99+N100+N110+N111)*'Data - P&amp;L'!$C$10</f>
        <v>0</v>
      </c>
      <c r="O272" s="255">
        <f>(O99+O100+O110+O111)*'Data - P&amp;L'!$C$10</f>
        <v>0</v>
      </c>
      <c r="P272" s="255">
        <f>(P99+P100+P110+P111)*'Data - P&amp;L'!$C$10</f>
        <v>0</v>
      </c>
      <c r="Q272" s="255">
        <f>(Q99+Q100+Q110+Q111)*'Data - P&amp;L'!$C$10</f>
        <v>0</v>
      </c>
      <c r="R272" s="255">
        <f>(R99+R100+R110+R111)*'Data - P&amp;L'!$C$10</f>
        <v>0</v>
      </c>
      <c r="S272" s="255">
        <f>(S99+S100+S110+S111)*'Data - P&amp;L'!$C$10</f>
        <v>0</v>
      </c>
      <c r="T272" s="255">
        <f>(T99+T100+T110+T111)*'Data - P&amp;L'!$C$10</f>
        <v>0</v>
      </c>
      <c r="U272" s="255">
        <f>(U99+U100+U110+U111)*'Data - P&amp;L'!$C$10</f>
        <v>0</v>
      </c>
      <c r="V272" s="255">
        <f>(V99+V100+V110+V111)*'Data - P&amp;L'!$C$10</f>
        <v>0</v>
      </c>
      <c r="W272" s="255">
        <f>(W99+W100+W110+W111)*'Data - P&amp;L'!$C$10</f>
        <v>0</v>
      </c>
      <c r="X272" s="255">
        <f>(X99+X100+X110+X111)*'Data - P&amp;L'!$C$10</f>
        <v>0</v>
      </c>
      <c r="Y272" s="255">
        <f>(Y99+Y100+Y110+Y111)*'Data - P&amp;L'!$C$10</f>
        <v>0</v>
      </c>
      <c r="Z272" s="255">
        <f>(Z99+Z100+Z110+Z111)*'Data - P&amp;L'!$C$10</f>
        <v>0</v>
      </c>
      <c r="AA272" s="255">
        <f>(AA99+AA100+AA110+AA111)*'Data - P&amp;L'!$C$10</f>
        <v>0</v>
      </c>
      <c r="AB272" s="255">
        <f>(AB99+AB100+AB110+AB111)*'Data - P&amp;L'!$C$10</f>
        <v>0</v>
      </c>
      <c r="AC272" s="255">
        <f>(AC99+AC100+AC110+AC111)*'Data - P&amp;L'!$C$10</f>
        <v>0</v>
      </c>
      <c r="AD272" s="255">
        <f>(AD99+AD100+AD110+AD111)*'Data - P&amp;L'!$C$10</f>
        <v>0</v>
      </c>
      <c r="AE272" s="255">
        <f>(AE99+AE100+AE110+AE111)*'Data - P&amp;L'!$C$10</f>
        <v>0</v>
      </c>
      <c r="AF272" s="255">
        <f>(AF99+AF100+AF110+AF111)*'Data - P&amp;L'!$C$10</f>
        <v>0</v>
      </c>
      <c r="AG272" s="445">
        <f t="shared" si="69"/>
        <v>6</v>
      </c>
    </row>
    <row r="273" outlineLevel="1">
      <c r="A273" s="151" t="s">
        <v>765</v>
      </c>
      <c r="B273" s="255">
        <f>((B64+B65+B148+B149*'Data - P&amp;L'!$C$38))*'Data - P&amp;L'!$C$54</f>
        <v>0</v>
      </c>
      <c r="C273" s="255">
        <f>((SUM(C36:C37))*'Data - P&amp;L'!$C$38)</f>
        <v>0</v>
      </c>
      <c r="D273" s="255">
        <f>((SUM(D36:D37))*'Data - P&amp;L'!$C$38)</f>
        <v>0</v>
      </c>
      <c r="E273" s="255">
        <f>((SUM(E36:E37))*'Data - P&amp;L'!$C$38)</f>
        <v>0</v>
      </c>
      <c r="F273" s="255">
        <f>((SUM(F36:F37))*'Data - P&amp;L'!$C$38)</f>
        <v>0</v>
      </c>
      <c r="G273" s="255">
        <f>((SUM(G36:G37))*'Data - P&amp;L'!$C$38)</f>
        <v>0</v>
      </c>
      <c r="H273" s="255">
        <f>((SUM(H36:H37))*'Data - P&amp;L'!$C$38)</f>
        <v>0</v>
      </c>
      <c r="I273" s="255">
        <f>((SUM(I36:I37))*'Data - P&amp;L'!$C$38)</f>
        <v>0</v>
      </c>
      <c r="J273" s="255">
        <f>((SUM(J36:J37))*'Data - P&amp;L'!$C$38)</f>
        <v>0</v>
      </c>
      <c r="K273" s="255">
        <f>((SUM(K36:K37))*'Data - P&amp;L'!$C$38)</f>
        <v>0</v>
      </c>
      <c r="L273" s="255">
        <f>((SUM(L36:L37))*'Data - P&amp;L'!$C$38)</f>
        <v>0</v>
      </c>
      <c r="M273" s="255">
        <f>((SUM(M36:M37))*'Data - P&amp;L'!$C$38)</f>
        <v>0</v>
      </c>
      <c r="N273" s="255">
        <f>((SUM(N36:N37))*'Data - P&amp;L'!$C$38)</f>
        <v>0</v>
      </c>
      <c r="O273" s="255">
        <f>((SUM(O36:O37))*'Data - P&amp;L'!$C$38)</f>
        <v>0</v>
      </c>
      <c r="P273" s="255">
        <f>((SUM(P36:P37))*'Data - P&amp;L'!$C$38)</f>
        <v>0</v>
      </c>
      <c r="Q273" s="255">
        <f>((SUM(Q36:Q37))*'Data - P&amp;L'!$C$38)</f>
        <v>0</v>
      </c>
      <c r="R273" s="255">
        <f>((SUM(R36:R37))*'Data - P&amp;L'!$C$38)</f>
        <v>0</v>
      </c>
      <c r="S273" s="255">
        <f>((SUM(S36:S37))*'Data - P&amp;L'!$C$38)</f>
        <v>0</v>
      </c>
      <c r="T273" s="255">
        <f>((SUM(T36:T37))*'Data - P&amp;L'!$C$38)</f>
        <v>0</v>
      </c>
      <c r="U273" s="255">
        <f>((SUM(U36:U37))*'Data - P&amp;L'!$C$38)</f>
        <v>0</v>
      </c>
      <c r="V273" s="255">
        <f>((SUM(V36:V37))*'Data - P&amp;L'!$C$38)</f>
        <v>0</v>
      </c>
      <c r="W273" s="255">
        <f>((SUM(W36:W37))*'Data - P&amp;L'!$C$38)</f>
        <v>0</v>
      </c>
      <c r="X273" s="255">
        <f>((SUM(X36:X37))*'Data - P&amp;L'!$C$38)</f>
        <v>0</v>
      </c>
      <c r="Y273" s="255">
        <f>((SUM(Y36:Y37))*'Data - P&amp;L'!$C$38)</f>
        <v>0</v>
      </c>
      <c r="Z273" s="255">
        <f>((SUM(Z36:Z37))*'Data - P&amp;L'!$C$38)</f>
        <v>0</v>
      </c>
      <c r="AA273" s="255">
        <f>((SUM(AA36:AA37))*'Data - P&amp;L'!$C$38)</f>
        <v>0</v>
      </c>
      <c r="AB273" s="255">
        <f>((SUM(AB36:AB37))*'Data - P&amp;L'!$C$38)</f>
        <v>0</v>
      </c>
      <c r="AC273" s="255">
        <f>((SUM(AC36:AC37))*'Data - P&amp;L'!$C$38)</f>
        <v>0</v>
      </c>
      <c r="AD273" s="255">
        <f>((SUM(AD36:AD37))*'Data - P&amp;L'!$C$38)</f>
        <v>0</v>
      </c>
      <c r="AE273" s="255">
        <f>((SUM(AE36:AE37))*'Data - P&amp;L'!$C$38)</f>
        <v>0</v>
      </c>
      <c r="AF273" s="255">
        <f>((SUM(AF36:AF37))*'Data - P&amp;L'!$C$38)</f>
        <v>0</v>
      </c>
      <c r="AG273" s="445">
        <f t="shared" si="69"/>
        <v>0</v>
      </c>
    </row>
    <row r="274" outlineLevel="1">
      <c r="A274" s="151" t="s">
        <v>766</v>
      </c>
      <c r="B274" s="255">
        <f>((SUM(B64+B65+B148+B149))*'Data - P&amp;L'!$C$34)</f>
        <v>0</v>
      </c>
      <c r="C274" s="255">
        <f>((SUM(C36:C37))*'Data - P&amp;L'!$C$34)</f>
        <v>0</v>
      </c>
      <c r="D274" s="255">
        <f>((SUM(D36:D37))*'Data - P&amp;L'!$C$34)</f>
        <v>0</v>
      </c>
      <c r="E274" s="255">
        <f>((SUM(E36:E37))*'Data - P&amp;L'!$C$34)</f>
        <v>0</v>
      </c>
      <c r="F274" s="255">
        <f>((SUM(F36:F37))*'Data - P&amp;L'!$C$34)</f>
        <v>0</v>
      </c>
      <c r="G274" s="255">
        <f>((SUM(G36:G37))*'Data - P&amp;L'!$C$34)</f>
        <v>0</v>
      </c>
      <c r="H274" s="255">
        <f>((SUM(H36:H37))*'Data - P&amp;L'!$C$34)</f>
        <v>0</v>
      </c>
      <c r="I274" s="255">
        <f>((SUM(I36:I37))*'Data - P&amp;L'!$C$34)</f>
        <v>0</v>
      </c>
      <c r="J274" s="255">
        <f>((SUM(J36:J37))*'Data - P&amp;L'!$C$34)</f>
        <v>0</v>
      </c>
      <c r="K274" s="255">
        <f>((SUM(K36:K37))*'Data - P&amp;L'!$C$34)</f>
        <v>0</v>
      </c>
      <c r="L274" s="255">
        <f>((SUM(L36:L37))*'Data - P&amp;L'!$C$34)</f>
        <v>0</v>
      </c>
      <c r="M274" s="255">
        <f>((SUM(M36:M37))*'Data - P&amp;L'!$C$34)</f>
        <v>0</v>
      </c>
      <c r="N274" s="255">
        <f>((SUM(N36:N37))*'Data - P&amp;L'!$C$34)</f>
        <v>0</v>
      </c>
      <c r="O274" s="255">
        <f>((SUM(O36:O37))*'Data - P&amp;L'!$C$34)</f>
        <v>0</v>
      </c>
      <c r="P274" s="255">
        <f>((SUM(P36:P37))*'Data - P&amp;L'!$C$34)</f>
        <v>0</v>
      </c>
      <c r="Q274" s="255">
        <f>((SUM(Q36:Q37))*'Data - P&amp;L'!$C$34)</f>
        <v>0</v>
      </c>
      <c r="R274" s="255">
        <f>((SUM(R36:R37))*'Data - P&amp;L'!$C$34)</f>
        <v>0</v>
      </c>
      <c r="S274" s="255">
        <f>((SUM(S36:S37))*'Data - P&amp;L'!$C$34)</f>
        <v>0</v>
      </c>
      <c r="T274" s="255">
        <f>((SUM(T36:T37))*'Data - P&amp;L'!$C$34)</f>
        <v>0</v>
      </c>
      <c r="U274" s="255">
        <f>((SUM(U36:U37))*'Data - P&amp;L'!$C$34)</f>
        <v>0</v>
      </c>
      <c r="V274" s="255">
        <f>((SUM(V36:V37))*'Data - P&amp;L'!$C$34)</f>
        <v>0</v>
      </c>
      <c r="W274" s="255">
        <f>((SUM(W36:W37))*'Data - P&amp;L'!$C$34)</f>
        <v>0</v>
      </c>
      <c r="X274" s="255">
        <f>((SUM(X36:X37))*'Data - P&amp;L'!$C$34)</f>
        <v>0</v>
      </c>
      <c r="Y274" s="255">
        <f>((SUM(Y36:Y37))*'Data - P&amp;L'!$C$34)</f>
        <v>0</v>
      </c>
      <c r="Z274" s="255">
        <f>((SUM(Z36:Z37))*'Data - P&amp;L'!$C$34)</f>
        <v>0</v>
      </c>
      <c r="AA274" s="255">
        <f>((SUM(AA36:AA37))*'Data - P&amp;L'!$C$34)</f>
        <v>0</v>
      </c>
      <c r="AB274" s="255">
        <f>((SUM(AB36:AB37))*'Data - P&amp;L'!$C$34)</f>
        <v>0</v>
      </c>
      <c r="AC274" s="255">
        <f>((SUM(AC36:AC37))*'Data - P&amp;L'!$C$34)</f>
        <v>0</v>
      </c>
      <c r="AD274" s="255">
        <f>((SUM(AD36:AD37))*'Data - P&amp;L'!$C$34)</f>
        <v>0</v>
      </c>
      <c r="AE274" s="255">
        <f>((SUM(AE36:AE37))*'Data - P&amp;L'!$C$34)</f>
        <v>0</v>
      </c>
      <c r="AF274" s="255">
        <f>((SUM(AF36:AF37))*'Data - P&amp;L'!$C$34)</f>
        <v>0</v>
      </c>
      <c r="AG274" s="445">
        <f t="shared" si="69"/>
        <v>0</v>
      </c>
    </row>
    <row r="275" outlineLevel="1">
      <c r="A275" s="447" t="s">
        <v>767</v>
      </c>
      <c r="B275" s="254">
        <f>B53+B57+B165+B169</f>
        <v>0</v>
      </c>
      <c r="C275" s="254">
        <f t="shared" ref="C275:AF275" si="70">C53+C57</f>
        <v>0</v>
      </c>
      <c r="D275" s="254">
        <f t="shared" si="70"/>
        <v>0</v>
      </c>
      <c r="E275" s="254">
        <f t="shared" si="70"/>
        <v>0</v>
      </c>
      <c r="F275" s="254">
        <f t="shared" si="70"/>
        <v>0</v>
      </c>
      <c r="G275" s="254">
        <f t="shared" si="70"/>
        <v>0</v>
      </c>
      <c r="H275" s="254">
        <f t="shared" si="70"/>
        <v>0</v>
      </c>
      <c r="I275" s="254">
        <f t="shared" si="70"/>
        <v>0</v>
      </c>
      <c r="J275" s="254">
        <f t="shared" si="70"/>
        <v>0</v>
      </c>
      <c r="K275" s="254">
        <f t="shared" si="70"/>
        <v>0</v>
      </c>
      <c r="L275" s="254">
        <f t="shared" si="70"/>
        <v>0</v>
      </c>
      <c r="M275" s="254">
        <f t="shared" si="70"/>
        <v>0</v>
      </c>
      <c r="N275" s="254">
        <f t="shared" si="70"/>
        <v>0</v>
      </c>
      <c r="O275" s="254">
        <f t="shared" si="70"/>
        <v>0</v>
      </c>
      <c r="P275" s="254">
        <f t="shared" si="70"/>
        <v>0</v>
      </c>
      <c r="Q275" s="254">
        <f t="shared" si="70"/>
        <v>0</v>
      </c>
      <c r="R275" s="254">
        <f t="shared" si="70"/>
        <v>0</v>
      </c>
      <c r="S275" s="254">
        <f t="shared" si="70"/>
        <v>0</v>
      </c>
      <c r="T275" s="254">
        <f t="shared" si="70"/>
        <v>0</v>
      </c>
      <c r="U275" s="254">
        <f t="shared" si="70"/>
        <v>0</v>
      </c>
      <c r="V275" s="254">
        <f t="shared" si="70"/>
        <v>0</v>
      </c>
      <c r="W275" s="254">
        <f t="shared" si="70"/>
        <v>0</v>
      </c>
      <c r="X275" s="254">
        <f t="shared" si="70"/>
        <v>0</v>
      </c>
      <c r="Y275" s="254">
        <f t="shared" si="70"/>
        <v>0</v>
      </c>
      <c r="Z275" s="254">
        <f t="shared" si="70"/>
        <v>0</v>
      </c>
      <c r="AA275" s="254">
        <f t="shared" si="70"/>
        <v>0</v>
      </c>
      <c r="AB275" s="254">
        <f t="shared" si="70"/>
        <v>0</v>
      </c>
      <c r="AC275" s="254">
        <f t="shared" si="70"/>
        <v>0</v>
      </c>
      <c r="AD275" s="254">
        <f t="shared" si="70"/>
        <v>0</v>
      </c>
      <c r="AE275" s="254">
        <f t="shared" si="70"/>
        <v>0</v>
      </c>
      <c r="AF275" s="254">
        <f t="shared" si="70"/>
        <v>0</v>
      </c>
      <c r="AG275" s="448">
        <f t="shared" si="69"/>
        <v>0</v>
      </c>
    </row>
    <row r="276">
      <c r="A276" s="240" t="s">
        <v>768</v>
      </c>
      <c r="B276" s="269">
        <f t="shared" ref="B276:AF276" si="71">SUM(B277:B285)-B286-B287</f>
        <v>0</v>
      </c>
      <c r="C276" s="269">
        <f t="shared" si="71"/>
        <v>0</v>
      </c>
      <c r="D276" s="269">
        <f t="shared" si="71"/>
        <v>0</v>
      </c>
      <c r="E276" s="269">
        <f t="shared" si="71"/>
        <v>0</v>
      </c>
      <c r="F276" s="269">
        <f t="shared" si="71"/>
        <v>0</v>
      </c>
      <c r="G276" s="269">
        <f t="shared" si="71"/>
        <v>0</v>
      </c>
      <c r="H276" s="269">
        <f t="shared" si="71"/>
        <v>0</v>
      </c>
      <c r="I276" s="269">
        <f t="shared" si="71"/>
        <v>0</v>
      </c>
      <c r="J276" s="269">
        <f t="shared" si="71"/>
        <v>0</v>
      </c>
      <c r="K276" s="269">
        <f t="shared" si="71"/>
        <v>0</v>
      </c>
      <c r="L276" s="269">
        <f t="shared" si="71"/>
        <v>0</v>
      </c>
      <c r="M276" s="269">
        <f t="shared" si="71"/>
        <v>0</v>
      </c>
      <c r="N276" s="269">
        <f t="shared" si="71"/>
        <v>0</v>
      </c>
      <c r="O276" s="269">
        <f t="shared" si="71"/>
        <v>0</v>
      </c>
      <c r="P276" s="269">
        <f t="shared" si="71"/>
        <v>0</v>
      </c>
      <c r="Q276" s="269">
        <f t="shared" si="71"/>
        <v>0</v>
      </c>
      <c r="R276" s="269">
        <f t="shared" si="71"/>
        <v>0</v>
      </c>
      <c r="S276" s="269">
        <f t="shared" si="71"/>
        <v>0</v>
      </c>
      <c r="T276" s="269">
        <f t="shared" si="71"/>
        <v>0</v>
      </c>
      <c r="U276" s="269">
        <f t="shared" si="71"/>
        <v>0</v>
      </c>
      <c r="V276" s="269">
        <f t="shared" si="71"/>
        <v>0</v>
      </c>
      <c r="W276" s="269">
        <f t="shared" si="71"/>
        <v>0</v>
      </c>
      <c r="X276" s="269">
        <f t="shared" si="71"/>
        <v>0</v>
      </c>
      <c r="Y276" s="269">
        <f t="shared" si="71"/>
        <v>0</v>
      </c>
      <c r="Z276" s="269">
        <f t="shared" si="71"/>
        <v>0</v>
      </c>
      <c r="AA276" s="269">
        <f t="shared" si="71"/>
        <v>0</v>
      </c>
      <c r="AB276" s="269">
        <f t="shared" si="71"/>
        <v>0</v>
      </c>
      <c r="AC276" s="269">
        <f t="shared" si="71"/>
        <v>0</v>
      </c>
      <c r="AD276" s="269">
        <f t="shared" si="71"/>
        <v>0</v>
      </c>
      <c r="AE276" s="269">
        <f t="shared" si="71"/>
        <v>0</v>
      </c>
      <c r="AF276" s="269">
        <f t="shared" si="71"/>
        <v>0</v>
      </c>
      <c r="AG276" s="95">
        <f>SUM(B276:AF276)</f>
        <v>0</v>
      </c>
    </row>
    <row r="277" outlineLevel="1">
      <c r="A277" s="151" t="s">
        <v>433</v>
      </c>
      <c r="B277" s="255">
        <f>((B60+B61+B172+B173)*'Data - P&amp;L'!$C$3)*'Data - P&amp;L'!$C$54</f>
        <v>0</v>
      </c>
      <c r="C277" s="255">
        <f>((C60+C61+C172+C173)*'Data - P&amp;L'!$C$3)*'Data - P&amp;L'!$C$54</f>
        <v>0</v>
      </c>
      <c r="D277" s="255">
        <f>((D60+D61+D172+D173)*'Data - P&amp;L'!$C$3)*'Data - P&amp;L'!$C$54</f>
        <v>0</v>
      </c>
      <c r="E277" s="255">
        <f>((E60+E61+E172+E173)*'Data - P&amp;L'!$C$3)*'Data - P&amp;L'!$C$54</f>
        <v>0</v>
      </c>
      <c r="F277" s="255">
        <f>((F60+F61+F172+F173)*'Data - P&amp;L'!$C$3)*'Data - P&amp;L'!$C$54</f>
        <v>0</v>
      </c>
      <c r="G277" s="255">
        <f>((G60+G61+G172+G173)*'Data - P&amp;L'!$C$3)*'Data - P&amp;L'!$C$54</f>
        <v>0</v>
      </c>
      <c r="H277" s="255">
        <f>((H60+H61+H172+H173)*'Data - P&amp;L'!$C$3)*'Data - P&amp;L'!$C$54</f>
        <v>0</v>
      </c>
      <c r="I277" s="255">
        <f>((I60+I61+I172+I173)*'Data - P&amp;L'!$C$3)*'Data - P&amp;L'!$C$54</f>
        <v>0</v>
      </c>
      <c r="J277" s="255">
        <f>((J60+J61+J172+J173)*'Data - P&amp;L'!$C$3)*'Data - P&amp;L'!$C$54</f>
        <v>0</v>
      </c>
      <c r="K277" s="255">
        <f>((K60+K61+K172+K173)*'Data - P&amp;L'!$C$3)*'Data - P&amp;L'!$C$54</f>
        <v>0</v>
      </c>
      <c r="L277" s="255">
        <f>((L60+L61+L172+L173)*'Data - P&amp;L'!$C$3)*'Data - P&amp;L'!$C$54</f>
        <v>0</v>
      </c>
      <c r="M277" s="255">
        <f>((M60+M61+M172+M173)*'Data - P&amp;L'!$C$3)*'Data - P&amp;L'!$C$54</f>
        <v>0</v>
      </c>
      <c r="N277" s="255">
        <f>((N60+N61+N172+N173)*'Data - P&amp;L'!$C$3)*'Data - P&amp;L'!$C$54</f>
        <v>0</v>
      </c>
      <c r="O277" s="255">
        <f>((O60+O61+O172+O173)*'Data - P&amp;L'!$C$3)*'Data - P&amp;L'!$C$54</f>
        <v>0</v>
      </c>
      <c r="P277" s="255">
        <f>((P60+P61+P172+P173)*'Data - P&amp;L'!$C$3)*'Data - P&amp;L'!$C$54</f>
        <v>0</v>
      </c>
      <c r="Q277" s="255">
        <f>((Q60+Q61+Q172+Q173)*'Data - P&amp;L'!$C$3)*'Data - P&amp;L'!$C$54</f>
        <v>0</v>
      </c>
      <c r="R277" s="255">
        <f>((R60+R61+R172+R173)*'Data - P&amp;L'!$C$3)*'Data - P&amp;L'!$C$54</f>
        <v>0</v>
      </c>
      <c r="S277" s="255">
        <f>((S60+S61+S172+S173)*'Data - P&amp;L'!$C$3)*'Data - P&amp;L'!$C$54</f>
        <v>0</v>
      </c>
      <c r="T277" s="255">
        <f>((T60+T61+T172+T173)*'Data - P&amp;L'!$C$3)*'Data - P&amp;L'!$C$54</f>
        <v>0</v>
      </c>
      <c r="U277" s="255">
        <f>((U60+U61+U172+U173)*'Data - P&amp;L'!$C$3)*'Data - P&amp;L'!$C$54</f>
        <v>0</v>
      </c>
      <c r="V277" s="255">
        <f>((V60+V61+V172+V173)*'Data - P&amp;L'!$C$3)*'Data - P&amp;L'!$C$54</f>
        <v>0</v>
      </c>
      <c r="W277" s="255">
        <f>((W60+W61+W172+W173)*'Data - P&amp;L'!$C$3)*'Data - P&amp;L'!$C$54</f>
        <v>0</v>
      </c>
      <c r="X277" s="255">
        <f>((X60+X61+X172+X173)*'Data - P&amp;L'!$C$3)*'Data - P&amp;L'!$C$54</f>
        <v>0</v>
      </c>
      <c r="Y277" s="255">
        <f>((Y60+Y61+Y172+Y173)*'Data - P&amp;L'!$C$3)*'Data - P&amp;L'!$C$54</f>
        <v>0</v>
      </c>
      <c r="Z277" s="255">
        <f>((Z60+Z61+Z172+Z173)*'Data - P&amp;L'!$C$3)*'Data - P&amp;L'!$C$54</f>
        <v>0</v>
      </c>
      <c r="AA277" s="255">
        <f>((AA60+AA61+AA172+AA173)*'Data - P&amp;L'!$C$3)*'Data - P&amp;L'!$C$54</f>
        <v>0</v>
      </c>
      <c r="AB277" s="255">
        <f>((AB60+AB61+AB172+AB173)*'Data - P&amp;L'!$C$3)*'Data - P&amp;L'!$C$54</f>
        <v>0</v>
      </c>
      <c r="AC277" s="255">
        <f>((AC60+AC61+AC172+AC173)*'Data - P&amp;L'!$C$3)*'Data - P&amp;L'!$C$54</f>
        <v>0</v>
      </c>
      <c r="AD277" s="255">
        <f>((AD60+AD61+AD172+AD173)*'Data - P&amp;L'!$C$3)*'Data - P&amp;L'!$C$54</f>
        <v>0</v>
      </c>
      <c r="AE277" s="255">
        <f>((AE60+AE61+AE172+AE173)*'Data - P&amp;L'!$C$3)*'Data - P&amp;L'!$C$54</f>
        <v>0</v>
      </c>
      <c r="AF277" s="255">
        <f>((AF60+AF61+AF172+AF173)*'Data - P&amp;L'!$C$3)*'Data - P&amp;L'!$C$54</f>
        <v>0</v>
      </c>
      <c r="AG277" s="445">
        <f t="shared" ref="AG277:AG287" si="72">SUM(B277:AD277)</f>
        <v>0</v>
      </c>
    </row>
    <row r="278" outlineLevel="1">
      <c r="A278" s="151" t="s">
        <v>434</v>
      </c>
      <c r="B278" s="255">
        <f>(B62+B63+B174+B175)*'Data - P&amp;L'!$C$4*'Data - P&amp;L'!$C$54</f>
        <v>0</v>
      </c>
      <c r="C278" s="255">
        <f>(C62+C63+C174+C175)*'Data - P&amp;L'!$C$4*'Data - P&amp;L'!$C$54</f>
        <v>0</v>
      </c>
      <c r="D278" s="255">
        <f>(D62+D63+D174+D175)*'Data - P&amp;L'!$C$4*'Data - P&amp;L'!$C$54</f>
        <v>0</v>
      </c>
      <c r="E278" s="255">
        <f>(E62+E63+E174+E175)*'Data - P&amp;L'!$C$4*'Data - P&amp;L'!$C$54</f>
        <v>0</v>
      </c>
      <c r="F278" s="255">
        <f>(F62+F63+F174+F175)*'Data - P&amp;L'!$C$4*'Data - P&amp;L'!$C$54</f>
        <v>0</v>
      </c>
      <c r="G278" s="255">
        <f>(G62+G63+G174+G175)*'Data - P&amp;L'!$C$4*'Data - P&amp;L'!$C$54</f>
        <v>0</v>
      </c>
      <c r="H278" s="255">
        <f>(H62+H63+H174+H175)*'Data - P&amp;L'!$C$4*'Data - P&amp;L'!$C$54</f>
        <v>0</v>
      </c>
      <c r="I278" s="255">
        <f>(I62+I63+I174+I175)*'Data - P&amp;L'!$C$4*'Data - P&amp;L'!$C$54</f>
        <v>0</v>
      </c>
      <c r="J278" s="255">
        <f>(J62+J63+J174+J175)*'Data - P&amp;L'!$C$4*'Data - P&amp;L'!$C$54</f>
        <v>0</v>
      </c>
      <c r="K278" s="255">
        <f>(K62+K63+K174+K175)*'Data - P&amp;L'!$C$4*'Data - P&amp;L'!$C$54</f>
        <v>0</v>
      </c>
      <c r="L278" s="255">
        <f>(L62+L63+L174+L175)*'Data - P&amp;L'!$C$4*'Data - P&amp;L'!$C$54</f>
        <v>0</v>
      </c>
      <c r="M278" s="255">
        <f>(M62+M63+M174+M175)*'Data - P&amp;L'!$C$4*'Data - P&amp;L'!$C$54</f>
        <v>0</v>
      </c>
      <c r="N278" s="255">
        <f>(N62+N63+N174+N175)*'Data - P&amp;L'!$C$4*'Data - P&amp;L'!$C$54</f>
        <v>0</v>
      </c>
      <c r="O278" s="255">
        <f>(O62+O63+O174+O175)*'Data - P&amp;L'!$C$4*'Data - P&amp;L'!$C$54</f>
        <v>0</v>
      </c>
      <c r="P278" s="255">
        <f>(P62+P63+P174+P175)*'Data - P&amp;L'!$C$4*'Data - P&amp;L'!$C$54</f>
        <v>0</v>
      </c>
      <c r="Q278" s="255">
        <f>(Q62+Q63+Q174+Q175)*'Data - P&amp;L'!$C$4*'Data - P&amp;L'!$C$54</f>
        <v>0</v>
      </c>
      <c r="R278" s="255">
        <f>(R62+R63+R174+R175)*'Data - P&amp;L'!$C$4*'Data - P&amp;L'!$C$54</f>
        <v>0</v>
      </c>
      <c r="S278" s="255">
        <f>(S62+S63+S174+S175)*'Data - P&amp;L'!$C$4*'Data - P&amp;L'!$C$54</f>
        <v>0</v>
      </c>
      <c r="T278" s="255">
        <f>(T62+T63+T174+T175)*'Data - P&amp;L'!$C$4*'Data - P&amp;L'!$C$54</f>
        <v>0</v>
      </c>
      <c r="U278" s="255">
        <f>(U62+U63+U174+U175)*'Data - P&amp;L'!$C$4*'Data - P&amp;L'!$C$54</f>
        <v>0</v>
      </c>
      <c r="V278" s="255">
        <f>(V62+V63+V174+V175)*'Data - P&amp;L'!$C$4*'Data - P&amp;L'!$C$54</f>
        <v>0</v>
      </c>
      <c r="W278" s="255">
        <f>(W62+W63+W174+W175)*'Data - P&amp;L'!$C$4*'Data - P&amp;L'!$C$54</f>
        <v>0</v>
      </c>
      <c r="X278" s="255">
        <f>(X62+X63+X174+X175)*'Data - P&amp;L'!$C$4*'Data - P&amp;L'!$C$54</f>
        <v>0</v>
      </c>
      <c r="Y278" s="255">
        <f>(Y62+Y63+Y174+Y175)*'Data - P&amp;L'!$C$4*'Data - P&amp;L'!$C$54</f>
        <v>0</v>
      </c>
      <c r="Z278" s="255">
        <f>(Z62+Z63+Z174+Z175)*'Data - P&amp;L'!$C$4*'Data - P&amp;L'!$C$54</f>
        <v>0</v>
      </c>
      <c r="AA278" s="255">
        <f>(AA62+AA63+AA174+AA175)*'Data - P&amp;L'!$C$4*'Data - P&amp;L'!$C$54</f>
        <v>0</v>
      </c>
      <c r="AB278" s="255">
        <f>(AB62+AB63+AB174+AB175)*'Data - P&amp;L'!$C$4*'Data - P&amp;L'!$C$54</f>
        <v>0</v>
      </c>
      <c r="AC278" s="255">
        <f>(AC62+AC63+AC174+AC175)*'Data - P&amp;L'!$C$4*'Data - P&amp;L'!$C$54</f>
        <v>0</v>
      </c>
      <c r="AD278" s="255">
        <f>(AD62+AD63+AD174+AD175)*'Data - P&amp;L'!$C$4*'Data - P&amp;L'!$C$54</f>
        <v>0</v>
      </c>
      <c r="AE278" s="255">
        <f>(AE62+AE63+AE174+AE175)*'Data - P&amp;L'!$C$4*'Data - P&amp;L'!$C$54</f>
        <v>0</v>
      </c>
      <c r="AF278" s="255">
        <f>(AF62+AF63+AF174+AF175)*'Data - P&amp;L'!$C$4*'Data - P&amp;L'!$C$54</f>
        <v>0</v>
      </c>
      <c r="AG278" s="445">
        <f t="shared" si="72"/>
        <v>0</v>
      </c>
    </row>
    <row r="279" outlineLevel="1">
      <c r="A279" s="151" t="s">
        <v>435</v>
      </c>
      <c r="B279" s="255">
        <f>(B67+B179)*'Data - P&amp;L'!$C$6*'Data - P&amp;L'!$C$54</f>
        <v>0</v>
      </c>
      <c r="C279" s="255">
        <f>(C67+C179)*'Data - P&amp;L'!$C$6*'Data - P&amp;L'!$C$54</f>
        <v>0</v>
      </c>
      <c r="D279" s="255">
        <f>(D67+D179)*'Data - P&amp;L'!$C$6*'Data - P&amp;L'!$C$54</f>
        <v>0</v>
      </c>
      <c r="E279" s="255">
        <f>(E67+E179)*'Data - P&amp;L'!$C$6*'Data - P&amp;L'!$C$54</f>
        <v>0</v>
      </c>
      <c r="F279" s="255">
        <f>(F67+F179)*'Data - P&amp;L'!$C$6*'Data - P&amp;L'!$C$54</f>
        <v>0</v>
      </c>
      <c r="G279" s="255">
        <f>(G67+G179)*'Data - P&amp;L'!$C$6*'Data - P&amp;L'!$C$54</f>
        <v>0</v>
      </c>
      <c r="H279" s="255">
        <f>(H67+H179)*'Data - P&amp;L'!$C$6*'Data - P&amp;L'!$C$54</f>
        <v>0</v>
      </c>
      <c r="I279" s="255">
        <f>(I67+I179)*'Data - P&amp;L'!$C$6*'Data - P&amp;L'!$C$54</f>
        <v>0</v>
      </c>
      <c r="J279" s="255">
        <f>(J67+J179)*'Data - P&amp;L'!$C$6*'Data - P&amp;L'!$C$54</f>
        <v>0</v>
      </c>
      <c r="K279" s="255">
        <f>(K67+K179)*'Data - P&amp;L'!$C$6*'Data - P&amp;L'!$C$54</f>
        <v>0</v>
      </c>
      <c r="L279" s="255">
        <f>(L67+L179)*'Data - P&amp;L'!$C$6*'Data - P&amp;L'!$C$54</f>
        <v>0</v>
      </c>
      <c r="M279" s="255">
        <f>(M67+M179)*'Data - P&amp;L'!$C$6*'Data - P&amp;L'!$C$54</f>
        <v>0</v>
      </c>
      <c r="N279" s="255">
        <f>(N67+N179)*'Data - P&amp;L'!$C$6*'Data - P&amp;L'!$C$54</f>
        <v>0</v>
      </c>
      <c r="O279" s="255">
        <f>(O67+O179)*'Data - P&amp;L'!$C$6*'Data - P&amp;L'!$C$54</f>
        <v>0</v>
      </c>
      <c r="P279" s="255">
        <f>(P67+P179)*'Data - P&amp;L'!$C$6*'Data - P&amp;L'!$C$54</f>
        <v>0</v>
      </c>
      <c r="Q279" s="255">
        <f>(Q67+Q179)*'Data - P&amp;L'!$C$6*'Data - P&amp;L'!$C$54</f>
        <v>0</v>
      </c>
      <c r="R279" s="255">
        <f>(R67+R179)*'Data - P&amp;L'!$C$6*'Data - P&amp;L'!$C$54</f>
        <v>0</v>
      </c>
      <c r="S279" s="255">
        <f>(S67+S179)*'Data - P&amp;L'!$C$6*'Data - P&amp;L'!$C$54</f>
        <v>0</v>
      </c>
      <c r="T279" s="255">
        <f>(T67+T179)*'Data - P&amp;L'!$C$6*'Data - P&amp;L'!$C$54</f>
        <v>0</v>
      </c>
      <c r="U279" s="255">
        <f>(U67+U179)*'Data - P&amp;L'!$C$6*'Data - P&amp;L'!$C$54</f>
        <v>0</v>
      </c>
      <c r="V279" s="255">
        <f>(V67+V179)*'Data - P&amp;L'!$C$6*'Data - P&amp;L'!$C$54</f>
        <v>0</v>
      </c>
      <c r="W279" s="255">
        <f>(W67+W179)*'Data - P&amp;L'!$C$6*'Data - P&amp;L'!$C$54</f>
        <v>0</v>
      </c>
      <c r="X279" s="255">
        <f>(X67+X179)*'Data - P&amp;L'!$C$6*'Data - P&amp;L'!$C$54</f>
        <v>0</v>
      </c>
      <c r="Y279" s="255">
        <f>(Y67+Y179)*'Data - P&amp;L'!$C$6*'Data - P&amp;L'!$C$54</f>
        <v>0</v>
      </c>
      <c r="Z279" s="255">
        <f>(Z67+Z179)*'Data - P&amp;L'!$C$6*'Data - P&amp;L'!$C$54</f>
        <v>0</v>
      </c>
      <c r="AA279" s="255">
        <f>(AA67+AA179)*'Data - P&amp;L'!$C$6*'Data - P&amp;L'!$C$54</f>
        <v>0</v>
      </c>
      <c r="AB279" s="255">
        <f>(AB67+AB179)*'Data - P&amp;L'!$C$6*'Data - P&amp;L'!$C$54</f>
        <v>0</v>
      </c>
      <c r="AC279" s="255">
        <f>(AC67+AC179)*'Data - P&amp;L'!$C$6*'Data - P&amp;L'!$C$54</f>
        <v>0</v>
      </c>
      <c r="AD279" s="255">
        <f>(AD67+AD179)*'Data - P&amp;L'!$C$6*'Data - P&amp;L'!$C$54</f>
        <v>0</v>
      </c>
      <c r="AE279" s="255">
        <f>(AE67+AE179)*'Data - P&amp;L'!$C$6*'Data - P&amp;L'!$C$54</f>
        <v>0</v>
      </c>
      <c r="AF279" s="255">
        <f>(AF67+AF179)*'Data - P&amp;L'!$C$6*'Data - P&amp;L'!$C$54</f>
        <v>0</v>
      </c>
      <c r="AG279" s="445">
        <f t="shared" si="72"/>
        <v>0</v>
      </c>
    </row>
    <row r="280" outlineLevel="1">
      <c r="A280" s="151" t="s">
        <v>436</v>
      </c>
      <c r="B280" s="255">
        <f>(B68+B180)*'Data - P&amp;L'!$C$8*'Data - P&amp;L'!$C$54</f>
        <v>0</v>
      </c>
      <c r="C280" s="255">
        <f>(C68+C180)*'Data - P&amp;L'!$C$8*'Data - P&amp;L'!$C$54</f>
        <v>0</v>
      </c>
      <c r="D280" s="255">
        <f>(D68+D180)*'Data - P&amp;L'!$C$8*'Data - P&amp;L'!$C$54</f>
        <v>0</v>
      </c>
      <c r="E280" s="255">
        <f>(E68+E180)*'Data - P&amp;L'!$C$8*'Data - P&amp;L'!$C$54</f>
        <v>0</v>
      </c>
      <c r="F280" s="255">
        <f>(F68+F180)*'Data - P&amp;L'!$C$8*'Data - P&amp;L'!$C$54</f>
        <v>0</v>
      </c>
      <c r="G280" s="255">
        <f>(G68+G180)*'Data - P&amp;L'!$C$8*'Data - P&amp;L'!$C$54</f>
        <v>0</v>
      </c>
      <c r="H280" s="255">
        <f>(H68+H180)*'Data - P&amp;L'!$C$8*'Data - P&amp;L'!$C$54</f>
        <v>0</v>
      </c>
      <c r="I280" s="255">
        <f>(I68+I180)*'Data - P&amp;L'!$C$8*'Data - P&amp;L'!$C$54</f>
        <v>0</v>
      </c>
      <c r="J280" s="255">
        <f>(J68+J180)*'Data - P&amp;L'!$C$8*'Data - P&amp;L'!$C$54</f>
        <v>0</v>
      </c>
      <c r="K280" s="255">
        <f>(K68+K180)*'Data - P&amp;L'!$C$8*'Data - P&amp;L'!$C$54</f>
        <v>0</v>
      </c>
      <c r="L280" s="255">
        <f>(L68+L180)*'Data - P&amp;L'!$C$8*'Data - P&amp;L'!$C$54</f>
        <v>0</v>
      </c>
      <c r="M280" s="255">
        <f>(M68+M180)*'Data - P&amp;L'!$C$8*'Data - P&amp;L'!$C$54</f>
        <v>0</v>
      </c>
      <c r="N280" s="255">
        <f>(N68+N180)*'Data - P&amp;L'!$C$8*'Data - P&amp;L'!$C$54</f>
        <v>0</v>
      </c>
      <c r="O280" s="255">
        <f>(O68+O180)*'Data - P&amp;L'!$C$8*'Data - P&amp;L'!$C$54</f>
        <v>0</v>
      </c>
      <c r="P280" s="255">
        <f>(P68+P180)*'Data - P&amp;L'!$C$8*'Data - P&amp;L'!$C$54</f>
        <v>0</v>
      </c>
      <c r="Q280" s="255">
        <f>(Q68+Q180)*'Data - P&amp;L'!$C$8*'Data - P&amp;L'!$C$54</f>
        <v>0</v>
      </c>
      <c r="R280" s="255">
        <f>(R68+R180)*'Data - P&amp;L'!$C$8*'Data - P&amp;L'!$C$54</f>
        <v>0</v>
      </c>
      <c r="S280" s="255">
        <f>(S68+S180)*'Data - P&amp;L'!$C$8*'Data - P&amp;L'!$C$54</f>
        <v>0</v>
      </c>
      <c r="T280" s="255">
        <f>(T68+T180)*'Data - P&amp;L'!$C$8*'Data - P&amp;L'!$C$54</f>
        <v>0</v>
      </c>
      <c r="U280" s="255">
        <f>(U68+U180)*'Data - P&amp;L'!$C$8*'Data - P&amp;L'!$C$54</f>
        <v>0</v>
      </c>
      <c r="V280" s="255">
        <f>(V68+V180)*'Data - P&amp;L'!$C$8*'Data - P&amp;L'!$C$54</f>
        <v>0</v>
      </c>
      <c r="W280" s="255">
        <f>(W68+W180)*'Data - P&amp;L'!$C$8*'Data - P&amp;L'!$C$54</f>
        <v>0</v>
      </c>
      <c r="X280" s="255">
        <f>(X68+X180)*'Data - P&amp;L'!$C$8*'Data - P&amp;L'!$C$54</f>
        <v>0</v>
      </c>
      <c r="Y280" s="255">
        <f>(Y68+Y180)*'Data - P&amp;L'!$C$8*'Data - P&amp;L'!$C$54</f>
        <v>0</v>
      </c>
      <c r="Z280" s="255">
        <f>(Z68+Z180)*'Data - P&amp;L'!$C$8*'Data - P&amp;L'!$C$54</f>
        <v>0</v>
      </c>
      <c r="AA280" s="255">
        <f>(AA68+AA180)*'Data - P&amp;L'!$C$8*'Data - P&amp;L'!$C$54</f>
        <v>0</v>
      </c>
      <c r="AB280" s="255">
        <f>(AB68+AB180)*'Data - P&amp;L'!$C$8*'Data - P&amp;L'!$C$54</f>
        <v>0</v>
      </c>
      <c r="AC280" s="255">
        <f>(AC68+AC180)*'Data - P&amp;L'!$C$8*'Data - P&amp;L'!$C$54</f>
        <v>0</v>
      </c>
      <c r="AD280" s="255">
        <f>(AD68+AD180)*'Data - P&amp;L'!$C$8*'Data - P&amp;L'!$C$54</f>
        <v>0</v>
      </c>
      <c r="AE280" s="255">
        <f>(AE68+AE180)*'Data - P&amp;L'!$C$8*'Data - P&amp;L'!$C$54</f>
        <v>0</v>
      </c>
      <c r="AF280" s="255">
        <f>(AF68+AF180)*'Data - P&amp;L'!$C$8*'Data - P&amp;L'!$C$54</f>
        <v>0</v>
      </c>
      <c r="AG280" s="445">
        <f t="shared" si="72"/>
        <v>0</v>
      </c>
    </row>
    <row r="281" outlineLevel="1">
      <c r="A281" s="151" t="s">
        <v>424</v>
      </c>
      <c r="B281" s="255">
        <f>(B69+B70+B181+B182)*'Data - P&amp;L'!$C$9*'Data - P&amp;L'!$C$54</f>
        <v>0</v>
      </c>
      <c r="C281" s="255">
        <f>(C69+C70+C181+C182)*'Data - P&amp;L'!$C$9*'Data - P&amp;L'!$C$54</f>
        <v>0</v>
      </c>
      <c r="D281" s="255">
        <f>(D69+D70+D181+D182)*'Data - P&amp;L'!$C$9*'Data - P&amp;L'!$C$54</f>
        <v>0</v>
      </c>
      <c r="E281" s="255">
        <f>(E69+E70+E181+E182)*'Data - P&amp;L'!$C$9*'Data - P&amp;L'!$C$54</f>
        <v>0</v>
      </c>
      <c r="F281" s="255">
        <f>(F69+F70+F181+F182)*'Data - P&amp;L'!$C$9*'Data - P&amp;L'!$C$54</f>
        <v>0</v>
      </c>
      <c r="G281" s="255">
        <f>(G69+G70+G181+G182)*'Data - P&amp;L'!$C$9*'Data - P&amp;L'!$C$54</f>
        <v>0</v>
      </c>
      <c r="H281" s="255">
        <f>(H69+H70+H181+H182)*'Data - P&amp;L'!$C$9*'Data - P&amp;L'!$C$54</f>
        <v>0</v>
      </c>
      <c r="I281" s="255">
        <f>(I69+I70+I181+I182)*'Data - P&amp;L'!$C$9*'Data - P&amp;L'!$C$54</f>
        <v>0</v>
      </c>
      <c r="J281" s="255">
        <f>(J69+J70+J181+J182)*'Data - P&amp;L'!$C$9*'Data - P&amp;L'!$C$54</f>
        <v>0</v>
      </c>
      <c r="K281" s="255">
        <f>(K69+K70+K181+K182)*'Data - P&amp;L'!$C$9*'Data - P&amp;L'!$C$54</f>
        <v>0</v>
      </c>
      <c r="L281" s="255">
        <f>(L69+L70+L181+L182)*'Data - P&amp;L'!$C$9*'Data - P&amp;L'!$C$54</f>
        <v>0</v>
      </c>
      <c r="M281" s="255">
        <f>(M69+M70+M181+M182)*'Data - P&amp;L'!$C$9*'Data - P&amp;L'!$C$54</f>
        <v>0</v>
      </c>
      <c r="N281" s="255">
        <f>(N69+N70+N181+N182)*'Data - P&amp;L'!$C$9*'Data - P&amp;L'!$C$54</f>
        <v>0</v>
      </c>
      <c r="O281" s="255">
        <f>(O69+O70+O181+O182)*'Data - P&amp;L'!$C$9*'Data - P&amp;L'!$C$54</f>
        <v>0</v>
      </c>
      <c r="P281" s="255">
        <f>(P69+P70+P181+P182)*'Data - P&amp;L'!$C$9*'Data - P&amp;L'!$C$54</f>
        <v>0</v>
      </c>
      <c r="Q281" s="255">
        <f>(Q69+Q70+Q181+Q182)*'Data - P&amp;L'!$C$9*'Data - P&amp;L'!$C$54</f>
        <v>0</v>
      </c>
      <c r="R281" s="255">
        <f>(R69+R70+R181+R182)*'Data - P&amp;L'!$C$9*'Data - P&amp;L'!$C$54</f>
        <v>0</v>
      </c>
      <c r="S281" s="255">
        <f>(S69+S70+S181+S182)*'Data - P&amp;L'!$C$9*'Data - P&amp;L'!$C$54</f>
        <v>0</v>
      </c>
      <c r="T281" s="255">
        <f>(T69+T70+T181+T182)*'Data - P&amp;L'!$C$9*'Data - P&amp;L'!$C$54</f>
        <v>0</v>
      </c>
      <c r="U281" s="255">
        <f>(U69+U70+U181+U182)*'Data - P&amp;L'!$C$9*'Data - P&amp;L'!$C$54</f>
        <v>0</v>
      </c>
      <c r="V281" s="255">
        <f>(V69+V70+V181+V182)*'Data - P&amp;L'!$C$9*'Data - P&amp;L'!$C$54</f>
        <v>0</v>
      </c>
      <c r="W281" s="255">
        <f>(W69+W70+W181+W182)*'Data - P&amp;L'!$C$9*'Data - P&amp;L'!$C$54</f>
        <v>0</v>
      </c>
      <c r="X281" s="255">
        <f>(X69+X70+X181+X182)*'Data - P&amp;L'!$C$9*'Data - P&amp;L'!$C$54</f>
        <v>0</v>
      </c>
      <c r="Y281" s="255">
        <f>(Y69+Y70+Y181+Y182)*'Data - P&amp;L'!$C$9*'Data - P&amp;L'!$C$54</f>
        <v>0</v>
      </c>
      <c r="Z281" s="255">
        <f>(Z69+Z70+Z181+Z182)*'Data - P&amp;L'!$C$9*'Data - P&amp;L'!$C$54</f>
        <v>0</v>
      </c>
      <c r="AA281" s="255">
        <f>(AA69+AA70+AA181+AA182)*'Data - P&amp;L'!$C$9*'Data - P&amp;L'!$C$54</f>
        <v>0</v>
      </c>
      <c r="AB281" s="255">
        <f>(AB69+AB70+AB181+AB182)*'Data - P&amp;L'!$C$9*'Data - P&amp;L'!$C$54</f>
        <v>0</v>
      </c>
      <c r="AC281" s="255">
        <f>(AC69+AC70+AC181+AC182)*'Data - P&amp;L'!$C$9*'Data - P&amp;L'!$C$54</f>
        <v>0</v>
      </c>
      <c r="AD281" s="255">
        <f>(AD69+AD70+AD181+AD182)*'Data - P&amp;L'!$C$9*'Data - P&amp;L'!$C$54</f>
        <v>0</v>
      </c>
      <c r="AE281" s="255">
        <f>(AE69+AE70+AE181+AE182)*'Data - P&amp;L'!$C$9*'Data - P&amp;L'!$C$54</f>
        <v>0</v>
      </c>
      <c r="AF281" s="255">
        <f>(AF69+AF70+AF181+AF182)*'Data - P&amp;L'!$C$9*'Data - P&amp;L'!$C$54</f>
        <v>0</v>
      </c>
      <c r="AG281" s="445">
        <f t="shared" si="72"/>
        <v>0</v>
      </c>
    </row>
    <row r="282" outlineLevel="1">
      <c r="A282" s="151" t="s">
        <v>425</v>
      </c>
      <c r="B282" s="255">
        <f>(B71+B72+B183+B184)*'Data - P&amp;L'!$C$5*'Data - P&amp;L'!$C$54</f>
        <v>0</v>
      </c>
      <c r="C282" s="255">
        <f>(C71+C72+C183+C184)*'Data - P&amp;L'!$C$5*'Data - P&amp;L'!$C$54</f>
        <v>0</v>
      </c>
      <c r="D282" s="255">
        <f>(D71+D72+D183+D184)*'Data - P&amp;L'!$C$5*'Data - P&amp;L'!$C$54</f>
        <v>0</v>
      </c>
      <c r="E282" s="255">
        <f>(E71+E72+E183+E184)*'Data - P&amp;L'!$C$5*'Data - P&amp;L'!$C$54</f>
        <v>0</v>
      </c>
      <c r="F282" s="255">
        <f>(F71+F72+F183+F184)*'Data - P&amp;L'!$C$5*'Data - P&amp;L'!$C$54</f>
        <v>0</v>
      </c>
      <c r="G282" s="255">
        <f>(G71+G72+G183+G184)*'Data - P&amp;L'!$C$5*'Data - P&amp;L'!$C$54</f>
        <v>0</v>
      </c>
      <c r="H282" s="255">
        <f>(H71+H72+H183+H184)*'Data - P&amp;L'!$C$5*'Data - P&amp;L'!$C$54</f>
        <v>0</v>
      </c>
      <c r="I282" s="255">
        <f>(I71+I72+I183+I184)*'Data - P&amp;L'!$C$5*'Data - P&amp;L'!$C$54</f>
        <v>0</v>
      </c>
      <c r="J282" s="255">
        <f>(J71+J72+J183+J184)*'Data - P&amp;L'!$C$5*'Data - P&amp;L'!$C$54</f>
        <v>0</v>
      </c>
      <c r="K282" s="255">
        <f>(K71+K72+K183+K184)*'Data - P&amp;L'!$C$5*'Data - P&amp;L'!$C$54</f>
        <v>0</v>
      </c>
      <c r="L282" s="255">
        <f>(L71+L72+L183+L184)*'Data - P&amp;L'!$C$5*'Data - P&amp;L'!$C$54</f>
        <v>0</v>
      </c>
      <c r="M282" s="255">
        <f>(M71+M72+M183+M184)*'Data - P&amp;L'!$C$5*'Data - P&amp;L'!$C$54</f>
        <v>0</v>
      </c>
      <c r="N282" s="255">
        <f>(N71+N72+N183+N184)*'Data - P&amp;L'!$C$5*'Data - P&amp;L'!$C$54</f>
        <v>0</v>
      </c>
      <c r="O282" s="255">
        <f>(O71+O72+O183+O184)*'Data - P&amp;L'!$C$5*'Data - P&amp;L'!$C$54</f>
        <v>0</v>
      </c>
      <c r="P282" s="255">
        <f>(P71+P72+P183+P184)*'Data - P&amp;L'!$C$5*'Data - P&amp;L'!$C$54</f>
        <v>0</v>
      </c>
      <c r="Q282" s="255">
        <f>(Q71+Q72+Q183+Q184)*'Data - P&amp;L'!$C$5*'Data - P&amp;L'!$C$54</f>
        <v>0</v>
      </c>
      <c r="R282" s="255">
        <f>(R71+R72+R183+R184)*'Data - P&amp;L'!$C$5*'Data - P&amp;L'!$C$54</f>
        <v>0</v>
      </c>
      <c r="S282" s="255">
        <f>(S71+S72+S183+S184)*'Data - P&amp;L'!$C$5*'Data - P&amp;L'!$C$54</f>
        <v>0</v>
      </c>
      <c r="T282" s="255">
        <f>(T71+T72+T183+T184)*'Data - P&amp;L'!$C$5*'Data - P&amp;L'!$C$54</f>
        <v>0</v>
      </c>
      <c r="U282" s="255">
        <f>(U71+U72+U183+U184)*'Data - P&amp;L'!$C$5*'Data - P&amp;L'!$C$54</f>
        <v>0</v>
      </c>
      <c r="V282" s="255">
        <f>(V71+V72+V183+V184)*'Data - P&amp;L'!$C$5*'Data - P&amp;L'!$C$54</f>
        <v>0</v>
      </c>
      <c r="W282" s="255">
        <f>(W71+W72+W183+W184)*'Data - P&amp;L'!$C$5*'Data - P&amp;L'!$C$54</f>
        <v>0</v>
      </c>
      <c r="X282" s="255">
        <f>(X71+X72+X183+X184)*'Data - P&amp;L'!$C$5*'Data - P&amp;L'!$C$54</f>
        <v>0</v>
      </c>
      <c r="Y282" s="255">
        <f>(Y71+Y72+Y183+Y184)*'Data - P&amp;L'!$C$5*'Data - P&amp;L'!$C$54</f>
        <v>0</v>
      </c>
      <c r="Z282" s="255">
        <f>(Z71+Z72+Z183+Z184)*'Data - P&amp;L'!$C$5*'Data - P&amp;L'!$C$54</f>
        <v>0</v>
      </c>
      <c r="AA282" s="255">
        <f>(AA71+AA72+AA183+AA184)*'Data - P&amp;L'!$C$5*'Data - P&amp;L'!$C$54</f>
        <v>0</v>
      </c>
      <c r="AB282" s="255">
        <f>(AB71+AB72+AB183+AB184)*'Data - P&amp;L'!$C$5*'Data - P&amp;L'!$C$54</f>
        <v>0</v>
      </c>
      <c r="AC282" s="255">
        <f>(AC71+AC72+AC183+AC184)*'Data - P&amp;L'!$C$5*'Data - P&amp;L'!$C$54</f>
        <v>0</v>
      </c>
      <c r="AD282" s="255">
        <f>(AD71+AD72+AD183+AD184)*'Data - P&amp;L'!$C$5*'Data - P&amp;L'!$C$54</f>
        <v>0</v>
      </c>
      <c r="AE282" s="255">
        <f>(AE71+AE72+AE183+AE184)*'Data - P&amp;L'!$C$5*'Data - P&amp;L'!$C$54</f>
        <v>0</v>
      </c>
      <c r="AF282" s="255">
        <f>(AF71+AF72+AF183+AF184)*'Data - P&amp;L'!$C$5*'Data - P&amp;L'!$C$54</f>
        <v>0</v>
      </c>
      <c r="AG282" s="445">
        <f t="shared" si="72"/>
        <v>0</v>
      </c>
    </row>
    <row r="283" outlineLevel="1">
      <c r="A283" s="151" t="s">
        <v>426</v>
      </c>
      <c r="B283" s="255">
        <f>(B73+B74+B185+B186)*'Data - P&amp;L'!$C$10*'Data - P&amp;L'!$C$54</f>
        <v>0</v>
      </c>
      <c r="C283" s="255">
        <f>(C73+C74+C185+C186)*'Data - P&amp;L'!$C$10*'Data - P&amp;L'!$C$54</f>
        <v>0</v>
      </c>
      <c r="D283" s="255">
        <f>(D73+D74+D185+D186)*'Data - P&amp;L'!$C$10*'Data - P&amp;L'!$C$54</f>
        <v>0</v>
      </c>
      <c r="E283" s="255">
        <f>(E73+E74+E185+E186)*'Data - P&amp;L'!$C$10*'Data - P&amp;L'!$C$54</f>
        <v>0</v>
      </c>
      <c r="F283" s="255">
        <f>(F73+F74+F185+F186)*'Data - P&amp;L'!$C$10*'Data - P&amp;L'!$C$54</f>
        <v>0</v>
      </c>
      <c r="G283" s="255">
        <f>(G73+G74+G185+G186)*'Data - P&amp;L'!$C$10*'Data - P&amp;L'!$C$54</f>
        <v>0</v>
      </c>
      <c r="H283" s="255">
        <f>(H73+H74+H185+H186)*'Data - P&amp;L'!$C$10*'Data - P&amp;L'!$C$54</f>
        <v>0</v>
      </c>
      <c r="I283" s="255">
        <f>(I73+I74+I185+I186)*'Data - P&amp;L'!$C$10*'Data - P&amp;L'!$C$54</f>
        <v>0</v>
      </c>
      <c r="J283" s="255">
        <f>(J73+J74+J185+J186)*'Data - P&amp;L'!$C$10*'Data - P&amp;L'!$C$54</f>
        <v>0</v>
      </c>
      <c r="K283" s="255">
        <f>(K73+K74+K185+K186)*'Data - P&amp;L'!$C$10*'Data - P&amp;L'!$C$54</f>
        <v>0</v>
      </c>
      <c r="L283" s="255">
        <f>(L73+L74+L185+L186)*'Data - P&amp;L'!$C$10*'Data - P&amp;L'!$C$54</f>
        <v>0</v>
      </c>
      <c r="M283" s="255">
        <f>(M73+M74+M185+M186)*'Data - P&amp;L'!$C$10*'Data - P&amp;L'!$C$54</f>
        <v>0</v>
      </c>
      <c r="N283" s="255">
        <f>(N73+N74+N185+N186)*'Data - P&amp;L'!$C$10*'Data - P&amp;L'!$C$54</f>
        <v>0</v>
      </c>
      <c r="O283" s="255">
        <f>(O73+O74+O185+O186)*'Data - P&amp;L'!$C$10*'Data - P&amp;L'!$C$54</f>
        <v>0</v>
      </c>
      <c r="P283" s="255">
        <f>(P73+P74+P185+P186)*'Data - P&amp;L'!$C$10*'Data - P&amp;L'!$C$54</f>
        <v>0</v>
      </c>
      <c r="Q283" s="255">
        <f>(Q73+Q74+Q185+Q186)*'Data - P&amp;L'!$C$10*'Data - P&amp;L'!$C$54</f>
        <v>0</v>
      </c>
      <c r="R283" s="255">
        <f>(R73+R74+R185+R186)*'Data - P&amp;L'!$C$10*'Data - P&amp;L'!$C$54</f>
        <v>0</v>
      </c>
      <c r="S283" s="255">
        <f>(S73+S74+S185+S186)*'Data - P&amp;L'!$C$10*'Data - P&amp;L'!$C$54</f>
        <v>0</v>
      </c>
      <c r="T283" s="255">
        <f>(T73+T74+T185+T186)*'Data - P&amp;L'!$C$10*'Data - P&amp;L'!$C$54</f>
        <v>0</v>
      </c>
      <c r="U283" s="255">
        <f>(U73+U74+U185+U186)*'Data - P&amp;L'!$C$10*'Data - P&amp;L'!$C$54</f>
        <v>0</v>
      </c>
      <c r="V283" s="255">
        <f>(V73+V74+V185+V186)*'Data - P&amp;L'!$C$10*'Data - P&amp;L'!$C$54</f>
        <v>0</v>
      </c>
      <c r="W283" s="255">
        <f>(W73+W74+W185+W186)*'Data - P&amp;L'!$C$10*'Data - P&amp;L'!$C$54</f>
        <v>0</v>
      </c>
      <c r="X283" s="255">
        <f>(X73+X74+X185+X186)*'Data - P&amp;L'!$C$10*'Data - P&amp;L'!$C$54</f>
        <v>0</v>
      </c>
      <c r="Y283" s="255">
        <f>(Y73+Y74+Y185+Y186)*'Data - P&amp;L'!$C$10*'Data - P&amp;L'!$C$54</f>
        <v>0</v>
      </c>
      <c r="Z283" s="255">
        <f>(Z73+Z74+Z185+Z186)*'Data - P&amp;L'!$C$10*'Data - P&amp;L'!$C$54</f>
        <v>0</v>
      </c>
      <c r="AA283" s="255">
        <f>(AA73+AA74+AA185+AA186)*'Data - P&amp;L'!$C$10*'Data - P&amp;L'!$C$54</f>
        <v>0</v>
      </c>
      <c r="AB283" s="255">
        <f>(AB73+AB74+AB185+AB186)*'Data - P&amp;L'!$C$10*'Data - P&amp;L'!$C$54</f>
        <v>0</v>
      </c>
      <c r="AC283" s="255">
        <f>(AC73+AC74+AC185+AC186)*'Data - P&amp;L'!$C$10*'Data - P&amp;L'!$C$54</f>
        <v>0</v>
      </c>
      <c r="AD283" s="255">
        <f>(AD73+AD74+AD185+AD186)*'Data - P&amp;L'!$C$10*'Data - P&amp;L'!$C$54</f>
        <v>0</v>
      </c>
      <c r="AE283" s="255">
        <f>(AE73+AE74+AE185+AE186)*'Data - P&amp;L'!$C$10*'Data - P&amp;L'!$C$54</f>
        <v>0</v>
      </c>
      <c r="AF283" s="255">
        <f>(AF73+AF74+AF185+AF186)*'Data - P&amp;L'!$C$10*'Data - P&amp;L'!$C$54</f>
        <v>0</v>
      </c>
      <c r="AG283" s="445">
        <f t="shared" si="72"/>
        <v>0</v>
      </c>
    </row>
    <row r="284" outlineLevel="1">
      <c r="A284" s="271" t="s">
        <v>427</v>
      </c>
      <c r="B284" s="255">
        <f>((B64*'Data - P&amp;L'!$C$38)+(B176*'Data - P&amp;L'!$C$38))*'Data - P&amp;L'!$C$54</f>
        <v>0</v>
      </c>
      <c r="C284" s="255">
        <f>((C64*'Data - P&amp;L'!$C$38)+(C176*'Data - P&amp;L'!$C$39))*'Data - P&amp;L'!$C$54</f>
        <v>0</v>
      </c>
      <c r="D284" s="255">
        <f>((D64*'Data - P&amp;L'!$C$38)+(D176*'Data - P&amp;L'!$C$39))*'Data - P&amp;L'!$C$54</f>
        <v>0</v>
      </c>
      <c r="E284" s="255">
        <f>((E64*'Data - P&amp;L'!$C$38)+(E176*'Data - P&amp;L'!$C$39))*'Data - P&amp;L'!$C$54</f>
        <v>0</v>
      </c>
      <c r="F284" s="255">
        <f>((F64*'Data - P&amp;L'!$C$38)+(F176*'Data - P&amp;L'!$C$39))*'Data - P&amp;L'!$C$54</f>
        <v>0</v>
      </c>
      <c r="G284" s="255">
        <f>((G64*'Data - P&amp;L'!$C$38)+(G176*'Data - P&amp;L'!$C$39))*'Data - P&amp;L'!$C$54</f>
        <v>0</v>
      </c>
      <c r="H284" s="255">
        <f>((H64*'Data - P&amp;L'!$C$38)+(H176*'Data - P&amp;L'!$C$39))*'Data - P&amp;L'!$C$54</f>
        <v>0</v>
      </c>
      <c r="I284" s="255">
        <f>((I64*'Data - P&amp;L'!$C$38)+(I176*'Data - P&amp;L'!$C$39))*'Data - P&amp;L'!$C$54</f>
        <v>0</v>
      </c>
      <c r="J284" s="255">
        <f>((J64*'Data - P&amp;L'!$C$38)+(J176*'Data - P&amp;L'!$C$39))*'Data - P&amp;L'!$C$54</f>
        <v>0</v>
      </c>
      <c r="K284" s="255">
        <f>((K64*'Data - P&amp;L'!$C$38)+(K176*'Data - P&amp;L'!$C$39))*'Data - P&amp;L'!$C$54</f>
        <v>0</v>
      </c>
      <c r="L284" s="255">
        <f>((L64*'Data - P&amp;L'!$C$38)+(L176*'Data - P&amp;L'!$C$39))*'Data - P&amp;L'!$C$54</f>
        <v>0</v>
      </c>
      <c r="M284" s="255">
        <f>((M64*'Data - P&amp;L'!$C$38)+(M176*'Data - P&amp;L'!$C$39))*'Data - P&amp;L'!$C$54</f>
        <v>0</v>
      </c>
      <c r="N284" s="255">
        <f>((N64*'Data - P&amp;L'!$C$38)+(N176*'Data - P&amp;L'!$C$39))*'Data - P&amp;L'!$C$54</f>
        <v>0</v>
      </c>
      <c r="O284" s="255">
        <f>((O64*'Data - P&amp;L'!$C$38)+(O176*'Data - P&amp;L'!$C$39))*'Data - P&amp;L'!$C$54</f>
        <v>0</v>
      </c>
      <c r="P284" s="255">
        <f>((P64*'Data - P&amp;L'!$C$38)+(P176*'Data - P&amp;L'!$C$39))*'Data - P&amp;L'!$C$54</f>
        <v>0</v>
      </c>
      <c r="Q284" s="255">
        <f>((Q64*'Data - P&amp;L'!$C$38)+(Q176*'Data - P&amp;L'!$C$39))*'Data - P&amp;L'!$C$54</f>
        <v>0</v>
      </c>
      <c r="R284" s="255">
        <f>((R64*'Data - P&amp;L'!$C$38)+(R176*'Data - P&amp;L'!$C$39))*'Data - P&amp;L'!$C$54</f>
        <v>0</v>
      </c>
      <c r="S284" s="255">
        <f>((S64*'Data - P&amp;L'!$C$38)+(S176*'Data - P&amp;L'!$C$39))*'Data - P&amp;L'!$C$54</f>
        <v>0</v>
      </c>
      <c r="T284" s="255">
        <f>((T64*'Data - P&amp;L'!$C$38)+(T176*'Data - P&amp;L'!$C$39))*'Data - P&amp;L'!$C$54</f>
        <v>0</v>
      </c>
      <c r="U284" s="255">
        <f>((U64*'Data - P&amp;L'!$C$38)+(U176*'Data - P&amp;L'!$C$39))*'Data - P&amp;L'!$C$54</f>
        <v>0</v>
      </c>
      <c r="V284" s="255">
        <f>((V64*'Data - P&amp;L'!$C$38)+(V176*'Data - P&amp;L'!$C$39))*'Data - P&amp;L'!$C$54</f>
        <v>0</v>
      </c>
      <c r="W284" s="255">
        <f>((W64*'Data - P&amp;L'!$C$38)+(W176*'Data - P&amp;L'!$C$39))*'Data - P&amp;L'!$C$54</f>
        <v>0</v>
      </c>
      <c r="X284" s="255">
        <f>((X64*'Data - P&amp;L'!$C$38)+(X176*'Data - P&amp;L'!$C$39))*'Data - P&amp;L'!$C$54</f>
        <v>0</v>
      </c>
      <c r="Y284" s="255">
        <f>((Y64*'Data - P&amp;L'!$C$38)+(Y176*'Data - P&amp;L'!$C$39))*'Data - P&amp;L'!$C$54</f>
        <v>0</v>
      </c>
      <c r="Z284" s="255">
        <f>((Z64*'Data - P&amp;L'!$C$38)+(Z176*'Data - P&amp;L'!$C$39))*'Data - P&amp;L'!$C$54</f>
        <v>0</v>
      </c>
      <c r="AA284" s="255">
        <f>((AA64*'Data - P&amp;L'!$C$38)+(AA176*'Data - P&amp;L'!$C$39))*'Data - P&amp;L'!$C$54</f>
        <v>0</v>
      </c>
      <c r="AB284" s="255">
        <f>((AB64*'Data - P&amp;L'!$C$38)+(AB176*'Data - P&amp;L'!$C$39))*'Data - P&amp;L'!$C$54</f>
        <v>0</v>
      </c>
      <c r="AC284" s="255">
        <f>((AC64*'Data - P&amp;L'!$C$38)+(AC176*'Data - P&amp;L'!$C$39))*'Data - P&amp;L'!$C$54</f>
        <v>0</v>
      </c>
      <c r="AD284" s="255">
        <f>((AD64*'Data - P&amp;L'!$C$38)+(AD176*'Data - P&amp;L'!$C$39))*'Data - P&amp;L'!$C$54</f>
        <v>0</v>
      </c>
      <c r="AE284" s="255">
        <f>((AE64*'Data - P&amp;L'!$C$38)+(AE176*'Data - P&amp;L'!$C$39))*'Data - P&amp;L'!$C$54</f>
        <v>0</v>
      </c>
      <c r="AF284" s="255">
        <f>((AF64*'Data - P&amp;L'!$C$38)+(AF176*'Data - P&amp;L'!$C$39))*'Data - P&amp;L'!$C$54</f>
        <v>0</v>
      </c>
      <c r="AG284" s="445">
        <f t="shared" si="72"/>
        <v>0</v>
      </c>
    </row>
    <row r="285" outlineLevel="1">
      <c r="A285" s="271" t="s">
        <v>429</v>
      </c>
      <c r="B285" s="255">
        <f>((B75*'Data - P&amp;L'!$D$38)+(B187*'Data - P&amp;L'!$D$38))*'Data - P&amp;L'!$C$54</f>
        <v>0</v>
      </c>
      <c r="C285" s="255">
        <f>((C75*'Data - P&amp;L'!$D$38)+(C187*'Data - P&amp;L'!$D$39))*'Data - P&amp;L'!$C$54</f>
        <v>0</v>
      </c>
      <c r="D285" s="255">
        <f>((D75*'Data - P&amp;L'!$D$38)+(D187*'Data - P&amp;L'!$D$39))*'Data - P&amp;L'!$C$54</f>
        <v>0</v>
      </c>
      <c r="E285" s="255">
        <f>((E75*'Data - P&amp;L'!$D$38)+(E187*'Data - P&amp;L'!$D$39))*'Data - P&amp;L'!$C$54</f>
        <v>0</v>
      </c>
      <c r="F285" s="255">
        <f>((F75*'Data - P&amp;L'!$D$38)+(F187*'Data - P&amp;L'!$D$39))*'Data - P&amp;L'!$C$54</f>
        <v>0</v>
      </c>
      <c r="G285" s="255">
        <f>((G75*'Data - P&amp;L'!$D$38)+(G187*'Data - P&amp;L'!$D$39))*'Data - P&amp;L'!$C$54</f>
        <v>0</v>
      </c>
      <c r="H285" s="255">
        <f>((H75*'Data - P&amp;L'!$D$38)+(H187*'Data - P&amp;L'!$D$39))*'Data - P&amp;L'!$C$54</f>
        <v>0</v>
      </c>
      <c r="I285" s="255">
        <f>((I75*'Data - P&amp;L'!$D$38)+(I187*'Data - P&amp;L'!$D$39))*'Data - P&amp;L'!$C$54</f>
        <v>0</v>
      </c>
      <c r="J285" s="255">
        <f>((J75*'Data - P&amp;L'!$D$38)+(J187*'Data - P&amp;L'!$D$39))*'Data - P&amp;L'!$C$54</f>
        <v>0</v>
      </c>
      <c r="K285" s="255">
        <f>((K75*'Data - P&amp;L'!$D$38)+(K187*'Data - P&amp;L'!$D$39))*'Data - P&amp;L'!$C$54</f>
        <v>0</v>
      </c>
      <c r="L285" s="255">
        <f>((L75*'Data - P&amp;L'!$D$38)+(L187*'Data - P&amp;L'!$D$39))*'Data - P&amp;L'!$C$54</f>
        <v>0</v>
      </c>
      <c r="M285" s="255">
        <f>((M75*'Data - P&amp;L'!$D$38)+(M187*'Data - P&amp;L'!$D$39))*'Data - P&amp;L'!$C$54</f>
        <v>0</v>
      </c>
      <c r="N285" s="255">
        <f>((N75*'Data - P&amp;L'!$D$38)+(N187*'Data - P&amp;L'!$D$39))*'Data - P&amp;L'!$C$54</f>
        <v>0</v>
      </c>
      <c r="O285" s="255">
        <f>((O75*'Data - P&amp;L'!$D$38)+(O187*'Data - P&amp;L'!$D$39))*'Data - P&amp;L'!$C$54</f>
        <v>0</v>
      </c>
      <c r="P285" s="255">
        <f>((P75*'Data - P&amp;L'!$D$38)+(P187*'Data - P&amp;L'!$D$39))*'Data - P&amp;L'!$C$54</f>
        <v>0</v>
      </c>
      <c r="Q285" s="255">
        <f>((Q75*'Data - P&amp;L'!$D$38)+(Q187*'Data - P&amp;L'!$D$39))*'Data - P&amp;L'!$C$54</f>
        <v>0</v>
      </c>
      <c r="R285" s="255">
        <f>((R75*'Data - P&amp;L'!$D$38)+(R187*'Data - P&amp;L'!$D$39))*'Data - P&amp;L'!$C$54</f>
        <v>0</v>
      </c>
      <c r="S285" s="255">
        <f>((S75*'Data - P&amp;L'!$D$38)+(S187*'Data - P&amp;L'!$D$39))*'Data - P&amp;L'!$C$54</f>
        <v>0</v>
      </c>
      <c r="T285" s="255">
        <f>((T75*'Data - P&amp;L'!$D$38)+(T187*'Data - P&amp;L'!$D$39))*'Data - P&amp;L'!$C$54</f>
        <v>0</v>
      </c>
      <c r="U285" s="255">
        <f>((U75*'Data - P&amp;L'!$D$38)+(U187*'Data - P&amp;L'!$D$39))*'Data - P&amp;L'!$C$54</f>
        <v>0</v>
      </c>
      <c r="V285" s="255">
        <f>((V75*'Data - P&amp;L'!$D$38)+(V187*'Data - P&amp;L'!$D$39))*'Data - P&amp;L'!$C$54</f>
        <v>0</v>
      </c>
      <c r="W285" s="255">
        <f>((W75*'Data - P&amp;L'!$D$38)+(W187*'Data - P&amp;L'!$D$39))*'Data - P&amp;L'!$C$54</f>
        <v>0</v>
      </c>
      <c r="X285" s="255">
        <f>((X75*'Data - P&amp;L'!$D$38)+(X187*'Data - P&amp;L'!$D$39))*'Data - P&amp;L'!$C$54</f>
        <v>0</v>
      </c>
      <c r="Y285" s="255">
        <f>((Y75*'Data - P&amp;L'!$D$38)+(Y187*'Data - P&amp;L'!$D$39))*'Data - P&amp;L'!$C$54</f>
        <v>0</v>
      </c>
      <c r="Z285" s="255">
        <f>((Z75*'Data - P&amp;L'!$D$38)+(Z187*'Data - P&amp;L'!$D$39))*'Data - P&amp;L'!$C$54</f>
        <v>0</v>
      </c>
      <c r="AA285" s="255">
        <f>((AA75*'Data - P&amp;L'!$D$38)+(AA187*'Data - P&amp;L'!$D$39))*'Data - P&amp;L'!$C$54</f>
        <v>0</v>
      </c>
      <c r="AB285" s="255">
        <f>((AB75*'Data - P&amp;L'!$D$38)+(AB187*'Data - P&amp;L'!$D$39))*'Data - P&amp;L'!$C$54</f>
        <v>0</v>
      </c>
      <c r="AC285" s="255">
        <f>((AC75*'Data - P&amp;L'!$D$38)+(AC187*'Data - P&amp;L'!$D$39))*'Data - P&amp;L'!$C$54</f>
        <v>0</v>
      </c>
      <c r="AD285" s="255">
        <f>((AD75*'Data - P&amp;L'!$D$38)+(AD187*'Data - P&amp;L'!$D$39))*'Data - P&amp;L'!$C$54</f>
        <v>0</v>
      </c>
      <c r="AE285" s="255">
        <f>((AE75*'Data - P&amp;L'!$D$38)+(AE187*'Data - P&amp;L'!$D$39))*'Data - P&amp;L'!$C$54</f>
        <v>0</v>
      </c>
      <c r="AF285" s="255">
        <f>((AF75*'Data - P&amp;L'!$D$38)+(AF187*'Data - P&amp;L'!$D$39))*'Data - P&amp;L'!$C$54</f>
        <v>0</v>
      </c>
      <c r="AG285" s="445">
        <f t="shared" si="72"/>
        <v>0</v>
      </c>
    </row>
    <row r="286" outlineLevel="1">
      <c r="A286" s="272" t="s">
        <v>437</v>
      </c>
      <c r="B286" s="368">
        <f>B77*'Data - P&amp;L'!$R$3</f>
        <v>0</v>
      </c>
      <c r="C286" s="368">
        <f>C77*'Data - P&amp;L'!$R$3</f>
        <v>0</v>
      </c>
      <c r="D286" s="368">
        <f>D77*'Data - P&amp;L'!$R$3</f>
        <v>0</v>
      </c>
      <c r="E286" s="368">
        <f>E77*'Data - P&amp;L'!$R$3</f>
        <v>0</v>
      </c>
      <c r="F286" s="368">
        <f>F77*'Data - P&amp;L'!$R$3</f>
        <v>0</v>
      </c>
      <c r="G286" s="368">
        <f>G77*'Data - P&amp;L'!$R$3</f>
        <v>0</v>
      </c>
      <c r="H286" s="368">
        <f>H77*'Data - P&amp;L'!$R$3</f>
        <v>0</v>
      </c>
      <c r="I286" s="368">
        <f>I77*'Data - P&amp;L'!$R$3</f>
        <v>0</v>
      </c>
      <c r="J286" s="368">
        <f>J77*'Data - P&amp;L'!$R$3</f>
        <v>0</v>
      </c>
      <c r="K286" s="368">
        <f>K77*'Data - P&amp;L'!$R$3</f>
        <v>0</v>
      </c>
      <c r="L286" s="368">
        <f>L77*'Data - P&amp;L'!$R$3</f>
        <v>0</v>
      </c>
      <c r="M286" s="368">
        <f>M77*'Data - P&amp;L'!$R$3</f>
        <v>0</v>
      </c>
      <c r="N286" s="368">
        <f>N77*'Data - P&amp;L'!$R$3</f>
        <v>0</v>
      </c>
      <c r="O286" s="368">
        <f>O77*'Data - P&amp;L'!$R$3</f>
        <v>0</v>
      </c>
      <c r="P286" s="368">
        <f>P77*'Data - P&amp;L'!$R$3</f>
        <v>0</v>
      </c>
      <c r="Q286" s="368">
        <f>Q77*'Data - P&amp;L'!$R$3</f>
        <v>0</v>
      </c>
      <c r="R286" s="368">
        <f>R77*'Data - P&amp;L'!$R$3</f>
        <v>0</v>
      </c>
      <c r="S286" s="368">
        <f>S77*'Data - P&amp;L'!$R$3</f>
        <v>0</v>
      </c>
      <c r="T286" s="368">
        <f>T77*'Data - P&amp;L'!$R$3</f>
        <v>0</v>
      </c>
      <c r="U286" s="368">
        <f>U77*'Data - P&amp;L'!$R$3</f>
        <v>0</v>
      </c>
      <c r="V286" s="368">
        <f>V77*'Data - P&amp;L'!$R$3</f>
        <v>0</v>
      </c>
      <c r="W286" s="368">
        <f>W77*'Data - P&amp;L'!$R$3</f>
        <v>0</v>
      </c>
      <c r="X286" s="368">
        <f>X77*'Data - P&amp;L'!$R$3</f>
        <v>0</v>
      </c>
      <c r="Y286" s="368">
        <f>Y77*'Data - P&amp;L'!$R$3</f>
        <v>0</v>
      </c>
      <c r="Z286" s="368">
        <f>Z77*'Data - P&amp;L'!$R$3</f>
        <v>0</v>
      </c>
      <c r="AA286" s="368">
        <f>AA77*'Data - P&amp;L'!$R$3</f>
        <v>0</v>
      </c>
      <c r="AB286" s="368">
        <f>AB77*'Data - P&amp;L'!$R$3</f>
        <v>0</v>
      </c>
      <c r="AC286" s="368">
        <f>AC77*'Data - P&amp;L'!$R$3</f>
        <v>0</v>
      </c>
      <c r="AD286" s="368">
        <f>AD77*'Data - P&amp;L'!$R$3</f>
        <v>0</v>
      </c>
      <c r="AE286" s="368">
        <f>AE77*'Data - P&amp;L'!$R$3</f>
        <v>0</v>
      </c>
      <c r="AF286" s="368">
        <f>AF77*'Data - P&amp;L'!$R$3</f>
        <v>0</v>
      </c>
      <c r="AG286" s="445">
        <f t="shared" si="72"/>
        <v>0</v>
      </c>
    </row>
    <row r="287" outlineLevel="1">
      <c r="A287" s="449" t="s">
        <v>438</v>
      </c>
      <c r="B287" s="254">
        <f t="shared" ref="B287:AF287" si="73">B83+B193</f>
        <v>0</v>
      </c>
      <c r="C287" s="254">
        <f t="shared" si="73"/>
        <v>0</v>
      </c>
      <c r="D287" s="254">
        <f t="shared" si="73"/>
        <v>0</v>
      </c>
      <c r="E287" s="254">
        <f t="shared" si="73"/>
        <v>0</v>
      </c>
      <c r="F287" s="254">
        <f t="shared" si="73"/>
        <v>0</v>
      </c>
      <c r="G287" s="254">
        <f t="shared" si="73"/>
        <v>0</v>
      </c>
      <c r="H287" s="254">
        <f t="shared" si="73"/>
        <v>0</v>
      </c>
      <c r="I287" s="254">
        <f t="shared" si="73"/>
        <v>0</v>
      </c>
      <c r="J287" s="254">
        <f t="shared" si="73"/>
        <v>0</v>
      </c>
      <c r="K287" s="254">
        <f t="shared" si="73"/>
        <v>0</v>
      </c>
      <c r="L287" s="254">
        <f t="shared" si="73"/>
        <v>0</v>
      </c>
      <c r="M287" s="254">
        <f t="shared" si="73"/>
        <v>0</v>
      </c>
      <c r="N287" s="254">
        <f t="shared" si="73"/>
        <v>0</v>
      </c>
      <c r="O287" s="254">
        <f t="shared" si="73"/>
        <v>0</v>
      </c>
      <c r="P287" s="254">
        <f t="shared" si="73"/>
        <v>0</v>
      </c>
      <c r="Q287" s="254">
        <f t="shared" si="73"/>
        <v>0</v>
      </c>
      <c r="R287" s="254">
        <f t="shared" si="73"/>
        <v>0</v>
      </c>
      <c r="S287" s="254">
        <f t="shared" si="73"/>
        <v>0</v>
      </c>
      <c r="T287" s="254">
        <f t="shared" si="73"/>
        <v>0</v>
      </c>
      <c r="U287" s="254">
        <f t="shared" si="73"/>
        <v>0</v>
      </c>
      <c r="V287" s="254">
        <f t="shared" si="73"/>
        <v>0</v>
      </c>
      <c r="W287" s="254">
        <f t="shared" si="73"/>
        <v>0</v>
      </c>
      <c r="X287" s="254">
        <f t="shared" si="73"/>
        <v>0</v>
      </c>
      <c r="Y287" s="254">
        <f t="shared" si="73"/>
        <v>0</v>
      </c>
      <c r="Z287" s="254">
        <f t="shared" si="73"/>
        <v>0</v>
      </c>
      <c r="AA287" s="254">
        <f t="shared" si="73"/>
        <v>0</v>
      </c>
      <c r="AB287" s="254">
        <f t="shared" si="73"/>
        <v>0</v>
      </c>
      <c r="AC287" s="254">
        <f t="shared" si="73"/>
        <v>0</v>
      </c>
      <c r="AD287" s="254">
        <f t="shared" si="73"/>
        <v>0</v>
      </c>
      <c r="AE287" s="254">
        <f t="shared" si="73"/>
        <v>0</v>
      </c>
      <c r="AF287" s="254">
        <f t="shared" si="73"/>
        <v>0</v>
      </c>
      <c r="AG287" s="448">
        <f t="shared" si="72"/>
        <v>0</v>
      </c>
    </row>
    <row r="288">
      <c r="A288" s="240" t="s">
        <v>769</v>
      </c>
      <c r="B288" s="269">
        <f t="shared" ref="B288:AF288" si="74">sum(B289:B299)-B302</f>
        <v>0</v>
      </c>
      <c r="C288" s="269">
        <f t="shared" si="74"/>
        <v>0</v>
      </c>
      <c r="D288" s="269">
        <f t="shared" si="74"/>
        <v>0</v>
      </c>
      <c r="E288" s="269">
        <f t="shared" si="74"/>
        <v>1.194</v>
      </c>
      <c r="F288" s="269">
        <f t="shared" si="74"/>
        <v>0</v>
      </c>
      <c r="G288" s="269">
        <f t="shared" si="74"/>
        <v>0</v>
      </c>
      <c r="H288" s="269">
        <f t="shared" si="74"/>
        <v>0</v>
      </c>
      <c r="I288" s="269">
        <f t="shared" si="74"/>
        <v>0</v>
      </c>
      <c r="J288" s="269">
        <f t="shared" si="74"/>
        <v>0</v>
      </c>
      <c r="K288" s="269">
        <f t="shared" si="74"/>
        <v>0</v>
      </c>
      <c r="L288" s="269">
        <f t="shared" si="74"/>
        <v>0</v>
      </c>
      <c r="M288" s="269">
        <f t="shared" si="74"/>
        <v>0</v>
      </c>
      <c r="N288" s="269">
        <f t="shared" si="74"/>
        <v>0</v>
      </c>
      <c r="O288" s="269">
        <f t="shared" si="74"/>
        <v>0</v>
      </c>
      <c r="P288" s="269">
        <f t="shared" si="74"/>
        <v>0</v>
      </c>
      <c r="Q288" s="269">
        <f t="shared" si="74"/>
        <v>0</v>
      </c>
      <c r="R288" s="269">
        <f t="shared" si="74"/>
        <v>0</v>
      </c>
      <c r="S288" s="269">
        <f t="shared" si="74"/>
        <v>0</v>
      </c>
      <c r="T288" s="269">
        <f t="shared" si="74"/>
        <v>0</v>
      </c>
      <c r="U288" s="269">
        <f t="shared" si="74"/>
        <v>0</v>
      </c>
      <c r="V288" s="269">
        <f t="shared" si="74"/>
        <v>0</v>
      </c>
      <c r="W288" s="269">
        <f t="shared" si="74"/>
        <v>0</v>
      </c>
      <c r="X288" s="269">
        <f t="shared" si="74"/>
        <v>0</v>
      </c>
      <c r="Y288" s="269">
        <f t="shared" si="74"/>
        <v>0</v>
      </c>
      <c r="Z288" s="269">
        <f t="shared" si="74"/>
        <v>0</v>
      </c>
      <c r="AA288" s="269">
        <f t="shared" si="74"/>
        <v>0</v>
      </c>
      <c r="AB288" s="269">
        <f t="shared" si="74"/>
        <v>0</v>
      </c>
      <c r="AC288" s="269">
        <f t="shared" si="74"/>
        <v>0</v>
      </c>
      <c r="AD288" s="269">
        <f t="shared" si="74"/>
        <v>0</v>
      </c>
      <c r="AE288" s="269">
        <f t="shared" si="74"/>
        <v>0</v>
      </c>
      <c r="AF288" s="269">
        <f t="shared" si="74"/>
        <v>0</v>
      </c>
      <c r="AG288" s="95">
        <f>SUM(B288:AF288)</f>
        <v>1.194</v>
      </c>
    </row>
    <row r="289" outlineLevel="1">
      <c r="A289" s="151" t="s">
        <v>420</v>
      </c>
      <c r="B289" s="255">
        <f>(B94+B204)*'Data - P&amp;L'!$C$3*'Data - P&amp;L'!$C$55</f>
        <v>0</v>
      </c>
      <c r="C289" s="255">
        <f>C179*'Data - P&amp;L'!$C$3*'Data - P&amp;L'!$C$55</f>
        <v>0</v>
      </c>
      <c r="D289" s="255">
        <f>D179*'Data - P&amp;L'!$C$3*'Data - P&amp;L'!$C$55</f>
        <v>0</v>
      </c>
      <c r="E289" s="255">
        <f>E179*'Data - P&amp;L'!$C$3*'Data - P&amp;L'!$C$55</f>
        <v>0</v>
      </c>
      <c r="F289" s="255">
        <f>F179*'Data - P&amp;L'!$C$3*'Data - P&amp;L'!$C$55</f>
        <v>0</v>
      </c>
      <c r="G289" s="255">
        <f>G179*'Data - P&amp;L'!$C$3*'Data - P&amp;L'!$C$55</f>
        <v>0</v>
      </c>
      <c r="H289" s="255">
        <f>H179*'Data - P&amp;L'!$C$3*'Data - P&amp;L'!$C$55</f>
        <v>0</v>
      </c>
      <c r="I289" s="255">
        <f>I179*'Data - P&amp;L'!$C$3*'Data - P&amp;L'!$C$55</f>
        <v>0</v>
      </c>
      <c r="J289" s="255">
        <f>J179*'Data - P&amp;L'!$C$3*'Data - P&amp;L'!$C$55</f>
        <v>0</v>
      </c>
      <c r="K289" s="255">
        <f>K179*'Data - P&amp;L'!$C$3*'Data - P&amp;L'!$C$55</f>
        <v>0</v>
      </c>
      <c r="L289" s="255">
        <f>L179*'Data - P&amp;L'!$C$3*'Data - P&amp;L'!$C$55</f>
        <v>0</v>
      </c>
      <c r="M289" s="255">
        <f>M179*'Data - P&amp;L'!$C$3*'Data - P&amp;L'!$C$55</f>
        <v>0</v>
      </c>
      <c r="N289" s="255">
        <f>N179*'Data - P&amp;L'!$C$3*'Data - P&amp;L'!$C$55</f>
        <v>0</v>
      </c>
      <c r="O289" s="255">
        <f>O179*'Data - P&amp;L'!$C$3*'Data - P&amp;L'!$C$55</f>
        <v>0</v>
      </c>
      <c r="P289" s="255">
        <f>P179*'Data - P&amp;L'!$C$3*'Data - P&amp;L'!$C$55</f>
        <v>0</v>
      </c>
      <c r="Q289" s="255">
        <f>Q179*'Data - P&amp;L'!$C$3*'Data - P&amp;L'!$C$55</f>
        <v>0</v>
      </c>
      <c r="R289" s="255">
        <f>R179*'Data - P&amp;L'!$C$3*'Data - P&amp;L'!$C$55</f>
        <v>0</v>
      </c>
      <c r="S289" s="255">
        <f>S179*'Data - P&amp;L'!$C$3*'Data - P&amp;L'!$C$55</f>
        <v>0</v>
      </c>
      <c r="T289" s="255">
        <f>T179*'Data - P&amp;L'!$C$3*'Data - P&amp;L'!$C$55</f>
        <v>0</v>
      </c>
      <c r="U289" s="255">
        <f>U179*'Data - P&amp;L'!$C$3*'Data - P&amp;L'!$C$55</f>
        <v>0</v>
      </c>
      <c r="V289" s="255">
        <f>V179*'Data - P&amp;L'!$C$3*'Data - P&amp;L'!$C$55</f>
        <v>0</v>
      </c>
      <c r="W289" s="255">
        <f>W179*'Data - P&amp;L'!$C$3*'Data - P&amp;L'!$C$55</f>
        <v>0</v>
      </c>
      <c r="X289" s="255">
        <f>X179*'Data - P&amp;L'!$C$3*'Data - P&amp;L'!$C$55</f>
        <v>0</v>
      </c>
      <c r="Y289" s="255">
        <f>Y179*'Data - P&amp;L'!$C$3*'Data - P&amp;L'!$C$55</f>
        <v>0</v>
      </c>
      <c r="Z289" s="255">
        <f>Z179*'Data - P&amp;L'!$C$3*'Data - P&amp;L'!$C$55</f>
        <v>0</v>
      </c>
      <c r="AA289" s="255">
        <f>AA179*'Data - P&amp;L'!$C$3*'Data - P&amp;L'!$C$55</f>
        <v>0</v>
      </c>
      <c r="AB289" s="255">
        <f>AB179*'Data - P&amp;L'!$C$3*'Data - P&amp;L'!$C$55</f>
        <v>0</v>
      </c>
      <c r="AC289" s="255">
        <f>AC179*'Data - P&amp;L'!$C$3*'Data - P&amp;L'!$C$55</f>
        <v>0</v>
      </c>
      <c r="AD289" s="255">
        <f>AD179*'Data - P&amp;L'!$C$3*'Data - P&amp;L'!$C$55</f>
        <v>0</v>
      </c>
      <c r="AE289" s="255">
        <f>AE179*'Data - P&amp;L'!$C$3*'Data - P&amp;L'!$C$55</f>
        <v>0</v>
      </c>
      <c r="AF289" s="255">
        <f>AF179*'Data - P&amp;L'!$C$3*'Data - P&amp;L'!$C$55</f>
        <v>0</v>
      </c>
      <c r="AG289" s="445">
        <f t="shared" ref="AG289:AG299" si="75">SUM(B289:AD289)</f>
        <v>0</v>
      </c>
    </row>
    <row r="290" outlineLevel="1">
      <c r="A290" s="151" t="s">
        <v>421</v>
      </c>
      <c r="B290" s="255">
        <f>(B95+B205)*'Data - P&amp;L'!$C$4*'Data - P&amp;L'!$C$55</f>
        <v>0</v>
      </c>
      <c r="C290" s="255">
        <f>C180*'Data - P&amp;L'!$C$4*'Data - P&amp;L'!$C$55</f>
        <v>0</v>
      </c>
      <c r="D290" s="255">
        <f>D180*'Data - P&amp;L'!$C$4*'Data - P&amp;L'!$C$55</f>
        <v>0</v>
      </c>
      <c r="E290" s="255">
        <f>E180*'Data - P&amp;L'!$C$4*'Data - P&amp;L'!$C$55</f>
        <v>0</v>
      </c>
      <c r="F290" s="255">
        <f>F180*'Data - P&amp;L'!$C$4*'Data - P&amp;L'!$C$55</f>
        <v>0</v>
      </c>
      <c r="G290" s="255">
        <f>G180*'Data - P&amp;L'!$C$4*'Data - P&amp;L'!$C$55</f>
        <v>0</v>
      </c>
      <c r="H290" s="255">
        <f>H180*'Data - P&amp;L'!$C$4*'Data - P&amp;L'!$C$55</f>
        <v>0</v>
      </c>
      <c r="I290" s="255">
        <f>I180*'Data - P&amp;L'!$C$4*'Data - P&amp;L'!$C$55</f>
        <v>0</v>
      </c>
      <c r="J290" s="255">
        <f>J180*'Data - P&amp;L'!$C$4*'Data - P&amp;L'!$C$55</f>
        <v>0</v>
      </c>
      <c r="K290" s="255">
        <f>K180*'Data - P&amp;L'!$C$4*'Data - P&amp;L'!$C$55</f>
        <v>0</v>
      </c>
      <c r="L290" s="255">
        <f>L180*'Data - P&amp;L'!$C$4*'Data - P&amp;L'!$C$55</f>
        <v>0</v>
      </c>
      <c r="M290" s="255">
        <f>M180*'Data - P&amp;L'!$C$4*'Data - P&amp;L'!$C$55</f>
        <v>0</v>
      </c>
      <c r="N290" s="255">
        <f>N180*'Data - P&amp;L'!$C$4*'Data - P&amp;L'!$C$55</f>
        <v>0</v>
      </c>
      <c r="O290" s="255">
        <f>O180*'Data - P&amp;L'!$C$4*'Data - P&amp;L'!$C$55</f>
        <v>0</v>
      </c>
      <c r="P290" s="255">
        <f>P180*'Data - P&amp;L'!$C$4*'Data - P&amp;L'!$C$55</f>
        <v>0</v>
      </c>
      <c r="Q290" s="255">
        <f>Q180*'Data - P&amp;L'!$C$4*'Data - P&amp;L'!$C$55</f>
        <v>0</v>
      </c>
      <c r="R290" s="255">
        <f>R180*'Data - P&amp;L'!$C$4*'Data - P&amp;L'!$C$55</f>
        <v>0</v>
      </c>
      <c r="S290" s="255">
        <f>S180*'Data - P&amp;L'!$C$4*'Data - P&amp;L'!$C$55</f>
        <v>0</v>
      </c>
      <c r="T290" s="255">
        <f>T180*'Data - P&amp;L'!$C$4*'Data - P&amp;L'!$C$55</f>
        <v>0</v>
      </c>
      <c r="U290" s="255">
        <f>U180*'Data - P&amp;L'!$C$4*'Data - P&amp;L'!$C$55</f>
        <v>0</v>
      </c>
      <c r="V290" s="255">
        <f>V180*'Data - P&amp;L'!$C$4*'Data - P&amp;L'!$C$55</f>
        <v>0</v>
      </c>
      <c r="W290" s="255">
        <f>W180*'Data - P&amp;L'!$C$4*'Data - P&amp;L'!$C$55</f>
        <v>0</v>
      </c>
      <c r="X290" s="255">
        <f>X180*'Data - P&amp;L'!$C$4*'Data - P&amp;L'!$C$55</f>
        <v>0</v>
      </c>
      <c r="Y290" s="255">
        <f>Y180*'Data - P&amp;L'!$C$4*'Data - P&amp;L'!$C$55</f>
        <v>0</v>
      </c>
      <c r="Z290" s="255">
        <f>Z180*'Data - P&amp;L'!$C$4*'Data - P&amp;L'!$C$55</f>
        <v>0</v>
      </c>
      <c r="AA290" s="255">
        <f>AA180*'Data - P&amp;L'!$C$4*'Data - P&amp;L'!$C$55</f>
        <v>0</v>
      </c>
      <c r="AB290" s="255">
        <f>AB180*'Data - P&amp;L'!$C$4*'Data - P&amp;L'!$C$55</f>
        <v>0</v>
      </c>
      <c r="AC290" s="255">
        <f>AC180*'Data - P&amp;L'!$C$4*'Data - P&amp;L'!$C$55</f>
        <v>0</v>
      </c>
      <c r="AD290" s="255">
        <f>AD180*'Data - P&amp;L'!$C$4*'Data - P&amp;L'!$C$55</f>
        <v>0</v>
      </c>
      <c r="AE290" s="255">
        <f>AE180*'Data - P&amp;L'!$C$4*'Data - P&amp;L'!$C$55</f>
        <v>0</v>
      </c>
      <c r="AF290" s="255">
        <f>AF180*'Data - P&amp;L'!$C$4*'Data - P&amp;L'!$C$55</f>
        <v>0</v>
      </c>
      <c r="AG290" s="445">
        <f t="shared" si="75"/>
        <v>0</v>
      </c>
    </row>
    <row r="291" outlineLevel="1">
      <c r="A291" s="151" t="s">
        <v>422</v>
      </c>
      <c r="B291" s="255">
        <f>(B97+B207)*'Data - P&amp;L'!$C$6*'Data - P&amp;L'!$C$55</f>
        <v>0</v>
      </c>
      <c r="C291" s="255">
        <f>(C183+C194)*'Data - P&amp;L'!$C$6*'Data - P&amp;L'!$C$55</f>
        <v>0</v>
      </c>
      <c r="D291" s="255">
        <f>(D183+D194)*'Data - P&amp;L'!$C$6*'Data - P&amp;L'!$C$55</f>
        <v>0</v>
      </c>
      <c r="E291" s="255">
        <f>(E183+E194)*'Data - P&amp;L'!$C$6*'Data - P&amp;L'!$C$55</f>
        <v>0</v>
      </c>
      <c r="F291" s="255">
        <f>(F183+F194)*'Data - P&amp;L'!$C$6*'Data - P&amp;L'!$C$55</f>
        <v>0</v>
      </c>
      <c r="G291" s="255">
        <f>(G183+G194)*'Data - P&amp;L'!$C$6*'Data - P&amp;L'!$C$55</f>
        <v>0</v>
      </c>
      <c r="H291" s="255">
        <f>(H183+H194)*'Data - P&amp;L'!$C$6*'Data - P&amp;L'!$C$55</f>
        <v>0</v>
      </c>
      <c r="I291" s="255">
        <f>(I183+I194)*'Data - P&amp;L'!$C$6*'Data - P&amp;L'!$C$55</f>
        <v>0</v>
      </c>
      <c r="J291" s="255">
        <f>(J183+J194)*'Data - P&amp;L'!$C$6*'Data - P&amp;L'!$C$55</f>
        <v>0</v>
      </c>
      <c r="K291" s="255">
        <f>(K183+K194)*'Data - P&amp;L'!$C$6*'Data - P&amp;L'!$C$55</f>
        <v>0</v>
      </c>
      <c r="L291" s="255">
        <f>(L183+L194)*'Data - P&amp;L'!$C$6*'Data - P&amp;L'!$C$55</f>
        <v>0</v>
      </c>
      <c r="M291" s="255">
        <f>(M183+M194)*'Data - P&amp;L'!$C$6*'Data - P&amp;L'!$C$55</f>
        <v>0</v>
      </c>
      <c r="N291" s="255">
        <f>(N183+N194)*'Data - P&amp;L'!$C$6*'Data - P&amp;L'!$C$55</f>
        <v>0</v>
      </c>
      <c r="O291" s="255">
        <f>(O183+O194)*'Data - P&amp;L'!$C$6*'Data - P&amp;L'!$C$55</f>
        <v>0</v>
      </c>
      <c r="P291" s="255">
        <f>(P183+P194)*'Data - P&amp;L'!$C$6*'Data - P&amp;L'!$C$55</f>
        <v>0</v>
      </c>
      <c r="Q291" s="255">
        <f>(Q183+Q194)*'Data - P&amp;L'!$C$6*'Data - P&amp;L'!$C$55</f>
        <v>0</v>
      </c>
      <c r="R291" s="255">
        <f>(R183+R194)*'Data - P&amp;L'!$C$6*'Data - P&amp;L'!$C$55</f>
        <v>0</v>
      </c>
      <c r="S291" s="255">
        <f>(S183+S194)*'Data - P&amp;L'!$C$6*'Data - P&amp;L'!$C$55</f>
        <v>0</v>
      </c>
      <c r="T291" s="255">
        <f>(T183+T194)*'Data - P&amp;L'!$C$6*'Data - P&amp;L'!$C$55</f>
        <v>0</v>
      </c>
      <c r="U291" s="255">
        <f>(U183+U194)*'Data - P&amp;L'!$C$6*'Data - P&amp;L'!$C$55</f>
        <v>0</v>
      </c>
      <c r="V291" s="255">
        <f>(V183+V194)*'Data - P&amp;L'!$C$6*'Data - P&amp;L'!$C$55</f>
        <v>0</v>
      </c>
      <c r="W291" s="255">
        <f>(W183+W194)*'Data - P&amp;L'!$C$6*'Data - P&amp;L'!$C$55</f>
        <v>0</v>
      </c>
      <c r="X291" s="255">
        <f>(X183+X194)*'Data - P&amp;L'!$C$6*'Data - P&amp;L'!$C$55</f>
        <v>0</v>
      </c>
      <c r="Y291" s="255">
        <f>(Y183+Y194)*'Data - P&amp;L'!$C$6*'Data - P&amp;L'!$C$55</f>
        <v>0</v>
      </c>
      <c r="Z291" s="255">
        <f>(Z183+Z194)*'Data - P&amp;L'!$C$6*'Data - P&amp;L'!$C$55</f>
        <v>0</v>
      </c>
      <c r="AA291" s="255">
        <f>(AA183+AA194)*'Data - P&amp;L'!$C$6*'Data - P&amp;L'!$C$55</f>
        <v>0</v>
      </c>
      <c r="AB291" s="255">
        <f>(AB183+AB194)*'Data - P&amp;L'!$C$6*'Data - P&amp;L'!$C$55</f>
        <v>0</v>
      </c>
      <c r="AC291" s="255">
        <f>(AC183+AC194)*'Data - P&amp;L'!$C$6*'Data - P&amp;L'!$C$55</f>
        <v>0</v>
      </c>
      <c r="AD291" s="255">
        <f>(AD183+AD194)*'Data - P&amp;L'!$C$6*'Data - P&amp;L'!$C$55</f>
        <v>0</v>
      </c>
      <c r="AE291" s="255">
        <f>(AE183+AE194)*'Data - P&amp;L'!$C$6*'Data - P&amp;L'!$C$55</f>
        <v>0</v>
      </c>
      <c r="AF291" s="255">
        <f>(AF183+AF194)*'Data - P&amp;L'!$C$6*'Data - P&amp;L'!$C$55</f>
        <v>0</v>
      </c>
      <c r="AG291" s="445">
        <f t="shared" si="75"/>
        <v>0</v>
      </c>
    </row>
    <row r="292" outlineLevel="1">
      <c r="A292" s="151" t="s">
        <v>423</v>
      </c>
      <c r="B292" s="255">
        <f>(B98+B208)*'Data - P&amp;L'!$C$8*'Data - P&amp;L'!$C$55</f>
        <v>0</v>
      </c>
      <c r="C292" s="255">
        <f>(C184+C199)*'Data - P&amp;L'!$C$8*'Data - P&amp;L'!$C$55</f>
        <v>0</v>
      </c>
      <c r="D292" s="255">
        <f>(D184+D199)*'Data - P&amp;L'!$C$8*'Data - P&amp;L'!$C$55</f>
        <v>0</v>
      </c>
      <c r="E292" s="255">
        <f>(E184+E199)*'Data - P&amp;L'!$C$8*'Data - P&amp;L'!$C$55</f>
        <v>0</v>
      </c>
      <c r="F292" s="255">
        <f>(F184+F199)*'Data - P&amp;L'!$C$8*'Data - P&amp;L'!$C$55</f>
        <v>0</v>
      </c>
      <c r="G292" s="255">
        <f>(G184+G199)*'Data - P&amp;L'!$C$8*'Data - P&amp;L'!$C$55</f>
        <v>0</v>
      </c>
      <c r="H292" s="255">
        <f>(H184+H199)*'Data - P&amp;L'!$C$8*'Data - P&amp;L'!$C$55</f>
        <v>0</v>
      </c>
      <c r="I292" s="255">
        <f>(I184+I199)*'Data - P&amp;L'!$C$8*'Data - P&amp;L'!$C$55</f>
        <v>0</v>
      </c>
      <c r="J292" s="255">
        <f>(J184+J199)*'Data - P&amp;L'!$C$8*'Data - P&amp;L'!$C$55</f>
        <v>0</v>
      </c>
      <c r="K292" s="255">
        <f>(K184+K199)*'Data - P&amp;L'!$C$8*'Data - P&amp;L'!$C$55</f>
        <v>0</v>
      </c>
      <c r="L292" s="255">
        <f>(L184+L199)*'Data - P&amp;L'!$C$8*'Data - P&amp;L'!$C$55</f>
        <v>0</v>
      </c>
      <c r="M292" s="255">
        <f>(M184+M199)*'Data - P&amp;L'!$C$8*'Data - P&amp;L'!$C$55</f>
        <v>0</v>
      </c>
      <c r="N292" s="255">
        <f>(N184+N199)*'Data - P&amp;L'!$C$8*'Data - P&amp;L'!$C$55</f>
        <v>0</v>
      </c>
      <c r="O292" s="255">
        <f>(O184+O199)*'Data - P&amp;L'!$C$8*'Data - P&amp;L'!$C$55</f>
        <v>0</v>
      </c>
      <c r="P292" s="255">
        <f>(P184+P199)*'Data - P&amp;L'!$C$8*'Data - P&amp;L'!$C$55</f>
        <v>0</v>
      </c>
      <c r="Q292" s="255">
        <f>(Q184+Q199)*'Data - P&amp;L'!$C$8*'Data - P&amp;L'!$C$55</f>
        <v>0</v>
      </c>
      <c r="R292" s="255">
        <f>(R184+R199)*'Data - P&amp;L'!$C$8*'Data - P&amp;L'!$C$55</f>
        <v>0</v>
      </c>
      <c r="S292" s="255">
        <f>(S184+S199)*'Data - P&amp;L'!$C$8*'Data - P&amp;L'!$C$55</f>
        <v>0</v>
      </c>
      <c r="T292" s="255">
        <f>(T184+T199)*'Data - P&amp;L'!$C$8*'Data - P&amp;L'!$C$55</f>
        <v>0</v>
      </c>
      <c r="U292" s="255">
        <f>(U184+U199)*'Data - P&amp;L'!$C$8*'Data - P&amp;L'!$C$55</f>
        <v>0</v>
      </c>
      <c r="V292" s="255">
        <f>(V184+V199)*'Data - P&amp;L'!$C$8*'Data - P&amp;L'!$C$55</f>
        <v>0</v>
      </c>
      <c r="W292" s="255">
        <f>(W184+W199)*'Data - P&amp;L'!$C$8*'Data - P&amp;L'!$C$55</f>
        <v>0</v>
      </c>
      <c r="X292" s="255">
        <f>(X184+X199)*'Data - P&amp;L'!$C$8*'Data - P&amp;L'!$C$55</f>
        <v>0</v>
      </c>
      <c r="Y292" s="255">
        <f>(Y184+Y199)*'Data - P&amp;L'!$C$8*'Data - P&amp;L'!$C$55</f>
        <v>0</v>
      </c>
      <c r="Z292" s="255">
        <f>(Z184+Z199)*'Data - P&amp;L'!$C$8*'Data - P&amp;L'!$C$55</f>
        <v>0</v>
      </c>
      <c r="AA292" s="255">
        <f>(AA184+AA199)*'Data - P&amp;L'!$C$8*'Data - P&amp;L'!$C$55</f>
        <v>0</v>
      </c>
      <c r="AB292" s="255">
        <f>(AB184+AB199)*'Data - P&amp;L'!$C$8*'Data - P&amp;L'!$C$55</f>
        <v>0</v>
      </c>
      <c r="AC292" s="255">
        <f>(AC184+AC199)*'Data - P&amp;L'!$C$8*'Data - P&amp;L'!$C$55</f>
        <v>0</v>
      </c>
      <c r="AD292" s="255">
        <f>(AD184+AD199)*'Data - P&amp;L'!$C$8*'Data - P&amp;L'!$C$55</f>
        <v>0</v>
      </c>
      <c r="AE292" s="255">
        <f>(AE184+AE199)*'Data - P&amp;L'!$C$8*'Data - P&amp;L'!$C$55</f>
        <v>0</v>
      </c>
      <c r="AF292" s="255">
        <f>(AF184+AF199)*'Data - P&amp;L'!$C$8*'Data - P&amp;L'!$C$55</f>
        <v>0</v>
      </c>
      <c r="AG292" s="445">
        <f t="shared" si="75"/>
        <v>0</v>
      </c>
    </row>
    <row r="293" outlineLevel="1">
      <c r="A293" s="151" t="s">
        <v>424</v>
      </c>
      <c r="B293" s="255">
        <f>(B99+B100+B209+B210)*'Data - P&amp;L'!$C$9*'Data - P&amp;L'!$C$55</f>
        <v>0</v>
      </c>
      <c r="C293" s="255">
        <f>(C185+C186+C200+C201)*'Data - P&amp;L'!$C$9*'Data - P&amp;L'!$C$55</f>
        <v>0</v>
      </c>
      <c r="D293" s="255">
        <f>(D185+D186+D200+D201)*'Data - P&amp;L'!$C$9*'Data - P&amp;L'!$C$55</f>
        <v>0</v>
      </c>
      <c r="E293" s="255">
        <f>(E185+E186+E200+E201)*'Data - P&amp;L'!$C$9*'Data - P&amp;L'!$C$55</f>
        <v>0</v>
      </c>
      <c r="F293" s="255">
        <f>(F185+F186+F200+F201)*'Data - P&amp;L'!$C$9*'Data - P&amp;L'!$C$55</f>
        <v>0</v>
      </c>
      <c r="G293" s="255">
        <f>(G185+G186+G200+G201)*'Data - P&amp;L'!$C$9*'Data - P&amp;L'!$C$55</f>
        <v>0</v>
      </c>
      <c r="H293" s="255">
        <f>(H185+H186+H200+H201)*'Data - P&amp;L'!$C$9*'Data - P&amp;L'!$C$55</f>
        <v>0</v>
      </c>
      <c r="I293" s="255">
        <f>(I185+I186+I200+I201)*'Data - P&amp;L'!$C$9*'Data - P&amp;L'!$C$55</f>
        <v>0</v>
      </c>
      <c r="J293" s="255">
        <f>(J185+J186+J200+J201)*'Data - P&amp;L'!$C$9*'Data - P&amp;L'!$C$55</f>
        <v>0</v>
      </c>
      <c r="K293" s="255">
        <f>(K185+K186+K200+K201)*'Data - P&amp;L'!$C$9*'Data - P&amp;L'!$C$55</f>
        <v>0</v>
      </c>
      <c r="L293" s="255">
        <f>(L185+L186+L200+L201)*'Data - P&amp;L'!$C$9*'Data - P&amp;L'!$C$55</f>
        <v>0</v>
      </c>
      <c r="M293" s="255">
        <f>(M185+M186+M200+M201)*'Data - P&amp;L'!$C$9*'Data - P&amp;L'!$C$55</f>
        <v>0</v>
      </c>
      <c r="N293" s="255">
        <f>(N185+N186+N200+N201)*'Data - P&amp;L'!$C$9*'Data - P&amp;L'!$C$55</f>
        <v>0</v>
      </c>
      <c r="O293" s="255">
        <f>(O185+O186+O200+O201)*'Data - P&amp;L'!$C$9*'Data - P&amp;L'!$C$55</f>
        <v>0</v>
      </c>
      <c r="P293" s="255">
        <f>(P185+P186+P200+P201)*'Data - P&amp;L'!$C$9*'Data - P&amp;L'!$C$55</f>
        <v>0</v>
      </c>
      <c r="Q293" s="255">
        <f>(Q185+Q186+Q200+Q201)*'Data - P&amp;L'!$C$9*'Data - P&amp;L'!$C$55</f>
        <v>0</v>
      </c>
      <c r="R293" s="255">
        <f>(R185+R186+R200+R201)*'Data - P&amp;L'!$C$9*'Data - P&amp;L'!$C$55</f>
        <v>0</v>
      </c>
      <c r="S293" s="255">
        <f>(S185+S186+S200+S201)*'Data - P&amp;L'!$C$9*'Data - P&amp;L'!$C$55</f>
        <v>0</v>
      </c>
      <c r="T293" s="255">
        <f>(T185+T186+T200+T201)*'Data - P&amp;L'!$C$9*'Data - P&amp;L'!$C$55</f>
        <v>0</v>
      </c>
      <c r="U293" s="255">
        <f>(U185+U186+U200+U201)*'Data - P&amp;L'!$C$9*'Data - P&amp;L'!$C$55</f>
        <v>0</v>
      </c>
      <c r="V293" s="255">
        <f>(V185+V186+V200+V201)*'Data - P&amp;L'!$C$9*'Data - P&amp;L'!$C$55</f>
        <v>0</v>
      </c>
      <c r="W293" s="255">
        <f>(W185+W186+W200+W201)*'Data - P&amp;L'!$C$9*'Data - P&amp;L'!$C$55</f>
        <v>0</v>
      </c>
      <c r="X293" s="255">
        <f>(X185+X186+X200+X201)*'Data - P&amp;L'!$C$9*'Data - P&amp;L'!$C$55</f>
        <v>0</v>
      </c>
      <c r="Y293" s="255">
        <f>(Y185+Y186+Y200+Y201)*'Data - P&amp;L'!$C$9*'Data - P&amp;L'!$C$55</f>
        <v>0</v>
      </c>
      <c r="Z293" s="255">
        <f>(Z185+Z186+Z200+Z201)*'Data - P&amp;L'!$C$9*'Data - P&amp;L'!$C$55</f>
        <v>0</v>
      </c>
      <c r="AA293" s="255">
        <f>(AA185+AA186+AA200+AA201)*'Data - P&amp;L'!$C$9*'Data - P&amp;L'!$C$55</f>
        <v>0</v>
      </c>
      <c r="AB293" s="255">
        <f>(AB185+AB186+AB200+AB201)*'Data - P&amp;L'!$C$9*'Data - P&amp;L'!$C$55</f>
        <v>0</v>
      </c>
      <c r="AC293" s="255">
        <f>(AC185+AC186+AC200+AC201)*'Data - P&amp;L'!$C$9*'Data - P&amp;L'!$C$55</f>
        <v>0</v>
      </c>
      <c r="AD293" s="255">
        <f>(AD185+AD186+AD200+AD201)*'Data - P&amp;L'!$C$9*'Data - P&amp;L'!$C$55</f>
        <v>0</v>
      </c>
      <c r="AE293" s="255">
        <f>(AE185+AE186+AE200+AE201)*'Data - P&amp;L'!$C$9*'Data - P&amp;L'!$C$55</f>
        <v>0</v>
      </c>
      <c r="AF293" s="255">
        <f>(AF185+AF186+AF200+AF201)*'Data - P&amp;L'!$C$9*'Data - P&amp;L'!$C$55</f>
        <v>0</v>
      </c>
      <c r="AG293" s="445">
        <f t="shared" si="75"/>
        <v>0</v>
      </c>
    </row>
    <row r="294" outlineLevel="1">
      <c r="A294" s="151" t="s">
        <v>425</v>
      </c>
      <c r="B294" s="255">
        <f>(B101+B102+B211+B212)*'Data - P&amp;L'!$C$5*'Data - P&amp;L'!$C$55</f>
        <v>0</v>
      </c>
      <c r="C294" s="255">
        <f>(C187+C188+C202+C203)*'Data - P&amp;L'!$C$5*'Data - P&amp;L'!$C$55</f>
        <v>0</v>
      </c>
      <c r="D294" s="255">
        <f>(D187+D188+D202+D203)*'Data - P&amp;L'!$C$5*'Data - P&amp;L'!$C$55</f>
        <v>0</v>
      </c>
      <c r="E294" s="255">
        <f>(E187+E188+E202+E203)*'Data - P&amp;L'!$C$5*'Data - P&amp;L'!$C$55</f>
        <v>0</v>
      </c>
      <c r="F294" s="255">
        <f>(F187+F188+F202+F203)*'Data - P&amp;L'!$C$5*'Data - P&amp;L'!$C$55</f>
        <v>0</v>
      </c>
      <c r="G294" s="255">
        <f>(G187+G188+G202+G203)*'Data - P&amp;L'!$C$5*'Data - P&amp;L'!$C$55</f>
        <v>0</v>
      </c>
      <c r="H294" s="255">
        <f>(H187+H188+H202+H203)*'Data - P&amp;L'!$C$5*'Data - P&amp;L'!$C$55</f>
        <v>0</v>
      </c>
      <c r="I294" s="255">
        <f>(I187+I188+I202+I203)*'Data - P&amp;L'!$C$5*'Data - P&amp;L'!$C$55</f>
        <v>0</v>
      </c>
      <c r="J294" s="255">
        <f>(J187+J188+J202+J203)*'Data - P&amp;L'!$C$5*'Data - P&amp;L'!$C$55</f>
        <v>0</v>
      </c>
      <c r="K294" s="255">
        <f>(K187+K188+K202+K203)*'Data - P&amp;L'!$C$5*'Data - P&amp;L'!$C$55</f>
        <v>0</v>
      </c>
      <c r="L294" s="255">
        <f>(L187+L188+L202+L203)*'Data - P&amp;L'!$C$5*'Data - P&amp;L'!$C$55</f>
        <v>0</v>
      </c>
      <c r="M294" s="255">
        <f>(M187+M188+M202+M203)*'Data - P&amp;L'!$C$5*'Data - P&amp;L'!$C$55</f>
        <v>0</v>
      </c>
      <c r="N294" s="255">
        <f>(N187+N188+N202+N203)*'Data - P&amp;L'!$C$5*'Data - P&amp;L'!$C$55</f>
        <v>0</v>
      </c>
      <c r="O294" s="255">
        <f>(O187+O188+O202+O203)*'Data - P&amp;L'!$C$5*'Data - P&amp;L'!$C$55</f>
        <v>0</v>
      </c>
      <c r="P294" s="255">
        <f>(P187+P188+P202+P203)*'Data - P&amp;L'!$C$5*'Data - P&amp;L'!$C$55</f>
        <v>0</v>
      </c>
      <c r="Q294" s="255">
        <f>(Q187+Q188+Q202+Q203)*'Data - P&amp;L'!$C$5*'Data - P&amp;L'!$C$55</f>
        <v>0</v>
      </c>
      <c r="R294" s="255">
        <f>(R187+R188+R202+R203)*'Data - P&amp;L'!$C$5*'Data - P&amp;L'!$C$55</f>
        <v>0</v>
      </c>
      <c r="S294" s="255">
        <f>(S187+S188+S202+S203)*'Data - P&amp;L'!$C$5*'Data - P&amp;L'!$C$55</f>
        <v>0</v>
      </c>
      <c r="T294" s="255">
        <f>(T187+T188+T202+T203)*'Data - P&amp;L'!$C$5*'Data - P&amp;L'!$C$55</f>
        <v>0</v>
      </c>
      <c r="U294" s="255">
        <f>(U187+U188+U202+U203)*'Data - P&amp;L'!$C$5*'Data - P&amp;L'!$C$55</f>
        <v>0</v>
      </c>
      <c r="V294" s="255">
        <f>(V187+V188+V202+V203)*'Data - P&amp;L'!$C$5*'Data - P&amp;L'!$C$55</f>
        <v>0</v>
      </c>
      <c r="W294" s="255">
        <f>(W187+W188+W202+W203)*'Data - P&amp;L'!$C$5*'Data - P&amp;L'!$C$55</f>
        <v>0</v>
      </c>
      <c r="X294" s="255">
        <f>(X187+X188+X202+X203)*'Data - P&amp;L'!$C$5*'Data - P&amp;L'!$C$55</f>
        <v>0</v>
      </c>
      <c r="Y294" s="255">
        <f>(Y187+Y188+Y202+Y203)*'Data - P&amp;L'!$C$5*'Data - P&amp;L'!$C$55</f>
        <v>0</v>
      </c>
      <c r="Z294" s="255">
        <f>(Z187+Z188+Z202+Z203)*'Data - P&amp;L'!$C$5*'Data - P&amp;L'!$C$55</f>
        <v>0</v>
      </c>
      <c r="AA294" s="255">
        <f>(AA187+AA188+AA202+AA203)*'Data - P&amp;L'!$C$5*'Data - P&amp;L'!$C$55</f>
        <v>0</v>
      </c>
      <c r="AB294" s="255">
        <f>(AB187+AB188+AB202+AB203)*'Data - P&amp;L'!$C$5*'Data - P&amp;L'!$C$55</f>
        <v>0</v>
      </c>
      <c r="AC294" s="255">
        <f>(AC187+AC188+AC202+AC203)*'Data - P&amp;L'!$C$5*'Data - P&amp;L'!$C$55</f>
        <v>0</v>
      </c>
      <c r="AD294" s="255">
        <f>(AD187+AD188+AD202+AD203)*'Data - P&amp;L'!$C$5*'Data - P&amp;L'!$C$55</f>
        <v>0</v>
      </c>
      <c r="AE294" s="255">
        <f>(AE187+AE188+AE202+AE203)*'Data - P&amp;L'!$C$5*'Data - P&amp;L'!$C$55</f>
        <v>0</v>
      </c>
      <c r="AF294" s="255">
        <f>(AF187+AF188+AF202+AF203)*'Data - P&amp;L'!$C$5*'Data - P&amp;L'!$C$55</f>
        <v>0</v>
      </c>
      <c r="AG294" s="445">
        <f t="shared" si="75"/>
        <v>0</v>
      </c>
    </row>
    <row r="295" outlineLevel="1">
      <c r="A295" s="151" t="s">
        <v>426</v>
      </c>
      <c r="B295" s="255">
        <f>(B103+B104+B213+B214)*'Data - P&amp;L'!$C$10*'Data - P&amp;L'!$C$55</f>
        <v>0</v>
      </c>
      <c r="C295" s="255">
        <f>(C189+C190+C204+C205)*'Data - P&amp;L'!$C$10*'Data - P&amp;L'!$C$55</f>
        <v>0</v>
      </c>
      <c r="D295" s="255">
        <f>(D189+D190+D204+D205)*'Data - P&amp;L'!$C$10*'Data - P&amp;L'!$C$55</f>
        <v>0</v>
      </c>
      <c r="E295" s="255">
        <f>(E189+E190+E204+E205)*'Data - P&amp;L'!$C$10*'Data - P&amp;L'!$C$55</f>
        <v>0</v>
      </c>
      <c r="F295" s="255">
        <f>(F189+F190+F204+F205)*'Data - P&amp;L'!$C$10*'Data - P&amp;L'!$C$55</f>
        <v>0</v>
      </c>
      <c r="G295" s="255">
        <f>(G189+G190+G204+G205)*'Data - P&amp;L'!$C$10*'Data - P&amp;L'!$C$55</f>
        <v>0</v>
      </c>
      <c r="H295" s="255">
        <f>(H189+H190+H204+H205)*'Data - P&amp;L'!$C$10*'Data - P&amp;L'!$C$55</f>
        <v>0</v>
      </c>
      <c r="I295" s="255">
        <f>(I189+I190+I204+I205)*'Data - P&amp;L'!$C$10*'Data - P&amp;L'!$C$55</f>
        <v>0</v>
      </c>
      <c r="J295" s="255">
        <f>(J189+J190+J204+J205)*'Data - P&amp;L'!$C$10*'Data - P&amp;L'!$C$55</f>
        <v>0</v>
      </c>
      <c r="K295" s="255">
        <f>(K189+K190+K204+K205)*'Data - P&amp;L'!$C$10*'Data - P&amp;L'!$C$55</f>
        <v>0</v>
      </c>
      <c r="L295" s="255">
        <f>(L189+L190+L204+L205)*'Data - P&amp;L'!$C$10*'Data - P&amp;L'!$C$55</f>
        <v>0</v>
      </c>
      <c r="M295" s="255">
        <f>(M189+M190+M204+M205)*'Data - P&amp;L'!$C$10*'Data - P&amp;L'!$C$55</f>
        <v>0</v>
      </c>
      <c r="N295" s="255">
        <f>(N189+N190+N204+N205)*'Data - P&amp;L'!$C$10*'Data - P&amp;L'!$C$55</f>
        <v>0</v>
      </c>
      <c r="O295" s="255">
        <f>(O189+O190+O204+O205)*'Data - P&amp;L'!$C$10*'Data - P&amp;L'!$C$55</f>
        <v>0</v>
      </c>
      <c r="P295" s="255">
        <f>(P189+P190+P204+P205)*'Data - P&amp;L'!$C$10*'Data - P&amp;L'!$C$55</f>
        <v>0</v>
      </c>
      <c r="Q295" s="255">
        <f>(Q189+Q190+Q204+Q205)*'Data - P&amp;L'!$C$10*'Data - P&amp;L'!$C$55</f>
        <v>0</v>
      </c>
      <c r="R295" s="255">
        <f>(R189+R190+R204+R205)*'Data - P&amp;L'!$C$10*'Data - P&amp;L'!$C$55</f>
        <v>0</v>
      </c>
      <c r="S295" s="255">
        <f>(S189+S190+S204+S205)*'Data - P&amp;L'!$C$10*'Data - P&amp;L'!$C$55</f>
        <v>0</v>
      </c>
      <c r="T295" s="255">
        <f>(T189+T190+T204+T205)*'Data - P&amp;L'!$C$10*'Data - P&amp;L'!$C$55</f>
        <v>0</v>
      </c>
      <c r="U295" s="255">
        <f>(U189+U190+U204+U205)*'Data - P&amp;L'!$C$10*'Data - P&amp;L'!$C$55</f>
        <v>0</v>
      </c>
      <c r="V295" s="255">
        <f>(V189+V190+V204+V205)*'Data - P&amp;L'!$C$10*'Data - P&amp;L'!$C$55</f>
        <v>0</v>
      </c>
      <c r="W295" s="255">
        <f>(W189+W190+W204+W205)*'Data - P&amp;L'!$C$10*'Data - P&amp;L'!$C$55</f>
        <v>0</v>
      </c>
      <c r="X295" s="255">
        <f>(X189+X190+X204+X205)*'Data - P&amp;L'!$C$10*'Data - P&amp;L'!$C$55</f>
        <v>0</v>
      </c>
      <c r="Y295" s="255">
        <f>(Y189+Y190+Y204+Y205)*'Data - P&amp;L'!$C$10*'Data - P&amp;L'!$C$55</f>
        <v>0</v>
      </c>
      <c r="Z295" s="255">
        <f>(Z189+Z190+Z204+Z205)*'Data - P&amp;L'!$C$10*'Data - P&amp;L'!$C$55</f>
        <v>0</v>
      </c>
      <c r="AA295" s="255">
        <f>(AA189+AA190+AA204+AA205)*'Data - P&amp;L'!$C$10*'Data - P&amp;L'!$C$55</f>
        <v>0</v>
      </c>
      <c r="AB295" s="255">
        <f>(AB189+AB190+AB204+AB205)*'Data - P&amp;L'!$C$10*'Data - P&amp;L'!$C$55</f>
        <v>0</v>
      </c>
      <c r="AC295" s="255">
        <f>(AC189+AC190+AC204+AC205)*'Data - P&amp;L'!$C$10*'Data - P&amp;L'!$C$55</f>
        <v>0</v>
      </c>
      <c r="AD295" s="255">
        <f>(AD189+AD190+AD204+AD205)*'Data - P&amp;L'!$C$10*'Data - P&amp;L'!$C$55</f>
        <v>0</v>
      </c>
      <c r="AE295" s="255">
        <f>(AE189+AE190+AE204+AE205)*'Data - P&amp;L'!$C$10*'Data - P&amp;L'!$C$55</f>
        <v>0</v>
      </c>
      <c r="AF295" s="255">
        <f>(AF189+AF190+AF204+AF205)*'Data - P&amp;L'!$C$10*'Data - P&amp;L'!$C$55</f>
        <v>0</v>
      </c>
      <c r="AG295" s="445">
        <f t="shared" si="75"/>
        <v>0</v>
      </c>
    </row>
    <row r="296" outlineLevel="1">
      <c r="A296" s="151" t="s">
        <v>440</v>
      </c>
      <c r="B296" s="255">
        <f>((B108+B109+B218+B219)*'Data - P&amp;L'!$C$13)*'Data - P&amp;L'!$C$55</f>
        <v>0</v>
      </c>
      <c r="C296" s="255">
        <f>((C163+C164+C176+C177)*'Data - P&amp;L'!$C$13)*'Data - P&amp;L'!$C$55</f>
        <v>0</v>
      </c>
      <c r="D296" s="255">
        <f>((D163+D164+D176+D177)*'Data - P&amp;L'!$C$13)*'Data - P&amp;L'!$C$55</f>
        <v>0</v>
      </c>
      <c r="E296" s="255">
        <f>((E163+E164+E176+E177)*'Data - P&amp;L'!$C$13)*'Data - P&amp;L'!$C$55</f>
        <v>0</v>
      </c>
      <c r="F296" s="255">
        <f>((F163+F164+F176+F177)*'Data - P&amp;L'!$C$13)*'Data - P&amp;L'!$C$55</f>
        <v>0</v>
      </c>
      <c r="G296" s="255">
        <f>((G163+G164+G176+G177)*'Data - P&amp;L'!$C$13)*'Data - P&amp;L'!$C$55</f>
        <v>0</v>
      </c>
      <c r="H296" s="255">
        <f>((H163+H164+H176+H177)*'Data - P&amp;L'!$C$13)*'Data - P&amp;L'!$C$55</f>
        <v>0</v>
      </c>
      <c r="I296" s="255">
        <f>((I163+I164+I176+I177)*'Data - P&amp;L'!$C$13)*'Data - P&amp;L'!$C$55</f>
        <v>0</v>
      </c>
      <c r="J296" s="255">
        <f>((J163+J164+J176+J177)*'Data - P&amp;L'!$C$13)*'Data - P&amp;L'!$C$55</f>
        <v>0</v>
      </c>
      <c r="K296" s="255">
        <f>((K163+K164+K176+K177)*'Data - P&amp;L'!$C$13)*'Data - P&amp;L'!$C$55</f>
        <v>0</v>
      </c>
      <c r="L296" s="255">
        <f>((L163+L164+L176+L177)*'Data - P&amp;L'!$C$13)*'Data - P&amp;L'!$C$55</f>
        <v>0</v>
      </c>
      <c r="M296" s="255">
        <f>((M163+M164+M176+M177)*'Data - P&amp;L'!$C$13)*'Data - P&amp;L'!$C$55</f>
        <v>0</v>
      </c>
      <c r="N296" s="255">
        <f>((N163+N164+N176+N177)*'Data - P&amp;L'!$C$13)*'Data - P&amp;L'!$C$55</f>
        <v>0</v>
      </c>
      <c r="O296" s="255">
        <f>((O163+O164+O176+O177)*'Data - P&amp;L'!$C$13)*'Data - P&amp;L'!$C$55</f>
        <v>0</v>
      </c>
      <c r="P296" s="255">
        <f>((P163+P164+P176+P177)*'Data - P&amp;L'!$C$13)*'Data - P&amp;L'!$C$55</f>
        <v>0</v>
      </c>
      <c r="Q296" s="255">
        <f>((Q163+Q164+Q176+Q177)*'Data - P&amp;L'!$C$13)*'Data - P&amp;L'!$C$55</f>
        <v>0</v>
      </c>
      <c r="R296" s="255">
        <f>((R163+R164+R176+R177)*'Data - P&amp;L'!$C$13)*'Data - P&amp;L'!$C$55</f>
        <v>0</v>
      </c>
      <c r="S296" s="255">
        <f>((S163+S164+S176+S177)*'Data - P&amp;L'!$C$13)*'Data - P&amp;L'!$C$55</f>
        <v>0</v>
      </c>
      <c r="T296" s="255">
        <f>((T163+T164+T176+T177)*'Data - P&amp;L'!$C$13)*'Data - P&amp;L'!$C$55</f>
        <v>0</v>
      </c>
      <c r="U296" s="255">
        <f>((U163+U164+U176+U177)*'Data - P&amp;L'!$C$13)*'Data - P&amp;L'!$C$55</f>
        <v>0</v>
      </c>
      <c r="V296" s="255">
        <f>((V163+V164+V176+V177)*'Data - P&amp;L'!$C$13)*'Data - P&amp;L'!$C$55</f>
        <v>0</v>
      </c>
      <c r="W296" s="255">
        <f>((W163+W164+W176+W177)*'Data - P&amp;L'!$C$13)*'Data - P&amp;L'!$C$55</f>
        <v>0</v>
      </c>
      <c r="X296" s="255">
        <f>((X163+X164+X176+X177)*'Data - P&amp;L'!$C$13)*'Data - P&amp;L'!$C$55</f>
        <v>0</v>
      </c>
      <c r="Y296" s="255">
        <f>((Y163+Y164+Y176+Y177)*'Data - P&amp;L'!$C$13)*'Data - P&amp;L'!$C$55</f>
        <v>0</v>
      </c>
      <c r="Z296" s="255">
        <f>((Z163+Z164+Z176+Z177)*'Data - P&amp;L'!$C$13)*'Data - P&amp;L'!$C$55</f>
        <v>0</v>
      </c>
      <c r="AA296" s="255">
        <f>((AA163+AA164+AA176+AA177)*'Data - P&amp;L'!$C$13)*'Data - P&amp;L'!$C$55</f>
        <v>0</v>
      </c>
      <c r="AB296" s="255">
        <f>((AB163+AB164+AB176+AB177)*'Data - P&amp;L'!$C$13)*'Data - P&amp;L'!$C$55</f>
        <v>0</v>
      </c>
      <c r="AC296" s="255">
        <f>((AC163+AC164+AC176+AC177)*'Data - P&amp;L'!$C$13)*'Data - P&amp;L'!$C$55</f>
        <v>0</v>
      </c>
      <c r="AD296" s="255">
        <f>((AD163+AD164+AD176+AD177)*'Data - P&amp;L'!$C$13)*'Data - P&amp;L'!$C$55</f>
        <v>0</v>
      </c>
      <c r="AE296" s="255">
        <f>((AE163+AE164+AE176+AE177)*'Data - P&amp;L'!$C$13)*'Data - P&amp;L'!$C$55</f>
        <v>0</v>
      </c>
      <c r="AF296" s="255">
        <f>((AF163+AF164+AF176+AF177)*'Data - P&amp;L'!$C$13)*'Data - P&amp;L'!$C$55</f>
        <v>0</v>
      </c>
      <c r="AG296" s="445">
        <f t="shared" si="75"/>
        <v>0</v>
      </c>
    </row>
    <row r="297" outlineLevel="1">
      <c r="A297" s="151" t="s">
        <v>441</v>
      </c>
      <c r="B297" s="255">
        <f>((B110+B220)*'Data - P&amp;L'!$C$14)*'Data - P&amp;L'!$C$55</f>
        <v>0</v>
      </c>
      <c r="C297" s="255">
        <f>((C110+C220)*'Data - P&amp;L'!$C$14)*'Data - P&amp;L'!$C$55</f>
        <v>0</v>
      </c>
      <c r="D297" s="255">
        <f>((D110+D220)*'Data - P&amp;L'!$C$14)*'Data - P&amp;L'!$C$55</f>
        <v>0</v>
      </c>
      <c r="E297" s="255">
        <f>((E110+E220)*'Data - P&amp;L'!$C$14)*'Data - P&amp;L'!$C$55</f>
        <v>0</v>
      </c>
      <c r="F297" s="255">
        <f>((F110+F220)*'Data - P&amp;L'!$C$14)*'Data - P&amp;L'!$C$55</f>
        <v>0</v>
      </c>
      <c r="G297" s="255">
        <f>((G110+G220)*'Data - P&amp;L'!$C$14)*'Data - P&amp;L'!$C$55</f>
        <v>0</v>
      </c>
      <c r="H297" s="255">
        <f>((H110+H220)*'Data - P&amp;L'!$C$14)*'Data - P&amp;L'!$C$55</f>
        <v>0</v>
      </c>
      <c r="I297" s="255">
        <f>((I110+I220)*'Data - P&amp;L'!$C$14)*'Data - P&amp;L'!$C$55</f>
        <v>0</v>
      </c>
      <c r="J297" s="255">
        <f>((J110+J220)*'Data - P&amp;L'!$C$14)*'Data - P&amp;L'!$C$55</f>
        <v>0</v>
      </c>
      <c r="K297" s="255">
        <f>((K110+K220)*'Data - P&amp;L'!$C$14)*'Data - P&amp;L'!$C$55</f>
        <v>0</v>
      </c>
      <c r="L297" s="255">
        <f>((L110+L220)*'Data - P&amp;L'!$C$14)*'Data - P&amp;L'!$C$55</f>
        <v>0</v>
      </c>
      <c r="M297" s="255">
        <f>((M110+M220)*'Data - P&amp;L'!$C$14)*'Data - P&amp;L'!$C$55</f>
        <v>0</v>
      </c>
      <c r="N297" s="255">
        <f>((N110+N220)*'Data - P&amp;L'!$C$14)*'Data - P&amp;L'!$C$55</f>
        <v>0</v>
      </c>
      <c r="O297" s="255">
        <f>((O110+O220)*'Data - P&amp;L'!$C$14)*'Data - P&amp;L'!$C$55</f>
        <v>0</v>
      </c>
      <c r="P297" s="255">
        <f>((P110+P220)*'Data - P&amp;L'!$C$14)*'Data - P&amp;L'!$C$55</f>
        <v>0</v>
      </c>
      <c r="Q297" s="255">
        <f>((Q110+Q220)*'Data - P&amp;L'!$C$14)*'Data - P&amp;L'!$C$55</f>
        <v>0</v>
      </c>
      <c r="R297" s="255">
        <f>((R110+R220)*'Data - P&amp;L'!$C$14)*'Data - P&amp;L'!$C$55</f>
        <v>0</v>
      </c>
      <c r="S297" s="255">
        <f>((S110+S220)*'Data - P&amp;L'!$C$14)*'Data - P&amp;L'!$C$55</f>
        <v>0</v>
      </c>
      <c r="T297" s="255">
        <f>((T110+T220)*'Data - P&amp;L'!$C$14)*'Data - P&amp;L'!$C$55</f>
        <v>0</v>
      </c>
      <c r="U297" s="255">
        <f>((U110+U220)*'Data - P&amp;L'!$C$14)*'Data - P&amp;L'!$C$55</f>
        <v>0</v>
      </c>
      <c r="V297" s="255">
        <f>((V110+V220)*'Data - P&amp;L'!$C$14)*'Data - P&amp;L'!$C$55</f>
        <v>0</v>
      </c>
      <c r="W297" s="255">
        <f>((W110+W220)*'Data - P&amp;L'!$C$14)*'Data - P&amp;L'!$C$55</f>
        <v>0</v>
      </c>
      <c r="X297" s="255">
        <f>((X110+X220)*'Data - P&amp;L'!$C$14)*'Data - P&amp;L'!$C$55</f>
        <v>0</v>
      </c>
      <c r="Y297" s="255">
        <f>((Y110+Y220)*'Data - P&amp;L'!$C$14)*'Data - P&amp;L'!$C$55</f>
        <v>0</v>
      </c>
      <c r="Z297" s="255">
        <f>((Z110+Z220)*'Data - P&amp;L'!$C$14)*'Data - P&amp;L'!$C$55</f>
        <v>0</v>
      </c>
      <c r="AA297" s="255">
        <f>((AA110+AA220)*'Data - P&amp;L'!$C$14)*'Data - P&amp;L'!$C$55</f>
        <v>0</v>
      </c>
      <c r="AB297" s="255">
        <f>((AB110+AB220)*'Data - P&amp;L'!$C$14)*'Data - P&amp;L'!$C$55</f>
        <v>0</v>
      </c>
      <c r="AC297" s="255">
        <f>((AC110+AC220)*'Data - P&amp;L'!$C$14)*'Data - P&amp;L'!$C$55</f>
        <v>0</v>
      </c>
      <c r="AD297" s="255">
        <f>((AD110+AD220)*'Data - P&amp;L'!$C$14)*'Data - P&amp;L'!$C$55</f>
        <v>0</v>
      </c>
      <c r="AE297" s="255">
        <f>((AE110+AE220)*'Data - P&amp;L'!$C$14)*'Data - P&amp;L'!$C$55</f>
        <v>0</v>
      </c>
      <c r="AF297" s="255">
        <f>((AF110+AF220)*'Data - P&amp;L'!$C$14)*'Data - P&amp;L'!$C$55</f>
        <v>0</v>
      </c>
      <c r="AG297" s="445">
        <f t="shared" si="75"/>
        <v>0</v>
      </c>
    </row>
    <row r="298" outlineLevel="1">
      <c r="A298" s="271" t="s">
        <v>427</v>
      </c>
      <c r="B298" s="255">
        <f>(((B94+B204)*'Data - P&amp;L'!$C$38)+((B95+B205)*'Data - P&amp;L'!$C$38))*'Data - P&amp;L'!$C$55</f>
        <v>0</v>
      </c>
      <c r="C298" s="255">
        <f>(((C94+C204)*'Data - P&amp;L'!$C$38)+((C95+C205)*'Data - P&amp;L'!$C$39))*'Data - P&amp;L'!$C$55</f>
        <v>0</v>
      </c>
      <c r="D298" s="255">
        <f>(((D94+D204)*'Data - P&amp;L'!$C$38)+((D95+D205)*'Data - P&amp;L'!$C$39))*'Data - P&amp;L'!$C$55</f>
        <v>0</v>
      </c>
      <c r="E298" s="255">
        <f>(((E94+E204)*'Data - P&amp;L'!$C$38)+((E95+E205)*'Data - P&amp;L'!$C$39))*'Data - P&amp;L'!$C$55</f>
        <v>1.194</v>
      </c>
      <c r="F298" s="255">
        <f>(((F94+F204)*'Data - P&amp;L'!$C$38)+((F95+F205)*'Data - P&amp;L'!$C$39))*'Data - P&amp;L'!$C$55</f>
        <v>0</v>
      </c>
      <c r="G298" s="255">
        <f>(((G94+G204)*'Data - P&amp;L'!$C$38)+((G95+G205)*'Data - P&amp;L'!$C$39))*'Data - P&amp;L'!$C$55</f>
        <v>0</v>
      </c>
      <c r="H298" s="255">
        <f>(((H94+H204)*'Data - P&amp;L'!$C$38)+((H95+H205)*'Data - P&amp;L'!$C$39))*'Data - P&amp;L'!$C$55</f>
        <v>0</v>
      </c>
      <c r="I298" s="255">
        <f>(((I94+I204)*'Data - P&amp;L'!$C$38)+((I95+I205)*'Data - P&amp;L'!$C$39))*'Data - P&amp;L'!$C$55</f>
        <v>0</v>
      </c>
      <c r="J298" s="255">
        <f>(((J94+J204)*'Data - P&amp;L'!$C$38)+((J95+J205)*'Data - P&amp;L'!$C$39))*'Data - P&amp;L'!$C$55</f>
        <v>0</v>
      </c>
      <c r="K298" s="255">
        <f>(((K94+K204)*'Data - P&amp;L'!$C$38)+((K95+K205)*'Data - P&amp;L'!$C$39))*'Data - P&amp;L'!$C$55</f>
        <v>0</v>
      </c>
      <c r="L298" s="255">
        <f>(((L94+L204)*'Data - P&amp;L'!$C$38)+((L95+L205)*'Data - P&amp;L'!$C$39))*'Data - P&amp;L'!$C$55</f>
        <v>0</v>
      </c>
      <c r="M298" s="255">
        <f>(((M94+M204)*'Data - P&amp;L'!$C$38)+((M95+M205)*'Data - P&amp;L'!$C$39))*'Data - P&amp;L'!$C$55</f>
        <v>0</v>
      </c>
      <c r="N298" s="255">
        <f>(((N94+N204)*'Data - P&amp;L'!$C$38)+((N95+N205)*'Data - P&amp;L'!$C$39))*'Data - P&amp;L'!$C$55</f>
        <v>0</v>
      </c>
      <c r="O298" s="255">
        <f>(((O94+O204)*'Data - P&amp;L'!$C$38)+((O95+O205)*'Data - P&amp;L'!$C$39))*'Data - P&amp;L'!$C$55</f>
        <v>0</v>
      </c>
      <c r="P298" s="255">
        <f>(((P94+P204)*'Data - P&amp;L'!$C$38)+((P95+P205)*'Data - P&amp;L'!$C$39))*'Data - P&amp;L'!$C$55</f>
        <v>0</v>
      </c>
      <c r="Q298" s="255">
        <f>(((Q94+Q204)*'Data - P&amp;L'!$C$38)+((Q95+Q205)*'Data - P&amp;L'!$C$39))*'Data - P&amp;L'!$C$55</f>
        <v>0</v>
      </c>
      <c r="R298" s="255">
        <f>(((R94+R204)*'Data - P&amp;L'!$C$38)+((R95+R205)*'Data - P&amp;L'!$C$39))*'Data - P&amp;L'!$C$55</f>
        <v>0</v>
      </c>
      <c r="S298" s="255">
        <f>(((S94+S204)*'Data - P&amp;L'!$C$38)+((S95+S205)*'Data - P&amp;L'!$C$39))*'Data - P&amp;L'!$C$55</f>
        <v>0</v>
      </c>
      <c r="T298" s="255">
        <f>(((T94+T204)*'Data - P&amp;L'!$C$38)+((T95+T205)*'Data - P&amp;L'!$C$39))*'Data - P&amp;L'!$C$55</f>
        <v>0</v>
      </c>
      <c r="U298" s="255">
        <f>(((U94+U204)*'Data - P&amp;L'!$C$38)+((U95+U205)*'Data - P&amp;L'!$C$39))*'Data - P&amp;L'!$C$55</f>
        <v>0</v>
      </c>
      <c r="V298" s="255">
        <f>(((V94+V204)*'Data - P&amp;L'!$C$38)+((V95+V205)*'Data - P&amp;L'!$C$39))*'Data - P&amp;L'!$C$55</f>
        <v>0</v>
      </c>
      <c r="W298" s="255">
        <f>(((W94+W204)*'Data - P&amp;L'!$C$38)+((W95+W205)*'Data - P&amp;L'!$C$39))*'Data - P&amp;L'!$C$55</f>
        <v>0</v>
      </c>
      <c r="X298" s="255">
        <f>(((X94+X204)*'Data - P&amp;L'!$C$38)+((X95+X205)*'Data - P&amp;L'!$C$39))*'Data - P&amp;L'!$C$55</f>
        <v>0</v>
      </c>
      <c r="Y298" s="255">
        <f>(((Y94+Y204)*'Data - P&amp;L'!$C$38)+((Y95+Y205)*'Data - P&amp;L'!$C$39))*'Data - P&amp;L'!$C$55</f>
        <v>0</v>
      </c>
      <c r="Z298" s="255">
        <f>(((Z94+Z204)*'Data - P&amp;L'!$C$38)+((Z95+Z205)*'Data - P&amp;L'!$C$39))*'Data - P&amp;L'!$C$55</f>
        <v>0</v>
      </c>
      <c r="AA298" s="255">
        <f>(((AA94+AA204)*'Data - P&amp;L'!$C$38)+((AA95+AA205)*'Data - P&amp;L'!$C$39))*'Data - P&amp;L'!$C$55</f>
        <v>0</v>
      </c>
      <c r="AB298" s="255">
        <f>(((AB94+AB204)*'Data - P&amp;L'!$C$38)+((AB95+AB205)*'Data - P&amp;L'!$C$39))*'Data - P&amp;L'!$C$55</f>
        <v>0</v>
      </c>
      <c r="AC298" s="255">
        <f>(((AC94+AC204)*'Data - P&amp;L'!$C$38)+((AC95+AC205)*'Data - P&amp;L'!$C$39))*'Data - P&amp;L'!$C$55</f>
        <v>0</v>
      </c>
      <c r="AD298" s="255">
        <f>(((AD94+AD204)*'Data - P&amp;L'!$C$38)+((AD95+AD205)*'Data - P&amp;L'!$C$39))*'Data - P&amp;L'!$C$55</f>
        <v>0</v>
      </c>
      <c r="AE298" s="255">
        <f>(((AE94+AE204)*'Data - P&amp;L'!$C$38)+((AE95+AE205)*'Data - P&amp;L'!$C$39))*'Data - P&amp;L'!$C$55</f>
        <v>0</v>
      </c>
      <c r="AF298" s="255">
        <f>(((AF94+AF204)*'Data - P&amp;L'!$C$38)+((AF95+AF205)*'Data - P&amp;L'!$C$39))*'Data - P&amp;L'!$C$55</f>
        <v>0</v>
      </c>
      <c r="AG298" s="445">
        <f t="shared" si="75"/>
        <v>1.194</v>
      </c>
    </row>
    <row r="299" outlineLevel="1">
      <c r="A299" s="271" t="s">
        <v>429</v>
      </c>
      <c r="B299" s="255">
        <f>((B191*'Data - P&amp;L'!$D$38)+(B206*'Data - P&amp;L'!$D$39))*'Data - P&amp;L'!$C$55</f>
        <v>0</v>
      </c>
      <c r="C299" s="255">
        <f>((C191*'Data - P&amp;L'!$D$38)+(C206*'Data - P&amp;L'!$D$39))*'Data - P&amp;L'!$C$55</f>
        <v>0</v>
      </c>
      <c r="D299" s="255">
        <f>((D191*'Data - P&amp;L'!$D$38)+(D206*'Data - P&amp;L'!$D$39))*'Data - P&amp;L'!$C$55</f>
        <v>0</v>
      </c>
      <c r="E299" s="255">
        <f>((E191*'Data - P&amp;L'!$D$38)+(E206*'Data - P&amp;L'!$D$39))*'Data - P&amp;L'!$C$55</f>
        <v>0</v>
      </c>
      <c r="F299" s="255">
        <f>((F191*'Data - P&amp;L'!$D$38)+(F206*'Data - P&amp;L'!$D$39))*'Data - P&amp;L'!$C$55</f>
        <v>0</v>
      </c>
      <c r="G299" s="255">
        <f>((G191*'Data - P&amp;L'!$D$38)+(G206*'Data - P&amp;L'!$D$39))*'Data - P&amp;L'!$C$55</f>
        <v>0</v>
      </c>
      <c r="H299" s="255">
        <f>((H191*'Data - P&amp;L'!$D$38)+(H206*'Data - P&amp;L'!$D$39))*'Data - P&amp;L'!$C$55</f>
        <v>0</v>
      </c>
      <c r="I299" s="255">
        <f>((I191*'Data - P&amp;L'!$D$38)+(I206*'Data - P&amp;L'!$D$39))*'Data - P&amp;L'!$C$55</f>
        <v>0</v>
      </c>
      <c r="J299" s="255">
        <f>((J191*'Data - P&amp;L'!$D$38)+(J206*'Data - P&amp;L'!$D$39))*'Data - P&amp;L'!$C$55</f>
        <v>0</v>
      </c>
      <c r="K299" s="255">
        <f>((K191*'Data - P&amp;L'!$D$38)+(K206*'Data - P&amp;L'!$D$39))*'Data - P&amp;L'!$C$55</f>
        <v>0</v>
      </c>
      <c r="L299" s="255">
        <f>((L191*'Data - P&amp;L'!$D$38)+(L206*'Data - P&amp;L'!$D$39))*'Data - P&amp;L'!$C$55</f>
        <v>0</v>
      </c>
      <c r="M299" s="255">
        <f>((M191*'Data - P&amp;L'!$D$38)+(M206*'Data - P&amp;L'!$D$39))*'Data - P&amp;L'!$C$55</f>
        <v>0</v>
      </c>
      <c r="N299" s="255">
        <f>((N191*'Data - P&amp;L'!$D$38)+(N206*'Data - P&amp;L'!$D$39))*'Data - P&amp;L'!$C$55</f>
        <v>0</v>
      </c>
      <c r="O299" s="255">
        <f>((O191*'Data - P&amp;L'!$D$38)+(O206*'Data - P&amp;L'!$D$39))*'Data - P&amp;L'!$C$55</f>
        <v>0</v>
      </c>
      <c r="P299" s="255">
        <f>((P191*'Data - P&amp;L'!$D$38)+(P206*'Data - P&amp;L'!$D$39))*'Data - P&amp;L'!$C$55</f>
        <v>0</v>
      </c>
      <c r="Q299" s="255">
        <f>((Q191*'Data - P&amp;L'!$D$38)+(Q206*'Data - P&amp;L'!$D$39))*'Data - P&amp;L'!$C$55</f>
        <v>0</v>
      </c>
      <c r="R299" s="255">
        <f>((R191*'Data - P&amp;L'!$D$38)+(R206*'Data - P&amp;L'!$D$39))*'Data - P&amp;L'!$C$55</f>
        <v>0</v>
      </c>
      <c r="S299" s="255">
        <f>((S191*'Data - P&amp;L'!$D$38)+(S206*'Data - P&amp;L'!$D$39))*'Data - P&amp;L'!$C$55</f>
        <v>0</v>
      </c>
      <c r="T299" s="255">
        <f>((T191*'Data - P&amp;L'!$D$38)+(T206*'Data - P&amp;L'!$D$39))*'Data - P&amp;L'!$C$55</f>
        <v>0</v>
      </c>
      <c r="U299" s="255">
        <f>((U191*'Data - P&amp;L'!$D$38)+(U206*'Data - P&amp;L'!$D$39))*'Data - P&amp;L'!$C$55</f>
        <v>0</v>
      </c>
      <c r="V299" s="255">
        <f>((V191*'Data - P&amp;L'!$D$38)+(V206*'Data - P&amp;L'!$D$39))*'Data - P&amp;L'!$C$55</f>
        <v>0</v>
      </c>
      <c r="W299" s="255">
        <f>((W191*'Data - P&amp;L'!$D$38)+(W206*'Data - P&amp;L'!$D$39))*'Data - P&amp;L'!$C$55</f>
        <v>0</v>
      </c>
      <c r="X299" s="255">
        <f>((X191*'Data - P&amp;L'!$D$38)+(X206*'Data - P&amp;L'!$D$39))*'Data - P&amp;L'!$C$55</f>
        <v>0</v>
      </c>
      <c r="Y299" s="255">
        <f>((Y191*'Data - P&amp;L'!$D$38)+(Y206*'Data - P&amp;L'!$D$39))*'Data - P&amp;L'!$C$55</f>
        <v>0</v>
      </c>
      <c r="Z299" s="255">
        <f>((Z191*'Data - P&amp;L'!$D$38)+(Z206*'Data - P&amp;L'!$D$39))*'Data - P&amp;L'!$C$55</f>
        <v>0</v>
      </c>
      <c r="AA299" s="255">
        <f>((AA191*'Data - P&amp;L'!$D$38)+(AA206*'Data - P&amp;L'!$D$39))*'Data - P&amp;L'!$C$55</f>
        <v>0</v>
      </c>
      <c r="AB299" s="255">
        <f>((AB191*'Data - P&amp;L'!$D$38)+(AB206*'Data - P&amp;L'!$D$39))*'Data - P&amp;L'!$C$55</f>
        <v>0</v>
      </c>
      <c r="AC299" s="255">
        <f>((AC191*'Data - P&amp;L'!$D$38)+(AC206*'Data - P&amp;L'!$D$39))*'Data - P&amp;L'!$C$55</f>
        <v>0</v>
      </c>
      <c r="AD299" s="255">
        <f>((AD191*'Data - P&amp;L'!$D$38)+(AD206*'Data - P&amp;L'!$D$39))*'Data - P&amp;L'!$C$55</f>
        <v>0</v>
      </c>
      <c r="AE299" s="255">
        <f>((AE191*'Data - P&amp;L'!$D$38)+(AE206*'Data - P&amp;L'!$D$39))*'Data - P&amp;L'!$C$55</f>
        <v>0</v>
      </c>
      <c r="AF299" s="255">
        <f>((AF191*'Data - P&amp;L'!$D$38)+(AF206*'Data - P&amp;L'!$D$39))*'Data - P&amp;L'!$C$55</f>
        <v>0</v>
      </c>
      <c r="AG299" s="445">
        <f t="shared" si="75"/>
        <v>0</v>
      </c>
    </row>
    <row r="300" outlineLevel="1">
      <c r="A300" s="151" t="s">
        <v>442</v>
      </c>
      <c r="B300" s="450"/>
      <c r="C300" s="450"/>
      <c r="D300" s="450"/>
      <c r="E300" s="450"/>
      <c r="F300" s="450"/>
      <c r="G300" s="450"/>
      <c r="H300" s="450"/>
      <c r="I300" s="450"/>
      <c r="J300" s="450"/>
      <c r="K300" s="450"/>
      <c r="L300" s="450"/>
      <c r="M300" s="450"/>
      <c r="N300" s="450"/>
      <c r="O300" s="450"/>
      <c r="P300" s="450"/>
      <c r="Q300" s="450"/>
      <c r="R300" s="450"/>
      <c r="S300" s="450"/>
      <c r="T300" s="450"/>
      <c r="U300" s="450"/>
      <c r="V300" s="450"/>
      <c r="W300" s="450"/>
      <c r="X300" s="450"/>
      <c r="Y300" s="450"/>
      <c r="Z300" s="450"/>
      <c r="AA300" s="450"/>
      <c r="AB300" s="450"/>
      <c r="AC300" s="450"/>
      <c r="AD300" s="450"/>
      <c r="AE300" s="450"/>
      <c r="AF300" s="450"/>
      <c r="AG300" s="445"/>
    </row>
    <row r="301" outlineLevel="1">
      <c r="A301" s="151" t="s">
        <v>443</v>
      </c>
      <c r="B301" s="450"/>
      <c r="C301" s="450"/>
      <c r="D301" s="450"/>
      <c r="E301" s="450"/>
      <c r="F301" s="450"/>
      <c r="G301" s="450"/>
      <c r="H301" s="450"/>
      <c r="I301" s="450"/>
      <c r="J301" s="450"/>
      <c r="K301" s="450"/>
      <c r="L301" s="450"/>
      <c r="M301" s="450"/>
      <c r="N301" s="450"/>
      <c r="O301" s="450"/>
      <c r="P301" s="450"/>
      <c r="Q301" s="450"/>
      <c r="R301" s="450"/>
      <c r="S301" s="450"/>
      <c r="T301" s="450"/>
      <c r="U301" s="450"/>
      <c r="V301" s="450"/>
      <c r="W301" s="450"/>
      <c r="X301" s="450"/>
      <c r="Y301" s="450"/>
      <c r="Z301" s="450"/>
      <c r="AA301" s="450"/>
      <c r="AB301" s="450"/>
      <c r="AC301" s="450"/>
      <c r="AD301" s="450"/>
      <c r="AE301" s="450"/>
      <c r="AF301" s="450"/>
      <c r="AG301" s="445"/>
    </row>
    <row r="302" outlineLevel="1">
      <c r="A302" s="151" t="s">
        <v>444</v>
      </c>
      <c r="B302" s="255">
        <f>(B208*'Data - P&amp;L'!$R$3)+('Data - P&amp;L'!$R$4*B209)</f>
        <v>0</v>
      </c>
      <c r="C302" s="255">
        <f>(C208*'Data - P&amp;L'!$R$3)+('Data - P&amp;L'!$R$4*C209)</f>
        <v>0</v>
      </c>
      <c r="D302" s="255">
        <f>(D208*'Data - P&amp;L'!$R$3)+('Data - P&amp;L'!$R$4*D209)</f>
        <v>0</v>
      </c>
      <c r="E302" s="255">
        <f>(E208*'Data - P&amp;L'!$R$3)+('Data - P&amp;L'!$R$4*E209)</f>
        <v>0</v>
      </c>
      <c r="F302" s="255">
        <f>(F208*'Data - P&amp;L'!$R$3)+('Data - P&amp;L'!$R$4*F209)</f>
        <v>0</v>
      </c>
      <c r="G302" s="255">
        <f>(G208*'Data - P&amp;L'!$R$3)+('Data - P&amp;L'!$R$4*G209)</f>
        <v>0</v>
      </c>
      <c r="H302" s="255">
        <f>(H208*'Data - P&amp;L'!$R$3)+('Data - P&amp;L'!$R$4*H209)</f>
        <v>0</v>
      </c>
      <c r="I302" s="255">
        <f>(I208*'Data - P&amp;L'!$R$3)+('Data - P&amp;L'!$R$4*I209)</f>
        <v>0</v>
      </c>
      <c r="J302" s="255">
        <f>(J208*'Data - P&amp;L'!$R$3)+('Data - P&amp;L'!$R$4*J209)</f>
        <v>0</v>
      </c>
      <c r="K302" s="255">
        <f>(K208*'Data - P&amp;L'!$R$3)+('Data - P&amp;L'!$R$4*K209)</f>
        <v>0</v>
      </c>
      <c r="L302" s="255">
        <f>(L208*'Data - P&amp;L'!$R$3)+('Data - P&amp;L'!$R$4*L209)</f>
        <v>0</v>
      </c>
      <c r="M302" s="255">
        <f>(M208*'Data - P&amp;L'!$R$3)+('Data - P&amp;L'!$R$4*M209)</f>
        <v>0</v>
      </c>
      <c r="N302" s="255">
        <f>(N208*'Data - P&amp;L'!$R$3)+('Data - P&amp;L'!$R$4*N209)</f>
        <v>0</v>
      </c>
      <c r="O302" s="255">
        <f>(O208*'Data - P&amp;L'!$R$3)+('Data - P&amp;L'!$R$4*O209)</f>
        <v>0</v>
      </c>
      <c r="P302" s="255">
        <f>(P208*'Data - P&amp;L'!$R$3)+('Data - P&amp;L'!$R$4*P209)</f>
        <v>0</v>
      </c>
      <c r="Q302" s="255">
        <f>(Q208*'Data - P&amp;L'!$R$3)+('Data - P&amp;L'!$R$4*Q209)</f>
        <v>0</v>
      </c>
      <c r="R302" s="255">
        <f>(R208*'Data - P&amp;L'!$R$3)+('Data - P&amp;L'!$R$4*R209)</f>
        <v>0</v>
      </c>
      <c r="S302" s="255">
        <f>(S208*'Data - P&amp;L'!$R$3)+('Data - P&amp;L'!$R$4*S209)</f>
        <v>0</v>
      </c>
      <c r="T302" s="255">
        <f>(T208*'Data - P&amp;L'!$R$3)+('Data - P&amp;L'!$R$4*T209)</f>
        <v>0</v>
      </c>
      <c r="U302" s="255">
        <f>(U208*'Data - P&amp;L'!$R$3)+('Data - P&amp;L'!$R$4*U209)</f>
        <v>0</v>
      </c>
      <c r="V302" s="255">
        <f>(V208*'Data - P&amp;L'!$R$3)+('Data - P&amp;L'!$R$4*V209)</f>
        <v>0</v>
      </c>
      <c r="W302" s="255">
        <f>(W208*'Data - P&amp;L'!$R$3)+('Data - P&amp;L'!$R$4*W209)</f>
        <v>0</v>
      </c>
      <c r="X302" s="255">
        <f>(X208*'Data - P&amp;L'!$R$3)+('Data - P&amp;L'!$R$4*X209)</f>
        <v>0</v>
      </c>
      <c r="Y302" s="255">
        <f>(Y208*'Data - P&amp;L'!$R$3)+('Data - P&amp;L'!$R$4*Y209)</f>
        <v>0</v>
      </c>
      <c r="Z302" s="255">
        <f>(Z208*'Data - P&amp;L'!$R$3)+('Data - P&amp;L'!$R$4*Z209)</f>
        <v>0</v>
      </c>
      <c r="AA302" s="255">
        <f>(AA208*'Data - P&amp;L'!$R$3)+('Data - P&amp;L'!$R$4*AA209)</f>
        <v>0</v>
      </c>
      <c r="AB302" s="255">
        <f>(AB208*'Data - P&amp;L'!$R$3)+('Data - P&amp;L'!$R$4*AB209)</f>
        <v>0</v>
      </c>
      <c r="AC302" s="255">
        <f>(AC208*'Data - P&amp;L'!$R$3)+('Data - P&amp;L'!$R$4*AC209)</f>
        <v>0</v>
      </c>
      <c r="AD302" s="255">
        <f>(AD208*'Data - P&amp;L'!$R$3)+('Data - P&amp;L'!$R$4*AD209)</f>
        <v>0</v>
      </c>
      <c r="AE302" s="255">
        <f>(AE208*'Data - P&amp;L'!$R$3)+('Data - P&amp;L'!$R$4*AE209)</f>
        <v>0</v>
      </c>
      <c r="AF302" s="255">
        <f>(AF208*'Data - P&amp;L'!$R$3)+('Data - P&amp;L'!$R$4*AF209)</f>
        <v>0</v>
      </c>
      <c r="AG302" s="445">
        <f>SUM(B302:AD302)</f>
        <v>0</v>
      </c>
    </row>
    <row r="303" outlineLevel="1">
      <c r="A303" s="238" t="s">
        <v>445</v>
      </c>
      <c r="B303" s="270">
        <f t="shared" ref="B303:AF303" si="76">sum(B304:B316)</f>
        <v>0</v>
      </c>
      <c r="C303" s="270">
        <f t="shared" si="76"/>
        <v>0</v>
      </c>
      <c r="D303" s="270">
        <f t="shared" si="76"/>
        <v>0</v>
      </c>
      <c r="E303" s="270">
        <f t="shared" si="76"/>
        <v>128.884</v>
      </c>
      <c r="F303" s="270">
        <f t="shared" si="76"/>
        <v>0</v>
      </c>
      <c r="G303" s="270">
        <f t="shared" si="76"/>
        <v>0</v>
      </c>
      <c r="H303" s="270">
        <f t="shared" si="76"/>
        <v>0</v>
      </c>
      <c r="I303" s="270">
        <f t="shared" si="76"/>
        <v>0</v>
      </c>
      <c r="J303" s="270">
        <f t="shared" si="76"/>
        <v>0</v>
      </c>
      <c r="K303" s="270">
        <f t="shared" si="76"/>
        <v>0</v>
      </c>
      <c r="L303" s="270">
        <f t="shared" si="76"/>
        <v>0</v>
      </c>
      <c r="M303" s="270">
        <f t="shared" si="76"/>
        <v>0</v>
      </c>
      <c r="N303" s="270">
        <f t="shared" si="76"/>
        <v>0</v>
      </c>
      <c r="O303" s="270">
        <f t="shared" si="76"/>
        <v>0</v>
      </c>
      <c r="P303" s="270">
        <f t="shared" si="76"/>
        <v>0</v>
      </c>
      <c r="Q303" s="270">
        <f t="shared" si="76"/>
        <v>0</v>
      </c>
      <c r="R303" s="270">
        <f t="shared" si="76"/>
        <v>0</v>
      </c>
      <c r="S303" s="270">
        <f t="shared" si="76"/>
        <v>0</v>
      </c>
      <c r="T303" s="270">
        <f t="shared" si="76"/>
        <v>0</v>
      </c>
      <c r="U303" s="270">
        <f t="shared" si="76"/>
        <v>0</v>
      </c>
      <c r="V303" s="270">
        <f t="shared" si="76"/>
        <v>0</v>
      </c>
      <c r="W303" s="270">
        <f t="shared" si="76"/>
        <v>0</v>
      </c>
      <c r="X303" s="270">
        <f t="shared" si="76"/>
        <v>0</v>
      </c>
      <c r="Y303" s="270">
        <f t="shared" si="76"/>
        <v>0</v>
      </c>
      <c r="Z303" s="270">
        <f t="shared" si="76"/>
        <v>0</v>
      </c>
      <c r="AA303" s="270">
        <f t="shared" si="76"/>
        <v>0</v>
      </c>
      <c r="AB303" s="270">
        <f t="shared" si="76"/>
        <v>0</v>
      </c>
      <c r="AC303" s="270">
        <f t="shared" si="76"/>
        <v>0</v>
      </c>
      <c r="AD303" s="270">
        <f t="shared" si="76"/>
        <v>0</v>
      </c>
      <c r="AE303" s="270">
        <f t="shared" si="76"/>
        <v>0</v>
      </c>
      <c r="AF303" s="270">
        <f t="shared" si="76"/>
        <v>0</v>
      </c>
      <c r="AG303" s="451">
        <f>SUM(AG289:AG302)</f>
        <v>1.194</v>
      </c>
    </row>
    <row r="304" outlineLevel="1">
      <c r="A304" s="151" t="s">
        <v>446</v>
      </c>
      <c r="B304" s="255">
        <f>(B94+B204)*'Data - P&amp;L'!$C$3</f>
        <v>0</v>
      </c>
      <c r="C304" s="255">
        <f>(C94+C204)*'Data - P&amp;L'!$C$3</f>
        <v>0</v>
      </c>
      <c r="D304" s="255">
        <f>(D94+D204)*'Data - P&amp;L'!$C$3</f>
        <v>0</v>
      </c>
      <c r="E304" s="255">
        <f>(E94+E204)*'Data - P&amp;L'!$C$3</f>
        <v>0</v>
      </c>
      <c r="F304" s="255">
        <f>(F94+F204)*'Data - P&amp;L'!$C$3</f>
        <v>0</v>
      </c>
      <c r="G304" s="255">
        <f>(G94+G204)*'Data - P&amp;L'!$C$3</f>
        <v>0</v>
      </c>
      <c r="H304" s="255">
        <f>(H94+H204)*'Data - P&amp;L'!$C$3</f>
        <v>0</v>
      </c>
      <c r="I304" s="255">
        <f>(I94+I204)*'Data - P&amp;L'!$C$3</f>
        <v>0</v>
      </c>
      <c r="J304" s="255">
        <f>(J94+J204)*'Data - P&amp;L'!$C$3</f>
        <v>0</v>
      </c>
      <c r="K304" s="255">
        <f>(K94+K204)*'Data - P&amp;L'!$C$3</f>
        <v>0</v>
      </c>
      <c r="L304" s="255">
        <f>(L94+L204)*'Data - P&amp;L'!$C$3</f>
        <v>0</v>
      </c>
      <c r="M304" s="255">
        <f>(M94+M204)*'Data - P&amp;L'!$C$3</f>
        <v>0</v>
      </c>
      <c r="N304" s="255">
        <f>(N94+N204)*'Data - P&amp;L'!$C$3</f>
        <v>0</v>
      </c>
      <c r="O304" s="255">
        <f>(O94+O204)*'Data - P&amp;L'!$C$3</f>
        <v>0</v>
      </c>
      <c r="P304" s="255">
        <f>(P94+P204)*'Data - P&amp;L'!$C$3</f>
        <v>0</v>
      </c>
      <c r="Q304" s="255">
        <f>(Q94+Q204)*'Data - P&amp;L'!$C$3</f>
        <v>0</v>
      </c>
      <c r="R304" s="255">
        <f>(R94+R204)*'Data - P&amp;L'!$C$3</f>
        <v>0</v>
      </c>
      <c r="S304" s="255">
        <f>(S94+S204)*'Data - P&amp;L'!$C$3</f>
        <v>0</v>
      </c>
      <c r="T304" s="255">
        <f>(T94+T204)*'Data - P&amp;L'!$C$3</f>
        <v>0</v>
      </c>
      <c r="U304" s="255">
        <f>(U94+U204)*'Data - P&amp;L'!$C$3</f>
        <v>0</v>
      </c>
      <c r="V304" s="255">
        <f>(V94+V204)*'Data - P&amp;L'!$C$3</f>
        <v>0</v>
      </c>
      <c r="W304" s="255">
        <f>(W94+W204)*'Data - P&amp;L'!$C$3</f>
        <v>0</v>
      </c>
      <c r="X304" s="255">
        <f>(X94+X204)*'Data - P&amp;L'!$C$3</f>
        <v>0</v>
      </c>
      <c r="Y304" s="255">
        <f>(Y94+Y204)*'Data - P&amp;L'!$C$3</f>
        <v>0</v>
      </c>
      <c r="Z304" s="255">
        <f>(Z94+Z204)*'Data - P&amp;L'!$C$3</f>
        <v>0</v>
      </c>
      <c r="AA304" s="255">
        <f>(AA94+AA204)*'Data - P&amp;L'!$C$3</f>
        <v>0</v>
      </c>
      <c r="AB304" s="255">
        <f>(AB94+AB204)*'Data - P&amp;L'!$C$3</f>
        <v>0</v>
      </c>
      <c r="AC304" s="255">
        <f>(AC94+AC204)*'Data - P&amp;L'!$C$3</f>
        <v>0</v>
      </c>
      <c r="AD304" s="255">
        <f>(AD94+AD204)*'Data - P&amp;L'!$C$3</f>
        <v>0</v>
      </c>
      <c r="AE304" s="255">
        <f>(AE94+AE204)*'Data - P&amp;L'!$C$3</f>
        <v>0</v>
      </c>
      <c r="AF304" s="255">
        <f>(AF94+AF204)*'Data - P&amp;L'!$C$3</f>
        <v>0</v>
      </c>
      <c r="AG304" s="445">
        <f t="shared" ref="AG304:AG316" si="77">SUM(B304:AD304)</f>
        <v>0</v>
      </c>
    </row>
    <row r="305" outlineLevel="1">
      <c r="A305" s="151" t="s">
        <v>447</v>
      </c>
      <c r="B305" s="255">
        <f>(B95+B205)*'Data - P&amp;L'!$C$4</f>
        <v>0</v>
      </c>
      <c r="C305" s="255">
        <f>(C95+C205)*'Data - P&amp;L'!$C$4</f>
        <v>0</v>
      </c>
      <c r="D305" s="255">
        <f>(D95+D205)*'Data - P&amp;L'!$C$4</f>
        <v>0</v>
      </c>
      <c r="E305" s="255">
        <f>(E95+E205)*'Data - P&amp;L'!$C$4</f>
        <v>97.61</v>
      </c>
      <c r="F305" s="255">
        <f>(F95+F205)*'Data - P&amp;L'!$C$4</f>
        <v>0</v>
      </c>
      <c r="G305" s="255">
        <f>(G95+G205)*'Data - P&amp;L'!$C$4</f>
        <v>0</v>
      </c>
      <c r="H305" s="255">
        <f>(H95+H205)*'Data - P&amp;L'!$C$4</f>
        <v>0</v>
      </c>
      <c r="I305" s="255">
        <f>(I95+I205)*'Data - P&amp;L'!$C$4</f>
        <v>0</v>
      </c>
      <c r="J305" s="255">
        <f>(J95+J205)*'Data - P&amp;L'!$C$4</f>
        <v>0</v>
      </c>
      <c r="K305" s="255">
        <f>(K95+K205)*'Data - P&amp;L'!$C$4</f>
        <v>0</v>
      </c>
      <c r="L305" s="255">
        <f>(L95+L205)*'Data - P&amp;L'!$C$4</f>
        <v>0</v>
      </c>
      <c r="M305" s="255">
        <f>(M95+M205)*'Data - P&amp;L'!$C$4</f>
        <v>0</v>
      </c>
      <c r="N305" s="255">
        <f>(N95+N205)*'Data - P&amp;L'!$C$4</f>
        <v>0</v>
      </c>
      <c r="O305" s="255">
        <f>(O95+O205)*'Data - P&amp;L'!$C$4</f>
        <v>0</v>
      </c>
      <c r="P305" s="255">
        <f>(P95+P205)*'Data - P&amp;L'!$C$4</f>
        <v>0</v>
      </c>
      <c r="Q305" s="255">
        <f>(Q95+Q205)*'Data - P&amp;L'!$C$4</f>
        <v>0</v>
      </c>
      <c r="R305" s="255">
        <f>(R95+R205)*'Data - P&amp;L'!$C$4</f>
        <v>0</v>
      </c>
      <c r="S305" s="255">
        <f>(S95+S205)*'Data - P&amp;L'!$C$4</f>
        <v>0</v>
      </c>
      <c r="T305" s="255">
        <f>(T95+T205)*'Data - P&amp;L'!$C$4</f>
        <v>0</v>
      </c>
      <c r="U305" s="255">
        <f>(U95+U205)*'Data - P&amp;L'!$C$4</f>
        <v>0</v>
      </c>
      <c r="V305" s="255">
        <f>(V95+V205)*'Data - P&amp;L'!$C$4</f>
        <v>0</v>
      </c>
      <c r="W305" s="255">
        <f>(W95+W205)*'Data - P&amp;L'!$C$4</f>
        <v>0</v>
      </c>
      <c r="X305" s="255">
        <f>(X95+X205)*'Data - P&amp;L'!$C$4</f>
        <v>0</v>
      </c>
      <c r="Y305" s="255">
        <f>(Y95+Y205)*'Data - P&amp;L'!$C$4</f>
        <v>0</v>
      </c>
      <c r="Z305" s="255">
        <f>(Z95+Z205)*'Data - P&amp;L'!$C$4</f>
        <v>0</v>
      </c>
      <c r="AA305" s="255">
        <f>(AA95+AA205)*'Data - P&amp;L'!$C$4</f>
        <v>0</v>
      </c>
      <c r="AB305" s="255">
        <f>(AB95+AB205)*'Data - P&amp;L'!$C$4</f>
        <v>0</v>
      </c>
      <c r="AC305" s="255">
        <f>(AC95+AC205)*'Data - P&amp;L'!$C$4</f>
        <v>0</v>
      </c>
      <c r="AD305" s="255">
        <f>(AD95+AD205)*'Data - P&amp;L'!$C$4</f>
        <v>0</v>
      </c>
      <c r="AE305" s="255">
        <f>(AE95+AE205)*'Data - P&amp;L'!$C$4</f>
        <v>0</v>
      </c>
      <c r="AF305" s="255">
        <f>(AF95+AF205)*'Data - P&amp;L'!$C$4</f>
        <v>0</v>
      </c>
      <c r="AG305" s="445">
        <f t="shared" si="77"/>
        <v>97.61</v>
      </c>
    </row>
    <row r="306" outlineLevel="1">
      <c r="A306" s="151" t="s">
        <v>450</v>
      </c>
      <c r="B306" s="255">
        <f>(B97+B207)*'Data - P&amp;L'!$C$6</f>
        <v>0</v>
      </c>
      <c r="C306" s="255">
        <f>(C97+C207)*'Data - P&amp;L'!$C$6</f>
        <v>0</v>
      </c>
      <c r="D306" s="255">
        <f>(D97+D207)*'Data - P&amp;L'!$C$6</f>
        <v>0</v>
      </c>
      <c r="E306" s="255">
        <f>(E97+E207)*'Data - P&amp;L'!$C$6</f>
        <v>0</v>
      </c>
      <c r="F306" s="255">
        <f>(F97+F207)*'Data - P&amp;L'!$C$6</f>
        <v>0</v>
      </c>
      <c r="G306" s="255">
        <f>(G97+G207)*'Data - P&amp;L'!$C$6</f>
        <v>0</v>
      </c>
      <c r="H306" s="255">
        <f>(H97+H207)*'Data - P&amp;L'!$C$6</f>
        <v>0</v>
      </c>
      <c r="I306" s="255">
        <f>(I97+I207)*'Data - P&amp;L'!$C$6</f>
        <v>0</v>
      </c>
      <c r="J306" s="255">
        <f>(J97+J207)*'Data - P&amp;L'!$C$6</f>
        <v>0</v>
      </c>
      <c r="K306" s="255">
        <f>(K97+K207)*'Data - P&amp;L'!$C$6</f>
        <v>0</v>
      </c>
      <c r="L306" s="255">
        <f>(L97+L207)*'Data - P&amp;L'!$C$6</f>
        <v>0</v>
      </c>
      <c r="M306" s="255">
        <f>(M97+M207)*'Data - P&amp;L'!$C$6</f>
        <v>0</v>
      </c>
      <c r="N306" s="255">
        <f>(N97+N207)*'Data - P&amp;L'!$C$6</f>
        <v>0</v>
      </c>
      <c r="O306" s="255">
        <f>(O97+O207)*'Data - P&amp;L'!$C$6</f>
        <v>0</v>
      </c>
      <c r="P306" s="255">
        <f>(P97+P207)*'Data - P&amp;L'!$C$6</f>
        <v>0</v>
      </c>
      <c r="Q306" s="255">
        <f>(Q97+Q207)*'Data - P&amp;L'!$C$6</f>
        <v>0</v>
      </c>
      <c r="R306" s="255">
        <f>(R97+R207)*'Data - P&amp;L'!$C$6</f>
        <v>0</v>
      </c>
      <c r="S306" s="255">
        <f>(S97+S207)*'Data - P&amp;L'!$C$6</f>
        <v>0</v>
      </c>
      <c r="T306" s="255">
        <f>(T97+T207)*'Data - P&amp;L'!$C$6</f>
        <v>0</v>
      </c>
      <c r="U306" s="255">
        <f>(U97+U207)*'Data - P&amp;L'!$C$6</f>
        <v>0</v>
      </c>
      <c r="V306" s="255">
        <f>(V97+V207)*'Data - P&amp;L'!$C$6</f>
        <v>0</v>
      </c>
      <c r="W306" s="255">
        <f>(W97+W207)*'Data - P&amp;L'!$C$6</f>
        <v>0</v>
      </c>
      <c r="X306" s="255">
        <f>(X97+X207)*'Data - P&amp;L'!$C$6</f>
        <v>0</v>
      </c>
      <c r="Y306" s="255">
        <f>(Y97+Y207)*'Data - P&amp;L'!$C$6</f>
        <v>0</v>
      </c>
      <c r="Z306" s="255">
        <f>(Z97+Z207)*'Data - P&amp;L'!$C$6</f>
        <v>0</v>
      </c>
      <c r="AA306" s="255">
        <f>(AA97+AA207)*'Data - P&amp;L'!$C$6</f>
        <v>0</v>
      </c>
      <c r="AB306" s="255">
        <f>(AB97+AB207)*'Data - P&amp;L'!$C$6</f>
        <v>0</v>
      </c>
      <c r="AC306" s="255">
        <f>(AC97+AC207)*'Data - P&amp;L'!$C$6</f>
        <v>0</v>
      </c>
      <c r="AD306" s="255">
        <f>(AD97+AD207)*'Data - P&amp;L'!$C$6</f>
        <v>0</v>
      </c>
      <c r="AE306" s="255">
        <f>(AE97+AE207)*'Data - P&amp;L'!$C$6</f>
        <v>0</v>
      </c>
      <c r="AF306" s="255">
        <f>(AF97+AF207)*'Data - P&amp;L'!$C$6</f>
        <v>0</v>
      </c>
      <c r="AG306" s="445">
        <f t="shared" si="77"/>
        <v>0</v>
      </c>
    </row>
    <row r="307" outlineLevel="1">
      <c r="A307" s="151" t="s">
        <v>451</v>
      </c>
      <c r="B307" s="255">
        <f>(B98+B208)*'Data - P&amp;L'!$C$8</f>
        <v>0</v>
      </c>
      <c r="C307" s="255">
        <f>(C98+C208)*'Data - P&amp;L'!$C$8</f>
        <v>0</v>
      </c>
      <c r="D307" s="255">
        <f>(D98+D208)*'Data - P&amp;L'!$C$8</f>
        <v>0</v>
      </c>
      <c r="E307" s="255">
        <f>(E98+E208)*'Data - P&amp;L'!$C$8</f>
        <v>0</v>
      </c>
      <c r="F307" s="255">
        <f>(F98+F208)*'Data - P&amp;L'!$C$8</f>
        <v>0</v>
      </c>
      <c r="G307" s="255">
        <f>(G98+G208)*'Data - P&amp;L'!$C$8</f>
        <v>0</v>
      </c>
      <c r="H307" s="255">
        <f>(H98+H208)*'Data - P&amp;L'!$C$8</f>
        <v>0</v>
      </c>
      <c r="I307" s="255">
        <f>(I98+I208)*'Data - P&amp;L'!$C$8</f>
        <v>0</v>
      </c>
      <c r="J307" s="255">
        <f>(J98+J208)*'Data - P&amp;L'!$C$8</f>
        <v>0</v>
      </c>
      <c r="K307" s="255">
        <f>(K98+K208)*'Data - P&amp;L'!$C$8</f>
        <v>0</v>
      </c>
      <c r="L307" s="255">
        <f>(L98+L208)*'Data - P&amp;L'!$C$8</f>
        <v>0</v>
      </c>
      <c r="M307" s="255">
        <f>(M98+M208)*'Data - P&amp;L'!$C$8</f>
        <v>0</v>
      </c>
      <c r="N307" s="255">
        <f>(N98+N208)*'Data - P&amp;L'!$C$8</f>
        <v>0</v>
      </c>
      <c r="O307" s="255">
        <f>(O98+O208)*'Data - P&amp;L'!$C$8</f>
        <v>0</v>
      </c>
      <c r="P307" s="255">
        <f>(P98+P208)*'Data - P&amp;L'!$C$8</f>
        <v>0</v>
      </c>
      <c r="Q307" s="255">
        <f>(Q98+Q208)*'Data - P&amp;L'!$C$8</f>
        <v>0</v>
      </c>
      <c r="R307" s="255">
        <f>(R98+R208)*'Data - P&amp;L'!$C$8</f>
        <v>0</v>
      </c>
      <c r="S307" s="255">
        <f>(S98+S208)*'Data - P&amp;L'!$C$8</f>
        <v>0</v>
      </c>
      <c r="T307" s="255">
        <f>(T98+T208)*'Data - P&amp;L'!$C$8</f>
        <v>0</v>
      </c>
      <c r="U307" s="255">
        <f>(U98+U208)*'Data - P&amp;L'!$C$8</f>
        <v>0</v>
      </c>
      <c r="V307" s="255">
        <f>(V98+V208)*'Data - P&amp;L'!$C$8</f>
        <v>0</v>
      </c>
      <c r="W307" s="255">
        <f>(W98+W208)*'Data - P&amp;L'!$C$8</f>
        <v>0</v>
      </c>
      <c r="X307" s="255">
        <f>(X98+X208)*'Data - P&amp;L'!$C$8</f>
        <v>0</v>
      </c>
      <c r="Y307" s="255">
        <f>(Y98+Y208)*'Data - P&amp;L'!$C$8</f>
        <v>0</v>
      </c>
      <c r="Z307" s="255">
        <f>(Z98+Z208)*'Data - P&amp;L'!$C$8</f>
        <v>0</v>
      </c>
      <c r="AA307" s="255">
        <f>(AA98+AA208)*'Data - P&amp;L'!$C$8</f>
        <v>0</v>
      </c>
      <c r="AB307" s="255">
        <f>(AB98+AB208)*'Data - P&amp;L'!$C$8</f>
        <v>0</v>
      </c>
      <c r="AC307" s="255">
        <f>(AC98+AC208)*'Data - P&amp;L'!$C$8</f>
        <v>0</v>
      </c>
      <c r="AD307" s="255">
        <f>(AD98+AD208)*'Data - P&amp;L'!$C$8</f>
        <v>0</v>
      </c>
      <c r="AE307" s="255">
        <f>(AE98+AE208)*'Data - P&amp;L'!$C$8</f>
        <v>0</v>
      </c>
      <c r="AF307" s="255">
        <f>(AF98+AF208)*'Data - P&amp;L'!$C$8</f>
        <v>0</v>
      </c>
      <c r="AG307" s="445">
        <f t="shared" si="77"/>
        <v>0</v>
      </c>
    </row>
    <row r="308" outlineLevel="1">
      <c r="A308" s="151" t="s">
        <v>452</v>
      </c>
      <c r="B308" s="255">
        <f>(B99+B100+B209+B210)*'Data - P&amp;L'!$C$9</f>
        <v>0</v>
      </c>
      <c r="C308" s="255">
        <f>(C99+C100+C209+C210)*'Data - P&amp;L'!$C$9</f>
        <v>0</v>
      </c>
      <c r="D308" s="255">
        <f>(D99+D100+D209+D210)*'Data - P&amp;L'!$C$9</f>
        <v>0</v>
      </c>
      <c r="E308" s="255">
        <f>(E99+E100+E209+E210)*'Data - P&amp;L'!$C$9</f>
        <v>0</v>
      </c>
      <c r="F308" s="255">
        <f>(F99+F100+F209+F210)*'Data - P&amp;L'!$C$9</f>
        <v>0</v>
      </c>
      <c r="G308" s="255">
        <f>(G99+G100+G209+G210)*'Data - P&amp;L'!$C$9</f>
        <v>0</v>
      </c>
      <c r="H308" s="255">
        <f>(H99+H100+H209+H210)*'Data - P&amp;L'!$C$9</f>
        <v>0</v>
      </c>
      <c r="I308" s="255">
        <f>(I99+I100+I209+I210)*'Data - P&amp;L'!$C$9</f>
        <v>0</v>
      </c>
      <c r="J308" s="255">
        <f>(J99+J100+J209+J210)*'Data - P&amp;L'!$C$9</f>
        <v>0</v>
      </c>
      <c r="K308" s="255">
        <f>(K99+K100+K209+K210)*'Data - P&amp;L'!$C$9</f>
        <v>0</v>
      </c>
      <c r="L308" s="255">
        <f>(L99+L100+L209+L210)*'Data - P&amp;L'!$C$9</f>
        <v>0</v>
      </c>
      <c r="M308" s="255">
        <f>(M99+M100+M209+M210)*'Data - P&amp;L'!$C$9</f>
        <v>0</v>
      </c>
      <c r="N308" s="255">
        <f>(N99+N100+N209+N210)*'Data - P&amp;L'!$C$9</f>
        <v>0</v>
      </c>
      <c r="O308" s="255">
        <f>(O99+O100+O209+O210)*'Data - P&amp;L'!$C$9</f>
        <v>0</v>
      </c>
      <c r="P308" s="255">
        <f>(P99+P100+P209+P210)*'Data - P&amp;L'!$C$9</f>
        <v>0</v>
      </c>
      <c r="Q308" s="255">
        <f>(Q99+Q100+Q209+Q210)*'Data - P&amp;L'!$C$9</f>
        <v>0</v>
      </c>
      <c r="R308" s="255">
        <f>(R99+R100+R209+R210)*'Data - P&amp;L'!$C$9</f>
        <v>0</v>
      </c>
      <c r="S308" s="255">
        <f>(S99+S100+S209+S210)*'Data - P&amp;L'!$C$9</f>
        <v>0</v>
      </c>
      <c r="T308" s="255">
        <f>(T99+T100+T209+T210)*'Data - P&amp;L'!$C$9</f>
        <v>0</v>
      </c>
      <c r="U308" s="255">
        <f>(U99+U100+U209+U210)*'Data - P&amp;L'!$C$9</f>
        <v>0</v>
      </c>
      <c r="V308" s="255">
        <f>(V99+V100+V209+V210)*'Data - P&amp;L'!$C$9</f>
        <v>0</v>
      </c>
      <c r="W308" s="255">
        <f>(W99+W100+W209+W210)*'Data - P&amp;L'!$C$9</f>
        <v>0</v>
      </c>
      <c r="X308" s="255">
        <f>(X99+X100+X209+X210)*'Data - P&amp;L'!$C$9</f>
        <v>0</v>
      </c>
      <c r="Y308" s="255">
        <f>(Y99+Y100+Y209+Y210)*'Data - P&amp;L'!$C$9</f>
        <v>0</v>
      </c>
      <c r="Z308" s="255">
        <f>(Z99+Z100+Z209+Z210)*'Data - P&amp;L'!$C$9</f>
        <v>0</v>
      </c>
      <c r="AA308" s="255">
        <f>(AA99+AA100+AA209+AA210)*'Data - P&amp;L'!$C$9</f>
        <v>0</v>
      </c>
      <c r="AB308" s="255">
        <f>(AB99+AB100+AB209+AB210)*'Data - P&amp;L'!$C$9</f>
        <v>0</v>
      </c>
      <c r="AC308" s="255">
        <f>(AC99+AC100+AC209+AC210)*'Data - P&amp;L'!$C$9</f>
        <v>0</v>
      </c>
      <c r="AD308" s="255">
        <f>(AD99+AD100+AD209+AD210)*'Data - P&amp;L'!$C$9</f>
        <v>0</v>
      </c>
      <c r="AE308" s="255">
        <f>(AE99+AE100+AE209+AE210)*'Data - P&amp;L'!$C$9</f>
        <v>0</v>
      </c>
      <c r="AF308" s="255">
        <f>(AF99+AF100+AF209+AF210)*'Data - P&amp;L'!$C$9</f>
        <v>0</v>
      </c>
      <c r="AG308" s="445">
        <f t="shared" si="77"/>
        <v>0</v>
      </c>
    </row>
    <row r="309" outlineLevel="1">
      <c r="A309" s="151" t="s">
        <v>453</v>
      </c>
      <c r="B309" s="255">
        <f>(B101+B102+B211+B212)*'Data - P&amp;L'!$C$5</f>
        <v>0</v>
      </c>
      <c r="C309" s="255">
        <f>(C101+C102+C211+C212)*'Data - P&amp;L'!$C$5</f>
        <v>0</v>
      </c>
      <c r="D309" s="255">
        <f>(D101+D102+D211+D212)*'Data - P&amp;L'!$C$5</f>
        <v>0</v>
      </c>
      <c r="E309" s="255">
        <f>(E101+E102+E211+E212)*'Data - P&amp;L'!$C$5</f>
        <v>0</v>
      </c>
      <c r="F309" s="255">
        <f>(F101+F102+F211+F212)*'Data - P&amp;L'!$C$5</f>
        <v>0</v>
      </c>
      <c r="G309" s="255">
        <f>(G101+G102+G211+G212)*'Data - P&amp;L'!$C$5</f>
        <v>0</v>
      </c>
      <c r="H309" s="255">
        <f>(H101+H102+H211+H212)*'Data - P&amp;L'!$C$5</f>
        <v>0</v>
      </c>
      <c r="I309" s="255">
        <f>(I101+I102+I211+I212)*'Data - P&amp;L'!$C$5</f>
        <v>0</v>
      </c>
      <c r="J309" s="255">
        <f>(J101+J102+J211+J212)*'Data - P&amp;L'!$C$5</f>
        <v>0</v>
      </c>
      <c r="K309" s="255">
        <f>(K101+K102+K211+K212)*'Data - P&amp;L'!$C$5</f>
        <v>0</v>
      </c>
      <c r="L309" s="255">
        <f>(L101+L102+L211+L212)*'Data - P&amp;L'!$C$5</f>
        <v>0</v>
      </c>
      <c r="M309" s="255">
        <f>(M101+M102+M211+M212)*'Data - P&amp;L'!$C$5</f>
        <v>0</v>
      </c>
      <c r="N309" s="255">
        <f>(N101+N102+N211+N212)*'Data - P&amp;L'!$C$5</f>
        <v>0</v>
      </c>
      <c r="O309" s="255">
        <f>(O101+O102+O211+O212)*'Data - P&amp;L'!$C$5</f>
        <v>0</v>
      </c>
      <c r="P309" s="255">
        <f>(P101+P102+P211+P212)*'Data - P&amp;L'!$C$5</f>
        <v>0</v>
      </c>
      <c r="Q309" s="255">
        <f>(Q101+Q102+Q211+Q212)*'Data - P&amp;L'!$C$5</f>
        <v>0</v>
      </c>
      <c r="R309" s="255">
        <f>(R101+R102+R211+R212)*'Data - P&amp;L'!$C$5</f>
        <v>0</v>
      </c>
      <c r="S309" s="255">
        <f>(S101+S102+S211+S212)*'Data - P&amp;L'!$C$5</f>
        <v>0</v>
      </c>
      <c r="T309" s="255">
        <f>(T101+T102+T211+T212)*'Data - P&amp;L'!$C$5</f>
        <v>0</v>
      </c>
      <c r="U309" s="255">
        <f>(U101+U102+U211+U212)*'Data - P&amp;L'!$C$5</f>
        <v>0</v>
      </c>
      <c r="V309" s="255">
        <f>(V101+V102+V211+V212)*'Data - P&amp;L'!$C$5</f>
        <v>0</v>
      </c>
      <c r="W309" s="255">
        <f>(W101+W102+W211+W212)*'Data - P&amp;L'!$C$5</f>
        <v>0</v>
      </c>
      <c r="X309" s="255">
        <f>(X101+X102+X211+X212)*'Data - P&amp;L'!$C$5</f>
        <v>0</v>
      </c>
      <c r="Y309" s="255">
        <f>(Y101+Y102+Y211+Y212)*'Data - P&amp;L'!$C$5</f>
        <v>0</v>
      </c>
      <c r="Z309" s="255">
        <f>(Z101+Z102+Z211+Z212)*'Data - P&amp;L'!$C$5</f>
        <v>0</v>
      </c>
      <c r="AA309" s="255">
        <f>(AA101+AA102+AA211+AA212)*'Data - P&amp;L'!$C$5</f>
        <v>0</v>
      </c>
      <c r="AB309" s="255">
        <f>(AB101+AB102+AB211+AB212)*'Data - P&amp;L'!$C$5</f>
        <v>0</v>
      </c>
      <c r="AC309" s="255">
        <f>(AC101+AC102+AC211+AC212)*'Data - P&amp;L'!$C$5</f>
        <v>0</v>
      </c>
      <c r="AD309" s="255">
        <f>(AD101+AD102+AD211+AD212)*'Data - P&amp;L'!$C$5</f>
        <v>0</v>
      </c>
      <c r="AE309" s="255">
        <f>(AE101+AE102+AE211+AE212)*'Data - P&amp;L'!$C$5</f>
        <v>0</v>
      </c>
      <c r="AF309" s="255">
        <f>(AF101+AF102+AF211+AF212)*'Data - P&amp;L'!$C$5</f>
        <v>0</v>
      </c>
      <c r="AG309" s="445">
        <f t="shared" si="77"/>
        <v>0</v>
      </c>
    </row>
    <row r="310" outlineLevel="1">
      <c r="A310" s="151" t="s">
        <v>454</v>
      </c>
      <c r="B310" s="255">
        <f>(B103+B104+B213+B214)*'Data - P&amp;L'!$C$10</f>
        <v>0</v>
      </c>
      <c r="C310" s="255">
        <f>(C103+C104+C213+C214)*'Data - P&amp;L'!$C$10</f>
        <v>0</v>
      </c>
      <c r="D310" s="255">
        <f>(D103+D104+D213+D214)*'Data - P&amp;L'!$C$10</f>
        <v>0</v>
      </c>
      <c r="E310" s="255">
        <f>(E103+E104+E213+E214)*'Data - P&amp;L'!$C$10</f>
        <v>0</v>
      </c>
      <c r="F310" s="255">
        <f>(F103+F104+F213+F214)*'Data - P&amp;L'!$C$10</f>
        <v>0</v>
      </c>
      <c r="G310" s="255">
        <f>(G103+G104+G213+G214)*'Data - P&amp;L'!$C$10</f>
        <v>0</v>
      </c>
      <c r="H310" s="255">
        <f>(H103+H104+H213+H214)*'Data - P&amp;L'!$C$10</f>
        <v>0</v>
      </c>
      <c r="I310" s="255">
        <f>(I103+I104+I213+I214)*'Data - P&amp;L'!$C$10</f>
        <v>0</v>
      </c>
      <c r="J310" s="255">
        <f>(J103+J104+J213+J214)*'Data - P&amp;L'!$C$10</f>
        <v>0</v>
      </c>
      <c r="K310" s="255">
        <f>(K103+K104+K213+K214)*'Data - P&amp;L'!$C$10</f>
        <v>0</v>
      </c>
      <c r="L310" s="255">
        <f>(L103+L104+L213+L214)*'Data - P&amp;L'!$C$10</f>
        <v>0</v>
      </c>
      <c r="M310" s="255">
        <f>(M103+M104+M213+M214)*'Data - P&amp;L'!$C$10</f>
        <v>0</v>
      </c>
      <c r="N310" s="255">
        <f>(N103+N104+N213+N214)*'Data - P&amp;L'!$C$10</f>
        <v>0</v>
      </c>
      <c r="O310" s="255">
        <f>(O103+O104+O213+O214)*'Data - P&amp;L'!$C$10</f>
        <v>0</v>
      </c>
      <c r="P310" s="255">
        <f>(P103+P104+P213+P214)*'Data - P&amp;L'!$C$10</f>
        <v>0</v>
      </c>
      <c r="Q310" s="255">
        <f>(Q103+Q104+Q213+Q214)*'Data - P&amp;L'!$C$10</f>
        <v>0</v>
      </c>
      <c r="R310" s="255">
        <f>(R103+R104+R213+R214)*'Data - P&amp;L'!$C$10</f>
        <v>0</v>
      </c>
      <c r="S310" s="255">
        <f>(S103+S104+S213+S214)*'Data - P&amp;L'!$C$10</f>
        <v>0</v>
      </c>
      <c r="T310" s="255">
        <f>(T103+T104+T213+T214)*'Data - P&amp;L'!$C$10</f>
        <v>0</v>
      </c>
      <c r="U310" s="255">
        <f>(U103+U104+U213+U214)*'Data - P&amp;L'!$C$10</f>
        <v>0</v>
      </c>
      <c r="V310" s="255">
        <f>(V103+V104+V213+V214)*'Data - P&amp;L'!$C$10</f>
        <v>0</v>
      </c>
      <c r="W310" s="255">
        <f>(W103+W104+W213+W214)*'Data - P&amp;L'!$C$10</f>
        <v>0</v>
      </c>
      <c r="X310" s="255">
        <f>(X103+X104+X213+X214)*'Data - P&amp;L'!$C$10</f>
        <v>0</v>
      </c>
      <c r="Y310" s="255">
        <f>(Y103+Y104+Y213+Y214)*'Data - P&amp;L'!$C$10</f>
        <v>0</v>
      </c>
      <c r="Z310" s="255">
        <f>(Z103+Z104+Z213+Z214)*'Data - P&amp;L'!$C$10</f>
        <v>0</v>
      </c>
      <c r="AA310" s="255">
        <f>(AA103+AA104+AA213+AA214)*'Data - P&amp;L'!$C$10</f>
        <v>0</v>
      </c>
      <c r="AB310" s="255">
        <f>(AB103+AB104+AB213+AB214)*'Data - P&amp;L'!$C$10</f>
        <v>0</v>
      </c>
      <c r="AC310" s="255">
        <f>(AC103+AC104+AC213+AC214)*'Data - P&amp;L'!$C$10</f>
        <v>0</v>
      </c>
      <c r="AD310" s="255">
        <f>(AD103+AD104+AD213+AD214)*'Data - P&amp;L'!$C$10</f>
        <v>0</v>
      </c>
      <c r="AE310" s="255">
        <f>(AE103+AE104+AE213+AE214)*'Data - P&amp;L'!$C$10</f>
        <v>0</v>
      </c>
      <c r="AF310" s="255">
        <f>(AF103+AF104+AF213+AF214)*'Data - P&amp;L'!$C$10</f>
        <v>0</v>
      </c>
      <c r="AG310" s="445">
        <f t="shared" si="77"/>
        <v>0</v>
      </c>
    </row>
    <row r="311" outlineLevel="1">
      <c r="A311" s="151" t="s">
        <v>455</v>
      </c>
      <c r="B311" s="255">
        <f>(B108+B109+B218+B219)*'Data - P&amp;L'!$C$13</f>
        <v>0</v>
      </c>
      <c r="C311" s="255">
        <f>(C163+C164+C176+C177)*'Data - P&amp;L'!$C$13</f>
        <v>0</v>
      </c>
      <c r="D311" s="255">
        <f>(D163+D164+D176+D177)*'Data - P&amp;L'!$C$13</f>
        <v>0</v>
      </c>
      <c r="E311" s="255">
        <f>(E163+E164+E176+E177)*'Data - P&amp;L'!$C$13</f>
        <v>0</v>
      </c>
      <c r="F311" s="255">
        <f>(F163+F164+F176+F177)*'Data - P&amp;L'!$C$13</f>
        <v>0</v>
      </c>
      <c r="G311" s="255">
        <f>(G163+G164+G176+G177)*'Data - P&amp;L'!$C$13</f>
        <v>0</v>
      </c>
      <c r="H311" s="255">
        <f>(H163+H164+H176+H177)*'Data - P&amp;L'!$C$13</f>
        <v>0</v>
      </c>
      <c r="I311" s="255">
        <f>(I163+I164+I176+I177)*'Data - P&amp;L'!$C$13</f>
        <v>0</v>
      </c>
      <c r="J311" s="255">
        <f>(J163+J164+J176+J177)*'Data - P&amp;L'!$C$13</f>
        <v>0</v>
      </c>
      <c r="K311" s="255">
        <f>(K163+K164+K176+K177)*'Data - P&amp;L'!$C$13</f>
        <v>0</v>
      </c>
      <c r="L311" s="255">
        <f>(L163+L164+L176+L177)*'Data - P&amp;L'!$C$13</f>
        <v>0</v>
      </c>
      <c r="M311" s="255">
        <f>(M163+M164+M176+M177)*'Data - P&amp;L'!$C$13</f>
        <v>0</v>
      </c>
      <c r="N311" s="255">
        <f>(N163+N164+N176+N177)*'Data - P&amp;L'!$C$13</f>
        <v>0</v>
      </c>
      <c r="O311" s="255">
        <f>(O163+O164+O176+O177)*'Data - P&amp;L'!$C$13</f>
        <v>0</v>
      </c>
      <c r="P311" s="255">
        <f>(P163+P164+P176+P177)*'Data - P&amp;L'!$C$13</f>
        <v>0</v>
      </c>
      <c r="Q311" s="255">
        <f>(Q163+Q164+Q176+Q177)*'Data - P&amp;L'!$C$13</f>
        <v>0</v>
      </c>
      <c r="R311" s="255">
        <f>(R163+R164+R176+R177)*'Data - P&amp;L'!$C$13</f>
        <v>0</v>
      </c>
      <c r="S311" s="255">
        <f>(S163+S164+S176+S177)*'Data - P&amp;L'!$C$13</f>
        <v>0</v>
      </c>
      <c r="T311" s="255">
        <f>(T163+T164+T176+T177)*'Data - P&amp;L'!$C$13</f>
        <v>0</v>
      </c>
      <c r="U311" s="255">
        <f>(U163+U164+U176+U177)*'Data - P&amp;L'!$C$13</f>
        <v>0</v>
      </c>
      <c r="V311" s="255">
        <f>(V163+V164+V176+V177)*'Data - P&amp;L'!$C$13</f>
        <v>0</v>
      </c>
      <c r="W311" s="255">
        <f>(W163+W164+W176+W177)*'Data - P&amp;L'!$C$13</f>
        <v>0</v>
      </c>
      <c r="X311" s="255">
        <f>(X163+X164+X176+X177)*'Data - P&amp;L'!$C$13</f>
        <v>0</v>
      </c>
      <c r="Y311" s="255">
        <f>(Y163+Y164+Y176+Y177)*'Data - P&amp;L'!$C$13</f>
        <v>0</v>
      </c>
      <c r="Z311" s="255">
        <f>(Z163+Z164+Z176+Z177)*'Data - P&amp;L'!$C$13</f>
        <v>0</v>
      </c>
      <c r="AA311" s="255">
        <f>(AA163+AA164+AA176+AA177)*'Data - P&amp;L'!$C$13</f>
        <v>0</v>
      </c>
      <c r="AB311" s="255">
        <f>(AB163+AB164+AB176+AB177)*'Data - P&amp;L'!$C$13</f>
        <v>0</v>
      </c>
      <c r="AC311" s="255">
        <f>(AC163+AC164+AC176+AC177)*'Data - P&amp;L'!$C$13</f>
        <v>0</v>
      </c>
      <c r="AD311" s="255">
        <f>(AD163+AD164+AD176+AD177)*'Data - P&amp;L'!$C$13</f>
        <v>0</v>
      </c>
      <c r="AE311" s="255">
        <f>(AE163+AE164+AE176+AE177)*'Data - P&amp;L'!$C$13</f>
        <v>0</v>
      </c>
      <c r="AF311" s="255">
        <f>(AF163+AF164+AF176+AF177)*'Data - P&amp;L'!$C$13</f>
        <v>0</v>
      </c>
      <c r="AG311" s="445">
        <f t="shared" si="77"/>
        <v>0</v>
      </c>
    </row>
    <row r="312" outlineLevel="1">
      <c r="A312" s="151" t="s">
        <v>456</v>
      </c>
      <c r="B312" s="255">
        <f>(B110+B220)*'Data - P&amp;L'!$C$14</f>
        <v>0</v>
      </c>
      <c r="C312" s="255">
        <f>(C165+C178)*'Data - P&amp;L'!$C$14</f>
        <v>0</v>
      </c>
      <c r="D312" s="255">
        <f>(D165+D178)*'Data - P&amp;L'!$C$14</f>
        <v>0</v>
      </c>
      <c r="E312" s="255">
        <f>(E165+E178)*'Data - P&amp;L'!$C$14</f>
        <v>0</v>
      </c>
      <c r="F312" s="255">
        <f>(F165+F178)*'Data - P&amp;L'!$C$14</f>
        <v>0</v>
      </c>
      <c r="G312" s="255">
        <f>(G165+G178)*'Data - P&amp;L'!$C$14</f>
        <v>0</v>
      </c>
      <c r="H312" s="255">
        <f>(H165+H178)*'Data - P&amp;L'!$C$14</f>
        <v>0</v>
      </c>
      <c r="I312" s="255">
        <f>(I165+I178)*'Data - P&amp;L'!$C$14</f>
        <v>0</v>
      </c>
      <c r="J312" s="255">
        <f>(J165+J178)*'Data - P&amp;L'!$C$14</f>
        <v>0</v>
      </c>
      <c r="K312" s="255">
        <f>(K165+K178)*'Data - P&amp;L'!$C$14</f>
        <v>0</v>
      </c>
      <c r="L312" s="255">
        <f>(L165+L178)*'Data - P&amp;L'!$C$14</f>
        <v>0</v>
      </c>
      <c r="M312" s="255">
        <f>(M165+M178)*'Data - P&amp;L'!$C$14</f>
        <v>0</v>
      </c>
      <c r="N312" s="255">
        <f>(N165+N178)*'Data - P&amp;L'!$C$14</f>
        <v>0</v>
      </c>
      <c r="O312" s="255">
        <f>(O165+O178)*'Data - P&amp;L'!$C$14</f>
        <v>0</v>
      </c>
      <c r="P312" s="255">
        <f>(P165+P178)*'Data - P&amp;L'!$C$14</f>
        <v>0</v>
      </c>
      <c r="Q312" s="255">
        <f>(Q165+Q178)*'Data - P&amp;L'!$C$14</f>
        <v>0</v>
      </c>
      <c r="R312" s="255">
        <f>(R165+R178)*'Data - P&amp;L'!$C$14</f>
        <v>0</v>
      </c>
      <c r="S312" s="255">
        <f>(S165+S178)*'Data - P&amp;L'!$C$14</f>
        <v>0</v>
      </c>
      <c r="T312" s="255">
        <f>(T165+T178)*'Data - P&amp;L'!$C$14</f>
        <v>0</v>
      </c>
      <c r="U312" s="255">
        <f>(U165+U178)*'Data - P&amp;L'!$C$14</f>
        <v>0</v>
      </c>
      <c r="V312" s="255">
        <f>(V165+V178)*'Data - P&amp;L'!$C$14</f>
        <v>0</v>
      </c>
      <c r="W312" s="255">
        <f>(W165+W178)*'Data - P&amp;L'!$C$14</f>
        <v>0</v>
      </c>
      <c r="X312" s="255">
        <f>(X165+X178)*'Data - P&amp;L'!$C$14</f>
        <v>0</v>
      </c>
      <c r="Y312" s="255">
        <f>(Y165+Y178)*'Data - P&amp;L'!$C$14</f>
        <v>0</v>
      </c>
      <c r="Z312" s="255">
        <f>(Z165+Z178)*'Data - P&amp;L'!$C$14</f>
        <v>0</v>
      </c>
      <c r="AA312" s="255">
        <f>(AA165+AA178)*'Data - P&amp;L'!$C$14</f>
        <v>0</v>
      </c>
      <c r="AB312" s="255">
        <f>(AB165+AB178)*'Data - P&amp;L'!$C$14</f>
        <v>0</v>
      </c>
      <c r="AC312" s="255">
        <f>(AC165+AC178)*'Data - P&amp;L'!$C$14</f>
        <v>0</v>
      </c>
      <c r="AD312" s="255">
        <f>(AD165+AD178)*'Data - P&amp;L'!$C$14</f>
        <v>0</v>
      </c>
      <c r="AE312" s="255">
        <f>(AE165+AE178)*'Data - P&amp;L'!$C$14</f>
        <v>0</v>
      </c>
      <c r="AF312" s="255">
        <f>(AF165+AF178)*'Data - P&amp;L'!$C$14</f>
        <v>0</v>
      </c>
      <c r="AG312" s="445">
        <f t="shared" si="77"/>
        <v>0</v>
      </c>
    </row>
    <row r="313" outlineLevel="1">
      <c r="A313" s="151" t="s">
        <v>459</v>
      </c>
      <c r="B313" s="255">
        <f>(((B94+B204)*'Data - P&amp;L'!$C$38)+((B95+B205)*'Data - P&amp;L'!$C$38))*'Data - P&amp;L'!$C$55</f>
        <v>0</v>
      </c>
      <c r="C313" s="255">
        <f>(((C94+C204)*'Data - P&amp;L'!$C$38)+((C95+C205)*'Data - P&amp;L'!$C$38))*'Data - P&amp;L'!$C$55</f>
        <v>0</v>
      </c>
      <c r="D313" s="255">
        <f>(((D94+D204)*'Data - P&amp;L'!$C$38)+((D95+D205)*'Data - P&amp;L'!$C$38))*'Data - P&amp;L'!$C$55</f>
        <v>0</v>
      </c>
      <c r="E313" s="255">
        <f>(((E94+E204)*'Data - P&amp;L'!$C$38)+((E95+E205)*'Data - P&amp;L'!$C$38))*'Data - P&amp;L'!$C$55</f>
        <v>1.194</v>
      </c>
      <c r="F313" s="255">
        <f>(((F94+F204)*'Data - P&amp;L'!$C$38)+((F95+F205)*'Data - P&amp;L'!$C$38))*'Data - P&amp;L'!$C$55</f>
        <v>0</v>
      </c>
      <c r="G313" s="255">
        <f>(((G94+G204)*'Data - P&amp;L'!$C$38)+((G95+G205)*'Data - P&amp;L'!$C$38))*'Data - P&amp;L'!$C$55</f>
        <v>0</v>
      </c>
      <c r="H313" s="255">
        <f>(((H94+H204)*'Data - P&amp;L'!$C$38)+((H95+H205)*'Data - P&amp;L'!$C$38))*'Data - P&amp;L'!$C$55</f>
        <v>0</v>
      </c>
      <c r="I313" s="255">
        <f>(((I94+I204)*'Data - P&amp;L'!$C$38)+((I95+I205)*'Data - P&amp;L'!$C$38))*'Data - P&amp;L'!$C$55</f>
        <v>0</v>
      </c>
      <c r="J313" s="255">
        <f>(((J94+J204)*'Data - P&amp;L'!$C$38)+((J95+J205)*'Data - P&amp;L'!$C$38))*'Data - P&amp;L'!$C$55</f>
        <v>0</v>
      </c>
      <c r="K313" s="255">
        <f>(((K94+K204)*'Data - P&amp;L'!$C$38)+((K95+K205)*'Data - P&amp;L'!$C$38))*'Data - P&amp;L'!$C$55</f>
        <v>0</v>
      </c>
      <c r="L313" s="255">
        <f>(((L94+L204)*'Data - P&amp;L'!$C$38)+((L95+L205)*'Data - P&amp;L'!$C$38))*'Data - P&amp;L'!$C$55</f>
        <v>0</v>
      </c>
      <c r="M313" s="255">
        <f>(((M94+M204)*'Data - P&amp;L'!$C$38)+((M95+M205)*'Data - P&amp;L'!$C$38))*'Data - P&amp;L'!$C$55</f>
        <v>0</v>
      </c>
      <c r="N313" s="255">
        <f>(((N94+N204)*'Data - P&amp;L'!$C$38)+((N95+N205)*'Data - P&amp;L'!$C$38))*'Data - P&amp;L'!$C$55</f>
        <v>0</v>
      </c>
      <c r="O313" s="255">
        <f>(((O94+O204)*'Data - P&amp;L'!$C$38)+((O95+O205)*'Data - P&amp;L'!$C$38))*'Data - P&amp;L'!$C$55</f>
        <v>0</v>
      </c>
      <c r="P313" s="255">
        <f>(((P94+P204)*'Data - P&amp;L'!$C$38)+((P95+P205)*'Data - P&amp;L'!$C$38))*'Data - P&amp;L'!$C$55</f>
        <v>0</v>
      </c>
      <c r="Q313" s="255">
        <f>(((Q94+Q204)*'Data - P&amp;L'!$C$38)+((Q95+Q205)*'Data - P&amp;L'!$C$38))*'Data - P&amp;L'!$C$55</f>
        <v>0</v>
      </c>
      <c r="R313" s="255">
        <f>(((R94+R204)*'Data - P&amp;L'!$C$38)+((R95+R205)*'Data - P&amp;L'!$C$38))*'Data - P&amp;L'!$C$55</f>
        <v>0</v>
      </c>
      <c r="S313" s="255">
        <f>(((S94+S204)*'Data - P&amp;L'!$C$38)+((S95+S205)*'Data - P&amp;L'!$C$38))*'Data - P&amp;L'!$C$55</f>
        <v>0</v>
      </c>
      <c r="T313" s="255">
        <f>(((T94+T204)*'Data - P&amp;L'!$C$38)+((T95+T205)*'Data - P&amp;L'!$C$38))*'Data - P&amp;L'!$C$55</f>
        <v>0</v>
      </c>
      <c r="U313" s="255">
        <f>(((U94+U204)*'Data - P&amp;L'!$C$38)+((U95+U205)*'Data - P&amp;L'!$C$38))*'Data - P&amp;L'!$C$55</f>
        <v>0</v>
      </c>
      <c r="V313" s="255">
        <f>(((V94+V204)*'Data - P&amp;L'!$C$38)+((V95+V205)*'Data - P&amp;L'!$C$38))*'Data - P&amp;L'!$C$55</f>
        <v>0</v>
      </c>
      <c r="W313" s="255">
        <f>(((W94+W204)*'Data - P&amp;L'!$C$38)+((W95+W205)*'Data - P&amp;L'!$C$38))*'Data - P&amp;L'!$C$55</f>
        <v>0</v>
      </c>
      <c r="X313" s="255">
        <f>(((X94+X204)*'Data - P&amp;L'!$C$38)+((X95+X205)*'Data - P&amp;L'!$C$38))*'Data - P&amp;L'!$C$55</f>
        <v>0</v>
      </c>
      <c r="Y313" s="255">
        <f>(((Y94+Y204)*'Data - P&amp;L'!$C$38)+((Y95+Y205)*'Data - P&amp;L'!$C$38))*'Data - P&amp;L'!$C$55</f>
        <v>0</v>
      </c>
      <c r="Z313" s="255">
        <f>(((Z94+Z204)*'Data - P&amp;L'!$C$38)+((Z95+Z205)*'Data - P&amp;L'!$C$38))*'Data - P&amp;L'!$C$55</f>
        <v>0</v>
      </c>
      <c r="AA313" s="255">
        <f>(((AA94+AA204)*'Data - P&amp;L'!$C$38)+((AA95+AA205)*'Data - P&amp;L'!$C$38))*'Data - P&amp;L'!$C$55</f>
        <v>0</v>
      </c>
      <c r="AB313" s="255">
        <f>(((AB94+AB204)*'Data - P&amp;L'!$C$38)+((AB95+AB205)*'Data - P&amp;L'!$C$38))*'Data - P&amp;L'!$C$55</f>
        <v>0</v>
      </c>
      <c r="AC313" s="255">
        <f>(((AC94+AC204)*'Data - P&amp;L'!$C$38)+((AC95+AC205)*'Data - P&amp;L'!$C$38))*'Data - P&amp;L'!$C$55</f>
        <v>0</v>
      </c>
      <c r="AD313" s="255">
        <f>(((AD94+AD204)*'Data - P&amp;L'!$C$38)+((AD95+AD205)*'Data - P&amp;L'!$C$38))*'Data - P&amp;L'!$C$55</f>
        <v>0</v>
      </c>
      <c r="AE313" s="255">
        <f>(((AE94+AE204)*'Data - P&amp;L'!$C$38)+((AE95+AE205)*'Data - P&amp;L'!$C$38))*'Data - P&amp;L'!$C$55</f>
        <v>0</v>
      </c>
      <c r="AF313" s="255">
        <f>(((AF94+AF204)*'Data - P&amp;L'!$C$38)+((AF95+AF205)*'Data - P&amp;L'!$C$38))*'Data - P&amp;L'!$C$55</f>
        <v>0</v>
      </c>
      <c r="AG313" s="445">
        <f t="shared" si="77"/>
        <v>1.194</v>
      </c>
    </row>
    <row r="314" outlineLevel="1">
      <c r="A314" s="151" t="s">
        <v>460</v>
      </c>
      <c r="B314" s="255">
        <f>((B90+B91+B92+B93)*'Data - P&amp;L'!$C$34)+((B200+B201+B202+B203)*'Data - P&amp;L'!$C$34)</f>
        <v>0</v>
      </c>
      <c r="C314" s="255">
        <f>((C90+C91+C92+C93)*'Data - P&amp;L'!$C$34)+((C200+C201+C202+C203)*'Data - P&amp;L'!$C$34)</f>
        <v>0</v>
      </c>
      <c r="D314" s="255">
        <f>((D90+D91+D92+D93)*'Data - P&amp;L'!$C$34)+((D200+D201+D202+D203)*'Data - P&amp;L'!$C$34)</f>
        <v>0</v>
      </c>
      <c r="E314" s="255">
        <f>((E90+E91+E92+E93)*'Data - P&amp;L'!$C$34)+((E200+E201+E202+E203)*'Data - P&amp;L'!$C$34)</f>
        <v>30.08</v>
      </c>
      <c r="F314" s="255">
        <f>((F90+F91+F92+F93)*'Data - P&amp;L'!$C$34)+((F200+F201+F202+F203)*'Data - P&amp;L'!$C$34)</f>
        <v>0</v>
      </c>
      <c r="G314" s="255">
        <f>((G90+G91+G92+G93)*'Data - P&amp;L'!$C$34)+((G200+G201+G202+G203)*'Data - P&amp;L'!$C$34)</f>
        <v>0</v>
      </c>
      <c r="H314" s="255">
        <f>((H90+H91+H92+H93)*'Data - P&amp;L'!$C$34)+((H200+H201+H202+H203)*'Data - P&amp;L'!$C$34)</f>
        <v>0</v>
      </c>
      <c r="I314" s="255">
        <f>((I90+I91+I92+I93)*'Data - P&amp;L'!$C$34)+((I200+I201+I202+I203)*'Data - P&amp;L'!$C$34)</f>
        <v>0</v>
      </c>
      <c r="J314" s="255">
        <f>((J90+J91+J92+J93)*'Data - P&amp;L'!$C$34)+((J200+J201+J202+J203)*'Data - P&amp;L'!$C$34)</f>
        <v>0</v>
      </c>
      <c r="K314" s="255">
        <f>((K90+K91+K92+K93)*'Data - P&amp;L'!$C$34)+((K200+K201+K202+K203)*'Data - P&amp;L'!$C$34)</f>
        <v>0</v>
      </c>
      <c r="L314" s="255">
        <f>((L90+L91+L92+L93)*'Data - P&amp;L'!$C$34)+((L200+L201+L202+L203)*'Data - P&amp;L'!$C$34)</f>
        <v>0</v>
      </c>
      <c r="M314" s="255">
        <f>((M90+M91+M92+M93)*'Data - P&amp;L'!$C$34)+((M200+M201+M202+M203)*'Data - P&amp;L'!$C$34)</f>
        <v>0</v>
      </c>
      <c r="N314" s="255">
        <f>((N90+N91+N92+N93)*'Data - P&amp;L'!$C$34)+((N200+N201+N202+N203)*'Data - P&amp;L'!$C$34)</f>
        <v>0</v>
      </c>
      <c r="O314" s="255">
        <f>((O90+O91+O92+O93)*'Data - P&amp;L'!$C$34)+((O200+O201+O202+O203)*'Data - P&amp;L'!$C$34)</f>
        <v>0</v>
      </c>
      <c r="P314" s="255">
        <f>((P90+P91+P92+P93)*'Data - P&amp;L'!$C$34)+((P200+P201+P202+P203)*'Data - P&amp;L'!$C$34)</f>
        <v>0</v>
      </c>
      <c r="Q314" s="255">
        <f>((Q90+Q91+Q92+Q93)*'Data - P&amp;L'!$C$34)+((Q200+Q201+Q202+Q203)*'Data - P&amp;L'!$C$34)</f>
        <v>0</v>
      </c>
      <c r="R314" s="255">
        <f>((R90+R91+R92+R93)*'Data - P&amp;L'!$C$34)+((R200+R201+R202+R203)*'Data - P&amp;L'!$C$34)</f>
        <v>0</v>
      </c>
      <c r="S314" s="255">
        <f>((S90+S91+S92+S93)*'Data - P&amp;L'!$C$34)+((S200+S201+S202+S203)*'Data - P&amp;L'!$C$34)</f>
        <v>0</v>
      </c>
      <c r="T314" s="255">
        <f>((T90+T91+T92+T93)*'Data - P&amp;L'!$C$34)+((T200+T201+T202+T203)*'Data - P&amp;L'!$C$34)</f>
        <v>0</v>
      </c>
      <c r="U314" s="255">
        <f>((U90+U91+U92+U93)*'Data - P&amp;L'!$C$34)+((U200+U201+U202+U203)*'Data - P&amp;L'!$C$34)</f>
        <v>0</v>
      </c>
      <c r="V314" s="255">
        <f>((V90+V91+V92+V93)*'Data - P&amp;L'!$C$34)+((V200+V201+V202+V203)*'Data - P&amp;L'!$C$34)</f>
        <v>0</v>
      </c>
      <c r="W314" s="255">
        <f>((W90+W91+W92+W93)*'Data - P&amp;L'!$C$34)+((W200+W201+W202+W203)*'Data - P&amp;L'!$C$34)</f>
        <v>0</v>
      </c>
      <c r="X314" s="255">
        <f>((X90+X91+X92+X93)*'Data - P&amp;L'!$C$34)+((X200+X201+X202+X203)*'Data - P&amp;L'!$C$34)</f>
        <v>0</v>
      </c>
      <c r="Y314" s="255">
        <f>((Y90+Y91+Y92+Y93)*'Data - P&amp;L'!$C$34)+((Y200+Y201+Y202+Y203)*'Data - P&amp;L'!$C$34)</f>
        <v>0</v>
      </c>
      <c r="Z314" s="255">
        <f>((Z90+Z91+Z92+Z93)*'Data - P&amp;L'!$C$34)+((Z200+Z201+Z202+Z203)*'Data - P&amp;L'!$C$34)</f>
        <v>0</v>
      </c>
      <c r="AA314" s="255">
        <f>((AA90+AA91+AA92+AA93)*'Data - P&amp;L'!$C$34)+((AA200+AA201+AA202+AA203)*'Data - P&amp;L'!$C$34)</f>
        <v>0</v>
      </c>
      <c r="AB314" s="255">
        <f>((AB90+AB91+AB92+AB93)*'Data - P&amp;L'!$C$34)+((AB200+AB201+AB202+AB203)*'Data - P&amp;L'!$C$34)</f>
        <v>0</v>
      </c>
      <c r="AC314" s="255">
        <f>((AC90+AC91+AC92+AC93)*'Data - P&amp;L'!$C$34)+((AC200+AC201+AC202+AC203)*'Data - P&amp;L'!$C$34)</f>
        <v>0</v>
      </c>
      <c r="AD314" s="255">
        <f>((AD90+AD91+AD92+AD93)*'Data - P&amp;L'!$C$34)+((AD200+AD201+AD202+AD203)*'Data - P&amp;L'!$C$34)</f>
        <v>0</v>
      </c>
      <c r="AE314" s="255">
        <f>((AE90+AE91+AE92+AE93)*'Data - P&amp;L'!$C$34)+((AE200+AE201+AE202+AE203)*'Data - P&amp;L'!$C$34)</f>
        <v>0</v>
      </c>
      <c r="AF314" s="255">
        <f>((AF90+AF91+AF92+AF93)*'Data - P&amp;L'!$C$34)+((AF200+AF201+AF202+AF203)*'Data - P&amp;L'!$C$34)</f>
        <v>0</v>
      </c>
      <c r="AG314" s="445">
        <f t="shared" si="77"/>
        <v>30.08</v>
      </c>
    </row>
    <row r="315" outlineLevel="1">
      <c r="A315" s="151" t="s">
        <v>461</v>
      </c>
      <c r="B315" s="255">
        <f>((B191*'Data - P&amp;L'!$D$38)+(B206*'Data - P&amp;L'!$D$39))*'Data - P&amp;L'!$C$55</f>
        <v>0</v>
      </c>
      <c r="C315" s="255">
        <f>((C191*'Data - P&amp;L'!$D$38)+(C206*'Data - P&amp;L'!$D$39))*'Data - P&amp;L'!$C$55</f>
        <v>0</v>
      </c>
      <c r="D315" s="255">
        <f>((D191*'Data - P&amp;L'!$D$38)+(D206*'Data - P&amp;L'!$D$39))*'Data - P&amp;L'!$C$55</f>
        <v>0</v>
      </c>
      <c r="E315" s="255">
        <f>((E191*'Data - P&amp;L'!$D$38)+(E206*'Data - P&amp;L'!$D$39))*'Data - P&amp;L'!$C$55</f>
        <v>0</v>
      </c>
      <c r="F315" s="255">
        <f>((F191*'Data - P&amp;L'!$D$38)+(F206*'Data - P&amp;L'!$D$39))*'Data - P&amp;L'!$C$55</f>
        <v>0</v>
      </c>
      <c r="G315" s="255">
        <f>((G191*'Data - P&amp;L'!$D$38)+(G206*'Data - P&amp;L'!$D$39))*'Data - P&amp;L'!$C$55</f>
        <v>0</v>
      </c>
      <c r="H315" s="255">
        <f>((H191*'Data - P&amp;L'!$D$38)+(H206*'Data - P&amp;L'!$D$39))*'Data - P&amp;L'!$C$55</f>
        <v>0</v>
      </c>
      <c r="I315" s="255">
        <f>((I191*'Data - P&amp;L'!$D$38)+(I206*'Data - P&amp;L'!$D$39))*'Data - P&amp;L'!$C$55</f>
        <v>0</v>
      </c>
      <c r="J315" s="255">
        <f>((J191*'Data - P&amp;L'!$D$38)+(J206*'Data - P&amp;L'!$D$39))*'Data - P&amp;L'!$C$55</f>
        <v>0</v>
      </c>
      <c r="K315" s="255">
        <f>((K191*'Data - P&amp;L'!$D$38)+(K206*'Data - P&amp;L'!$D$39))*'Data - P&amp;L'!$C$55</f>
        <v>0</v>
      </c>
      <c r="L315" s="255">
        <f>((L191*'Data - P&amp;L'!$D$38)+(L206*'Data - P&amp;L'!$D$39))*'Data - P&amp;L'!$C$55</f>
        <v>0</v>
      </c>
      <c r="M315" s="255">
        <f>((M191*'Data - P&amp;L'!$D$38)+(M206*'Data - P&amp;L'!$D$39))*'Data - P&amp;L'!$C$55</f>
        <v>0</v>
      </c>
      <c r="N315" s="255">
        <f>((N191*'Data - P&amp;L'!$D$38)+(N206*'Data - P&amp;L'!$D$39))*'Data - P&amp;L'!$C$55</f>
        <v>0</v>
      </c>
      <c r="O315" s="255">
        <f>((O191*'Data - P&amp;L'!$D$38)+(O206*'Data - P&amp;L'!$D$39))*'Data - P&amp;L'!$C$55</f>
        <v>0</v>
      </c>
      <c r="P315" s="255">
        <f>((P191*'Data - P&amp;L'!$D$38)+(P206*'Data - P&amp;L'!$D$39))*'Data - P&amp;L'!$C$55</f>
        <v>0</v>
      </c>
      <c r="Q315" s="255">
        <f>((Q191*'Data - P&amp;L'!$D$38)+(Q206*'Data - P&amp;L'!$D$39))*'Data - P&amp;L'!$C$55</f>
        <v>0</v>
      </c>
      <c r="R315" s="255">
        <f>((R191*'Data - P&amp;L'!$D$38)+(R206*'Data - P&amp;L'!$D$39))*'Data - P&amp;L'!$C$55</f>
        <v>0</v>
      </c>
      <c r="S315" s="255">
        <f>((S191*'Data - P&amp;L'!$D$38)+(S206*'Data - P&amp;L'!$D$39))*'Data - P&amp;L'!$C$55</f>
        <v>0</v>
      </c>
      <c r="T315" s="255">
        <f>((T191*'Data - P&amp;L'!$D$38)+(T206*'Data - P&amp;L'!$D$39))*'Data - P&amp;L'!$C$55</f>
        <v>0</v>
      </c>
      <c r="U315" s="255">
        <f>((U191*'Data - P&amp;L'!$D$38)+(U206*'Data - P&amp;L'!$D$39))*'Data - P&amp;L'!$C$55</f>
        <v>0</v>
      </c>
      <c r="V315" s="255">
        <f>((V191*'Data - P&amp;L'!$D$38)+(V206*'Data - P&amp;L'!$D$39))*'Data - P&amp;L'!$C$55</f>
        <v>0</v>
      </c>
      <c r="W315" s="255">
        <f>((W191*'Data - P&amp;L'!$D$38)+(W206*'Data - P&amp;L'!$D$39))*'Data - P&amp;L'!$C$55</f>
        <v>0</v>
      </c>
      <c r="X315" s="255">
        <f>((X191*'Data - P&amp;L'!$D$38)+(X206*'Data - P&amp;L'!$D$39))*'Data - P&amp;L'!$C$55</f>
        <v>0</v>
      </c>
      <c r="Y315" s="255">
        <f>((Y191*'Data - P&amp;L'!$D$38)+(Y206*'Data - P&amp;L'!$D$39))*'Data - P&amp;L'!$C$55</f>
        <v>0</v>
      </c>
      <c r="Z315" s="255">
        <f>((Z191*'Data - P&amp;L'!$D$38)+(Z206*'Data - P&amp;L'!$D$39))*'Data - P&amp;L'!$C$55</f>
        <v>0</v>
      </c>
      <c r="AA315" s="255">
        <f>((AA191*'Data - P&amp;L'!$D$38)+(AA206*'Data - P&amp;L'!$D$39))*'Data - P&amp;L'!$C$55</f>
        <v>0</v>
      </c>
      <c r="AB315" s="255">
        <f>((AB191*'Data - P&amp;L'!$D$38)+(AB206*'Data - P&amp;L'!$D$39))*'Data - P&amp;L'!$C$55</f>
        <v>0</v>
      </c>
      <c r="AC315" s="255">
        <f>((AC191*'Data - P&amp;L'!$D$38)+(AC206*'Data - P&amp;L'!$D$39))*'Data - P&amp;L'!$C$55</f>
        <v>0</v>
      </c>
      <c r="AD315" s="255">
        <f>((AD191*'Data - P&amp;L'!$D$38)+(AD206*'Data - P&amp;L'!$D$39))*'Data - P&amp;L'!$C$55</f>
        <v>0</v>
      </c>
      <c r="AE315" s="255">
        <f>((AE191*'Data - P&amp;L'!$D$38)+(AE206*'Data - P&amp;L'!$D$39))*'Data - P&amp;L'!$C$55</f>
        <v>0</v>
      </c>
      <c r="AF315" s="255">
        <f>((AF191*'Data - P&amp;L'!$D$38)+(AF206*'Data - P&amp;L'!$D$39))*'Data - P&amp;L'!$C$55</f>
        <v>0</v>
      </c>
      <c r="AG315" s="445">
        <f t="shared" si="77"/>
        <v>0</v>
      </c>
    </row>
    <row r="316" outlineLevel="1">
      <c r="A316" s="151" t="s">
        <v>462</v>
      </c>
      <c r="B316" s="255">
        <f>(B105*'Data - P&amp;L'!$D$34)+(B215*'Data - P&amp;L'!$D$34)</f>
        <v>0</v>
      </c>
      <c r="C316" s="255">
        <f>(C105*'Data - P&amp;L'!$D$34)+(C215*'Data - P&amp;L'!$D$34)</f>
        <v>0</v>
      </c>
      <c r="D316" s="255">
        <f>(D105*'Data - P&amp;L'!$D$34)+(D215*'Data - P&amp;L'!$D$34)</f>
        <v>0</v>
      </c>
      <c r="E316" s="255">
        <f>(E105*'Data - P&amp;L'!$D$34)+(E215*'Data - P&amp;L'!$D$34)</f>
        <v>0</v>
      </c>
      <c r="F316" s="255">
        <f>(F105*'Data - P&amp;L'!$D$34)+(F215*'Data - P&amp;L'!$D$34)</f>
        <v>0</v>
      </c>
      <c r="G316" s="255">
        <f>(G105*'Data - P&amp;L'!$D$34)+(G215*'Data - P&amp;L'!$D$34)</f>
        <v>0</v>
      </c>
      <c r="H316" s="255">
        <f>(H105*'Data - P&amp;L'!$D$34)+(H215*'Data - P&amp;L'!$D$34)</f>
        <v>0</v>
      </c>
      <c r="I316" s="255">
        <f>(I105*'Data - P&amp;L'!$D$34)+(I215*'Data - P&amp;L'!$D$34)</f>
        <v>0</v>
      </c>
      <c r="J316" s="255">
        <f>(J105*'Data - P&amp;L'!$D$34)+(J215*'Data - P&amp;L'!$D$34)</f>
        <v>0</v>
      </c>
      <c r="K316" s="255">
        <f>(K105*'Data - P&amp;L'!$D$34)+(K215*'Data - P&amp;L'!$D$34)</f>
        <v>0</v>
      </c>
      <c r="L316" s="255">
        <f>(L105*'Data - P&amp;L'!$D$34)+(L215*'Data - P&amp;L'!$D$34)</f>
        <v>0</v>
      </c>
      <c r="M316" s="255">
        <f>(M105*'Data - P&amp;L'!$D$34)+(M215*'Data - P&amp;L'!$D$34)</f>
        <v>0</v>
      </c>
      <c r="N316" s="255">
        <f>(N105*'Data - P&amp;L'!$D$34)+(N215*'Data - P&amp;L'!$D$34)</f>
        <v>0</v>
      </c>
      <c r="O316" s="255">
        <f>(O105*'Data - P&amp;L'!$D$34)+(O215*'Data - P&amp;L'!$D$34)</f>
        <v>0</v>
      </c>
      <c r="P316" s="255">
        <f>(P105*'Data - P&amp;L'!$D$34)+(P215*'Data - P&amp;L'!$D$34)</f>
        <v>0</v>
      </c>
      <c r="Q316" s="255">
        <f>(Q105*'Data - P&amp;L'!$D$34)+(Q215*'Data - P&amp;L'!$D$34)</f>
        <v>0</v>
      </c>
      <c r="R316" s="255">
        <f>(R105*'Data - P&amp;L'!$D$34)+(R215*'Data - P&amp;L'!$D$34)</f>
        <v>0</v>
      </c>
      <c r="S316" s="255">
        <f>(S105*'Data - P&amp;L'!$D$34)+(S215*'Data - P&amp;L'!$D$34)</f>
        <v>0</v>
      </c>
      <c r="T316" s="255">
        <f>(T105*'Data - P&amp;L'!$D$34)+(T215*'Data - P&amp;L'!$D$34)</f>
        <v>0</v>
      </c>
      <c r="U316" s="255">
        <f>(U105*'Data - P&amp;L'!$D$34)+(U215*'Data - P&amp;L'!$D$34)</f>
        <v>0</v>
      </c>
      <c r="V316" s="255">
        <f>(V105*'Data - P&amp;L'!$D$34)+(V215*'Data - P&amp;L'!$D$34)</f>
        <v>0</v>
      </c>
      <c r="W316" s="255">
        <f>(W105*'Data - P&amp;L'!$D$34)+(W215*'Data - P&amp;L'!$D$34)</f>
        <v>0</v>
      </c>
      <c r="X316" s="255">
        <f>(X105*'Data - P&amp;L'!$D$34)+(X215*'Data - P&amp;L'!$D$34)</f>
        <v>0</v>
      </c>
      <c r="Y316" s="255">
        <f>(Y105*'Data - P&amp;L'!$D$34)+(Y215*'Data - P&amp;L'!$D$34)</f>
        <v>0</v>
      </c>
      <c r="Z316" s="255">
        <f>(Z105*'Data - P&amp;L'!$D$34)+(Z215*'Data - P&amp;L'!$D$34)</f>
        <v>0</v>
      </c>
      <c r="AA316" s="255">
        <f>(AA105*'Data - P&amp;L'!$D$34)+(AA215*'Data - P&amp;L'!$D$34)</f>
        <v>0</v>
      </c>
      <c r="AB316" s="255">
        <f>(AB105*'Data - P&amp;L'!$D$34)+(AB215*'Data - P&amp;L'!$D$34)</f>
        <v>0</v>
      </c>
      <c r="AC316" s="255">
        <f>(AC105*'Data - P&amp;L'!$D$34)+(AC215*'Data - P&amp;L'!$D$34)</f>
        <v>0</v>
      </c>
      <c r="AD316" s="255">
        <f>(AD105*'Data - P&amp;L'!$D$34)+(AD215*'Data - P&amp;L'!$D$34)</f>
        <v>0</v>
      </c>
      <c r="AE316" s="255">
        <f>(AE105*'Data - P&amp;L'!$D$34)+(AE215*'Data - P&amp;L'!$D$34)</f>
        <v>0</v>
      </c>
      <c r="AF316" s="255">
        <f>(AF105*'Data - P&amp;L'!$D$34)+(AF215*'Data - P&amp;L'!$D$34)</f>
        <v>0</v>
      </c>
      <c r="AG316" s="445">
        <f t="shared" si="77"/>
        <v>0</v>
      </c>
    </row>
    <row r="317" outlineLevel="1">
      <c r="A317" s="452" t="s">
        <v>463</v>
      </c>
      <c r="B317" s="453"/>
      <c r="C317" s="453"/>
      <c r="D317" s="453"/>
      <c r="E317" s="453"/>
      <c r="F317" s="453"/>
      <c r="G317" s="453"/>
      <c r="H317" s="453"/>
      <c r="I317" s="453"/>
      <c r="J317" s="453"/>
      <c r="K317" s="453"/>
      <c r="L317" s="453"/>
      <c r="M317" s="453"/>
      <c r="N317" s="453"/>
      <c r="O317" s="453"/>
      <c r="P317" s="453"/>
      <c r="Q317" s="453"/>
      <c r="R317" s="453"/>
      <c r="S317" s="453"/>
      <c r="T317" s="453"/>
      <c r="U317" s="453"/>
      <c r="V317" s="453"/>
      <c r="W317" s="453"/>
      <c r="X317" s="453"/>
      <c r="Y317" s="453"/>
      <c r="Z317" s="453"/>
      <c r="AA317" s="453"/>
      <c r="AB317" s="453"/>
      <c r="AC317" s="453"/>
      <c r="AD317" s="453"/>
      <c r="AE317" s="453"/>
      <c r="AF317" s="453"/>
      <c r="AG317" s="451"/>
    </row>
    <row r="318" outlineLevel="1">
      <c r="A318" s="151" t="s">
        <v>464</v>
      </c>
      <c r="B318" s="450"/>
      <c r="C318" s="450"/>
      <c r="D318" s="450"/>
      <c r="E318" s="450"/>
      <c r="F318" s="450"/>
      <c r="G318" s="450"/>
      <c r="H318" s="450"/>
      <c r="I318" s="450"/>
      <c r="J318" s="450"/>
      <c r="K318" s="450"/>
      <c r="L318" s="450"/>
      <c r="M318" s="450"/>
      <c r="N318" s="450"/>
      <c r="O318" s="450"/>
      <c r="P318" s="450"/>
      <c r="Q318" s="450"/>
      <c r="R318" s="450"/>
      <c r="S318" s="450"/>
      <c r="T318" s="450"/>
      <c r="U318" s="450"/>
      <c r="V318" s="450"/>
      <c r="W318" s="450"/>
      <c r="X318" s="450"/>
      <c r="Y318" s="450"/>
      <c r="Z318" s="450"/>
      <c r="AA318" s="450"/>
      <c r="AB318" s="450"/>
      <c r="AC318" s="450"/>
      <c r="AD318" s="450"/>
      <c r="AE318" s="450"/>
      <c r="AF318" s="450"/>
      <c r="AG318" s="445"/>
    </row>
    <row r="319" outlineLevel="1">
      <c r="A319" s="151" t="s">
        <v>465</v>
      </c>
      <c r="B319" s="450"/>
      <c r="C319" s="450"/>
      <c r="D319" s="450"/>
      <c r="E319" s="450"/>
      <c r="F319" s="450"/>
      <c r="G319" s="450"/>
      <c r="H319" s="450"/>
      <c r="I319" s="450"/>
      <c r="J319" s="450"/>
      <c r="K319" s="450"/>
      <c r="L319" s="450"/>
      <c r="M319" s="450"/>
      <c r="N319" s="450"/>
      <c r="O319" s="450"/>
      <c r="P319" s="450"/>
      <c r="Q319" s="450"/>
      <c r="R319" s="450"/>
      <c r="S319" s="450"/>
      <c r="T319" s="450"/>
      <c r="U319" s="450"/>
      <c r="V319" s="450"/>
      <c r="W319" s="450"/>
      <c r="X319" s="450"/>
      <c r="Y319" s="450"/>
      <c r="Z319" s="450"/>
      <c r="AA319" s="450"/>
      <c r="AB319" s="450"/>
      <c r="AC319" s="450"/>
      <c r="AD319" s="450"/>
      <c r="AE319" s="450"/>
      <c r="AF319" s="450"/>
      <c r="AG319" s="445"/>
    </row>
    <row r="320" outlineLevel="1">
      <c r="A320" s="447" t="s">
        <v>466</v>
      </c>
      <c r="B320" s="454"/>
      <c r="C320" s="454"/>
      <c r="D320" s="454"/>
      <c r="E320" s="454"/>
      <c r="F320" s="454"/>
      <c r="G320" s="454"/>
      <c r="H320" s="454"/>
      <c r="I320" s="454"/>
      <c r="J320" s="454"/>
      <c r="K320" s="454"/>
      <c r="L320" s="454"/>
      <c r="M320" s="454"/>
      <c r="N320" s="454"/>
      <c r="O320" s="454"/>
      <c r="P320" s="454"/>
      <c r="Q320" s="454"/>
      <c r="R320" s="454"/>
      <c r="S320" s="454"/>
      <c r="T320" s="454"/>
      <c r="U320" s="454"/>
      <c r="V320" s="454"/>
      <c r="W320" s="454"/>
      <c r="X320" s="454"/>
      <c r="Y320" s="454"/>
      <c r="Z320" s="454"/>
      <c r="AA320" s="454"/>
      <c r="AB320" s="454"/>
      <c r="AC320" s="454"/>
      <c r="AD320" s="454"/>
      <c r="AE320" s="454"/>
      <c r="AF320" s="454"/>
      <c r="AG320" s="445"/>
    </row>
    <row r="321">
      <c r="A321" s="88"/>
      <c r="B321" s="255"/>
      <c r="C321" s="255"/>
      <c r="D321" s="255"/>
      <c r="E321" s="255"/>
      <c r="F321" s="255"/>
      <c r="G321" s="255"/>
      <c r="H321" s="255"/>
      <c r="I321" s="255"/>
      <c r="J321" s="255"/>
      <c r="K321" s="255"/>
      <c r="L321" s="255"/>
      <c r="M321" s="255"/>
      <c r="N321" s="255"/>
      <c r="O321" s="255"/>
      <c r="P321" s="255"/>
      <c r="Q321" s="255"/>
      <c r="R321" s="255"/>
      <c r="S321" s="255"/>
      <c r="T321" s="255"/>
      <c r="U321" s="255"/>
      <c r="V321" s="255"/>
      <c r="W321" s="255"/>
      <c r="X321" s="255"/>
      <c r="Y321" s="255"/>
      <c r="Z321" s="255"/>
      <c r="AA321" s="255"/>
      <c r="AB321" s="255"/>
      <c r="AC321" s="255"/>
      <c r="AD321" s="255"/>
      <c r="AE321" s="255"/>
      <c r="AF321" s="255"/>
      <c r="AG321" s="445"/>
    </row>
    <row r="322">
      <c r="A322" s="276" t="s">
        <v>770</v>
      </c>
      <c r="B322" s="455">
        <f t="shared" ref="B322:AF322" si="78">B275+B287</f>
        <v>0</v>
      </c>
      <c r="C322" s="455">
        <f t="shared" si="78"/>
        <v>0</v>
      </c>
      <c r="D322" s="455">
        <f t="shared" si="78"/>
        <v>0</v>
      </c>
      <c r="E322" s="455">
        <f t="shared" si="78"/>
        <v>0</v>
      </c>
      <c r="F322" s="455">
        <f t="shared" si="78"/>
        <v>0</v>
      </c>
      <c r="G322" s="455">
        <f t="shared" si="78"/>
        <v>0</v>
      </c>
      <c r="H322" s="455">
        <f t="shared" si="78"/>
        <v>0</v>
      </c>
      <c r="I322" s="455">
        <f t="shared" si="78"/>
        <v>0</v>
      </c>
      <c r="J322" s="455">
        <f t="shared" si="78"/>
        <v>0</v>
      </c>
      <c r="K322" s="455">
        <f t="shared" si="78"/>
        <v>0</v>
      </c>
      <c r="L322" s="455">
        <f t="shared" si="78"/>
        <v>0</v>
      </c>
      <c r="M322" s="455">
        <f t="shared" si="78"/>
        <v>0</v>
      </c>
      <c r="N322" s="455">
        <f t="shared" si="78"/>
        <v>0</v>
      </c>
      <c r="O322" s="455">
        <f t="shared" si="78"/>
        <v>0</v>
      </c>
      <c r="P322" s="455">
        <f t="shared" si="78"/>
        <v>0</v>
      </c>
      <c r="Q322" s="455">
        <f t="shared" si="78"/>
        <v>0</v>
      </c>
      <c r="R322" s="455">
        <f t="shared" si="78"/>
        <v>0</v>
      </c>
      <c r="S322" s="455">
        <f t="shared" si="78"/>
        <v>0</v>
      </c>
      <c r="T322" s="455">
        <f t="shared" si="78"/>
        <v>0</v>
      </c>
      <c r="U322" s="455">
        <f t="shared" si="78"/>
        <v>0</v>
      </c>
      <c r="V322" s="455">
        <f t="shared" si="78"/>
        <v>0</v>
      </c>
      <c r="W322" s="455">
        <f t="shared" si="78"/>
        <v>0</v>
      </c>
      <c r="X322" s="455">
        <f t="shared" si="78"/>
        <v>0</v>
      </c>
      <c r="Y322" s="455">
        <f t="shared" si="78"/>
        <v>0</v>
      </c>
      <c r="Z322" s="455">
        <f t="shared" si="78"/>
        <v>0</v>
      </c>
      <c r="AA322" s="455">
        <f t="shared" si="78"/>
        <v>0</v>
      </c>
      <c r="AB322" s="455">
        <f t="shared" si="78"/>
        <v>0</v>
      </c>
      <c r="AC322" s="455">
        <f t="shared" si="78"/>
        <v>0</v>
      </c>
      <c r="AD322" s="455">
        <f t="shared" si="78"/>
        <v>0</v>
      </c>
      <c r="AE322" s="455">
        <f t="shared" si="78"/>
        <v>0</v>
      </c>
      <c r="AF322" s="455">
        <f t="shared" si="78"/>
        <v>0</v>
      </c>
      <c r="AG322" s="95">
        <f>SUM(B322:AF322)</f>
        <v>0</v>
      </c>
    </row>
    <row r="323">
      <c r="A323" s="172"/>
      <c r="B323" s="255"/>
      <c r="C323" s="255"/>
      <c r="D323" s="255"/>
      <c r="E323" s="255"/>
      <c r="F323" s="255"/>
      <c r="G323" s="255"/>
      <c r="H323" s="255"/>
      <c r="I323" s="255"/>
      <c r="J323" s="255"/>
      <c r="K323" s="255"/>
      <c r="L323" s="255"/>
      <c r="M323" s="255"/>
      <c r="N323" s="255"/>
      <c r="O323" s="255"/>
      <c r="P323" s="255"/>
      <c r="Q323" s="255"/>
      <c r="R323" s="255"/>
      <c r="S323" s="255"/>
      <c r="T323" s="255"/>
      <c r="U323" s="255"/>
      <c r="V323" s="255"/>
      <c r="W323" s="255"/>
      <c r="X323" s="255"/>
      <c r="Y323" s="255"/>
      <c r="Z323" s="255"/>
      <c r="AA323" s="255"/>
      <c r="AB323" s="255"/>
      <c r="AC323" s="255"/>
      <c r="AD323" s="255"/>
      <c r="AE323" s="255"/>
      <c r="AF323" s="255"/>
      <c r="AG323" s="445"/>
    </row>
    <row r="324">
      <c r="A324" s="215" t="s">
        <v>413</v>
      </c>
      <c r="B324" s="456">
        <f t="shared" ref="B324:AF324" si="79">B265+B276+B288-B303</f>
        <v>0</v>
      </c>
      <c r="C324" s="456">
        <f t="shared" si="79"/>
        <v>0</v>
      </c>
      <c r="D324" s="456">
        <f t="shared" si="79"/>
        <v>0</v>
      </c>
      <c r="E324" s="456">
        <f t="shared" si="79"/>
        <v>-121.03</v>
      </c>
      <c r="F324" s="456">
        <f t="shared" si="79"/>
        <v>6</v>
      </c>
      <c r="G324" s="456">
        <f t="shared" si="79"/>
        <v>0</v>
      </c>
      <c r="H324" s="456">
        <f t="shared" si="79"/>
        <v>0</v>
      </c>
      <c r="I324" s="456">
        <f t="shared" si="79"/>
        <v>0</v>
      </c>
      <c r="J324" s="456">
        <f t="shared" si="79"/>
        <v>0</v>
      </c>
      <c r="K324" s="456">
        <f t="shared" si="79"/>
        <v>0</v>
      </c>
      <c r="L324" s="456">
        <f t="shared" si="79"/>
        <v>0</v>
      </c>
      <c r="M324" s="456">
        <f t="shared" si="79"/>
        <v>0</v>
      </c>
      <c r="N324" s="456">
        <f t="shared" si="79"/>
        <v>0</v>
      </c>
      <c r="O324" s="456">
        <f t="shared" si="79"/>
        <v>0</v>
      </c>
      <c r="P324" s="456">
        <f t="shared" si="79"/>
        <v>0</v>
      </c>
      <c r="Q324" s="456">
        <f t="shared" si="79"/>
        <v>0</v>
      </c>
      <c r="R324" s="456">
        <f t="shared" si="79"/>
        <v>0</v>
      </c>
      <c r="S324" s="456">
        <f t="shared" si="79"/>
        <v>0</v>
      </c>
      <c r="T324" s="456">
        <f t="shared" si="79"/>
        <v>0</v>
      </c>
      <c r="U324" s="456">
        <f t="shared" si="79"/>
        <v>0</v>
      </c>
      <c r="V324" s="456">
        <f t="shared" si="79"/>
        <v>0</v>
      </c>
      <c r="W324" s="456">
        <f t="shared" si="79"/>
        <v>0</v>
      </c>
      <c r="X324" s="456">
        <f t="shared" si="79"/>
        <v>0</v>
      </c>
      <c r="Y324" s="456">
        <f t="shared" si="79"/>
        <v>0</v>
      </c>
      <c r="Z324" s="456">
        <f t="shared" si="79"/>
        <v>0</v>
      </c>
      <c r="AA324" s="456">
        <f t="shared" si="79"/>
        <v>0</v>
      </c>
      <c r="AB324" s="456">
        <f t="shared" si="79"/>
        <v>0</v>
      </c>
      <c r="AC324" s="456">
        <f t="shared" si="79"/>
        <v>0</v>
      </c>
      <c r="AD324" s="456">
        <f t="shared" si="79"/>
        <v>0</v>
      </c>
      <c r="AE324" s="456">
        <f t="shared" si="79"/>
        <v>0</v>
      </c>
      <c r="AF324" s="456">
        <f t="shared" si="79"/>
        <v>0</v>
      </c>
      <c r="AG324" s="95">
        <f>SUM(B324:AF324)</f>
        <v>-115.03</v>
      </c>
    </row>
    <row r="325">
      <c r="A325" s="88"/>
      <c r="B325" s="255"/>
      <c r="C325" s="255"/>
      <c r="D325" s="255"/>
      <c r="E325" s="255"/>
      <c r="F325" s="255"/>
      <c r="G325" s="255"/>
      <c r="H325" s="255"/>
      <c r="I325" s="255"/>
      <c r="J325" s="255"/>
      <c r="K325" s="255"/>
      <c r="L325" s="255"/>
      <c r="M325" s="255"/>
      <c r="N325" s="255"/>
      <c r="O325" s="255"/>
      <c r="P325" s="255"/>
      <c r="Q325" s="255"/>
      <c r="R325" s="255"/>
      <c r="S325" s="255"/>
      <c r="T325" s="255"/>
      <c r="U325" s="255"/>
      <c r="V325" s="255"/>
      <c r="W325" s="255"/>
      <c r="X325" s="255"/>
      <c r="Y325" s="255"/>
      <c r="Z325" s="255"/>
      <c r="AA325" s="255"/>
      <c r="AB325" s="255"/>
      <c r="AC325" s="255"/>
      <c r="AD325" s="255"/>
      <c r="AE325" s="255"/>
      <c r="AF325" s="255"/>
      <c r="AG325" s="445"/>
    </row>
    <row r="326">
      <c r="A326" s="457" t="s">
        <v>771</v>
      </c>
      <c r="B326" s="259"/>
      <c r="C326" s="259"/>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c r="AA326" s="259"/>
      <c r="AB326" s="259"/>
      <c r="AC326" s="259"/>
      <c r="AD326" s="259"/>
      <c r="AE326" s="259"/>
      <c r="AF326" s="259"/>
      <c r="AG326" s="445"/>
    </row>
    <row r="327">
      <c r="A327" s="261">
        <f>SUM(AG4+AG116)</f>
        <v>4273.047804</v>
      </c>
      <c r="B327" s="255"/>
      <c r="C327" s="255"/>
      <c r="D327" s="255"/>
      <c r="E327" s="255"/>
      <c r="F327" s="255"/>
      <c r="G327" s="255"/>
      <c r="H327" s="255"/>
      <c r="I327" s="255"/>
      <c r="J327" s="255"/>
      <c r="K327" s="255"/>
      <c r="L327" s="255"/>
      <c r="M327" s="255"/>
      <c r="N327" s="255"/>
      <c r="O327" s="255"/>
      <c r="P327" s="255"/>
      <c r="Q327" s="255"/>
      <c r="R327" s="255"/>
      <c r="S327" s="255"/>
      <c r="T327" s="255"/>
      <c r="U327" s="255"/>
      <c r="V327" s="255"/>
      <c r="W327" s="255"/>
      <c r="X327" s="255"/>
      <c r="Y327" s="255"/>
      <c r="Z327" s="255"/>
      <c r="AA327" s="255"/>
      <c r="AB327" s="255"/>
      <c r="AC327" s="255"/>
      <c r="AD327" s="255"/>
      <c r="AE327" s="255"/>
      <c r="AF327" s="255"/>
      <c r="AG327" s="445"/>
    </row>
    <row r="328">
      <c r="A328" s="457" t="s">
        <v>772</v>
      </c>
      <c r="B328" s="259">
        <f t="shared" ref="B328:AF328" si="80">(B4+B116)-B262</f>
        <v>30.7678456</v>
      </c>
      <c r="C328" s="259">
        <f t="shared" si="80"/>
        <v>25.7833228</v>
      </c>
      <c r="D328" s="259">
        <f t="shared" si="80"/>
        <v>0</v>
      </c>
      <c r="E328" s="259">
        <f t="shared" si="80"/>
        <v>0</v>
      </c>
      <c r="F328" s="259">
        <f t="shared" si="80"/>
        <v>0</v>
      </c>
      <c r="G328" s="259">
        <f t="shared" si="80"/>
        <v>25.7833228</v>
      </c>
      <c r="H328" s="259">
        <f t="shared" si="80"/>
        <v>126.78621</v>
      </c>
      <c r="I328" s="259">
        <f t="shared" si="80"/>
        <v>51.5666456</v>
      </c>
      <c r="J328" s="259">
        <f t="shared" si="80"/>
        <v>0</v>
      </c>
      <c r="K328" s="259">
        <f t="shared" si="80"/>
        <v>108.117814</v>
      </c>
      <c r="L328" s="259">
        <f t="shared" si="80"/>
        <v>12.9395328</v>
      </c>
      <c r="M328" s="259">
        <f t="shared" si="80"/>
        <v>25.7833228</v>
      </c>
      <c r="N328" s="259">
        <f t="shared" si="80"/>
        <v>0</v>
      </c>
      <c r="O328" s="259">
        <f t="shared" si="80"/>
        <v>0</v>
      </c>
      <c r="P328" s="259">
        <f t="shared" si="80"/>
        <v>0</v>
      </c>
      <c r="Q328" s="259">
        <f t="shared" si="80"/>
        <v>0</v>
      </c>
      <c r="R328" s="259">
        <f t="shared" si="80"/>
        <v>0</v>
      </c>
      <c r="S328" s="259">
        <f t="shared" si="80"/>
        <v>0</v>
      </c>
      <c r="T328" s="259">
        <f t="shared" si="80"/>
        <v>0</v>
      </c>
      <c r="U328" s="259">
        <f t="shared" si="80"/>
        <v>0</v>
      </c>
      <c r="V328" s="259">
        <f t="shared" si="80"/>
        <v>0</v>
      </c>
      <c r="W328" s="259">
        <f t="shared" si="80"/>
        <v>0</v>
      </c>
      <c r="X328" s="259">
        <f t="shared" si="80"/>
        <v>0</v>
      </c>
      <c r="Y328" s="259">
        <f t="shared" si="80"/>
        <v>0</v>
      </c>
      <c r="Z328" s="259">
        <f t="shared" si="80"/>
        <v>152.67762</v>
      </c>
      <c r="AA328" s="259">
        <f t="shared" si="80"/>
        <v>0</v>
      </c>
      <c r="AB328" s="259">
        <f t="shared" si="80"/>
        <v>0</v>
      </c>
      <c r="AC328" s="259">
        <f t="shared" si="80"/>
        <v>96.6781228</v>
      </c>
      <c r="AD328" s="259">
        <f t="shared" si="80"/>
        <v>0</v>
      </c>
      <c r="AE328" s="259">
        <f t="shared" si="80"/>
        <v>0</v>
      </c>
      <c r="AF328" s="259">
        <f t="shared" si="80"/>
        <v>0</v>
      </c>
      <c r="AG328" s="95"/>
    </row>
    <row r="329">
      <c r="A329" s="458">
        <f>SUM(B328:AF328)</f>
        <v>656.8837592</v>
      </c>
      <c r="B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c r="AA329" s="264"/>
      <c r="AB329" s="264"/>
      <c r="AC329" s="264"/>
      <c r="AD329" s="264"/>
      <c r="AE329" s="264"/>
      <c r="AF329" s="264"/>
      <c r="AG329" s="445"/>
    </row>
    <row r="330">
      <c r="A330" s="459" t="s">
        <v>773</v>
      </c>
      <c r="B330" s="460"/>
      <c r="C330" s="460"/>
      <c r="D330" s="460"/>
      <c r="E330" s="460"/>
      <c r="F330" s="460"/>
      <c r="G330" s="460"/>
      <c r="H330" s="460"/>
      <c r="I330" s="460"/>
      <c r="J330" s="460"/>
      <c r="K330" s="460"/>
      <c r="L330" s="460"/>
      <c r="M330" s="460"/>
      <c r="N330" s="460"/>
      <c r="O330" s="460"/>
      <c r="P330" s="460"/>
      <c r="Q330" s="460"/>
      <c r="R330" s="460"/>
      <c r="S330" s="460"/>
      <c r="T330" s="460"/>
      <c r="U330" s="460"/>
      <c r="V330" s="460"/>
      <c r="W330" s="460"/>
      <c r="X330" s="460"/>
      <c r="Y330" s="460"/>
      <c r="Z330" s="460"/>
      <c r="AA330" s="460"/>
      <c r="AB330" s="460"/>
      <c r="AC330" s="460"/>
      <c r="AD330" s="460"/>
      <c r="AE330" s="460"/>
      <c r="AF330" s="460"/>
      <c r="AG330" s="445"/>
    </row>
    <row r="331">
      <c r="A331" s="461">
        <f>A329/A327</f>
        <v>0.1537272199</v>
      </c>
      <c r="B331" s="462"/>
      <c r="C331" s="462"/>
      <c r="D331" s="462"/>
      <c r="E331" s="462"/>
      <c r="F331" s="462"/>
      <c r="G331" s="462"/>
      <c r="H331" s="462"/>
      <c r="I331" s="462"/>
      <c r="J331" s="462"/>
      <c r="K331" s="462"/>
      <c r="L331" s="462"/>
      <c r="M331" s="462"/>
      <c r="N331" s="462"/>
      <c r="O331" s="462"/>
      <c r="P331" s="462"/>
      <c r="Q331" s="462"/>
      <c r="R331" s="462"/>
      <c r="S331" s="462"/>
      <c r="T331" s="462"/>
      <c r="U331" s="462"/>
      <c r="V331" s="462"/>
      <c r="W331" s="462"/>
      <c r="X331" s="462"/>
      <c r="Y331" s="462"/>
      <c r="Z331" s="462"/>
      <c r="AA331" s="462"/>
      <c r="AB331" s="462"/>
      <c r="AC331" s="462"/>
      <c r="AD331" s="462"/>
      <c r="AE331" s="462"/>
      <c r="AF331" s="462"/>
      <c r="AG331" s="445"/>
    </row>
    <row r="332">
      <c r="A332" s="86"/>
      <c r="B332" s="255"/>
      <c r="C332" s="255"/>
      <c r="D332" s="255"/>
      <c r="E332" s="255"/>
      <c r="F332" s="255"/>
      <c r="G332" s="255"/>
      <c r="H332" s="255"/>
      <c r="I332" s="255"/>
      <c r="J332" s="255"/>
      <c r="K332" s="255"/>
      <c r="L332" s="255"/>
      <c r="M332" s="255"/>
      <c r="N332" s="255"/>
      <c r="O332" s="255"/>
      <c r="P332" s="255"/>
      <c r="Q332" s="255"/>
      <c r="R332" s="255"/>
      <c r="S332" s="255"/>
      <c r="T332" s="255"/>
      <c r="U332" s="255"/>
      <c r="V332" s="255"/>
      <c r="W332" s="255"/>
      <c r="X332" s="255"/>
      <c r="Y332" s="255"/>
      <c r="Z332" s="255"/>
      <c r="AA332" s="255"/>
      <c r="AB332" s="255"/>
      <c r="AC332" s="255"/>
      <c r="AD332" s="255"/>
      <c r="AE332" s="255"/>
      <c r="AF332" s="255"/>
      <c r="AG332" s="445"/>
    </row>
    <row r="333">
      <c r="A333" s="86"/>
      <c r="B333" s="255"/>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445"/>
    </row>
    <row r="334">
      <c r="A334" s="463" t="s">
        <v>414</v>
      </c>
      <c r="B334" s="255"/>
      <c r="C334" s="255"/>
      <c r="D334" s="255"/>
      <c r="E334" s="255"/>
      <c r="F334" s="255"/>
      <c r="G334" s="255"/>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c r="AD334" s="255"/>
      <c r="AE334" s="255"/>
      <c r="AF334" s="255"/>
      <c r="AG334" s="445"/>
    </row>
    <row r="335">
      <c r="A335" s="261">
        <f>A327</f>
        <v>4273.047804</v>
      </c>
      <c r="B335" s="255"/>
      <c r="C335" s="255"/>
      <c r="D335" s="255"/>
      <c r="E335" s="255"/>
      <c r="F335" s="255"/>
      <c r="G335" s="255"/>
      <c r="H335" s="255"/>
      <c r="I335" s="255"/>
      <c r="J335" s="255"/>
      <c r="K335" s="255"/>
      <c r="L335" s="255"/>
      <c r="M335" s="255"/>
      <c r="N335" s="255"/>
      <c r="O335" s="255"/>
      <c r="P335" s="255"/>
      <c r="Q335" s="255"/>
      <c r="R335" s="255"/>
      <c r="S335" s="255"/>
      <c r="T335" s="255"/>
      <c r="U335" s="255"/>
      <c r="V335" s="255"/>
      <c r="W335" s="255"/>
      <c r="X335" s="255"/>
      <c r="Y335" s="255"/>
      <c r="Z335" s="255"/>
      <c r="AA335" s="255"/>
      <c r="AB335" s="255"/>
      <c r="AC335" s="255"/>
      <c r="AD335" s="255"/>
      <c r="AE335" s="255"/>
      <c r="AF335" s="255"/>
      <c r="AG335" s="445"/>
    </row>
    <row r="336">
      <c r="A336" s="463" t="s">
        <v>471</v>
      </c>
      <c r="B336" s="255">
        <f t="shared" ref="B336:AF336" si="81">B328+B324</f>
        <v>30.7678456</v>
      </c>
      <c r="C336" s="255">
        <f t="shared" si="81"/>
        <v>25.7833228</v>
      </c>
      <c r="D336" s="255">
        <f t="shared" si="81"/>
        <v>0</v>
      </c>
      <c r="E336" s="255">
        <f t="shared" si="81"/>
        <v>-121.03</v>
      </c>
      <c r="F336" s="255">
        <f t="shared" si="81"/>
        <v>6</v>
      </c>
      <c r="G336" s="255">
        <f t="shared" si="81"/>
        <v>25.7833228</v>
      </c>
      <c r="H336" s="255">
        <f t="shared" si="81"/>
        <v>126.78621</v>
      </c>
      <c r="I336" s="255">
        <f t="shared" si="81"/>
        <v>51.5666456</v>
      </c>
      <c r="J336" s="255">
        <f t="shared" si="81"/>
        <v>0</v>
      </c>
      <c r="K336" s="255">
        <f t="shared" si="81"/>
        <v>108.117814</v>
      </c>
      <c r="L336" s="255">
        <f t="shared" si="81"/>
        <v>12.9395328</v>
      </c>
      <c r="M336" s="255">
        <f t="shared" si="81"/>
        <v>25.7833228</v>
      </c>
      <c r="N336" s="255">
        <f t="shared" si="81"/>
        <v>0</v>
      </c>
      <c r="O336" s="255">
        <f t="shared" si="81"/>
        <v>0</v>
      </c>
      <c r="P336" s="255">
        <f t="shared" si="81"/>
        <v>0</v>
      </c>
      <c r="Q336" s="255">
        <f t="shared" si="81"/>
        <v>0</v>
      </c>
      <c r="R336" s="255">
        <f t="shared" si="81"/>
        <v>0</v>
      </c>
      <c r="S336" s="255">
        <f t="shared" si="81"/>
        <v>0</v>
      </c>
      <c r="T336" s="255">
        <f t="shared" si="81"/>
        <v>0</v>
      </c>
      <c r="U336" s="255">
        <f t="shared" si="81"/>
        <v>0</v>
      </c>
      <c r="V336" s="255">
        <f t="shared" si="81"/>
        <v>0</v>
      </c>
      <c r="W336" s="255">
        <f t="shared" si="81"/>
        <v>0</v>
      </c>
      <c r="X336" s="255">
        <f t="shared" si="81"/>
        <v>0</v>
      </c>
      <c r="Y336" s="255">
        <f t="shared" si="81"/>
        <v>0</v>
      </c>
      <c r="Z336" s="255">
        <f t="shared" si="81"/>
        <v>152.67762</v>
      </c>
      <c r="AA336" s="255">
        <f t="shared" si="81"/>
        <v>0</v>
      </c>
      <c r="AB336" s="255">
        <f t="shared" si="81"/>
        <v>0</v>
      </c>
      <c r="AC336" s="255">
        <f t="shared" si="81"/>
        <v>96.6781228</v>
      </c>
      <c r="AD336" s="255">
        <f t="shared" si="81"/>
        <v>0</v>
      </c>
      <c r="AE336" s="255">
        <f t="shared" si="81"/>
        <v>0</v>
      </c>
      <c r="AF336" s="255">
        <f t="shared" si="81"/>
        <v>0</v>
      </c>
      <c r="AG336" s="95"/>
    </row>
    <row r="337">
      <c r="A337" s="458">
        <f>sum(B336:AF336)</f>
        <v>541.8537592</v>
      </c>
      <c r="B337" s="255"/>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c r="AF337" s="255"/>
      <c r="AG337" s="445"/>
    </row>
    <row r="338">
      <c r="A338" s="464" t="s">
        <v>472</v>
      </c>
      <c r="B338" s="264">
        <f t="shared" ref="B338:AF338" si="82">B336/(B4+B116)</f>
        <v>0.07628818206</v>
      </c>
      <c r="C338" s="264">
        <f t="shared" si="82"/>
        <v>0.1156807749</v>
      </c>
      <c r="D338" s="264" t="str">
        <f t="shared" si="82"/>
        <v>#DIV/0!</v>
      </c>
      <c r="E338" s="264" t="str">
        <f t="shared" si="82"/>
        <v>#DIV/0!</v>
      </c>
      <c r="F338" s="264" t="str">
        <f t="shared" si="82"/>
        <v>#DIV/0!</v>
      </c>
      <c r="G338" s="264">
        <f t="shared" si="82"/>
        <v>0.1156807749</v>
      </c>
      <c r="H338" s="264">
        <f t="shared" si="82"/>
        <v>0.3995045668</v>
      </c>
      <c r="I338" s="264">
        <f t="shared" si="82"/>
        <v>0.1156807749</v>
      </c>
      <c r="J338" s="264" t="str">
        <f t="shared" si="82"/>
        <v>#DIV/0!</v>
      </c>
      <c r="K338" s="264">
        <f t="shared" si="82"/>
        <v>0.1008598457</v>
      </c>
      <c r="L338" s="264">
        <f t="shared" si="82"/>
        <v>0.02395136464</v>
      </c>
      <c r="M338" s="264">
        <f t="shared" si="82"/>
        <v>0.1156807749</v>
      </c>
      <c r="N338" s="264" t="str">
        <f t="shared" si="82"/>
        <v>#DIV/0!</v>
      </c>
      <c r="O338" s="264" t="str">
        <f t="shared" si="82"/>
        <v>#DIV/0!</v>
      </c>
      <c r="P338" s="264" t="str">
        <f t="shared" si="82"/>
        <v>#DIV/0!</v>
      </c>
      <c r="Q338" s="264" t="str">
        <f t="shared" si="82"/>
        <v>#DIV/0!</v>
      </c>
      <c r="R338" s="264" t="str">
        <f t="shared" si="82"/>
        <v>#DIV/0!</v>
      </c>
      <c r="S338" s="264" t="str">
        <f t="shared" si="82"/>
        <v>#DIV/0!</v>
      </c>
      <c r="T338" s="264" t="str">
        <f t="shared" si="82"/>
        <v>#DIV/0!</v>
      </c>
      <c r="U338" s="264" t="str">
        <f t="shared" si="82"/>
        <v>#DIV/0!</v>
      </c>
      <c r="V338" s="264" t="str">
        <f t="shared" si="82"/>
        <v>#DIV/0!</v>
      </c>
      <c r="W338" s="264" t="str">
        <f t="shared" si="82"/>
        <v>#DIV/0!</v>
      </c>
      <c r="X338" s="264" t="str">
        <f t="shared" si="82"/>
        <v>#DIV/0!</v>
      </c>
      <c r="Y338" s="264" t="str">
        <f t="shared" si="82"/>
        <v>#DIV/0!</v>
      </c>
      <c r="Z338" s="264">
        <f t="shared" si="82"/>
        <v>0.3009320208</v>
      </c>
      <c r="AA338" s="264" t="str">
        <f t="shared" si="82"/>
        <v>#DIV/0!</v>
      </c>
      <c r="AB338" s="264" t="str">
        <f t="shared" si="82"/>
        <v>#DIV/0!</v>
      </c>
      <c r="AC338" s="264">
        <f t="shared" si="82"/>
        <v>0.3036283698</v>
      </c>
      <c r="AD338" s="264" t="str">
        <f t="shared" si="82"/>
        <v>#DIV/0!</v>
      </c>
      <c r="AE338" s="264" t="str">
        <f t="shared" si="82"/>
        <v>#DIV/0!</v>
      </c>
      <c r="AF338" s="264" t="str">
        <f t="shared" si="82"/>
        <v>#DIV/0!</v>
      </c>
      <c r="AG338" s="95"/>
    </row>
    <row r="339">
      <c r="A339" s="461">
        <f>A337/A335</f>
        <v>0.1268073244</v>
      </c>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c r="AF339" s="255"/>
      <c r="AG339" s="445"/>
    </row>
    <row r="340">
      <c r="A340" s="85"/>
      <c r="B340" s="255"/>
      <c r="C340" s="255"/>
      <c r="D340" s="255"/>
      <c r="E340" s="255"/>
      <c r="F340" s="255"/>
      <c r="G340" s="255"/>
      <c r="H340" s="255"/>
      <c r="I340" s="255"/>
      <c r="J340" s="255"/>
      <c r="K340" s="255"/>
      <c r="L340" s="255"/>
      <c r="M340" s="255"/>
      <c r="N340" s="255"/>
      <c r="O340" s="255"/>
      <c r="P340" s="255"/>
      <c r="Q340" s="255"/>
      <c r="R340" s="255"/>
      <c r="S340" s="255"/>
      <c r="T340" s="255"/>
      <c r="U340" s="255"/>
      <c r="V340" s="255"/>
      <c r="W340" s="255"/>
      <c r="X340" s="255"/>
      <c r="Y340" s="255"/>
      <c r="Z340" s="255"/>
      <c r="AA340" s="255"/>
      <c r="AB340" s="255"/>
      <c r="AC340" s="255"/>
      <c r="AD340" s="255"/>
      <c r="AE340" s="255"/>
      <c r="AF340" s="255"/>
      <c r="AG340" s="445"/>
    </row>
    <row r="341">
      <c r="A341" s="86"/>
      <c r="B341" s="255"/>
      <c r="C341" s="255"/>
      <c r="D341" s="255"/>
      <c r="E341" s="255"/>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c r="AD341" s="255"/>
      <c r="AE341" s="255"/>
      <c r="AF341" s="255"/>
      <c r="AG341" s="445"/>
    </row>
    <row r="342">
      <c r="A342" s="86"/>
      <c r="B342" s="255"/>
      <c r="C342" s="255"/>
      <c r="D342" s="255"/>
      <c r="E342" s="255"/>
      <c r="F342" s="255"/>
      <c r="G342" s="255"/>
      <c r="H342" s="255"/>
      <c r="I342" s="255"/>
      <c r="J342" s="255"/>
      <c r="K342" s="255"/>
      <c r="L342" s="255"/>
      <c r="M342" s="255"/>
      <c r="N342" s="255"/>
      <c r="O342" s="255"/>
      <c r="P342" s="255"/>
      <c r="Q342" s="255"/>
      <c r="R342" s="255"/>
      <c r="S342" s="255"/>
      <c r="T342" s="255"/>
      <c r="U342" s="255"/>
      <c r="V342" s="255"/>
      <c r="W342" s="255"/>
      <c r="X342" s="255"/>
      <c r="Y342" s="255"/>
      <c r="Z342" s="255"/>
      <c r="AA342" s="255"/>
      <c r="AB342" s="255"/>
      <c r="AC342" s="255"/>
      <c r="AD342" s="255"/>
      <c r="AE342" s="255"/>
      <c r="AF342" s="255"/>
      <c r="AG342" s="445"/>
    </row>
    <row r="343">
      <c r="A343" s="86"/>
      <c r="B343" s="255"/>
      <c r="C343" s="255"/>
      <c r="D343" s="255"/>
      <c r="E343" s="255"/>
      <c r="F343" s="255"/>
      <c r="G343" s="255"/>
      <c r="H343" s="255"/>
      <c r="I343" s="255"/>
      <c r="J343" s="255"/>
      <c r="K343" s="255"/>
      <c r="L343" s="255"/>
      <c r="M343" s="255"/>
      <c r="N343" s="255"/>
      <c r="O343" s="255"/>
      <c r="P343" s="255"/>
      <c r="Q343" s="255"/>
      <c r="R343" s="255"/>
      <c r="S343" s="255"/>
      <c r="T343" s="255"/>
      <c r="U343" s="255"/>
      <c r="V343" s="255"/>
      <c r="W343" s="255"/>
      <c r="X343" s="255"/>
      <c r="Y343" s="255"/>
      <c r="Z343" s="255"/>
      <c r="AA343" s="255"/>
      <c r="AB343" s="255"/>
      <c r="AC343" s="255"/>
      <c r="AD343" s="255"/>
      <c r="AE343" s="255"/>
      <c r="AF343" s="255"/>
      <c r="AG343" s="445"/>
    </row>
    <row r="344">
      <c r="A344" s="86"/>
      <c r="B344" s="255"/>
      <c r="C344" s="255"/>
      <c r="D344" s="255"/>
      <c r="E344" s="255"/>
      <c r="F344" s="255"/>
      <c r="G344" s="255"/>
      <c r="H344" s="255"/>
      <c r="I344" s="255"/>
      <c r="J344" s="255"/>
      <c r="K344" s="255"/>
      <c r="L344" s="255"/>
      <c r="M344" s="255"/>
      <c r="N344" s="255"/>
      <c r="O344" s="255"/>
      <c r="P344" s="255"/>
      <c r="Q344" s="255"/>
      <c r="R344" s="255"/>
      <c r="S344" s="255"/>
      <c r="T344" s="255"/>
      <c r="U344" s="255"/>
      <c r="V344" s="255"/>
      <c r="W344" s="255"/>
      <c r="X344" s="255"/>
      <c r="Y344" s="255"/>
      <c r="Z344" s="255"/>
      <c r="AA344" s="255"/>
      <c r="AB344" s="255"/>
      <c r="AC344" s="255"/>
      <c r="AD344" s="255"/>
      <c r="AE344" s="255"/>
      <c r="AF344" s="255"/>
      <c r="AG344" s="445"/>
    </row>
    <row r="345">
      <c r="A345" s="86"/>
      <c r="B345" s="255"/>
      <c r="C345" s="255"/>
      <c r="D345" s="255"/>
      <c r="E345" s="255"/>
      <c r="F345" s="255"/>
      <c r="G345" s="255"/>
      <c r="H345" s="255"/>
      <c r="I345" s="255"/>
      <c r="J345" s="255"/>
      <c r="K345" s="255"/>
      <c r="L345" s="255"/>
      <c r="M345" s="255"/>
      <c r="N345" s="255"/>
      <c r="O345" s="255"/>
      <c r="P345" s="255"/>
      <c r="Q345" s="255"/>
      <c r="R345" s="255"/>
      <c r="S345" s="255"/>
      <c r="T345" s="255"/>
      <c r="U345" s="255"/>
      <c r="V345" s="255"/>
      <c r="W345" s="255"/>
      <c r="X345" s="255"/>
      <c r="Y345" s="255"/>
      <c r="Z345" s="255"/>
      <c r="AA345" s="255"/>
      <c r="AB345" s="255"/>
      <c r="AC345" s="255"/>
      <c r="AD345" s="255"/>
      <c r="AE345" s="255"/>
      <c r="AF345" s="255"/>
      <c r="AG345" s="445"/>
    </row>
    <row r="346">
      <c r="A346" s="86"/>
      <c r="B346" s="255"/>
      <c r="C346" s="255"/>
      <c r="D346" s="255"/>
      <c r="E346" s="255"/>
      <c r="F346" s="255"/>
      <c r="G346" s="255"/>
      <c r="H346" s="255"/>
      <c r="I346" s="255"/>
      <c r="J346" s="255"/>
      <c r="K346" s="255"/>
      <c r="L346" s="255"/>
      <c r="M346" s="255"/>
      <c r="N346" s="255"/>
      <c r="O346" s="255"/>
      <c r="P346" s="255"/>
      <c r="Q346" s="255"/>
      <c r="R346" s="255"/>
      <c r="S346" s="255"/>
      <c r="T346" s="255"/>
      <c r="U346" s="255"/>
      <c r="V346" s="255"/>
      <c r="W346" s="255"/>
      <c r="X346" s="255"/>
      <c r="Y346" s="255"/>
      <c r="Z346" s="255"/>
      <c r="AA346" s="255"/>
      <c r="AB346" s="255"/>
      <c r="AC346" s="255"/>
      <c r="AD346" s="255"/>
      <c r="AE346" s="255"/>
      <c r="AF346" s="255"/>
      <c r="AG346" s="445"/>
    </row>
    <row r="347">
      <c r="A347" s="86"/>
      <c r="B347" s="255"/>
      <c r="C347" s="255"/>
      <c r="D347" s="255"/>
      <c r="E347" s="255"/>
      <c r="F347" s="255"/>
      <c r="G347" s="255"/>
      <c r="H347" s="255"/>
      <c r="I347" s="255"/>
      <c r="J347" s="255"/>
      <c r="K347" s="255"/>
      <c r="L347" s="255"/>
      <c r="M347" s="255"/>
      <c r="N347" s="255"/>
      <c r="O347" s="255"/>
      <c r="P347" s="255"/>
      <c r="Q347" s="255"/>
      <c r="R347" s="255"/>
      <c r="S347" s="255"/>
      <c r="T347" s="255"/>
      <c r="U347" s="255"/>
      <c r="V347" s="255"/>
      <c r="W347" s="255"/>
      <c r="X347" s="255"/>
      <c r="Y347" s="255"/>
      <c r="Z347" s="255"/>
      <c r="AA347" s="255"/>
      <c r="AB347" s="255"/>
      <c r="AC347" s="255"/>
      <c r="AD347" s="255"/>
      <c r="AE347" s="255"/>
      <c r="AF347" s="255"/>
      <c r="AG347" s="445"/>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1">
        <v>45352.0</v>
      </c>
      <c r="B1" s="2">
        <v>45352.0</v>
      </c>
      <c r="C1" s="2">
        <v>45353.0</v>
      </c>
      <c r="D1" s="2">
        <v>45354.0</v>
      </c>
      <c r="E1" s="2">
        <v>45355.0</v>
      </c>
      <c r="F1" s="2">
        <v>45356.0</v>
      </c>
      <c r="G1" s="2">
        <v>45357.0</v>
      </c>
      <c r="H1" s="2">
        <v>45358.0</v>
      </c>
      <c r="I1" s="2">
        <v>45359.0</v>
      </c>
      <c r="J1" s="2">
        <v>45360.0</v>
      </c>
      <c r="K1" s="2">
        <v>45361.0</v>
      </c>
      <c r="L1" s="2">
        <v>45362.0</v>
      </c>
      <c r="M1" s="2">
        <v>45363.0</v>
      </c>
      <c r="N1" s="2">
        <v>45364.0</v>
      </c>
      <c r="O1" s="2">
        <v>45365.0</v>
      </c>
      <c r="P1" s="2">
        <v>45366.0</v>
      </c>
      <c r="Q1" s="2">
        <v>45367.0</v>
      </c>
      <c r="R1" s="2">
        <v>45368.0</v>
      </c>
      <c r="S1" s="2">
        <v>45369.0</v>
      </c>
      <c r="T1" s="2">
        <v>45370.0</v>
      </c>
      <c r="U1" s="2">
        <v>45371.0</v>
      </c>
      <c r="V1" s="2">
        <v>45372.0</v>
      </c>
      <c r="W1" s="2">
        <v>45373.0</v>
      </c>
      <c r="X1" s="2">
        <v>45374.0</v>
      </c>
      <c r="Y1" s="2">
        <v>45375.0</v>
      </c>
      <c r="Z1" s="2">
        <v>45376.0</v>
      </c>
      <c r="AA1" s="2">
        <v>45377.0</v>
      </c>
      <c r="AB1" s="2">
        <v>45378.0</v>
      </c>
      <c r="AC1" s="2">
        <v>45379.0</v>
      </c>
      <c r="AD1" s="2">
        <v>45380.0</v>
      </c>
      <c r="AE1" s="2">
        <v>45381.0</v>
      </c>
      <c r="AF1" s="2">
        <v>45382.0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465" t="s">
        <v>774</v>
      </c>
      <c r="B4" s="466">
        <f>'PP - Data'!B10</f>
        <v>1259</v>
      </c>
      <c r="C4" s="466">
        <f>'PP - Data'!C10</f>
        <v>251</v>
      </c>
      <c r="D4" s="466">
        <f>'PP - Data'!D10</f>
        <v>201</v>
      </c>
      <c r="E4" s="466">
        <f>'PP - Data'!E10</f>
        <v>184</v>
      </c>
      <c r="F4" s="466">
        <f>'PP - Data'!F10</f>
        <v>159</v>
      </c>
      <c r="G4" s="466">
        <f>'PP - Data'!G10</f>
        <v>133</v>
      </c>
      <c r="H4" s="466">
        <f>'PP - Data'!H10</f>
        <v>134</v>
      </c>
      <c r="I4" s="466">
        <f>'PP - Data'!I10</f>
        <v>117</v>
      </c>
      <c r="J4" s="466">
        <f>'PP - Data'!J10</f>
        <v>153</v>
      </c>
      <c r="K4" s="466">
        <f>'PP - Data'!K10</f>
        <v>152</v>
      </c>
      <c r="L4" s="466">
        <f>'PP - Data'!L10</f>
        <v>97</v>
      </c>
      <c r="M4" s="466">
        <f>'PP - Data'!M10</f>
        <v>66</v>
      </c>
      <c r="N4" s="466">
        <f>'PP - Data'!N10</f>
        <v>55</v>
      </c>
      <c r="O4" s="466">
        <f>'PP - Data'!O10</f>
        <v>61</v>
      </c>
      <c r="P4" s="466">
        <f>'PP - Data'!P10</f>
        <v>42</v>
      </c>
      <c r="Q4" s="466">
        <f>'PP - Data'!Q10</f>
        <v>65</v>
      </c>
      <c r="R4" s="466">
        <f>'PP - Data'!R10</f>
        <v>46</v>
      </c>
      <c r="S4" s="466">
        <f>'PP - Data'!S10</f>
        <v>50</v>
      </c>
      <c r="T4" s="466">
        <f>'PP - Data'!T10</f>
        <v>30</v>
      </c>
      <c r="U4" s="466">
        <f>'PP - Data'!U10</f>
        <v>57</v>
      </c>
      <c r="V4" s="466">
        <f>'PP - Data'!V10</f>
        <v>45</v>
      </c>
      <c r="W4" s="466">
        <f>'PP - Data'!W10</f>
        <v>56</v>
      </c>
      <c r="X4" s="466">
        <f>'PP - Data'!X10</f>
        <v>58</v>
      </c>
      <c r="Y4" s="466">
        <f>'PP - Data'!Y10</f>
        <v>72</v>
      </c>
      <c r="Z4" s="466">
        <f>'PP - Data'!Z10</f>
        <v>64</v>
      </c>
      <c r="AA4" s="466">
        <f>'PP - Data'!AA10</f>
        <v>45</v>
      </c>
      <c r="AB4" s="466">
        <f>'PP - Data'!AB10</f>
        <v>44</v>
      </c>
      <c r="AC4" s="466">
        <f>'PP - Data'!AC10</f>
        <v>52</v>
      </c>
      <c r="AD4" s="466">
        <f>'PP - Data'!AD10</f>
        <v>28</v>
      </c>
      <c r="AE4" s="466">
        <f>'PP - Data'!AE10</f>
        <v>59</v>
      </c>
      <c r="AF4" s="466">
        <f>'PP - Data'!AF10</f>
        <v>46</v>
      </c>
    </row>
    <row r="5">
      <c r="A5" s="467" t="s">
        <v>775</v>
      </c>
      <c r="B5" s="468">
        <f>B4/Summary!B52</f>
        <v>0.6420193779</v>
      </c>
      <c r="C5" s="468">
        <f>C4/Summary!C52</f>
        <v>0.6033653846</v>
      </c>
      <c r="D5" s="468">
        <f>D4/Summary!D52</f>
        <v>0.5792507205</v>
      </c>
      <c r="E5" s="468">
        <f>E4/Summary!E52</f>
        <v>0.5897435897</v>
      </c>
      <c r="F5" s="468">
        <f>F4/Summary!F52</f>
        <v>0.6437246964</v>
      </c>
      <c r="G5" s="468">
        <f>G4/Summary!G52</f>
        <v>0.6214953271</v>
      </c>
      <c r="H5" s="468">
        <f>H4/Summary!H52</f>
        <v>0.6442307692</v>
      </c>
      <c r="I5" s="468">
        <f>I4/Summary!I52</f>
        <v>0.585</v>
      </c>
      <c r="J5" s="468">
        <f>J4/Summary!J52</f>
        <v>0.5687732342</v>
      </c>
      <c r="K5" s="468">
        <f>K4/Summary!K52</f>
        <v>0.641350211</v>
      </c>
      <c r="L5" s="468">
        <f>L4/Summary!L52</f>
        <v>0.5300546448</v>
      </c>
      <c r="M5" s="468">
        <f>M4/Summary!M52</f>
        <v>0.528</v>
      </c>
      <c r="N5" s="468">
        <f>N4/Summary!N52</f>
        <v>0.5913978495</v>
      </c>
      <c r="O5" s="468">
        <f>O4/Summary!O52</f>
        <v>0.5700934579</v>
      </c>
      <c r="P5" s="468">
        <f>P4/Summary!P52</f>
        <v>0.4666666667</v>
      </c>
      <c r="Q5" s="468">
        <f>Q4/Summary!Q52</f>
        <v>0.5508474576</v>
      </c>
      <c r="R5" s="468">
        <f>R4/Summary!R52</f>
        <v>0.5054945055</v>
      </c>
      <c r="S5" s="468">
        <f>S4/Summary!S52</f>
        <v>0.5376344086</v>
      </c>
      <c r="T5" s="468">
        <f>T4/Summary!T52</f>
        <v>0.4225352113</v>
      </c>
      <c r="U5" s="468">
        <f>U4/Summary!U52</f>
        <v>0.6951219512</v>
      </c>
      <c r="V5" s="468">
        <f>V4/Summary!V52</f>
        <v>0.5487804878</v>
      </c>
      <c r="W5" s="468">
        <f>W4/Summary!W52</f>
        <v>0.56</v>
      </c>
      <c r="X5" s="468">
        <f>X4/Summary!X52</f>
        <v>0.4957264957</v>
      </c>
      <c r="Y5" s="468">
        <f>Y4/Summary!Y52</f>
        <v>0.5255474453</v>
      </c>
      <c r="Z5" s="468">
        <f>Z4/Summary!Z52</f>
        <v>0.5714285714</v>
      </c>
      <c r="AA5" s="468">
        <f>AA4/Summary!AA52</f>
        <v>0.5696202532</v>
      </c>
      <c r="AB5" s="468">
        <f>AB4/Summary!AB52</f>
        <v>0.5569620253</v>
      </c>
      <c r="AC5" s="468">
        <f>AC4/Summary!AC52</f>
        <v>0.5591397849</v>
      </c>
      <c r="AD5" s="468">
        <f>AD4/Summary!AD52</f>
        <v>0.4912280702</v>
      </c>
      <c r="AE5" s="468">
        <f>AE4/Summary!AE52</f>
        <v>0.6781609195</v>
      </c>
      <c r="AF5" s="468">
        <f>AF4/Summary!AF52</f>
        <v>0.575</v>
      </c>
    </row>
    <row r="7">
      <c r="A7" s="467" t="s">
        <v>776</v>
      </c>
      <c r="B7" s="469"/>
      <c r="C7" s="469"/>
      <c r="D7" s="469"/>
      <c r="E7" s="469"/>
      <c r="F7" s="469"/>
      <c r="G7" s="469"/>
      <c r="H7" s="469"/>
      <c r="I7" s="469"/>
      <c r="J7" s="469"/>
      <c r="K7" s="469"/>
      <c r="L7" s="469"/>
      <c r="M7" s="469"/>
      <c r="N7" s="469"/>
      <c r="O7" s="469"/>
      <c r="P7" s="469"/>
      <c r="Q7" s="469"/>
      <c r="R7" s="469"/>
      <c r="S7" s="469"/>
      <c r="T7" s="469"/>
      <c r="U7" s="469"/>
      <c r="V7" s="469"/>
      <c r="W7" s="469"/>
      <c r="X7" s="469"/>
      <c r="Y7" s="469"/>
      <c r="Z7" s="470"/>
      <c r="AA7" s="469"/>
      <c r="AB7" s="469"/>
      <c r="AC7" s="469"/>
      <c r="AD7" s="469"/>
      <c r="AE7" s="469"/>
      <c r="AF7" s="469"/>
    </row>
    <row r="8" collapsed="1">
      <c r="A8" s="4" t="s">
        <v>777</v>
      </c>
      <c r="B8" s="68">
        <f>'PP - Data'!B12</f>
        <v>0.2486100079</v>
      </c>
      <c r="C8" s="68">
        <f>'PP - Data'!C12</f>
        <v>0.3027888446</v>
      </c>
      <c r="D8" s="68">
        <f>'PP - Data'!D12</f>
        <v>0.3880597015</v>
      </c>
      <c r="E8" s="68">
        <f>'PP - Data'!E12</f>
        <v>0.3043478261</v>
      </c>
      <c r="F8" s="68">
        <f>'PP - Data'!F12</f>
        <v>0.2830188679</v>
      </c>
      <c r="G8" s="68">
        <f>'PP - Data'!G12</f>
        <v>0.2857142857</v>
      </c>
      <c r="H8" s="68">
        <f>'PP - Data'!H12</f>
        <v>0.3582089552</v>
      </c>
      <c r="I8" s="68">
        <f>'PP - Data'!I12</f>
        <v>0.4615384615</v>
      </c>
      <c r="J8" s="68">
        <f>'PP - Data'!J12</f>
        <v>0.2875816993</v>
      </c>
      <c r="K8" s="68">
        <f>'PP - Data'!K12</f>
        <v>0.3092105263</v>
      </c>
      <c r="L8" s="68">
        <f>'PP - Data'!L12</f>
        <v>0.3298969072</v>
      </c>
      <c r="M8" s="68">
        <f>'PP - Data'!M12</f>
        <v>0.1818181818</v>
      </c>
      <c r="N8" s="68">
        <f>'PP - Data'!N12</f>
        <v>0.2545454545</v>
      </c>
      <c r="O8" s="68">
        <f>'PP - Data'!O12</f>
        <v>0.393442623</v>
      </c>
      <c r="P8" s="68">
        <f>'PP - Data'!P12</f>
        <v>0.3095238095</v>
      </c>
      <c r="Q8" s="68">
        <f>'PP - Data'!Q12</f>
        <v>0.1846153846</v>
      </c>
      <c r="R8" s="68">
        <f>'PP - Data'!R12</f>
        <v>0.1739130435</v>
      </c>
      <c r="S8" s="68">
        <f>'PP - Data'!S12</f>
        <v>0.16</v>
      </c>
      <c r="T8" s="68">
        <f>'PP - Data'!T12</f>
        <v>0.1</v>
      </c>
      <c r="U8" s="68">
        <f>'PP - Data'!U12</f>
        <v>0.1228070175</v>
      </c>
      <c r="V8" s="68">
        <f>'PP - Data'!V12</f>
        <v>0.1555555556</v>
      </c>
      <c r="W8" s="68">
        <f>'PP - Data'!W12</f>
        <v>0.3035714286</v>
      </c>
      <c r="X8" s="68">
        <f>'PP - Data'!X12</f>
        <v>0.1896551724</v>
      </c>
      <c r="Y8" s="68">
        <f>'PP - Data'!Y12</f>
        <v>0.1944444444</v>
      </c>
      <c r="Z8" s="68">
        <f>'PP - Data'!Z12</f>
        <v>0.15625</v>
      </c>
      <c r="AA8" s="68">
        <f>'PP - Data'!AA12</f>
        <v>0.2</v>
      </c>
      <c r="AB8" s="68">
        <f>'PP - Data'!AB12</f>
        <v>0.2045454545</v>
      </c>
      <c r="AC8" s="68">
        <f>'PP - Data'!AC12</f>
        <v>0.2307692308</v>
      </c>
      <c r="AD8" s="68">
        <f>'PP - Data'!AD12</f>
        <v>0.03571428571</v>
      </c>
      <c r="AE8" s="68">
        <f>'PP - Data'!AE12</f>
        <v>0.2033898305</v>
      </c>
      <c r="AF8" s="68">
        <f>'PP - Data'!AF12</f>
        <v>0.152173913</v>
      </c>
    </row>
    <row r="9" hidden="1" outlineLevel="1">
      <c r="A9" s="471" t="s">
        <v>778</v>
      </c>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hidden="1" outlineLevel="1">
      <c r="A10" s="473" t="s">
        <v>779</v>
      </c>
      <c r="B10" s="474">
        <f>'PP - Data'!B28</f>
        <v>0.6900958466</v>
      </c>
      <c r="C10" s="474">
        <f>'PP - Data'!C28</f>
        <v>0.7236842105</v>
      </c>
      <c r="D10" s="474">
        <f>'PP - Data'!D28</f>
        <v>0.7564102564</v>
      </c>
      <c r="E10" s="474">
        <f>'PP - Data'!E28</f>
        <v>0.8214285714</v>
      </c>
      <c r="F10" s="474">
        <f>'PP - Data'!F28</f>
        <v>0.8444444444</v>
      </c>
      <c r="G10" s="474">
        <f>'PP - Data'!G28</f>
        <v>0.7894736842</v>
      </c>
      <c r="H10" s="474">
        <f>'PP - Data'!H28</f>
        <v>0.75</v>
      </c>
      <c r="I10" s="474">
        <f>'PP - Data'!I28</f>
        <v>0.8333333333</v>
      </c>
      <c r="J10" s="474">
        <f>'PP - Data'!J28</f>
        <v>0.7727272727</v>
      </c>
      <c r="K10" s="474">
        <f>'PP - Data'!K28</f>
        <v>0.8085106383</v>
      </c>
      <c r="L10" s="474">
        <f>'PP - Data'!L28</f>
        <v>0.71875</v>
      </c>
      <c r="M10" s="474">
        <f>'PP - Data'!M28</f>
        <v>0.8333333333</v>
      </c>
      <c r="N10" s="474">
        <f>'PP - Data'!N28</f>
        <v>0.7857142857</v>
      </c>
      <c r="O10" s="474">
        <f>'PP - Data'!O28</f>
        <v>0.625</v>
      </c>
      <c r="P10" s="474">
        <f>'PP - Data'!P28</f>
        <v>0.9230769231</v>
      </c>
      <c r="Q10" s="474">
        <f>'PP - Data'!Q28</f>
        <v>0.6666666667</v>
      </c>
      <c r="R10" s="474">
        <f>'PP - Data'!R28</f>
        <v>0.5</v>
      </c>
      <c r="S10" s="474">
        <f>'PP - Data'!S28</f>
        <v>0.75</v>
      </c>
      <c r="T10" s="474">
        <f>'PP - Data'!T28</f>
        <v>1</v>
      </c>
      <c r="U10" s="474">
        <f>'PP - Data'!U28</f>
        <v>0.7142857143</v>
      </c>
      <c r="V10" s="474">
        <f>'PP - Data'!V28</f>
        <v>0.5714285714</v>
      </c>
      <c r="W10" s="474">
        <f>'PP - Data'!W28</f>
        <v>0.7058823529</v>
      </c>
      <c r="X10" s="474">
        <f>'PP - Data'!X28</f>
        <v>0.3636363636</v>
      </c>
      <c r="Y10" s="474">
        <f>'PP - Data'!Y28</f>
        <v>0.7857142857</v>
      </c>
      <c r="Z10" s="474">
        <f>'PP - Data'!Z28</f>
        <v>0.5</v>
      </c>
      <c r="AA10" s="474">
        <f>'PP - Data'!AA28</f>
        <v>0.7777777778</v>
      </c>
      <c r="AB10" s="474">
        <f>'PP - Data'!AB28</f>
        <v>0.6666666667</v>
      </c>
      <c r="AC10" s="474">
        <f>'PP - Data'!AC28</f>
        <v>0.9166666667</v>
      </c>
      <c r="AD10" s="474">
        <f>'PP - Data'!AD28</f>
        <v>1</v>
      </c>
      <c r="AE10" s="474">
        <f>'PP - Data'!AE28</f>
        <v>0.6666666667</v>
      </c>
      <c r="AF10" s="474">
        <f>'PP - Data'!AF28</f>
        <v>0.8571428571</v>
      </c>
    </row>
    <row r="11" hidden="1" outlineLevel="1">
      <c r="A11" s="475" t="s">
        <v>780</v>
      </c>
      <c r="B11" s="474">
        <f>'PP - Data'!B29</f>
        <v>0.05750798722</v>
      </c>
      <c r="C11" s="474">
        <f>'PP - Data'!C29</f>
        <v>0.09210526316</v>
      </c>
      <c r="D11" s="474">
        <f>'PP - Data'!D29</f>
        <v>0.07692307692</v>
      </c>
      <c r="E11" s="474">
        <f>'PP - Data'!E29</f>
        <v>0.07142857143</v>
      </c>
      <c r="F11" s="474">
        <f>'PP - Data'!F29</f>
        <v>0.08888888889</v>
      </c>
      <c r="G11" s="474">
        <f>'PP - Data'!G29</f>
        <v>0.1315789474</v>
      </c>
      <c r="H11" s="474">
        <f>'PP - Data'!H29</f>
        <v>0.0625</v>
      </c>
      <c r="I11" s="474">
        <f>'PP - Data'!I29</f>
        <v>0.1111111111</v>
      </c>
      <c r="J11" s="474">
        <f>'PP - Data'!J29</f>
        <v>0.09090909091</v>
      </c>
      <c r="K11" s="474">
        <f>'PP - Data'!K29</f>
        <v>0.08510638298</v>
      </c>
      <c r="L11" s="474">
        <f>'PP - Data'!L29</f>
        <v>0.15625</v>
      </c>
      <c r="M11" s="474">
        <f>'PP - Data'!M29</f>
        <v>0</v>
      </c>
      <c r="N11" s="474">
        <f>'PP - Data'!N29</f>
        <v>0.07142857143</v>
      </c>
      <c r="O11" s="474">
        <f>'PP - Data'!O29</f>
        <v>0.2083333333</v>
      </c>
      <c r="P11" s="474">
        <f>'PP - Data'!P29</f>
        <v>0</v>
      </c>
      <c r="Q11" s="474">
        <f>'PP - Data'!Q29</f>
        <v>0.08333333333</v>
      </c>
      <c r="R11" s="474">
        <f>'PP - Data'!R29</f>
        <v>0.25</v>
      </c>
      <c r="S11" s="474">
        <f>'PP - Data'!S29</f>
        <v>0.125</v>
      </c>
      <c r="T11" s="474">
        <f>'PP - Data'!T29</f>
        <v>0</v>
      </c>
      <c r="U11" s="474">
        <f>'PP - Data'!U29</f>
        <v>0.1428571429</v>
      </c>
      <c r="V11" s="474">
        <f>'PP - Data'!V29</f>
        <v>0.4285714286</v>
      </c>
      <c r="W11" s="474">
        <f>'PP - Data'!W29</f>
        <v>0.1176470588</v>
      </c>
      <c r="X11" s="474">
        <f>'PP - Data'!X29</f>
        <v>0.2727272727</v>
      </c>
      <c r="Y11" s="474">
        <f>'PP - Data'!Y29</f>
        <v>0.2142857143</v>
      </c>
      <c r="Z11" s="474">
        <f>'PP - Data'!Z29</f>
        <v>0.2</v>
      </c>
      <c r="AA11" s="474">
        <f>'PP - Data'!AA29</f>
        <v>0</v>
      </c>
      <c r="AB11" s="474">
        <f>'PP - Data'!AB29</f>
        <v>0.3333333333</v>
      </c>
      <c r="AC11" s="474">
        <f>'PP - Data'!AC29</f>
        <v>0.08333333333</v>
      </c>
      <c r="AD11" s="474">
        <f>'PP - Data'!AD29</f>
        <v>0</v>
      </c>
      <c r="AE11" s="474">
        <f>'PP - Data'!AE29</f>
        <v>0.1666666667</v>
      </c>
      <c r="AF11" s="474">
        <f>'PP - Data'!AF29</f>
        <v>0.1428571429</v>
      </c>
    </row>
    <row r="12" hidden="1" outlineLevel="1">
      <c r="A12" s="476" t="s">
        <v>781</v>
      </c>
      <c r="B12" s="477">
        <f>'PP - Data'!B30</f>
        <v>0.2523961661</v>
      </c>
      <c r="C12" s="477">
        <f>'PP - Data'!C30</f>
        <v>0.1842105263</v>
      </c>
      <c r="D12" s="477">
        <f>'PP - Data'!D30</f>
        <v>0.1666666667</v>
      </c>
      <c r="E12" s="477">
        <f>'PP - Data'!E30</f>
        <v>0.1071428571</v>
      </c>
      <c r="F12" s="477">
        <f>'PP - Data'!F30</f>
        <v>0.06666666667</v>
      </c>
      <c r="G12" s="477">
        <f>'PP - Data'!G30</f>
        <v>0.07894736842</v>
      </c>
      <c r="H12" s="477">
        <f>'PP - Data'!H30</f>
        <v>0.1875</v>
      </c>
      <c r="I12" s="477">
        <f>'PP - Data'!I30</f>
        <v>0.05555555556</v>
      </c>
      <c r="J12" s="477">
        <f>'PP - Data'!J30</f>
        <v>0.1363636364</v>
      </c>
      <c r="K12" s="477">
        <f>'PP - Data'!K30</f>
        <v>0.1063829787</v>
      </c>
      <c r="L12" s="477">
        <f>'PP - Data'!L30</f>
        <v>0.125</v>
      </c>
      <c r="M12" s="477">
        <f>'PP - Data'!M30</f>
        <v>0.1666666667</v>
      </c>
      <c r="N12" s="477">
        <f>'PP - Data'!N30</f>
        <v>0.1428571429</v>
      </c>
      <c r="O12" s="477">
        <f>'PP - Data'!O30</f>
        <v>0.1666666667</v>
      </c>
      <c r="P12" s="477">
        <f>'PP - Data'!P30</f>
        <v>0.07692307692</v>
      </c>
      <c r="Q12" s="477">
        <f>'PP - Data'!Q30</f>
        <v>0.25</v>
      </c>
      <c r="R12" s="477">
        <f>'PP - Data'!R30</f>
        <v>0.25</v>
      </c>
      <c r="S12" s="477">
        <f>'PP - Data'!S30</f>
        <v>0.125</v>
      </c>
      <c r="T12" s="477">
        <f>'PP - Data'!T30</f>
        <v>0</v>
      </c>
      <c r="U12" s="477">
        <f>'PP - Data'!U30</f>
        <v>0.1428571429</v>
      </c>
      <c r="V12" s="477">
        <f>'PP - Data'!V30</f>
        <v>0</v>
      </c>
      <c r="W12" s="477">
        <f>'PP - Data'!W30</f>
        <v>0.1764705882</v>
      </c>
      <c r="X12" s="477">
        <f>'PP - Data'!X30</f>
        <v>0.3636363636</v>
      </c>
      <c r="Y12" s="477">
        <f>'PP - Data'!Y30</f>
        <v>0</v>
      </c>
      <c r="Z12" s="477">
        <f>'PP - Data'!Z30</f>
        <v>0.3</v>
      </c>
      <c r="AA12" s="477">
        <f>'PP - Data'!AA30</f>
        <v>0.2222222222</v>
      </c>
      <c r="AB12" s="477">
        <f>'PP - Data'!AB30</f>
        <v>0</v>
      </c>
      <c r="AC12" s="477">
        <f>'PP - Data'!AC30</f>
        <v>0</v>
      </c>
      <c r="AD12" s="477">
        <f>'PP - Data'!AD30</f>
        <v>0</v>
      </c>
      <c r="AE12" s="477">
        <f>'PP - Data'!AE30</f>
        <v>0.1666666667</v>
      </c>
      <c r="AF12" s="477">
        <f>'PP - Data'!AF30</f>
        <v>0</v>
      </c>
    </row>
    <row r="13">
      <c r="A13" s="4" t="s">
        <v>782</v>
      </c>
      <c r="B13" s="68">
        <f>'PP - Data'!B13</f>
        <v>0.52025417</v>
      </c>
      <c r="C13" s="68">
        <f>'PP - Data'!C13</f>
        <v>0.5219123506</v>
      </c>
      <c r="D13" s="68">
        <f>'PP - Data'!D13</f>
        <v>0.4825870647</v>
      </c>
      <c r="E13" s="68">
        <f>'PP - Data'!E13</f>
        <v>0.5706521739</v>
      </c>
      <c r="F13" s="68">
        <f>'PP - Data'!F13</f>
        <v>0.5220125786</v>
      </c>
      <c r="G13" s="68">
        <f>'PP - Data'!G13</f>
        <v>0.5639097744</v>
      </c>
      <c r="H13" s="68">
        <f>'PP - Data'!H13</f>
        <v>0.5223880597</v>
      </c>
      <c r="I13" s="68">
        <f>'PP - Data'!I13</f>
        <v>0.4188034188</v>
      </c>
      <c r="J13" s="68">
        <f>'PP - Data'!J13</f>
        <v>0.477124183</v>
      </c>
      <c r="K13" s="68">
        <f>'PP - Data'!K13</f>
        <v>0.5263157895</v>
      </c>
      <c r="L13" s="68">
        <f>'PP - Data'!L13</f>
        <v>0.4948453608</v>
      </c>
      <c r="M13" s="68">
        <f>'PP - Data'!M13</f>
        <v>0.5757575758</v>
      </c>
      <c r="N13" s="68">
        <f>'PP - Data'!N13</f>
        <v>0.6181818182</v>
      </c>
      <c r="O13" s="68">
        <f>'PP - Data'!O13</f>
        <v>0.4590163934</v>
      </c>
      <c r="P13" s="68">
        <f>'PP - Data'!P13</f>
        <v>0.5</v>
      </c>
      <c r="Q13" s="68">
        <f>'PP - Data'!Q13</f>
        <v>0.6461538462</v>
      </c>
      <c r="R13" s="68">
        <f>'PP - Data'!R13</f>
        <v>0.6739130435</v>
      </c>
      <c r="S13" s="68">
        <f>'PP - Data'!S13</f>
        <v>0.7</v>
      </c>
      <c r="T13" s="68">
        <f>'PP - Data'!T13</f>
        <v>0.6333333333</v>
      </c>
      <c r="U13" s="68">
        <f>'PP - Data'!U13</f>
        <v>0.7192982456</v>
      </c>
      <c r="V13" s="68">
        <f>'PP - Data'!V13</f>
        <v>0.6222222222</v>
      </c>
      <c r="W13" s="68">
        <f>'PP - Data'!W13</f>
        <v>0.6428571429</v>
      </c>
      <c r="X13" s="68">
        <f>'PP - Data'!X13</f>
        <v>0.5</v>
      </c>
      <c r="Y13" s="68">
        <f>'PP - Data'!Y13</f>
        <v>0.5138888889</v>
      </c>
      <c r="Z13" s="68">
        <f>'PP - Data'!Z13</f>
        <v>0.59375</v>
      </c>
      <c r="AA13" s="68">
        <f>'PP - Data'!AA13</f>
        <v>0.5333333333</v>
      </c>
      <c r="AB13" s="68">
        <f>'PP - Data'!AB13</f>
        <v>0.5227272727</v>
      </c>
      <c r="AC13" s="68">
        <f>'PP - Data'!AC13</f>
        <v>0.5961538462</v>
      </c>
      <c r="AD13" s="68">
        <f>'PP - Data'!AD13</f>
        <v>0.7142857143</v>
      </c>
      <c r="AE13" s="68">
        <f>'PP - Data'!AE13</f>
        <v>0.6779661017</v>
      </c>
      <c r="AF13" s="68">
        <f>'PP - Data'!AF13</f>
        <v>0.6956521739</v>
      </c>
    </row>
    <row r="14">
      <c r="A14" s="4" t="s">
        <v>109</v>
      </c>
      <c r="B14" s="68">
        <f>'PP - Data'!B14</f>
        <v>0.002382843527</v>
      </c>
      <c r="C14" s="68">
        <f>'PP - Data'!C14</f>
        <v>0.003984063745</v>
      </c>
      <c r="D14" s="68">
        <f>'PP - Data'!D14</f>
        <v>0.004975124378</v>
      </c>
      <c r="E14" s="68">
        <f>'PP - Data'!E14</f>
        <v>0.01086956522</v>
      </c>
      <c r="F14" s="68">
        <f>'PP - Data'!F14</f>
        <v>0.03144654088</v>
      </c>
      <c r="G14" s="68">
        <f>'PP - Data'!G14</f>
        <v>0.02255639098</v>
      </c>
      <c r="H14" s="68">
        <f>'PP - Data'!H14</f>
        <v>0.01492537313</v>
      </c>
      <c r="I14" s="68">
        <f>'PP - Data'!I14</f>
        <v>0.01709401709</v>
      </c>
      <c r="J14" s="68">
        <f>'PP - Data'!J14</f>
        <v>0.01307189542</v>
      </c>
      <c r="K14" s="68">
        <f>'PP - Data'!K14</f>
        <v>0.01973684211</v>
      </c>
      <c r="L14" s="68">
        <f>'PP - Data'!L14</f>
        <v>0.01030927835</v>
      </c>
      <c r="M14" s="68">
        <f>'PP - Data'!M14</f>
        <v>0.04545454545</v>
      </c>
      <c r="N14" s="68">
        <f>'PP - Data'!N14</f>
        <v>0.01818181818</v>
      </c>
      <c r="O14" s="68">
        <f>'PP - Data'!O14</f>
        <v>0.04918032787</v>
      </c>
      <c r="P14" s="68">
        <f>'PP - Data'!P14</f>
        <v>0</v>
      </c>
      <c r="Q14" s="68">
        <f>'PP - Data'!Q14</f>
        <v>0.01538461538</v>
      </c>
      <c r="R14" s="68">
        <f>'PP - Data'!R14</f>
        <v>0.04347826087</v>
      </c>
      <c r="S14" s="68">
        <f>'PP - Data'!S14</f>
        <v>0.02</v>
      </c>
      <c r="T14" s="68">
        <f>'PP - Data'!T14</f>
        <v>0.03333333333</v>
      </c>
      <c r="U14" s="68">
        <f>'PP - Data'!U14</f>
        <v>0</v>
      </c>
      <c r="V14" s="68">
        <f>'PP - Data'!V14</f>
        <v>0.02222222222</v>
      </c>
      <c r="W14" s="68">
        <f>'PP - Data'!W14</f>
        <v>0</v>
      </c>
      <c r="X14" s="68">
        <f>'PP - Data'!X14</f>
        <v>0.01724137931</v>
      </c>
      <c r="Y14" s="68">
        <f>'PP - Data'!Y14</f>
        <v>0.01388888889</v>
      </c>
      <c r="Z14" s="68">
        <f>'PP - Data'!Z14</f>
        <v>0.0625</v>
      </c>
      <c r="AA14" s="68">
        <f>'PP - Data'!AA14</f>
        <v>0.06666666667</v>
      </c>
      <c r="AB14" s="68">
        <f>'PP - Data'!AB14</f>
        <v>0</v>
      </c>
      <c r="AC14" s="68">
        <f>'PP - Data'!AC14</f>
        <v>0</v>
      </c>
      <c r="AD14" s="68">
        <f>'PP - Data'!AD14</f>
        <v>0.03571428571</v>
      </c>
      <c r="AE14" s="68">
        <f>'PP - Data'!AE14</f>
        <v>0.03389830508</v>
      </c>
      <c r="AF14" s="68">
        <f>'PP - Data'!AF14</f>
        <v>0.02173913043</v>
      </c>
    </row>
    <row r="15">
      <c r="A15" s="4" t="s">
        <v>783</v>
      </c>
      <c r="B15" s="68">
        <f>'PP - Data'!B15</f>
        <v>0.01667990469</v>
      </c>
      <c r="C15" s="68">
        <f>'PP - Data'!C15</f>
        <v>0.01992031873</v>
      </c>
      <c r="D15" s="68">
        <f>'PP - Data'!D15</f>
        <v>0.01492537313</v>
      </c>
      <c r="E15" s="68">
        <f>'PP - Data'!E15</f>
        <v>0.01630434783</v>
      </c>
      <c r="F15" s="68">
        <f>'PP - Data'!F15</f>
        <v>0.01257861635</v>
      </c>
      <c r="G15" s="68">
        <f>'PP - Data'!G15</f>
        <v>0.02255639098</v>
      </c>
      <c r="H15" s="68">
        <f>'PP - Data'!H15</f>
        <v>0.01492537313</v>
      </c>
      <c r="I15" s="68">
        <f>'PP - Data'!I15</f>
        <v>0.01709401709</v>
      </c>
      <c r="J15" s="68">
        <f>'PP - Data'!J15</f>
        <v>0</v>
      </c>
      <c r="K15" s="68">
        <f>'PP - Data'!K15</f>
        <v>0.01315789474</v>
      </c>
      <c r="L15" s="68">
        <f>'PP - Data'!L15</f>
        <v>0.03092783505</v>
      </c>
      <c r="M15" s="68">
        <f>'PP - Data'!M15</f>
        <v>0.01515151515</v>
      </c>
      <c r="N15" s="68">
        <f>'PP - Data'!N15</f>
        <v>0.01818181818</v>
      </c>
      <c r="O15" s="68">
        <f>'PP - Data'!O15</f>
        <v>0</v>
      </c>
      <c r="P15" s="68">
        <f>'PP - Data'!P15</f>
        <v>0.04761904762</v>
      </c>
      <c r="Q15" s="68">
        <f>'PP - Data'!Q15</f>
        <v>0.01538461538</v>
      </c>
      <c r="R15" s="68">
        <f>'PP - Data'!R15</f>
        <v>0</v>
      </c>
      <c r="S15" s="68">
        <f>'PP - Data'!S15</f>
        <v>0</v>
      </c>
      <c r="T15" s="68">
        <f>'PP - Data'!T15</f>
        <v>0</v>
      </c>
      <c r="U15" s="68">
        <f>'PP - Data'!U15</f>
        <v>0.0350877193</v>
      </c>
      <c r="V15" s="68">
        <f>'PP - Data'!V15</f>
        <v>0.02222222222</v>
      </c>
      <c r="W15" s="68">
        <f>'PP - Data'!W15</f>
        <v>0</v>
      </c>
      <c r="X15" s="68">
        <f>'PP - Data'!X15</f>
        <v>0</v>
      </c>
      <c r="Y15" s="68">
        <f>'PP - Data'!Y15</f>
        <v>0.02777777778</v>
      </c>
      <c r="Z15" s="68">
        <f>'PP - Data'!Z15</f>
        <v>0</v>
      </c>
      <c r="AA15" s="68">
        <f>'PP - Data'!AA15</f>
        <v>0</v>
      </c>
      <c r="AB15" s="68">
        <f>'PP - Data'!AB15</f>
        <v>0.04545454545</v>
      </c>
      <c r="AC15" s="68">
        <f>'PP - Data'!AC15</f>
        <v>0</v>
      </c>
      <c r="AD15" s="68">
        <f>'PP - Data'!AD15</f>
        <v>0.03571428571</v>
      </c>
      <c r="AE15" s="68">
        <f>'PP - Data'!AE15</f>
        <v>0</v>
      </c>
      <c r="AF15" s="68">
        <f>'PP - Data'!AF15</f>
        <v>0</v>
      </c>
    </row>
    <row r="16">
      <c r="A16" s="4" t="s">
        <v>784</v>
      </c>
      <c r="B16" s="68">
        <f>'PP - Data'!B16</f>
        <v>0.0810166799</v>
      </c>
      <c r="C16" s="68">
        <f>'PP - Data'!C16</f>
        <v>0.08366533865</v>
      </c>
      <c r="D16" s="68">
        <f>'PP - Data'!D16</f>
        <v>0.0447761194</v>
      </c>
      <c r="E16" s="68">
        <f>'PP - Data'!E16</f>
        <v>0.01630434783</v>
      </c>
      <c r="F16" s="68">
        <f>'PP - Data'!F16</f>
        <v>0.05660377358</v>
      </c>
      <c r="G16" s="68">
        <f>'PP - Data'!G16</f>
        <v>0.05263157895</v>
      </c>
      <c r="H16" s="68">
        <f>'PP - Data'!H16</f>
        <v>0.02985074627</v>
      </c>
      <c r="I16" s="68">
        <f>'PP - Data'!I16</f>
        <v>0.01709401709</v>
      </c>
      <c r="J16" s="68">
        <f>'PP - Data'!J16</f>
        <v>0.06535947712</v>
      </c>
      <c r="K16" s="68">
        <f>'PP - Data'!K16</f>
        <v>0.03947368421</v>
      </c>
      <c r="L16" s="68">
        <f>'PP - Data'!L16</f>
        <v>0.0412371134</v>
      </c>
      <c r="M16" s="68">
        <f>'PP - Data'!M16</f>
        <v>0.09090909091</v>
      </c>
      <c r="N16" s="68">
        <f>'PP - Data'!N16</f>
        <v>0</v>
      </c>
      <c r="O16" s="68">
        <f>'PP - Data'!O16</f>
        <v>0.04918032787</v>
      </c>
      <c r="P16" s="68">
        <f>'PP - Data'!P16</f>
        <v>0.04761904762</v>
      </c>
      <c r="Q16" s="68">
        <f>'PP - Data'!Q16</f>
        <v>0.03076923077</v>
      </c>
      <c r="R16" s="68">
        <f>'PP - Data'!R16</f>
        <v>0.04347826087</v>
      </c>
      <c r="S16" s="68">
        <f>'PP - Data'!S16</f>
        <v>0.02</v>
      </c>
      <c r="T16" s="68">
        <f>'PP - Data'!T16</f>
        <v>0.1</v>
      </c>
      <c r="U16" s="68">
        <f>'PP - Data'!U16</f>
        <v>0.0350877193</v>
      </c>
      <c r="V16" s="68">
        <f>'PP - Data'!V16</f>
        <v>0.04444444444</v>
      </c>
      <c r="W16" s="68">
        <f>'PP - Data'!W16</f>
        <v>0.01785714286</v>
      </c>
      <c r="X16" s="68">
        <f>'PP - Data'!X16</f>
        <v>0.2413793103</v>
      </c>
      <c r="Y16" s="68">
        <f>'PP - Data'!Y16</f>
        <v>0.1666666667</v>
      </c>
      <c r="Z16" s="68">
        <f>'PP - Data'!Z16</f>
        <v>0.078125</v>
      </c>
      <c r="AA16" s="68">
        <f>'PP - Data'!AA16</f>
        <v>0.1333333333</v>
      </c>
      <c r="AB16" s="68">
        <f>'PP - Data'!AB16</f>
        <v>0.02272727273</v>
      </c>
      <c r="AC16" s="68">
        <f>'PP - Data'!AC16</f>
        <v>0.03846153846</v>
      </c>
      <c r="AD16" s="68">
        <f>'PP - Data'!AD16</f>
        <v>0</v>
      </c>
      <c r="AE16" s="68">
        <f>'PP - Data'!AE16</f>
        <v>0</v>
      </c>
      <c r="AF16" s="68">
        <f>'PP - Data'!AF16</f>
        <v>0.08695652174</v>
      </c>
    </row>
    <row r="17">
      <c r="A17" s="4" t="s">
        <v>785</v>
      </c>
      <c r="B17" s="68">
        <f>'PP - Data'!B17</f>
        <v>0.003971405878</v>
      </c>
      <c r="C17" s="68">
        <f>'PP - Data'!C17</f>
        <v>0.00796812749</v>
      </c>
      <c r="D17" s="68">
        <f>'PP - Data'!D17</f>
        <v>0</v>
      </c>
      <c r="E17" s="68">
        <f>'PP - Data'!E17</f>
        <v>0.005434782609</v>
      </c>
      <c r="F17" s="68">
        <f>'PP - Data'!F17</f>
        <v>0.006289308176</v>
      </c>
      <c r="G17" s="68">
        <f>'PP - Data'!G17</f>
        <v>0.007518796992</v>
      </c>
      <c r="H17" s="68">
        <f>'PP - Data'!H17</f>
        <v>0.007462686567</v>
      </c>
      <c r="I17" s="68">
        <f>'PP - Data'!I17</f>
        <v>0</v>
      </c>
      <c r="J17" s="68">
        <f>'PP - Data'!J17</f>
        <v>0.01960784314</v>
      </c>
      <c r="K17" s="68">
        <f>'PP - Data'!K17</f>
        <v>0.02631578947</v>
      </c>
      <c r="L17" s="68">
        <f>'PP - Data'!L17</f>
        <v>0</v>
      </c>
      <c r="M17" s="68">
        <f>'PP - Data'!M17</f>
        <v>0.0303030303</v>
      </c>
      <c r="N17" s="68">
        <f>'PP - Data'!N17</f>
        <v>0.03636363636</v>
      </c>
      <c r="O17" s="68">
        <f>'PP - Data'!O17</f>
        <v>0</v>
      </c>
      <c r="P17" s="68">
        <f>'PP - Data'!P17</f>
        <v>0.02380952381</v>
      </c>
      <c r="Q17" s="68">
        <f>'PP - Data'!Q17</f>
        <v>0.01538461538</v>
      </c>
      <c r="R17" s="68">
        <f>'PP - Data'!R17</f>
        <v>0</v>
      </c>
      <c r="S17" s="68">
        <f>'PP - Data'!S17</f>
        <v>0.02</v>
      </c>
      <c r="T17" s="68">
        <f>'PP - Data'!T17</f>
        <v>0.03333333333</v>
      </c>
      <c r="U17" s="68">
        <f>'PP - Data'!U17</f>
        <v>0</v>
      </c>
      <c r="V17" s="68">
        <f>'PP - Data'!V17</f>
        <v>0.04444444444</v>
      </c>
      <c r="W17" s="68">
        <f>'PP - Data'!W17</f>
        <v>0</v>
      </c>
      <c r="X17" s="68">
        <f>'PP - Data'!X17</f>
        <v>0.01724137931</v>
      </c>
      <c r="Y17" s="68">
        <f>'PP - Data'!Y17</f>
        <v>0.02777777778</v>
      </c>
      <c r="Z17" s="68">
        <f>'PP - Data'!Z17</f>
        <v>0</v>
      </c>
      <c r="AA17" s="68">
        <f>'PP - Data'!AA17</f>
        <v>0</v>
      </c>
      <c r="AB17" s="68">
        <f>'PP - Data'!AB17</f>
        <v>0.04545454545</v>
      </c>
      <c r="AC17" s="68">
        <f>'PP - Data'!AC17</f>
        <v>0</v>
      </c>
      <c r="AD17" s="68">
        <f>'PP - Data'!AD17</f>
        <v>0.03571428571</v>
      </c>
      <c r="AE17" s="68">
        <f>'PP - Data'!AE17</f>
        <v>0.01694915254</v>
      </c>
      <c r="AF17" s="68">
        <f>'PP - Data'!AF17</f>
        <v>0</v>
      </c>
    </row>
    <row r="18">
      <c r="A18" s="4" t="s">
        <v>786</v>
      </c>
      <c r="B18" s="68">
        <f>'PP - Data'!B18</f>
        <v>0.1119936458</v>
      </c>
      <c r="C18" s="68">
        <f>'PP - Data'!C18</f>
        <v>0.04780876494</v>
      </c>
      <c r="D18" s="68">
        <f>'PP - Data'!D18</f>
        <v>0.05970149254</v>
      </c>
      <c r="E18" s="68">
        <f>'PP - Data'!E18</f>
        <v>0.07065217391</v>
      </c>
      <c r="F18" s="68">
        <f>'PP - Data'!F18</f>
        <v>0.08805031447</v>
      </c>
      <c r="G18" s="68">
        <f>'PP - Data'!G18</f>
        <v>0.04511278195</v>
      </c>
      <c r="H18" s="68">
        <f>'PP - Data'!H18</f>
        <v>0.05223880597</v>
      </c>
      <c r="I18" s="68">
        <f>'PP - Data'!I18</f>
        <v>0.06837606838</v>
      </c>
      <c r="J18" s="68">
        <f>'PP - Data'!J18</f>
        <v>0.1241830065</v>
      </c>
      <c r="K18" s="68">
        <f>'PP - Data'!K18</f>
        <v>0.05921052632</v>
      </c>
      <c r="L18" s="68">
        <f>'PP - Data'!L18</f>
        <v>0.09278350515</v>
      </c>
      <c r="M18" s="68">
        <f>'PP - Data'!M18</f>
        <v>0.06060606061</v>
      </c>
      <c r="N18" s="68">
        <f>'PP - Data'!N18</f>
        <v>0.05454545455</v>
      </c>
      <c r="O18" s="68">
        <f>'PP - Data'!O18</f>
        <v>0.04918032787</v>
      </c>
      <c r="P18" s="68">
        <f>'PP - Data'!P18</f>
        <v>0.07142857143</v>
      </c>
      <c r="Q18" s="68">
        <f>'PP - Data'!Q18</f>
        <v>0.09230769231</v>
      </c>
      <c r="R18" s="68">
        <f>'PP - Data'!R18</f>
        <v>0.0652173913</v>
      </c>
      <c r="S18" s="68">
        <f>'PP - Data'!S18</f>
        <v>0.08</v>
      </c>
      <c r="T18" s="68">
        <f>'PP - Data'!T18</f>
        <v>0.1</v>
      </c>
      <c r="U18" s="68">
        <f>'PP - Data'!U18</f>
        <v>0.08771929825</v>
      </c>
      <c r="V18" s="68">
        <f>'PP - Data'!V18</f>
        <v>0.08888888889</v>
      </c>
      <c r="W18" s="68">
        <f>'PP - Data'!W18</f>
        <v>0.03571428571</v>
      </c>
      <c r="X18" s="68">
        <f>'PP - Data'!X18</f>
        <v>0.03448275862</v>
      </c>
      <c r="Y18" s="68">
        <f>'PP - Data'!Y18</f>
        <v>0.05555555556</v>
      </c>
      <c r="Z18" s="68">
        <f>'PP - Data'!Z18</f>
        <v>0.109375</v>
      </c>
      <c r="AA18" s="68">
        <f>'PP - Data'!AA18</f>
        <v>0.06666666667</v>
      </c>
      <c r="AB18" s="68">
        <f>'PP - Data'!AB18</f>
        <v>0.1363636364</v>
      </c>
      <c r="AC18" s="68">
        <f>'PP - Data'!AC18</f>
        <v>0.1346153846</v>
      </c>
      <c r="AD18" s="68">
        <f>'PP - Data'!AD18</f>
        <v>0.1428571429</v>
      </c>
      <c r="AE18" s="68">
        <f>'PP - Data'!AE18</f>
        <v>0.06779661017</v>
      </c>
      <c r="AF18" s="68">
        <f>'PP - Data'!AF18</f>
        <v>0.04347826087</v>
      </c>
    </row>
    <row r="19">
      <c r="A19" s="478" t="s">
        <v>787</v>
      </c>
      <c r="B19" s="479">
        <f>'PP - Data'!B19</f>
        <v>0.01509134234</v>
      </c>
      <c r="C19" s="479">
        <f>'PP - Data'!C19</f>
        <v>0.01195219124</v>
      </c>
      <c r="D19" s="479">
        <f>'PP - Data'!D19</f>
        <v>0.004975124378</v>
      </c>
      <c r="E19" s="479">
        <f>'PP - Data'!E19</f>
        <v>0.005434782609</v>
      </c>
      <c r="F19" s="479">
        <f>'PP - Data'!F19</f>
        <v>0</v>
      </c>
      <c r="G19" s="479">
        <f>'PP - Data'!G19</f>
        <v>0</v>
      </c>
      <c r="H19" s="479">
        <f>'PP - Data'!H19</f>
        <v>0</v>
      </c>
      <c r="I19" s="479">
        <f>'PP - Data'!I19</f>
        <v>0</v>
      </c>
      <c r="J19" s="479">
        <f>'PP - Data'!J19</f>
        <v>0.01307189542</v>
      </c>
      <c r="K19" s="479">
        <f>'PP - Data'!K19</f>
        <v>0.006578947368</v>
      </c>
      <c r="L19" s="479">
        <f>'PP - Data'!L19</f>
        <v>0</v>
      </c>
      <c r="M19" s="479">
        <f>'PP - Data'!M19</f>
        <v>0</v>
      </c>
      <c r="N19" s="479">
        <f>'PP - Data'!N19</f>
        <v>0</v>
      </c>
      <c r="O19" s="479">
        <f>'PP - Data'!O19</f>
        <v>0</v>
      </c>
      <c r="P19" s="479">
        <f>'PP - Data'!P19</f>
        <v>0</v>
      </c>
      <c r="Q19" s="479">
        <f>'PP - Data'!Q19</f>
        <v>0</v>
      </c>
      <c r="R19" s="479">
        <f>'PP - Data'!R19</f>
        <v>0</v>
      </c>
      <c r="S19" s="479">
        <f>'PP - Data'!S19</f>
        <v>0</v>
      </c>
      <c r="T19" s="479">
        <f>'PP - Data'!T19</f>
        <v>0</v>
      </c>
      <c r="U19" s="479">
        <f>'PP - Data'!U19</f>
        <v>0</v>
      </c>
      <c r="V19" s="479">
        <f>'PP - Data'!V19</f>
        <v>0</v>
      </c>
      <c r="W19" s="479">
        <f>'PP - Data'!W19</f>
        <v>0</v>
      </c>
      <c r="X19" s="479">
        <f>'PP - Data'!X19</f>
        <v>0</v>
      </c>
      <c r="Y19" s="479">
        <f>'PP - Data'!Y19</f>
        <v>0</v>
      </c>
      <c r="Z19" s="479">
        <f>'PP - Data'!Z19</f>
        <v>0</v>
      </c>
      <c r="AA19" s="479">
        <f>'PP - Data'!AA19</f>
        <v>0</v>
      </c>
      <c r="AB19" s="479">
        <f>'PP - Data'!AB19</f>
        <v>0.02272727273</v>
      </c>
      <c r="AC19" s="479">
        <f>'PP - Data'!AC19</f>
        <v>0</v>
      </c>
      <c r="AD19" s="479">
        <f>'PP - Data'!AD19</f>
        <v>0</v>
      </c>
      <c r="AE19" s="479">
        <f>'PP - Data'!AE19</f>
        <v>0</v>
      </c>
      <c r="AF19" s="479">
        <f>'PP - Data'!AF19</f>
        <v>0</v>
      </c>
    </row>
    <row r="20">
      <c r="G20" s="78"/>
    </row>
    <row r="22">
      <c r="A22" s="465" t="s">
        <v>774</v>
      </c>
      <c r="B22" s="466">
        <f>'PP - Data'!B60</f>
        <v>1240</v>
      </c>
      <c r="C22" s="466">
        <f>'PP - Data'!C60</f>
        <v>252</v>
      </c>
      <c r="D22" s="466">
        <f>'PP - Data'!D60</f>
        <v>200</v>
      </c>
      <c r="E22" s="466">
        <f>'PP - Data'!E60</f>
        <v>186</v>
      </c>
      <c r="F22" s="466">
        <f>'PP - Data'!F60</f>
        <v>157</v>
      </c>
      <c r="G22" s="466">
        <f>'PP - Data'!G60</f>
        <v>133</v>
      </c>
      <c r="H22" s="466">
        <f>'PP - Data'!H60</f>
        <v>134</v>
      </c>
      <c r="I22" s="466">
        <f>'PP - Data'!I60</f>
        <v>117</v>
      </c>
      <c r="J22" s="466">
        <f>'PP - Data'!J60</f>
        <v>154</v>
      </c>
      <c r="K22" s="466">
        <f>'PP - Data'!K60</f>
        <v>151</v>
      </c>
      <c r="L22" s="466">
        <f>'PP - Data'!L60</f>
        <v>97</v>
      </c>
      <c r="M22" s="466">
        <f>'PP - Data'!M60</f>
        <v>66</v>
      </c>
      <c r="N22" s="466">
        <f>'PP - Data'!N60</f>
        <v>55</v>
      </c>
      <c r="O22" s="466">
        <f>'PP - Data'!O60</f>
        <v>61</v>
      </c>
      <c r="P22" s="466">
        <f>'PP - Data'!P60</f>
        <v>44</v>
      </c>
      <c r="Q22" s="466">
        <f>'PP - Data'!Q60</f>
        <v>64</v>
      </c>
      <c r="R22" s="466">
        <f>'PP - Data'!R60</f>
        <v>47</v>
      </c>
      <c r="S22" s="466">
        <f>'PP - Data'!S60</f>
        <v>48</v>
      </c>
      <c r="T22" s="466">
        <f>'PP - Data'!T60</f>
        <v>32</v>
      </c>
      <c r="U22" s="466">
        <f>'PP - Data'!U60</f>
        <v>55</v>
      </c>
      <c r="V22" s="466">
        <f>'PP - Data'!V60</f>
        <v>46</v>
      </c>
      <c r="W22" s="466">
        <f>'PP - Data'!W60</f>
        <v>55</v>
      </c>
      <c r="X22" s="466">
        <f>'PP - Data'!X60</f>
        <v>58</v>
      </c>
      <c r="Y22" s="466">
        <f>'PP - Data'!Y60</f>
        <v>72</v>
      </c>
      <c r="Z22" s="466">
        <f>'PP - Data'!Z60</f>
        <v>64</v>
      </c>
      <c r="AA22" s="466">
        <f>'PP - Data'!AA60</f>
        <v>45</v>
      </c>
      <c r="AB22" s="466">
        <f>'PP - Data'!AB60</f>
        <v>45</v>
      </c>
      <c r="AC22" s="466">
        <f>'PP - Data'!AC60</f>
        <v>51</v>
      </c>
      <c r="AD22" s="466">
        <f>'PP - Data'!AD60</f>
        <v>28</v>
      </c>
      <c r="AE22" s="466">
        <f>'PP - Data'!AE60</f>
        <v>59</v>
      </c>
      <c r="AF22" s="466">
        <f>'PP - Data'!AF60</f>
        <v>46</v>
      </c>
    </row>
    <row r="23">
      <c r="A23" s="467" t="s">
        <v>775</v>
      </c>
      <c r="B23" s="468">
        <f>B22/Summary!B52</f>
        <v>0.6323304437</v>
      </c>
      <c r="C23" s="468">
        <f>C22/Summary!C52</f>
        <v>0.6057692308</v>
      </c>
      <c r="D23" s="468">
        <f>D22/Summary!D52</f>
        <v>0.5763688761</v>
      </c>
      <c r="E23" s="468">
        <f>E22/Summary!E52</f>
        <v>0.5961538462</v>
      </c>
      <c r="F23" s="468">
        <f>F22/Summary!F52</f>
        <v>0.6356275304</v>
      </c>
      <c r="G23" s="468">
        <f>G22/Summary!G52</f>
        <v>0.6214953271</v>
      </c>
      <c r="H23" s="468">
        <f>H22/Summary!H52</f>
        <v>0.6442307692</v>
      </c>
      <c r="I23" s="468">
        <f>I22/Summary!I52</f>
        <v>0.585</v>
      </c>
      <c r="J23" s="468">
        <f>J22/Summary!J52</f>
        <v>0.5724907063</v>
      </c>
      <c r="K23" s="468">
        <f>K22/Summary!K52</f>
        <v>0.6371308017</v>
      </c>
      <c r="L23" s="468">
        <f>L22/Summary!L52</f>
        <v>0.5300546448</v>
      </c>
      <c r="M23" s="468">
        <f>M22/Summary!M52</f>
        <v>0.528</v>
      </c>
      <c r="N23" s="468">
        <f>N22/Summary!N52</f>
        <v>0.5913978495</v>
      </c>
      <c r="O23" s="468">
        <f>O22/Summary!O52</f>
        <v>0.5700934579</v>
      </c>
      <c r="P23" s="468">
        <f>P22/Summary!P52</f>
        <v>0.4888888889</v>
      </c>
      <c r="Q23" s="468">
        <f>Q22/Summary!Q52</f>
        <v>0.5423728814</v>
      </c>
      <c r="R23" s="468">
        <f>R22/Summary!R52</f>
        <v>0.5164835165</v>
      </c>
      <c r="S23" s="468">
        <f>S22/Summary!S52</f>
        <v>0.5161290323</v>
      </c>
      <c r="T23" s="468">
        <f>T22/Summary!T52</f>
        <v>0.4507042254</v>
      </c>
      <c r="U23" s="468">
        <f>U22/Summary!U52</f>
        <v>0.6707317073</v>
      </c>
      <c r="V23" s="468">
        <f>V22/Summary!V52</f>
        <v>0.5609756098</v>
      </c>
      <c r="W23" s="468">
        <f>W22/Summary!W52</f>
        <v>0.55</v>
      </c>
      <c r="X23" s="468">
        <f>X22/Summary!X52</f>
        <v>0.4957264957</v>
      </c>
      <c r="Y23" s="468">
        <f>Y22/Summary!Y52</f>
        <v>0.5255474453</v>
      </c>
      <c r="Z23" s="468">
        <f>Z22/Summary!Z52</f>
        <v>0.5714285714</v>
      </c>
      <c r="AA23" s="468">
        <f>AA22/Summary!AA52</f>
        <v>0.5696202532</v>
      </c>
      <c r="AB23" s="468">
        <f>AB22/Summary!AB52</f>
        <v>0.5696202532</v>
      </c>
      <c r="AC23" s="468">
        <f>AC22/Summary!AC52</f>
        <v>0.5483870968</v>
      </c>
      <c r="AD23" s="468">
        <f>AD22/Summary!AD52</f>
        <v>0.4912280702</v>
      </c>
      <c r="AE23" s="468">
        <f>AE22/Summary!AE52</f>
        <v>0.6781609195</v>
      </c>
      <c r="AF23" s="468">
        <f>AF22/Summary!AF52</f>
        <v>0.575</v>
      </c>
    </row>
    <row r="25">
      <c r="A25" s="480" t="s">
        <v>788</v>
      </c>
      <c r="B25" s="481"/>
      <c r="C25" s="481"/>
      <c r="D25" s="481"/>
      <c r="E25" s="481"/>
      <c r="F25" s="481"/>
      <c r="G25" s="482"/>
      <c r="H25" s="481"/>
      <c r="I25" s="481"/>
      <c r="J25" s="481"/>
      <c r="K25" s="481"/>
      <c r="L25" s="481"/>
      <c r="M25" s="481"/>
      <c r="N25" s="481"/>
      <c r="O25" s="481"/>
      <c r="P25" s="481"/>
      <c r="Q25" s="481"/>
      <c r="R25" s="481"/>
      <c r="S25" s="481"/>
      <c r="T25" s="481"/>
      <c r="U25" s="481"/>
      <c r="V25" s="481"/>
      <c r="W25" s="481"/>
      <c r="X25" s="481"/>
      <c r="Y25" s="481"/>
      <c r="Z25" s="481"/>
      <c r="AA25" s="481"/>
      <c r="AB25" s="481"/>
      <c r="AC25" s="481"/>
      <c r="AD25" s="481"/>
      <c r="AE25" s="481"/>
      <c r="AF25" s="481"/>
    </row>
    <row r="26" collapsed="1">
      <c r="A26" s="4" t="s">
        <v>789</v>
      </c>
      <c r="B26" s="68">
        <f>'PP - Data'!B62</f>
        <v>0.3112903226</v>
      </c>
      <c r="C26" s="68">
        <f>'PP - Data'!C62</f>
        <v>0.3015873016</v>
      </c>
      <c r="D26" s="68">
        <f>'PP - Data'!D62</f>
        <v>0.27</v>
      </c>
      <c r="E26" s="68">
        <f>'PP - Data'!E62</f>
        <v>0.2956989247</v>
      </c>
      <c r="F26" s="68">
        <f>'PP - Data'!F62</f>
        <v>0.1910828025</v>
      </c>
      <c r="G26" s="68">
        <f>'PP - Data'!G62</f>
        <v>0.3233082707</v>
      </c>
      <c r="H26" s="68">
        <f>'PP - Data'!H62</f>
        <v>0.223880597</v>
      </c>
      <c r="I26" s="68">
        <f>'PP - Data'!I62</f>
        <v>0.2991452991</v>
      </c>
      <c r="J26" s="68">
        <f>'PP - Data'!J62</f>
        <v>0.2012987013</v>
      </c>
      <c r="K26" s="68">
        <f>'PP - Data'!K62</f>
        <v>0.3642384106</v>
      </c>
      <c r="L26" s="68">
        <f>'PP - Data'!L62</f>
        <v>0.2474226804</v>
      </c>
      <c r="M26" s="68">
        <f>'PP - Data'!M62</f>
        <v>0.3181818182</v>
      </c>
      <c r="N26" s="68">
        <f>'PP - Data'!N62</f>
        <v>0.2909090909</v>
      </c>
      <c r="O26" s="68">
        <f>'PP - Data'!O62</f>
        <v>0.2295081967</v>
      </c>
      <c r="P26" s="68">
        <f>'PP - Data'!P62</f>
        <v>0.25</v>
      </c>
      <c r="Q26" s="68">
        <f>'PP - Data'!Q62</f>
        <v>0.328125</v>
      </c>
      <c r="R26" s="68">
        <f>'PP - Data'!R62</f>
        <v>0.3829787234</v>
      </c>
      <c r="S26" s="68">
        <f>'PP - Data'!S62</f>
        <v>0.25</v>
      </c>
      <c r="T26" s="68">
        <f>'PP - Data'!T62</f>
        <v>0.34375</v>
      </c>
      <c r="U26" s="68">
        <f>'PP - Data'!U62</f>
        <v>0.2909090909</v>
      </c>
      <c r="V26" s="68">
        <f>'PP - Data'!V62</f>
        <v>0.2391304348</v>
      </c>
      <c r="W26" s="68">
        <f>'PP - Data'!W62</f>
        <v>0.1818181818</v>
      </c>
      <c r="X26" s="68">
        <f>'PP - Data'!X62</f>
        <v>0.2413793103</v>
      </c>
      <c r="Y26" s="68">
        <f>'PP - Data'!Y62</f>
        <v>0.2638888889</v>
      </c>
      <c r="Z26" s="68">
        <f>'PP - Data'!Z62</f>
        <v>0.1875</v>
      </c>
      <c r="AA26" s="68">
        <f>'PP - Data'!AA62</f>
        <v>0.3111111111</v>
      </c>
      <c r="AB26" s="68">
        <f>'PP - Data'!AB62</f>
        <v>0.2888888889</v>
      </c>
      <c r="AC26" s="68">
        <f>'PP - Data'!AC62</f>
        <v>0.3529411765</v>
      </c>
      <c r="AD26" s="68">
        <f>'PP - Data'!AD62</f>
        <v>0.25</v>
      </c>
      <c r="AE26" s="68">
        <f>'PP - Data'!AE62</f>
        <v>0.3050847458</v>
      </c>
      <c r="AF26" s="68">
        <f>'PP - Data'!AF62</f>
        <v>0.2608695652</v>
      </c>
    </row>
    <row r="27" hidden="1" outlineLevel="1">
      <c r="A27" s="483" t="s">
        <v>790</v>
      </c>
      <c r="B27" s="484" t="str">
        <f>'PP - Data'!B63</f>
        <v/>
      </c>
      <c r="C27" s="484" t="str">
        <f>'PP - Data'!C63</f>
        <v/>
      </c>
      <c r="D27" s="484" t="str">
        <f>'PP - Data'!D63</f>
        <v/>
      </c>
      <c r="E27" s="484" t="str">
        <f>'PP - Data'!E63</f>
        <v/>
      </c>
      <c r="F27" s="484" t="str">
        <f>'PP - Data'!F63</f>
        <v/>
      </c>
      <c r="G27" s="484" t="str">
        <f>'PP - Data'!G63</f>
        <v/>
      </c>
      <c r="H27" s="484" t="str">
        <f>'PP - Data'!H63</f>
        <v/>
      </c>
      <c r="I27" s="484" t="str">
        <f>'PP - Data'!I63</f>
        <v/>
      </c>
      <c r="J27" s="484" t="str">
        <f>'PP - Data'!J63</f>
        <v/>
      </c>
      <c r="K27" s="484" t="str">
        <f>'PP - Data'!K63</f>
        <v/>
      </c>
      <c r="L27" s="484" t="str">
        <f>'PP - Data'!L63</f>
        <v/>
      </c>
      <c r="M27" s="484" t="str">
        <f>'PP - Data'!M63</f>
        <v/>
      </c>
      <c r="N27" s="484" t="str">
        <f>'PP - Data'!N63</f>
        <v/>
      </c>
      <c r="O27" s="484" t="str">
        <f>'PP - Data'!O63</f>
        <v/>
      </c>
      <c r="P27" s="484" t="str">
        <f>'PP - Data'!P63</f>
        <v/>
      </c>
      <c r="Q27" s="484" t="str">
        <f>'PP - Data'!Q63</f>
        <v/>
      </c>
      <c r="R27" s="484" t="str">
        <f>'PP - Data'!R63</f>
        <v/>
      </c>
      <c r="S27" s="484" t="str">
        <f>'PP - Data'!S63</f>
        <v/>
      </c>
      <c r="T27" s="484" t="str">
        <f>'PP - Data'!T63</f>
        <v/>
      </c>
      <c r="U27" s="484" t="str">
        <f>'PP - Data'!U63</f>
        <v/>
      </c>
      <c r="V27" s="484" t="str">
        <f>'PP - Data'!V63</f>
        <v/>
      </c>
      <c r="W27" s="484" t="str">
        <f>'PP - Data'!W63</f>
        <v/>
      </c>
      <c r="X27" s="484" t="str">
        <f>'PP - Data'!X63</f>
        <v/>
      </c>
      <c r="Y27" s="484" t="str">
        <f>'PP - Data'!Y63</f>
        <v/>
      </c>
      <c r="Z27" s="484" t="str">
        <f>'PP - Data'!Z63</f>
        <v/>
      </c>
      <c r="AA27" s="484" t="str">
        <f>'PP - Data'!AA63</f>
        <v/>
      </c>
      <c r="AB27" s="484" t="str">
        <f>'PP - Data'!AB63</f>
        <v/>
      </c>
      <c r="AC27" s="484" t="str">
        <f>'PP - Data'!AC63</f>
        <v/>
      </c>
      <c r="AD27" s="484" t="str">
        <f>'PP - Data'!AD63</f>
        <v/>
      </c>
      <c r="AE27" s="484" t="str">
        <f>'PP - Data'!AE63</f>
        <v/>
      </c>
      <c r="AF27" s="484" t="str">
        <f>'PP - Data'!AF63</f>
        <v/>
      </c>
    </row>
    <row r="28" hidden="1" outlineLevel="1">
      <c r="A28" s="4" t="s">
        <v>791</v>
      </c>
      <c r="B28" s="68">
        <f>'PP - Data'!B64</f>
        <v>0.6502590674</v>
      </c>
      <c r="C28" s="68">
        <f>'PP - Data'!C64</f>
        <v>0.6184210526</v>
      </c>
      <c r="D28" s="68">
        <f>'PP - Data'!D64</f>
        <v>0.6851851852</v>
      </c>
      <c r="E28" s="68">
        <f>'PP - Data'!E64</f>
        <v>0.7090909091</v>
      </c>
      <c r="F28" s="68">
        <f>'PP - Data'!F64</f>
        <v>0.6</v>
      </c>
      <c r="G28" s="68">
        <f>'PP - Data'!G64</f>
        <v>0.7209302326</v>
      </c>
      <c r="H28" s="68">
        <f>'PP - Data'!H64</f>
        <v>0.6</v>
      </c>
      <c r="I28" s="68">
        <f>'PP - Data'!I64</f>
        <v>0.5714285714</v>
      </c>
      <c r="J28" s="68">
        <f>'PP - Data'!J64</f>
        <v>0.7419354839</v>
      </c>
      <c r="K28" s="68">
        <f>'PP - Data'!K64</f>
        <v>0.5818181818</v>
      </c>
      <c r="L28" s="68">
        <f>'PP - Data'!L64</f>
        <v>0.75</v>
      </c>
      <c r="M28" s="68">
        <f>'PP - Data'!M64</f>
        <v>0.6666666667</v>
      </c>
      <c r="N28" s="68">
        <f>'PP - Data'!N64</f>
        <v>0.5</v>
      </c>
      <c r="O28" s="68">
        <f>'PP - Data'!O64</f>
        <v>0.7142857143</v>
      </c>
      <c r="P28" s="68">
        <f>'PP - Data'!P64</f>
        <v>0.6363636364</v>
      </c>
      <c r="Q28" s="68">
        <f>'PP - Data'!Q64</f>
        <v>0.8571428571</v>
      </c>
      <c r="R28" s="68">
        <f>'PP - Data'!R64</f>
        <v>0.8333333333</v>
      </c>
      <c r="S28" s="68">
        <f>'PP - Data'!S64</f>
        <v>0.5833333333</v>
      </c>
      <c r="T28" s="68">
        <f>'PP - Data'!T64</f>
        <v>0.6363636364</v>
      </c>
      <c r="U28" s="68">
        <f>'PP - Data'!U64</f>
        <v>0.75</v>
      </c>
      <c r="V28" s="68">
        <f>'PP - Data'!V64</f>
        <v>0.7272727273</v>
      </c>
      <c r="W28" s="68">
        <f>'PP - Data'!W64</f>
        <v>0.6</v>
      </c>
      <c r="X28" s="68">
        <f>'PP - Data'!X64</f>
        <v>0.8571428571</v>
      </c>
      <c r="Y28" s="68">
        <f>'PP - Data'!Y64</f>
        <v>0.7368421053</v>
      </c>
      <c r="Z28" s="68">
        <f>'PP - Data'!Z64</f>
        <v>0.3333333333</v>
      </c>
      <c r="AA28" s="68">
        <f>'PP - Data'!AA64</f>
        <v>0.8571428571</v>
      </c>
      <c r="AB28" s="68">
        <f>'PP - Data'!AB64</f>
        <v>0.7692307692</v>
      </c>
      <c r="AC28" s="68">
        <f>'PP - Data'!AC64</f>
        <v>0.6666666667</v>
      </c>
      <c r="AD28" s="68">
        <f>'PP - Data'!AD64</f>
        <v>0.5714285714</v>
      </c>
      <c r="AE28" s="68">
        <f>'PP - Data'!AE64</f>
        <v>0.6111111111</v>
      </c>
      <c r="AF28" s="68">
        <f>'PP - Data'!AF64</f>
        <v>0.6666666667</v>
      </c>
    </row>
    <row r="29" hidden="1" outlineLevel="1">
      <c r="A29" s="4" t="s">
        <v>792</v>
      </c>
      <c r="B29" s="68">
        <f>'PP - Data'!B65</f>
        <v>0.3082901554</v>
      </c>
      <c r="C29" s="68">
        <f>'PP - Data'!C65</f>
        <v>0.3157894737</v>
      </c>
      <c r="D29" s="68">
        <f>'PP - Data'!D65</f>
        <v>0.2962962963</v>
      </c>
      <c r="E29" s="68">
        <f>'PP - Data'!E65</f>
        <v>0.1636363636</v>
      </c>
      <c r="F29" s="68">
        <f>'PP - Data'!F65</f>
        <v>0.3333333333</v>
      </c>
      <c r="G29" s="68">
        <f>'PP - Data'!G65</f>
        <v>0.2558139535</v>
      </c>
      <c r="H29" s="68">
        <f>'PP - Data'!H65</f>
        <v>0.3666666667</v>
      </c>
      <c r="I29" s="68">
        <f>'PP - Data'!I65</f>
        <v>0.3428571429</v>
      </c>
      <c r="J29" s="68">
        <f>'PP - Data'!J65</f>
        <v>0.2580645161</v>
      </c>
      <c r="K29" s="68">
        <f>'PP - Data'!K65</f>
        <v>0.2909090909</v>
      </c>
      <c r="L29" s="68">
        <f>'PP - Data'!L65</f>
        <v>0.2083333333</v>
      </c>
      <c r="M29" s="68">
        <f>'PP - Data'!M65</f>
        <v>0.3333333333</v>
      </c>
      <c r="N29" s="68">
        <f>'PP - Data'!N65</f>
        <v>0.4375</v>
      </c>
      <c r="O29" s="68">
        <f>'PP - Data'!O65</f>
        <v>0.2142857143</v>
      </c>
      <c r="P29" s="68">
        <f>'PP - Data'!P65</f>
        <v>0.1818181818</v>
      </c>
      <c r="Q29" s="68">
        <f>'PP - Data'!Q65</f>
        <v>0.09523809524</v>
      </c>
      <c r="R29" s="68">
        <f>'PP - Data'!R65</f>
        <v>0.1666666667</v>
      </c>
      <c r="S29" s="68">
        <f>'PP - Data'!S65</f>
        <v>0.4166666667</v>
      </c>
      <c r="T29" s="68">
        <f>'PP - Data'!T65</f>
        <v>0.2727272727</v>
      </c>
      <c r="U29" s="68">
        <f>'PP - Data'!U65</f>
        <v>0.25</v>
      </c>
      <c r="V29" s="68">
        <f>'PP - Data'!V65</f>
        <v>0.1818181818</v>
      </c>
      <c r="W29" s="68">
        <f>'PP - Data'!W65</f>
        <v>0.3</v>
      </c>
      <c r="X29" s="68">
        <f>'PP - Data'!X65</f>
        <v>0.07142857143</v>
      </c>
      <c r="Y29" s="68">
        <f>'PP - Data'!Y65</f>
        <v>0.2105263158</v>
      </c>
      <c r="Z29" s="68">
        <f>'PP - Data'!Z65</f>
        <v>0.6666666667</v>
      </c>
      <c r="AA29" s="68">
        <f>'PP - Data'!AA65</f>
        <v>0.1428571429</v>
      </c>
      <c r="AB29" s="68">
        <f>'PP - Data'!AB65</f>
        <v>0.2307692308</v>
      </c>
      <c r="AC29" s="68">
        <f>'PP - Data'!AC65</f>
        <v>0.2777777778</v>
      </c>
      <c r="AD29" s="68">
        <f>'PP - Data'!AD65</f>
        <v>0.2857142857</v>
      </c>
      <c r="AE29" s="68">
        <f>'PP - Data'!AE65</f>
        <v>0.2777777778</v>
      </c>
      <c r="AF29" s="68">
        <f>'PP - Data'!AF65</f>
        <v>0.3333333333</v>
      </c>
    </row>
    <row r="30" hidden="1" outlineLevel="1">
      <c r="A30" s="4" t="s">
        <v>793</v>
      </c>
      <c r="B30" s="68">
        <f>'PP - Data'!B66</f>
        <v>0.0414507772</v>
      </c>
      <c r="C30" s="68">
        <f>'PP - Data'!C66</f>
        <v>0.06578947368</v>
      </c>
      <c r="D30" s="68">
        <f>'PP - Data'!D66</f>
        <v>0.01851851852</v>
      </c>
      <c r="E30" s="68">
        <f>'PP - Data'!E66</f>
        <v>0.1272727273</v>
      </c>
      <c r="F30" s="68">
        <f>'PP - Data'!F66</f>
        <v>0.06666666667</v>
      </c>
      <c r="G30" s="68">
        <f>'PP - Data'!G66</f>
        <v>0.02325581395</v>
      </c>
      <c r="H30" s="68">
        <f>'PP - Data'!H66</f>
        <v>0.03333333333</v>
      </c>
      <c r="I30" s="68">
        <f>'PP - Data'!I66</f>
        <v>0.08571428571</v>
      </c>
      <c r="J30" s="68">
        <f>'PP - Data'!J66</f>
        <v>0</v>
      </c>
      <c r="K30" s="68">
        <f>'PP - Data'!K66</f>
        <v>0.1272727273</v>
      </c>
      <c r="L30" s="68">
        <f>'PP - Data'!L66</f>
        <v>0.04166666667</v>
      </c>
      <c r="M30" s="68">
        <f>'PP - Data'!M66</f>
        <v>0</v>
      </c>
      <c r="N30" s="68">
        <f>'PP - Data'!N66</f>
        <v>0.0625</v>
      </c>
      <c r="O30" s="68">
        <f>'PP - Data'!O66</f>
        <v>0.07142857143</v>
      </c>
      <c r="P30" s="68">
        <f>'PP - Data'!P66</f>
        <v>0.1818181818</v>
      </c>
      <c r="Q30" s="68">
        <f>'PP - Data'!Q66</f>
        <v>0.04761904762</v>
      </c>
      <c r="R30" s="68">
        <f>'PP - Data'!R66</f>
        <v>0</v>
      </c>
      <c r="S30" s="68">
        <f>'PP - Data'!S66</f>
        <v>0</v>
      </c>
      <c r="T30" s="68">
        <f>'PP - Data'!T66</f>
        <v>0.09090909091</v>
      </c>
      <c r="U30" s="68">
        <f>'PP - Data'!U66</f>
        <v>0</v>
      </c>
      <c r="V30" s="68">
        <f>'PP - Data'!V66</f>
        <v>0.09090909091</v>
      </c>
      <c r="W30" s="68">
        <f>'PP - Data'!W66</f>
        <v>0.1</v>
      </c>
      <c r="X30" s="68">
        <f>'PP - Data'!X66</f>
        <v>0.07142857143</v>
      </c>
      <c r="Y30" s="68">
        <f>'PP - Data'!Y66</f>
        <v>0.05263157895</v>
      </c>
      <c r="Z30" s="68">
        <f>'PP - Data'!Z66</f>
        <v>0</v>
      </c>
      <c r="AA30" s="68">
        <f>'PP - Data'!AA66</f>
        <v>0</v>
      </c>
      <c r="AB30" s="68">
        <f>'PP - Data'!AB66</f>
        <v>0</v>
      </c>
      <c r="AC30" s="68">
        <f>'PP - Data'!AC66</f>
        <v>0.05555555556</v>
      </c>
      <c r="AD30" s="68">
        <f>'PP - Data'!AD66</f>
        <v>0.1428571429</v>
      </c>
      <c r="AE30" s="68">
        <f>'PP - Data'!AE66</f>
        <v>0.1111111111</v>
      </c>
      <c r="AF30" s="68">
        <f>'PP - Data'!AF66</f>
        <v>0</v>
      </c>
    </row>
    <row r="31" hidden="1" outlineLevel="1">
      <c r="A31" s="480" t="s">
        <v>794</v>
      </c>
      <c r="B31" s="485" t="str">
        <f>'PP - Data'!B67</f>
        <v/>
      </c>
      <c r="C31" s="485" t="str">
        <f>'PP - Data'!C67</f>
        <v/>
      </c>
      <c r="D31" s="485" t="str">
        <f>'PP - Data'!D67</f>
        <v/>
      </c>
      <c r="E31" s="485" t="str">
        <f>'PP - Data'!E67</f>
        <v/>
      </c>
      <c r="F31" s="485" t="str">
        <f>'PP - Data'!F67</f>
        <v/>
      </c>
      <c r="G31" s="485" t="str">
        <f>'PP - Data'!G67</f>
        <v/>
      </c>
      <c r="H31" s="485" t="str">
        <f>'PP - Data'!H67</f>
        <v/>
      </c>
      <c r="I31" s="485" t="str">
        <f>'PP - Data'!I67</f>
        <v/>
      </c>
      <c r="J31" s="485" t="str">
        <f>'PP - Data'!J67</f>
        <v/>
      </c>
      <c r="K31" s="485" t="str">
        <f>'PP - Data'!K67</f>
        <v/>
      </c>
      <c r="L31" s="485" t="str">
        <f>'PP - Data'!L67</f>
        <v/>
      </c>
      <c r="M31" s="485" t="str">
        <f>'PP - Data'!M67</f>
        <v/>
      </c>
      <c r="N31" s="485" t="str">
        <f>'PP - Data'!N67</f>
        <v/>
      </c>
      <c r="O31" s="485" t="str">
        <f>'PP - Data'!O67</f>
        <v/>
      </c>
      <c r="P31" s="485" t="str">
        <f>'PP - Data'!P67</f>
        <v/>
      </c>
      <c r="Q31" s="485" t="str">
        <f>'PP - Data'!Q67</f>
        <v/>
      </c>
      <c r="R31" s="485" t="str">
        <f>'PP - Data'!R67</f>
        <v/>
      </c>
      <c r="S31" s="485" t="str">
        <f>'PP - Data'!S67</f>
        <v/>
      </c>
      <c r="T31" s="485" t="str">
        <f>'PP - Data'!T67</f>
        <v/>
      </c>
      <c r="U31" s="485" t="str">
        <f>'PP - Data'!U67</f>
        <v/>
      </c>
      <c r="V31" s="485" t="str">
        <f>'PP - Data'!V67</f>
        <v/>
      </c>
      <c r="W31" s="485" t="str">
        <f>'PP - Data'!W67</f>
        <v/>
      </c>
      <c r="X31" s="485" t="str">
        <f>'PP - Data'!X67</f>
        <v/>
      </c>
      <c r="Y31" s="485" t="str">
        <f>'PP - Data'!Y67</f>
        <v/>
      </c>
      <c r="Z31" s="485" t="str">
        <f>'PP - Data'!Z67</f>
        <v/>
      </c>
      <c r="AA31" s="485" t="str">
        <f>'PP - Data'!AA67</f>
        <v/>
      </c>
      <c r="AB31" s="485" t="str">
        <f>'PP - Data'!AB67</f>
        <v/>
      </c>
      <c r="AC31" s="485" t="str">
        <f>'PP - Data'!AC67</f>
        <v/>
      </c>
      <c r="AD31" s="485" t="str">
        <f>'PP - Data'!AD67</f>
        <v/>
      </c>
      <c r="AE31" s="485" t="str">
        <f>'PP - Data'!AE67</f>
        <v/>
      </c>
      <c r="AF31" s="485" t="str">
        <f>'PP - Data'!AF67</f>
        <v/>
      </c>
    </row>
    <row r="32" hidden="1" outlineLevel="1">
      <c r="A32" s="486" t="s">
        <v>795</v>
      </c>
      <c r="B32" s="487">
        <f>'PP - Data'!B119</f>
        <v>0.3937823834</v>
      </c>
      <c r="C32" s="487">
        <f>'PP - Data'!C119</f>
        <v>0.4473684211</v>
      </c>
      <c r="D32" s="487">
        <f>'PP - Data'!D119</f>
        <v>0.462962963</v>
      </c>
      <c r="E32" s="487">
        <f>'PP - Data'!E119</f>
        <v>0.4545454545</v>
      </c>
      <c r="F32" s="487">
        <f>'PP - Data'!F119</f>
        <v>0.2666666667</v>
      </c>
      <c r="G32" s="487">
        <f>'PP - Data'!G119</f>
        <v>0.4651162791</v>
      </c>
      <c r="H32" s="487">
        <f>'PP - Data'!H119</f>
        <v>0.5</v>
      </c>
      <c r="I32" s="487">
        <f>'PP - Data'!I119</f>
        <v>0.4285714286</v>
      </c>
      <c r="J32" s="487">
        <f>'PP - Data'!J119</f>
        <v>0.4516129032</v>
      </c>
      <c r="K32" s="487">
        <f>'PP - Data'!K119</f>
        <v>0.4727272727</v>
      </c>
      <c r="L32" s="487">
        <f>'PP - Data'!L119</f>
        <v>0.2916666667</v>
      </c>
      <c r="M32" s="487">
        <f>'PP - Data'!M119</f>
        <v>0.4285714286</v>
      </c>
      <c r="N32" s="487">
        <f>'PP - Data'!N119</f>
        <v>0.25</v>
      </c>
      <c r="O32" s="487">
        <f>'PP - Data'!O119</f>
        <v>0.3571428571</v>
      </c>
      <c r="P32" s="487">
        <f>'PP - Data'!P119</f>
        <v>0.5454545455</v>
      </c>
      <c r="Q32" s="487">
        <f>'PP - Data'!Q119</f>
        <v>0.380952381</v>
      </c>
      <c r="R32" s="487">
        <f>'PP - Data'!R119</f>
        <v>0.4444444444</v>
      </c>
      <c r="S32" s="487">
        <f>'PP - Data'!S119</f>
        <v>0.6666666667</v>
      </c>
      <c r="T32" s="487">
        <f>'PP - Data'!T119</f>
        <v>0.4545454545</v>
      </c>
      <c r="U32" s="487">
        <f>'PP - Data'!U119</f>
        <v>0.6875</v>
      </c>
      <c r="V32" s="487">
        <f>'PP - Data'!V119</f>
        <v>0.3636363636</v>
      </c>
      <c r="W32" s="487">
        <f>'PP - Data'!W119</f>
        <v>0.4</v>
      </c>
      <c r="X32" s="487">
        <f>'PP - Data'!X119</f>
        <v>0.3571428571</v>
      </c>
      <c r="Y32" s="487">
        <f>'PP - Data'!Y119</f>
        <v>0.3157894737</v>
      </c>
      <c r="Z32" s="487">
        <f>'PP - Data'!Z119</f>
        <v>0.5833333333</v>
      </c>
      <c r="AA32" s="487">
        <f>'PP - Data'!AA119</f>
        <v>0.5714285714</v>
      </c>
      <c r="AB32" s="487">
        <f>'PP - Data'!AB119</f>
        <v>0.4615384615</v>
      </c>
      <c r="AC32" s="487">
        <f>'PP - Data'!AC119</f>
        <v>0.5</v>
      </c>
      <c r="AD32" s="487">
        <f>'PP - Data'!AD119</f>
        <v>0.4285714286</v>
      </c>
      <c r="AE32" s="487">
        <f>'PP - Data'!AE119</f>
        <v>0.5</v>
      </c>
      <c r="AF32" s="487">
        <f>'PP - Data'!AF119</f>
        <v>0.3333333333</v>
      </c>
    </row>
    <row r="33" hidden="1" outlineLevel="1">
      <c r="A33" s="4" t="s">
        <v>796</v>
      </c>
      <c r="B33" s="487">
        <f>'PP - Data'!B120</f>
        <v>0.5699481865</v>
      </c>
      <c r="C33" s="487">
        <f>'PP - Data'!C120</f>
        <v>0.4736842105</v>
      </c>
      <c r="D33" s="487">
        <f>'PP - Data'!D120</f>
        <v>0.5185185185</v>
      </c>
      <c r="E33" s="487">
        <f>'PP - Data'!E120</f>
        <v>0.4727272727</v>
      </c>
      <c r="F33" s="487">
        <f>'PP - Data'!F120</f>
        <v>0.7</v>
      </c>
      <c r="G33" s="487">
        <f>'PP - Data'!G120</f>
        <v>0.5348837209</v>
      </c>
      <c r="H33" s="487">
        <f>'PP - Data'!H120</f>
        <v>0.4333333333</v>
      </c>
      <c r="I33" s="487">
        <f>'PP - Data'!I120</f>
        <v>0.5142857143</v>
      </c>
      <c r="J33" s="487">
        <f>'PP - Data'!J120</f>
        <v>0.5161290323</v>
      </c>
      <c r="K33" s="487">
        <f>'PP - Data'!K120</f>
        <v>0.4</v>
      </c>
      <c r="L33" s="487">
        <f>'PP - Data'!L120</f>
        <v>0.7083333333</v>
      </c>
      <c r="M33" s="487">
        <f>'PP - Data'!M120</f>
        <v>0.5714285714</v>
      </c>
      <c r="N33" s="487">
        <f>'PP - Data'!N120</f>
        <v>0.625</v>
      </c>
      <c r="O33" s="487">
        <f>'PP - Data'!O120</f>
        <v>0.5714285714</v>
      </c>
      <c r="P33" s="487">
        <f>'PP - Data'!P120</f>
        <v>0.3636363636</v>
      </c>
      <c r="Q33" s="487">
        <f>'PP - Data'!Q120</f>
        <v>0.5714285714</v>
      </c>
      <c r="R33" s="487">
        <f>'PP - Data'!R120</f>
        <v>0.4444444444</v>
      </c>
      <c r="S33" s="487">
        <f>'PP - Data'!S120</f>
        <v>0.25</v>
      </c>
      <c r="T33" s="487">
        <f>'PP - Data'!T120</f>
        <v>0.5454545455</v>
      </c>
      <c r="U33" s="487">
        <f>'PP - Data'!U120</f>
        <v>0.3125</v>
      </c>
      <c r="V33" s="487">
        <f>'PP - Data'!V120</f>
        <v>0.5454545455</v>
      </c>
      <c r="W33" s="487">
        <f>'PP - Data'!W120</f>
        <v>0.5</v>
      </c>
      <c r="X33" s="487">
        <f>'PP - Data'!X120</f>
        <v>0.6428571429</v>
      </c>
      <c r="Y33" s="487">
        <f>'PP - Data'!Y120</f>
        <v>0.6315789474</v>
      </c>
      <c r="Z33" s="487">
        <f>'PP - Data'!Z120</f>
        <v>0.4166666667</v>
      </c>
      <c r="AA33" s="487">
        <f>'PP - Data'!AA120</f>
        <v>0.4285714286</v>
      </c>
      <c r="AB33" s="487">
        <f>'PP - Data'!AB120</f>
        <v>0.4615384615</v>
      </c>
      <c r="AC33" s="487">
        <f>'PP - Data'!AC120</f>
        <v>0.5</v>
      </c>
      <c r="AD33" s="487">
        <f>'PP - Data'!AD120</f>
        <v>0.5714285714</v>
      </c>
      <c r="AE33" s="487">
        <f>'PP - Data'!AE120</f>
        <v>0.5</v>
      </c>
      <c r="AF33" s="487">
        <f>'PP - Data'!AF120</f>
        <v>0.5</v>
      </c>
    </row>
    <row r="34" hidden="1" outlineLevel="1">
      <c r="A34" s="4" t="s">
        <v>797</v>
      </c>
      <c r="B34" s="487">
        <f>'PP - Data'!B121</f>
        <v>0.03626943005</v>
      </c>
      <c r="C34" s="487">
        <f>'PP - Data'!C121</f>
        <v>0.07894736842</v>
      </c>
      <c r="D34" s="487">
        <f>'PP - Data'!D121</f>
        <v>0.01851851852</v>
      </c>
      <c r="E34" s="487">
        <f>'PP - Data'!E121</f>
        <v>0.07272727273</v>
      </c>
      <c r="F34" s="487">
        <f>'PP - Data'!F121</f>
        <v>0.03333333333</v>
      </c>
      <c r="G34" s="487">
        <f>'PP - Data'!G121</f>
        <v>0</v>
      </c>
      <c r="H34" s="487">
        <f>'PP - Data'!H121</f>
        <v>0.06666666667</v>
      </c>
      <c r="I34" s="487">
        <f>'PP - Data'!I121</f>
        <v>0.05714285714</v>
      </c>
      <c r="J34" s="487">
        <f>'PP - Data'!J121</f>
        <v>0.03225806452</v>
      </c>
      <c r="K34" s="487">
        <f>'PP - Data'!K121</f>
        <v>0.1272727273</v>
      </c>
      <c r="L34" s="487">
        <f>'PP - Data'!L121</f>
        <v>0</v>
      </c>
      <c r="M34" s="487">
        <f>'PP - Data'!M121</f>
        <v>0</v>
      </c>
      <c r="N34" s="487">
        <f>'PP - Data'!N121</f>
        <v>0.125</v>
      </c>
      <c r="O34" s="487">
        <f>'PP - Data'!O121</f>
        <v>0.07142857143</v>
      </c>
      <c r="P34" s="487">
        <f>'PP - Data'!P121</f>
        <v>0.09090909091</v>
      </c>
      <c r="Q34" s="487">
        <f>'PP - Data'!Q121</f>
        <v>0.04761904762</v>
      </c>
      <c r="R34" s="487">
        <f>'PP - Data'!R121</f>
        <v>0.1111111111</v>
      </c>
      <c r="S34" s="487">
        <f>'PP - Data'!S121</f>
        <v>0.08333333333</v>
      </c>
      <c r="T34" s="487">
        <f>'PP - Data'!T121</f>
        <v>0</v>
      </c>
      <c r="U34" s="487">
        <f>'PP - Data'!U121</f>
        <v>0</v>
      </c>
      <c r="V34" s="487">
        <f>'PP - Data'!V121</f>
        <v>0.09090909091</v>
      </c>
      <c r="W34" s="487">
        <f>'PP - Data'!W121</f>
        <v>0.1</v>
      </c>
      <c r="X34" s="487">
        <f>'PP - Data'!X121</f>
        <v>0</v>
      </c>
      <c r="Y34" s="487">
        <f>'PP - Data'!Y121</f>
        <v>0.05263157895</v>
      </c>
      <c r="Z34" s="487">
        <f>'PP - Data'!Z121</f>
        <v>0</v>
      </c>
      <c r="AA34" s="487">
        <f>'PP - Data'!AA121</f>
        <v>0</v>
      </c>
      <c r="AB34" s="487">
        <f>'PP - Data'!AB121</f>
        <v>0.07692307692</v>
      </c>
      <c r="AC34" s="487">
        <f>'PP - Data'!AC121</f>
        <v>0</v>
      </c>
      <c r="AD34" s="487">
        <f>'PP - Data'!AD121</f>
        <v>0</v>
      </c>
      <c r="AE34" s="487">
        <f>'PP - Data'!AE121</f>
        <v>0</v>
      </c>
      <c r="AF34" s="487">
        <f>'PP - Data'!AF121</f>
        <v>0.1666666667</v>
      </c>
    </row>
    <row r="35" hidden="1" outlineLevel="1">
      <c r="A35" s="488"/>
      <c r="B35" s="489" t="str">
        <f>'PP - Data'!B67</f>
        <v/>
      </c>
      <c r="C35" s="489" t="str">
        <f>'PP - Data'!C67</f>
        <v/>
      </c>
      <c r="D35" s="489" t="str">
        <f>'PP - Data'!D67</f>
        <v/>
      </c>
      <c r="E35" s="489" t="str">
        <f>'PP - Data'!E67</f>
        <v/>
      </c>
      <c r="F35" s="489" t="str">
        <f>'PP - Data'!F67</f>
        <v/>
      </c>
      <c r="G35" s="489" t="str">
        <f>'PP - Data'!G67</f>
        <v/>
      </c>
      <c r="H35" s="489" t="str">
        <f>'PP - Data'!H67</f>
        <v/>
      </c>
      <c r="I35" s="489" t="str">
        <f>'PP - Data'!I67</f>
        <v/>
      </c>
      <c r="J35" s="489" t="str">
        <f>'PP - Data'!J67</f>
        <v/>
      </c>
      <c r="K35" s="489" t="str">
        <f>'PP - Data'!K67</f>
        <v/>
      </c>
      <c r="L35" s="489" t="str">
        <f>'PP - Data'!L67</f>
        <v/>
      </c>
      <c r="M35" s="489" t="str">
        <f>'PP - Data'!M67</f>
        <v/>
      </c>
      <c r="N35" s="489" t="str">
        <f>'PP - Data'!N67</f>
        <v/>
      </c>
      <c r="O35" s="489" t="str">
        <f>'PP - Data'!O67</f>
        <v/>
      </c>
      <c r="P35" s="489" t="str">
        <f>'PP - Data'!P67</f>
        <v/>
      </c>
      <c r="Q35" s="489" t="str">
        <f>'PP - Data'!Q67</f>
        <v/>
      </c>
      <c r="R35" s="489" t="str">
        <f>'PP - Data'!R67</f>
        <v/>
      </c>
      <c r="S35" s="489" t="str">
        <f>'PP - Data'!S67</f>
        <v/>
      </c>
      <c r="T35" s="489" t="str">
        <f>'PP - Data'!T67</f>
        <v/>
      </c>
      <c r="U35" s="489" t="str">
        <f>'PP - Data'!U67</f>
        <v/>
      </c>
      <c r="V35" s="489" t="str">
        <f>'PP - Data'!V67</f>
        <v/>
      </c>
      <c r="W35" s="489" t="str">
        <f>'PP - Data'!W67</f>
        <v/>
      </c>
      <c r="X35" s="489" t="str">
        <f>'PP - Data'!X67</f>
        <v/>
      </c>
      <c r="Y35" s="489" t="str">
        <f>'PP - Data'!Y67</f>
        <v/>
      </c>
      <c r="Z35" s="489" t="str">
        <f>'PP - Data'!Z67</f>
        <v/>
      </c>
      <c r="AA35" s="489" t="str">
        <f>'PP - Data'!AA67</f>
        <v/>
      </c>
      <c r="AB35" s="489" t="str">
        <f>'PP - Data'!AB67</f>
        <v/>
      </c>
      <c r="AC35" s="489" t="str">
        <f>'PP - Data'!AC67</f>
        <v/>
      </c>
      <c r="AD35" s="489" t="str">
        <f>'PP - Data'!AD67</f>
        <v/>
      </c>
      <c r="AE35" s="489" t="str">
        <f>'PP - Data'!AE67</f>
        <v/>
      </c>
      <c r="AF35" s="489" t="str">
        <f>'PP - Data'!AF67</f>
        <v/>
      </c>
    </row>
    <row r="36" collapsed="1">
      <c r="A36" s="4" t="s">
        <v>798</v>
      </c>
      <c r="B36" s="68">
        <f>'PP - Data'!B68</f>
        <v>0.3572580645</v>
      </c>
      <c r="C36" s="68">
        <f>'PP - Data'!C68</f>
        <v>0.3968253968</v>
      </c>
      <c r="D36" s="68">
        <f>'PP - Data'!D68</f>
        <v>0.355</v>
      </c>
      <c r="E36" s="68">
        <f>'PP - Data'!E68</f>
        <v>0.3387096774</v>
      </c>
      <c r="F36" s="68">
        <f>'PP - Data'!F68</f>
        <v>0.3885350318</v>
      </c>
      <c r="G36" s="68">
        <f>'PP - Data'!G68</f>
        <v>0.2857142857</v>
      </c>
      <c r="H36" s="68">
        <f>'PP - Data'!H68</f>
        <v>0.2985074627</v>
      </c>
      <c r="I36" s="68">
        <f>'PP - Data'!I68</f>
        <v>0.264957265</v>
      </c>
      <c r="J36" s="68">
        <f>'PP - Data'!J68</f>
        <v>0.4025974026</v>
      </c>
      <c r="K36" s="68">
        <f>'PP - Data'!K68</f>
        <v>0.3112582781</v>
      </c>
      <c r="L36" s="68">
        <f>'PP - Data'!L68</f>
        <v>0.3092783505</v>
      </c>
      <c r="M36" s="68">
        <f>'PP - Data'!M68</f>
        <v>0.3181818182</v>
      </c>
      <c r="N36" s="68">
        <f>'PP - Data'!N68</f>
        <v>0.3454545455</v>
      </c>
      <c r="O36" s="68">
        <f>'PP - Data'!O68</f>
        <v>0.3114754098</v>
      </c>
      <c r="P36" s="68">
        <f>'PP - Data'!P68</f>
        <v>0.2954545455</v>
      </c>
      <c r="Q36" s="68">
        <f>'PP - Data'!Q68</f>
        <v>0.359375</v>
      </c>
      <c r="R36" s="68">
        <f>'PP - Data'!R68</f>
        <v>0.2765957447</v>
      </c>
      <c r="S36" s="68">
        <f>'PP - Data'!S68</f>
        <v>0.3541666667</v>
      </c>
      <c r="T36" s="68">
        <f>'PP - Data'!T68</f>
        <v>0.28125</v>
      </c>
      <c r="U36" s="68">
        <f>'PP - Data'!U68</f>
        <v>0.3454545455</v>
      </c>
      <c r="V36" s="68">
        <f>'PP - Data'!V68</f>
        <v>0.3260869565</v>
      </c>
      <c r="W36" s="68">
        <f>'PP - Data'!W68</f>
        <v>0.3272727273</v>
      </c>
      <c r="X36" s="68">
        <f>'PP - Data'!X68</f>
        <v>0.3448275862</v>
      </c>
      <c r="Y36" s="68">
        <f>'PP - Data'!Y68</f>
        <v>0.3194444444</v>
      </c>
      <c r="Z36" s="68">
        <f>'PP - Data'!Z68</f>
        <v>0.25</v>
      </c>
      <c r="AA36" s="68">
        <f>'PP - Data'!AA68</f>
        <v>0.3555555556</v>
      </c>
      <c r="AB36" s="68">
        <f>'PP - Data'!AB68</f>
        <v>0.3333333333</v>
      </c>
      <c r="AC36" s="68">
        <f>'PP - Data'!AC68</f>
        <v>0.3137254902</v>
      </c>
      <c r="AD36" s="68">
        <f>'PP - Data'!AD68</f>
        <v>0.1428571429</v>
      </c>
      <c r="AE36" s="68">
        <f>'PP - Data'!AE68</f>
        <v>0.2203389831</v>
      </c>
      <c r="AF36" s="68">
        <f>'PP - Data'!AF68</f>
        <v>0.3695652174</v>
      </c>
    </row>
    <row r="37" hidden="1" outlineLevel="1">
      <c r="A37" s="483" t="s">
        <v>790</v>
      </c>
      <c r="B37" s="484" t="str">
        <f>'PP - Data'!B69</f>
        <v/>
      </c>
      <c r="C37" s="484" t="str">
        <f>'PP - Data'!C69</f>
        <v/>
      </c>
      <c r="D37" s="484" t="str">
        <f>'PP - Data'!D69</f>
        <v/>
      </c>
      <c r="E37" s="484" t="str">
        <f>'PP - Data'!E69</f>
        <v/>
      </c>
      <c r="F37" s="484" t="str">
        <f>'PP - Data'!F69</f>
        <v/>
      </c>
      <c r="G37" s="484" t="str">
        <f>'PP - Data'!G69</f>
        <v/>
      </c>
      <c r="H37" s="484" t="str">
        <f>'PP - Data'!H69</f>
        <v/>
      </c>
      <c r="I37" s="484" t="str">
        <f>'PP - Data'!I69</f>
        <v/>
      </c>
      <c r="J37" s="484" t="str">
        <f>'PP - Data'!J69</f>
        <v/>
      </c>
      <c r="K37" s="484" t="str">
        <f>'PP - Data'!K69</f>
        <v/>
      </c>
      <c r="L37" s="484" t="str">
        <f>'PP - Data'!L69</f>
        <v/>
      </c>
      <c r="M37" s="484" t="str">
        <f>'PP - Data'!M69</f>
        <v/>
      </c>
      <c r="N37" s="484" t="str">
        <f>'PP - Data'!N69</f>
        <v/>
      </c>
      <c r="O37" s="484" t="str">
        <f>'PP - Data'!O69</f>
        <v/>
      </c>
      <c r="P37" s="484" t="str">
        <f>'PP - Data'!P69</f>
        <v/>
      </c>
      <c r="Q37" s="484" t="str">
        <f>'PP - Data'!Q69</f>
        <v/>
      </c>
      <c r="R37" s="484" t="str">
        <f>'PP - Data'!R69</f>
        <v/>
      </c>
      <c r="S37" s="484" t="str">
        <f>'PP - Data'!S69</f>
        <v/>
      </c>
      <c r="T37" s="484" t="str">
        <f>'PP - Data'!T69</f>
        <v/>
      </c>
      <c r="U37" s="484" t="str">
        <f>'PP - Data'!U69</f>
        <v/>
      </c>
      <c r="V37" s="484" t="str">
        <f>'PP - Data'!V69</f>
        <v/>
      </c>
      <c r="W37" s="484" t="str">
        <f>'PP - Data'!W69</f>
        <v/>
      </c>
      <c r="X37" s="484" t="str">
        <f>'PP - Data'!X69</f>
        <v/>
      </c>
      <c r="Y37" s="484" t="str">
        <f>'PP - Data'!Y69</f>
        <v/>
      </c>
      <c r="Z37" s="484" t="str">
        <f>'PP - Data'!Z69</f>
        <v/>
      </c>
      <c r="AA37" s="484" t="str">
        <f>'PP - Data'!AA69</f>
        <v/>
      </c>
      <c r="AB37" s="484" t="str">
        <f>'PP - Data'!AB69</f>
        <v/>
      </c>
      <c r="AC37" s="484" t="str">
        <f>'PP - Data'!AC69</f>
        <v/>
      </c>
      <c r="AD37" s="484" t="str">
        <f>'PP - Data'!AD69</f>
        <v/>
      </c>
      <c r="AE37" s="484" t="str">
        <f>'PP - Data'!AE69</f>
        <v/>
      </c>
      <c r="AF37" s="484" t="str">
        <f>'PP - Data'!AF69</f>
        <v/>
      </c>
    </row>
    <row r="38" hidden="1" outlineLevel="1">
      <c r="A38" s="4" t="s">
        <v>791</v>
      </c>
      <c r="B38" s="68">
        <f>'PP - Data'!B70</f>
        <v>0.6704288939</v>
      </c>
      <c r="C38" s="68">
        <f>'PP - Data'!C70</f>
        <v>0.56</v>
      </c>
      <c r="D38" s="68">
        <f>'PP - Data'!D70</f>
        <v>0.7323943662</v>
      </c>
      <c r="E38" s="68">
        <f>'PP - Data'!E70</f>
        <v>0.4285714286</v>
      </c>
      <c r="F38" s="68">
        <f>'PP - Data'!F70</f>
        <v>0.6229508197</v>
      </c>
      <c r="G38" s="68">
        <f>'PP - Data'!G70</f>
        <v>0.6578947368</v>
      </c>
      <c r="H38" s="68">
        <f>'PP - Data'!H70</f>
        <v>0.675</v>
      </c>
      <c r="I38" s="68">
        <f>'PP - Data'!I70</f>
        <v>0.6451612903</v>
      </c>
      <c r="J38" s="68">
        <f>'PP - Data'!J70</f>
        <v>0.5322580645</v>
      </c>
      <c r="K38" s="68">
        <f>'PP - Data'!K70</f>
        <v>0.6595744681</v>
      </c>
      <c r="L38" s="68">
        <f>'PP - Data'!L70</f>
        <v>0.6</v>
      </c>
      <c r="M38" s="68">
        <f>'PP - Data'!M70</f>
        <v>0.8095238095</v>
      </c>
      <c r="N38" s="68">
        <f>'PP - Data'!N70</f>
        <v>0.5263157895</v>
      </c>
      <c r="O38" s="68">
        <f>'PP - Data'!O70</f>
        <v>0.7368421053</v>
      </c>
      <c r="P38" s="68">
        <f>'PP - Data'!P70</f>
        <v>0.5384615385</v>
      </c>
      <c r="Q38" s="68">
        <f>'PP - Data'!Q70</f>
        <v>0.4347826087</v>
      </c>
      <c r="R38" s="68">
        <f>'PP - Data'!R70</f>
        <v>0.6923076923</v>
      </c>
      <c r="S38" s="68">
        <f>'PP - Data'!S70</f>
        <v>0.7647058824</v>
      </c>
      <c r="T38" s="68">
        <f>'PP - Data'!T70</f>
        <v>0.3333333333</v>
      </c>
      <c r="U38" s="68">
        <f>'PP - Data'!U70</f>
        <v>0.6315789474</v>
      </c>
      <c r="V38" s="68">
        <f>'PP - Data'!V70</f>
        <v>0.5333333333</v>
      </c>
      <c r="W38" s="68">
        <f>'PP - Data'!W70</f>
        <v>0.5555555556</v>
      </c>
      <c r="X38" s="68">
        <f>'PP - Data'!X70</f>
        <v>0.6</v>
      </c>
      <c r="Y38" s="68">
        <f>'PP - Data'!Y70</f>
        <v>0.6956521739</v>
      </c>
      <c r="Z38" s="68">
        <f>'PP - Data'!Z70</f>
        <v>0.6875</v>
      </c>
      <c r="AA38" s="68">
        <f>'PP - Data'!AA70</f>
        <v>0.25</v>
      </c>
      <c r="AB38" s="68">
        <f>'PP - Data'!AB70</f>
        <v>0.5333333333</v>
      </c>
      <c r="AC38" s="68">
        <f>'PP - Data'!AC70</f>
        <v>0.5625</v>
      </c>
      <c r="AD38" s="68">
        <f>'PP - Data'!AD70</f>
        <v>0.5</v>
      </c>
      <c r="AE38" s="68">
        <f>'PP - Data'!AE70</f>
        <v>0.6153846154</v>
      </c>
      <c r="AF38" s="68">
        <f>'PP - Data'!AF70</f>
        <v>0.7647058824</v>
      </c>
    </row>
    <row r="39" hidden="1" outlineLevel="1">
      <c r="A39" s="4" t="s">
        <v>792</v>
      </c>
      <c r="B39" s="68">
        <f>'PP - Data'!B71</f>
        <v>0.2979683973</v>
      </c>
      <c r="C39" s="68">
        <f>'PP - Data'!C71</f>
        <v>0.4</v>
      </c>
      <c r="D39" s="68">
        <f>'PP - Data'!D71</f>
        <v>0.2535211268</v>
      </c>
      <c r="E39" s="68">
        <f>'PP - Data'!E71</f>
        <v>0.5238095238</v>
      </c>
      <c r="F39" s="68">
        <f>'PP - Data'!F71</f>
        <v>0.3278688525</v>
      </c>
      <c r="G39" s="68">
        <f>'PP - Data'!G71</f>
        <v>0.3157894737</v>
      </c>
      <c r="H39" s="68">
        <f>'PP - Data'!H71</f>
        <v>0.325</v>
      </c>
      <c r="I39" s="68">
        <f>'PP - Data'!I71</f>
        <v>0.2258064516</v>
      </c>
      <c r="J39" s="68">
        <f>'PP - Data'!J71</f>
        <v>0.3870967742</v>
      </c>
      <c r="K39" s="68">
        <f>'PP - Data'!K71</f>
        <v>0.3404255319</v>
      </c>
      <c r="L39" s="68">
        <f>'PP - Data'!L71</f>
        <v>0.3666666667</v>
      </c>
      <c r="M39" s="68">
        <f>'PP - Data'!M71</f>
        <v>0.09523809524</v>
      </c>
      <c r="N39" s="68">
        <f>'PP - Data'!N71</f>
        <v>0.3157894737</v>
      </c>
      <c r="O39" s="68">
        <f>'PP - Data'!O71</f>
        <v>0.2631578947</v>
      </c>
      <c r="P39" s="68">
        <f>'PP - Data'!P71</f>
        <v>0.3076923077</v>
      </c>
      <c r="Q39" s="68">
        <f>'PP - Data'!Q71</f>
        <v>0.5217391304</v>
      </c>
      <c r="R39" s="68">
        <f>'PP - Data'!R71</f>
        <v>0.2307692308</v>
      </c>
      <c r="S39" s="68">
        <f>'PP - Data'!S71</f>
        <v>0.1764705882</v>
      </c>
      <c r="T39" s="68">
        <f>'PP - Data'!T71</f>
        <v>0.6666666667</v>
      </c>
      <c r="U39" s="68">
        <f>'PP - Data'!U71</f>
        <v>0.3684210526</v>
      </c>
      <c r="V39" s="68">
        <f>'PP - Data'!V71</f>
        <v>0.3333333333</v>
      </c>
      <c r="W39" s="68">
        <f>'PP - Data'!W71</f>
        <v>0.3333333333</v>
      </c>
      <c r="X39" s="68">
        <f>'PP - Data'!X71</f>
        <v>0.3</v>
      </c>
      <c r="Y39" s="68">
        <f>'PP - Data'!Y71</f>
        <v>0.3043478261</v>
      </c>
      <c r="Z39" s="68">
        <f>'PP - Data'!Z71</f>
        <v>0.25</v>
      </c>
      <c r="AA39" s="68">
        <f>'PP - Data'!AA71</f>
        <v>0.5</v>
      </c>
      <c r="AB39" s="68">
        <f>'PP - Data'!AB71</f>
        <v>0.4</v>
      </c>
      <c r="AC39" s="68">
        <f>'PP - Data'!AC71</f>
        <v>0.375</v>
      </c>
      <c r="AD39" s="68">
        <f>'PP - Data'!AD71</f>
        <v>0.5</v>
      </c>
      <c r="AE39" s="68">
        <f>'PP - Data'!AE71</f>
        <v>0.3846153846</v>
      </c>
      <c r="AF39" s="68">
        <f>'PP - Data'!AF71</f>
        <v>0.2352941176</v>
      </c>
    </row>
    <row r="40" hidden="1" outlineLevel="1">
      <c r="A40" s="4" t="s">
        <v>793</v>
      </c>
      <c r="B40" s="68">
        <f>'PP - Data'!B72</f>
        <v>0.0316027088</v>
      </c>
      <c r="C40" s="68">
        <f>'PP - Data'!C72</f>
        <v>0.04</v>
      </c>
      <c r="D40" s="68">
        <f>'PP - Data'!D72</f>
        <v>0.01408450704</v>
      </c>
      <c r="E40" s="68">
        <f>'PP - Data'!E72</f>
        <v>0.04761904762</v>
      </c>
      <c r="F40" s="68">
        <f>'PP - Data'!F72</f>
        <v>0.04918032787</v>
      </c>
      <c r="G40" s="68">
        <f>'PP - Data'!G72</f>
        <v>0.02631578947</v>
      </c>
      <c r="H40" s="68">
        <f>'PP - Data'!H72</f>
        <v>0</v>
      </c>
      <c r="I40" s="68">
        <f>'PP - Data'!I72</f>
        <v>0.1290322581</v>
      </c>
      <c r="J40" s="68">
        <f>'PP - Data'!J72</f>
        <v>0.08064516129</v>
      </c>
      <c r="K40" s="68">
        <f>'PP - Data'!K72</f>
        <v>0</v>
      </c>
      <c r="L40" s="68">
        <f>'PP - Data'!L72</f>
        <v>0.03333333333</v>
      </c>
      <c r="M40" s="68">
        <f>'PP - Data'!M72</f>
        <v>0.09523809524</v>
      </c>
      <c r="N40" s="68">
        <f>'PP - Data'!N72</f>
        <v>0.1578947368</v>
      </c>
      <c r="O40" s="68">
        <f>'PP - Data'!O72</f>
        <v>0</v>
      </c>
      <c r="P40" s="68">
        <f>'PP - Data'!P72</f>
        <v>0.1538461538</v>
      </c>
      <c r="Q40" s="68">
        <f>'PP - Data'!Q72</f>
        <v>0.04347826087</v>
      </c>
      <c r="R40" s="68">
        <f>'PP - Data'!R72</f>
        <v>0.07692307692</v>
      </c>
      <c r="S40" s="68">
        <f>'PP - Data'!S72</f>
        <v>0.05882352941</v>
      </c>
      <c r="T40" s="68">
        <f>'PP - Data'!T72</f>
        <v>0</v>
      </c>
      <c r="U40" s="68">
        <f>'PP - Data'!U72</f>
        <v>0</v>
      </c>
      <c r="V40" s="68">
        <f>'PP - Data'!V72</f>
        <v>0.1333333333</v>
      </c>
      <c r="W40" s="68">
        <f>'PP - Data'!W72</f>
        <v>0.1111111111</v>
      </c>
      <c r="X40" s="68">
        <f>'PP - Data'!X72</f>
        <v>0.1</v>
      </c>
      <c r="Y40" s="68">
        <f>'PP - Data'!Y72</f>
        <v>0</v>
      </c>
      <c r="Z40" s="68">
        <f>'PP - Data'!Z72</f>
        <v>0.0625</v>
      </c>
      <c r="AA40" s="68">
        <f>'PP - Data'!AA72</f>
        <v>0.25</v>
      </c>
      <c r="AB40" s="68">
        <f>'PP - Data'!AB72</f>
        <v>0.06666666667</v>
      </c>
      <c r="AC40" s="68">
        <f>'PP - Data'!AC72</f>
        <v>0.0625</v>
      </c>
      <c r="AD40" s="68">
        <f>'PP - Data'!AD72</f>
        <v>0</v>
      </c>
      <c r="AE40" s="68">
        <f>'PP - Data'!AE72</f>
        <v>0</v>
      </c>
      <c r="AF40" s="68">
        <f>'PP - Data'!AF72</f>
        <v>0</v>
      </c>
    </row>
    <row r="41" hidden="1" outlineLevel="1">
      <c r="A41" s="490" t="s">
        <v>794</v>
      </c>
      <c r="B41" s="469"/>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c r="AA41" s="469"/>
      <c r="AB41" s="469"/>
      <c r="AC41" s="469"/>
      <c r="AD41" s="469"/>
      <c r="AE41" s="469"/>
      <c r="AF41" s="469"/>
    </row>
    <row r="42" hidden="1" outlineLevel="1">
      <c r="A42" s="486" t="s">
        <v>795</v>
      </c>
      <c r="B42" s="68">
        <f>'PP - Data'!B124</f>
        <v>0.3679458239</v>
      </c>
      <c r="C42" s="68">
        <f>'PP - Data'!C124</f>
        <v>0.49</v>
      </c>
      <c r="D42" s="68">
        <f>'PP - Data'!D124</f>
        <v>0.4929577465</v>
      </c>
      <c r="E42" s="68">
        <f>'PP - Data'!E124</f>
        <v>0.5079365079</v>
      </c>
      <c r="F42" s="68">
        <f>'PP - Data'!F124</f>
        <v>0.5245901639</v>
      </c>
      <c r="G42" s="68">
        <f>'PP - Data'!G124</f>
        <v>0.5263157895</v>
      </c>
      <c r="H42" s="68">
        <f>'PP - Data'!H124</f>
        <v>0.525</v>
      </c>
      <c r="I42" s="68">
        <f>'PP - Data'!I124</f>
        <v>0.6451612903</v>
      </c>
      <c r="J42" s="68">
        <f>'PP - Data'!J124</f>
        <v>0.564516129</v>
      </c>
      <c r="K42" s="68">
        <f>'PP - Data'!K124</f>
        <v>0.5106382979</v>
      </c>
      <c r="L42" s="68">
        <f>'PP - Data'!L124</f>
        <v>0.5666666667</v>
      </c>
      <c r="M42" s="68">
        <f>'PP - Data'!M124</f>
        <v>0.7142857143</v>
      </c>
      <c r="N42" s="68">
        <f>'PP - Data'!N124</f>
        <v>0.4736842105</v>
      </c>
      <c r="O42" s="68">
        <f>'PP - Data'!O124</f>
        <v>0.4736842105</v>
      </c>
      <c r="P42" s="68">
        <f>'PP - Data'!P124</f>
        <v>0.4615384615</v>
      </c>
      <c r="Q42" s="68">
        <f>'PP - Data'!Q124</f>
        <v>0.5217391304</v>
      </c>
      <c r="R42" s="68">
        <f>'PP - Data'!R124</f>
        <v>0.6153846154</v>
      </c>
      <c r="S42" s="68">
        <f>'PP - Data'!S124</f>
        <v>0.7647058824</v>
      </c>
      <c r="T42" s="68">
        <f>'PP - Data'!T124</f>
        <v>0.5555555556</v>
      </c>
      <c r="U42" s="68">
        <f>'PP - Data'!U124</f>
        <v>0.4210526316</v>
      </c>
      <c r="V42" s="68">
        <f>'PP - Data'!V124</f>
        <v>0.4</v>
      </c>
      <c r="W42" s="68">
        <f>'PP - Data'!W124</f>
        <v>0.6666666667</v>
      </c>
      <c r="X42" s="68">
        <f>'PP - Data'!X124</f>
        <v>0.75</v>
      </c>
      <c r="Y42" s="68">
        <f>'PP - Data'!Y124</f>
        <v>0.6956521739</v>
      </c>
      <c r="Z42" s="68">
        <f>'PP - Data'!Z124</f>
        <v>0.75</v>
      </c>
      <c r="AA42" s="68">
        <f>'PP - Data'!AA124</f>
        <v>0.5625</v>
      </c>
      <c r="AB42" s="68">
        <f>'PP - Data'!AB124</f>
        <v>0.6666666667</v>
      </c>
      <c r="AC42" s="68">
        <f>'PP - Data'!AC124</f>
        <v>0.6875</v>
      </c>
      <c r="AD42" s="68">
        <f>'PP - Data'!AD124</f>
        <v>0.25</v>
      </c>
      <c r="AE42" s="68">
        <f>'PP - Data'!AE124</f>
        <v>0.4615384615</v>
      </c>
      <c r="AF42" s="68">
        <f>'PP - Data'!AF124</f>
        <v>0.5294117647</v>
      </c>
    </row>
    <row r="43" hidden="1" outlineLevel="1">
      <c r="A43" s="4" t="s">
        <v>796</v>
      </c>
      <c r="B43" s="68">
        <f>'PP - Data'!B125</f>
        <v>0.5620767494</v>
      </c>
      <c r="C43" s="68">
        <f>'PP - Data'!C125</f>
        <v>0.46</v>
      </c>
      <c r="D43" s="68">
        <f>'PP - Data'!D125</f>
        <v>0.4366197183</v>
      </c>
      <c r="E43" s="68">
        <f>'PP - Data'!E125</f>
        <v>0.4920634921</v>
      </c>
      <c r="F43" s="68">
        <f>'PP - Data'!F125</f>
        <v>0.4426229508</v>
      </c>
      <c r="G43" s="68">
        <f>'PP - Data'!G125</f>
        <v>0.4473684211</v>
      </c>
      <c r="H43" s="68">
        <f>'PP - Data'!H125</f>
        <v>0.425</v>
      </c>
      <c r="I43" s="68">
        <f>'PP - Data'!I125</f>
        <v>0.3548387097</v>
      </c>
      <c r="J43" s="68">
        <f>'PP - Data'!J125</f>
        <v>0.3709677419</v>
      </c>
      <c r="K43" s="68">
        <f>'PP - Data'!K125</f>
        <v>0.4468085106</v>
      </c>
      <c r="L43" s="68">
        <f>'PP - Data'!L125</f>
        <v>0.3666666667</v>
      </c>
      <c r="M43" s="68">
        <f>'PP - Data'!M125</f>
        <v>0.2380952381</v>
      </c>
      <c r="N43" s="68">
        <f>'PP - Data'!N125</f>
        <v>0.4736842105</v>
      </c>
      <c r="O43" s="68">
        <f>'PP - Data'!O125</f>
        <v>0.5263157895</v>
      </c>
      <c r="P43" s="68">
        <f>'PP - Data'!P125</f>
        <v>0.3846153846</v>
      </c>
      <c r="Q43" s="68">
        <f>'PP - Data'!Q125</f>
        <v>0.3913043478</v>
      </c>
      <c r="R43" s="68">
        <f>'PP - Data'!R125</f>
        <v>0.3846153846</v>
      </c>
      <c r="S43" s="68">
        <f>'PP - Data'!S125</f>
        <v>0.1764705882</v>
      </c>
      <c r="T43" s="68">
        <f>'PP - Data'!T125</f>
        <v>0.4444444444</v>
      </c>
      <c r="U43" s="68">
        <f>'PP - Data'!U125</f>
        <v>0.5263157895</v>
      </c>
      <c r="V43" s="68">
        <f>'PP - Data'!V125</f>
        <v>0.5333333333</v>
      </c>
      <c r="W43" s="68">
        <f>'PP - Data'!W125</f>
        <v>0.3333333333</v>
      </c>
      <c r="X43" s="68">
        <f>'PP - Data'!X125</f>
        <v>0.25</v>
      </c>
      <c r="Y43" s="68">
        <f>'PP - Data'!Y125</f>
        <v>0.3043478261</v>
      </c>
      <c r="Z43" s="68">
        <f>'PP - Data'!Z125</f>
        <v>0.25</v>
      </c>
      <c r="AA43" s="68">
        <f>'PP - Data'!AA125</f>
        <v>0.375</v>
      </c>
      <c r="AB43" s="68">
        <f>'PP - Data'!AB125</f>
        <v>0.2666666667</v>
      </c>
      <c r="AC43" s="68">
        <f>'PP - Data'!AC125</f>
        <v>0.3125</v>
      </c>
      <c r="AD43" s="68">
        <f>'PP - Data'!AD125</f>
        <v>0.75</v>
      </c>
      <c r="AE43" s="68">
        <f>'PP - Data'!AE125</f>
        <v>0.4615384615</v>
      </c>
      <c r="AF43" s="68">
        <f>'PP - Data'!AF125</f>
        <v>0.4117647059</v>
      </c>
    </row>
    <row r="44" hidden="1" outlineLevel="1">
      <c r="A44" s="4" t="s">
        <v>797</v>
      </c>
      <c r="B44" s="68">
        <f>'PP - Data'!B126</f>
        <v>0.06997742664</v>
      </c>
      <c r="C44" s="68">
        <f>'PP - Data'!C126</f>
        <v>0.05</v>
      </c>
      <c r="D44" s="68">
        <f>'PP - Data'!D126</f>
        <v>0.07042253521</v>
      </c>
      <c r="E44" s="68">
        <f>'PP - Data'!E126</f>
        <v>0</v>
      </c>
      <c r="F44" s="68">
        <f>'PP - Data'!F126</f>
        <v>0.03278688525</v>
      </c>
      <c r="G44" s="68">
        <f>'PP - Data'!G126</f>
        <v>0.02631578947</v>
      </c>
      <c r="H44" s="68">
        <f>'PP - Data'!H126</f>
        <v>0.05</v>
      </c>
      <c r="I44" s="68">
        <f>'PP - Data'!I126</f>
        <v>0</v>
      </c>
      <c r="J44" s="68">
        <f>'PP - Data'!J126</f>
        <v>0.06451612903</v>
      </c>
      <c r="K44" s="68">
        <f>'PP - Data'!K126</f>
        <v>0.04255319149</v>
      </c>
      <c r="L44" s="68">
        <f>'PP - Data'!L126</f>
        <v>0.06666666667</v>
      </c>
      <c r="M44" s="68">
        <f>'PP - Data'!M126</f>
        <v>0.04761904762</v>
      </c>
      <c r="N44" s="68">
        <f>'PP - Data'!N126</f>
        <v>0.05263157895</v>
      </c>
      <c r="O44" s="68">
        <f>'PP - Data'!O126</f>
        <v>0</v>
      </c>
      <c r="P44" s="68">
        <f>'PP - Data'!P126</f>
        <v>0.1538461538</v>
      </c>
      <c r="Q44" s="68">
        <f>'PP - Data'!Q126</f>
        <v>0.08695652174</v>
      </c>
      <c r="R44" s="68">
        <f>'PP - Data'!R126</f>
        <v>0</v>
      </c>
      <c r="S44" s="68">
        <f>'PP - Data'!S126</f>
        <v>0.05882352941</v>
      </c>
      <c r="T44" s="68">
        <f>'PP - Data'!T126</f>
        <v>0</v>
      </c>
      <c r="U44" s="68">
        <f>'PP - Data'!U126</f>
        <v>0.05263157895</v>
      </c>
      <c r="V44" s="68">
        <f>'PP - Data'!V126</f>
        <v>0.06666666667</v>
      </c>
      <c r="W44" s="68">
        <f>'PP - Data'!W126</f>
        <v>0</v>
      </c>
      <c r="X44" s="68">
        <f>'PP - Data'!X126</f>
        <v>0</v>
      </c>
      <c r="Y44" s="68">
        <f>'PP - Data'!Y126</f>
        <v>0</v>
      </c>
      <c r="Z44" s="68">
        <f>'PP - Data'!Z126</f>
        <v>0</v>
      </c>
      <c r="AA44" s="68">
        <f>'PP - Data'!AA126</f>
        <v>0.0625</v>
      </c>
      <c r="AB44" s="68">
        <f>'PP - Data'!AB126</f>
        <v>0.06666666667</v>
      </c>
      <c r="AC44" s="68">
        <f>'PP - Data'!AC126</f>
        <v>0</v>
      </c>
      <c r="AD44" s="68">
        <f>'PP - Data'!AD126</f>
        <v>0</v>
      </c>
      <c r="AE44" s="68">
        <f>'PP - Data'!AE126</f>
        <v>0.07692307692</v>
      </c>
      <c r="AF44" s="68">
        <f>'PP - Data'!AF126</f>
        <v>0.05882352941</v>
      </c>
    </row>
    <row r="45" hidden="1" outlineLevel="1">
      <c r="A45" s="488"/>
      <c r="B45" s="489" t="str">
        <f>'PP - Data'!B73</f>
        <v/>
      </c>
      <c r="C45" s="489" t="str">
        <f>'PP - Data'!C73</f>
        <v/>
      </c>
      <c r="D45" s="489" t="str">
        <f>'PP - Data'!D73</f>
        <v/>
      </c>
      <c r="E45" s="489" t="str">
        <f>'PP - Data'!E73</f>
        <v/>
      </c>
      <c r="F45" s="489" t="str">
        <f>'PP - Data'!F73</f>
        <v/>
      </c>
      <c r="G45" s="489" t="str">
        <f>'PP - Data'!G73</f>
        <v/>
      </c>
      <c r="H45" s="489" t="str">
        <f>'PP - Data'!H73</f>
        <v/>
      </c>
      <c r="I45" s="489" t="str">
        <f>'PP - Data'!I73</f>
        <v/>
      </c>
      <c r="J45" s="489" t="str">
        <f>'PP - Data'!J73</f>
        <v/>
      </c>
      <c r="K45" s="489" t="str">
        <f>'PP - Data'!K73</f>
        <v/>
      </c>
      <c r="L45" s="489" t="str">
        <f>'PP - Data'!L73</f>
        <v/>
      </c>
      <c r="M45" s="489" t="str">
        <f>'PP - Data'!M73</f>
        <v/>
      </c>
      <c r="N45" s="489" t="str">
        <f>'PP - Data'!N73</f>
        <v/>
      </c>
      <c r="O45" s="489" t="str">
        <f>'PP - Data'!O73</f>
        <v/>
      </c>
      <c r="P45" s="489" t="str">
        <f>'PP - Data'!P73</f>
        <v/>
      </c>
      <c r="Q45" s="489" t="str">
        <f>'PP - Data'!Q73</f>
        <v/>
      </c>
      <c r="R45" s="489" t="str">
        <f>'PP - Data'!R73</f>
        <v/>
      </c>
      <c r="S45" s="489" t="str">
        <f>'PP - Data'!S73</f>
        <v/>
      </c>
      <c r="T45" s="489" t="str">
        <f>'PP - Data'!T73</f>
        <v/>
      </c>
      <c r="U45" s="489" t="str">
        <f>'PP - Data'!U73</f>
        <v/>
      </c>
      <c r="V45" s="489" t="str">
        <f>'PP - Data'!V73</f>
        <v/>
      </c>
      <c r="W45" s="489" t="str">
        <f>'PP - Data'!W73</f>
        <v/>
      </c>
      <c r="X45" s="489" t="str">
        <f>'PP - Data'!X73</f>
        <v/>
      </c>
      <c r="Y45" s="489" t="str">
        <f>'PP - Data'!Y73</f>
        <v/>
      </c>
      <c r="Z45" s="489" t="str">
        <f>'PP - Data'!Z73</f>
        <v/>
      </c>
      <c r="AA45" s="489" t="str">
        <f>'PP - Data'!AA73</f>
        <v/>
      </c>
      <c r="AB45" s="489" t="str">
        <f>'PP - Data'!AB73</f>
        <v/>
      </c>
      <c r="AC45" s="489" t="str">
        <f>'PP - Data'!AC73</f>
        <v/>
      </c>
      <c r="AD45" s="489" t="str">
        <f>'PP - Data'!AD73</f>
        <v/>
      </c>
      <c r="AE45" s="489" t="str">
        <f>'PP - Data'!AE73</f>
        <v/>
      </c>
      <c r="AF45" s="489" t="str">
        <f>'PP - Data'!AF73</f>
        <v/>
      </c>
    </row>
    <row r="46" collapsed="1">
      <c r="A46" s="4" t="s">
        <v>799</v>
      </c>
      <c r="B46" s="68">
        <f>'PP - Data'!B74</f>
        <v>0.1185483871</v>
      </c>
      <c r="C46" s="68">
        <f>'PP - Data'!C74</f>
        <v>0.1388888889</v>
      </c>
      <c r="D46" s="68">
        <f>'PP - Data'!D74</f>
        <v>0.17</v>
      </c>
      <c r="E46" s="68">
        <f>'PP - Data'!E74</f>
        <v>0.1559139785</v>
      </c>
      <c r="F46" s="68">
        <f>'PP - Data'!F74</f>
        <v>0.2292993631</v>
      </c>
      <c r="G46" s="68">
        <f>'PP - Data'!G74</f>
        <v>0.2180451128</v>
      </c>
      <c r="H46" s="68">
        <f>'PP - Data'!H74</f>
        <v>0.2910447761</v>
      </c>
      <c r="I46" s="68">
        <f>'PP - Data'!I74</f>
        <v>0.2222222222</v>
      </c>
      <c r="J46" s="68">
        <f>'PP - Data'!J74</f>
        <v>0.1818181818</v>
      </c>
      <c r="K46" s="68">
        <f>'PP - Data'!K74</f>
        <v>0.1655629139</v>
      </c>
      <c r="L46" s="68">
        <f>'PP - Data'!L74</f>
        <v>0.2164948454</v>
      </c>
      <c r="M46" s="68">
        <f>'PP - Data'!M74</f>
        <v>0.1363636364</v>
      </c>
      <c r="N46" s="68">
        <f>'PP - Data'!N74</f>
        <v>0.1636363636</v>
      </c>
      <c r="O46" s="68">
        <f>'PP - Data'!O74</f>
        <v>0.1803278689</v>
      </c>
      <c r="P46" s="68">
        <f>'PP - Data'!P74</f>
        <v>0.25</v>
      </c>
      <c r="Q46" s="68">
        <f>'PP - Data'!Q74</f>
        <v>0.125</v>
      </c>
      <c r="R46" s="68">
        <f>'PP - Data'!R74</f>
        <v>0.2978723404</v>
      </c>
      <c r="S46" s="68">
        <f>'PP - Data'!S74</f>
        <v>0.2291666667</v>
      </c>
      <c r="T46" s="68">
        <f>'PP - Data'!T74</f>
        <v>0.1875</v>
      </c>
      <c r="U46" s="68">
        <f>'PP - Data'!U74</f>
        <v>0.2181818182</v>
      </c>
      <c r="V46" s="68">
        <f>'PP - Data'!V74</f>
        <v>0.1739130435</v>
      </c>
      <c r="W46" s="68">
        <f>'PP - Data'!W74</f>
        <v>0.3454545455</v>
      </c>
      <c r="X46" s="68">
        <f>'PP - Data'!X74</f>
        <v>0.1896551724</v>
      </c>
      <c r="Y46" s="68">
        <f>'PP - Data'!Y74</f>
        <v>0.1805555556</v>
      </c>
      <c r="Z46" s="68">
        <f>'PP - Data'!Z74</f>
        <v>0.265625</v>
      </c>
      <c r="AA46" s="68">
        <f>'PP - Data'!AA74</f>
        <v>0.1111111111</v>
      </c>
      <c r="AB46" s="68">
        <f>'PP - Data'!AB74</f>
        <v>0.1555555556</v>
      </c>
      <c r="AC46" s="68">
        <f>'PP - Data'!AC74</f>
        <v>0.1568627451</v>
      </c>
      <c r="AD46" s="68">
        <f>'PP - Data'!AD74</f>
        <v>0.1785714286</v>
      </c>
      <c r="AE46" s="68">
        <f>'PP - Data'!AE74</f>
        <v>0.2711864407</v>
      </c>
      <c r="AF46" s="68">
        <f>'PP - Data'!AF74</f>
        <v>0.1956521739</v>
      </c>
    </row>
    <row r="47" hidden="1" outlineLevel="1">
      <c r="A47" s="483" t="s">
        <v>790</v>
      </c>
      <c r="B47" s="484" t="str">
        <f>'PP - Data'!B75</f>
        <v/>
      </c>
      <c r="C47" s="484" t="str">
        <f>'PP - Data'!C75</f>
        <v/>
      </c>
      <c r="D47" s="484" t="str">
        <f>'PP - Data'!D75</f>
        <v/>
      </c>
      <c r="E47" s="484" t="str">
        <f>'PP - Data'!E75</f>
        <v/>
      </c>
      <c r="F47" s="484" t="str">
        <f>'PP - Data'!F75</f>
        <v/>
      </c>
      <c r="G47" s="484" t="str">
        <f>'PP - Data'!G75</f>
        <v/>
      </c>
      <c r="H47" s="484" t="str">
        <f>'PP - Data'!H75</f>
        <v/>
      </c>
      <c r="I47" s="484" t="str">
        <f>'PP - Data'!I75</f>
        <v/>
      </c>
      <c r="J47" s="484" t="str">
        <f>'PP - Data'!J75</f>
        <v/>
      </c>
      <c r="K47" s="484" t="str">
        <f>'PP - Data'!K75</f>
        <v/>
      </c>
      <c r="L47" s="484" t="str">
        <f>'PP - Data'!L75</f>
        <v/>
      </c>
      <c r="M47" s="484" t="str">
        <f>'PP - Data'!M75</f>
        <v/>
      </c>
      <c r="N47" s="484" t="str">
        <f>'PP - Data'!N75</f>
        <v/>
      </c>
      <c r="O47" s="484" t="str">
        <f>'PP - Data'!O75</f>
        <v/>
      </c>
      <c r="P47" s="484" t="str">
        <f>'PP - Data'!P75</f>
        <v/>
      </c>
      <c r="Q47" s="484" t="str">
        <f>'PP - Data'!Q75</f>
        <v/>
      </c>
      <c r="R47" s="484" t="str">
        <f>'PP - Data'!R75</f>
        <v/>
      </c>
      <c r="S47" s="484" t="str">
        <f>'PP - Data'!S75</f>
        <v/>
      </c>
      <c r="T47" s="484" t="str">
        <f>'PP - Data'!T75</f>
        <v/>
      </c>
      <c r="U47" s="484" t="str">
        <f>'PP - Data'!U75</f>
        <v/>
      </c>
      <c r="V47" s="484" t="str">
        <f>'PP - Data'!V75</f>
        <v/>
      </c>
      <c r="W47" s="484" t="str">
        <f>'PP - Data'!W75</f>
        <v/>
      </c>
      <c r="X47" s="484" t="str">
        <f>'PP - Data'!X75</f>
        <v/>
      </c>
      <c r="Y47" s="484" t="str">
        <f>'PP - Data'!Y75</f>
        <v/>
      </c>
      <c r="Z47" s="484" t="str">
        <f>'PP - Data'!Z75</f>
        <v/>
      </c>
      <c r="AA47" s="484" t="str">
        <f>'PP - Data'!AA75</f>
        <v/>
      </c>
      <c r="AB47" s="484" t="str">
        <f>'PP - Data'!AB75</f>
        <v/>
      </c>
      <c r="AC47" s="484" t="str">
        <f>'PP - Data'!AC75</f>
        <v/>
      </c>
      <c r="AD47" s="484" t="str">
        <f>'PP - Data'!AD75</f>
        <v/>
      </c>
      <c r="AE47" s="484" t="str">
        <f>'PP - Data'!AE75</f>
        <v/>
      </c>
      <c r="AF47" s="484" t="str">
        <f>'PP - Data'!AF75</f>
        <v/>
      </c>
    </row>
    <row r="48" hidden="1" outlineLevel="1">
      <c r="A48" s="4" t="s">
        <v>791</v>
      </c>
      <c r="B48" s="68">
        <f>'PP - Data'!B76</f>
        <v>0.462585034</v>
      </c>
      <c r="C48" s="68">
        <f>'PP - Data'!C76</f>
        <v>0.4571428571</v>
      </c>
      <c r="D48" s="68">
        <f>'PP - Data'!D76</f>
        <v>0.5</v>
      </c>
      <c r="E48" s="68">
        <f>'PP - Data'!E76</f>
        <v>0.4482758621</v>
      </c>
      <c r="F48" s="68">
        <f>'PP - Data'!F76</f>
        <v>0.4166666667</v>
      </c>
      <c r="G48" s="68">
        <f>'PP - Data'!G76</f>
        <v>0.4482758621</v>
      </c>
      <c r="H48" s="68">
        <f>'PP - Data'!H76</f>
        <v>0.641025641</v>
      </c>
      <c r="I48" s="68">
        <f>'PP - Data'!I76</f>
        <v>0.4615384615</v>
      </c>
      <c r="J48" s="68">
        <f>'PP - Data'!J76</f>
        <v>0.2857142857</v>
      </c>
      <c r="K48" s="68">
        <f>'PP - Data'!K76</f>
        <v>0.36</v>
      </c>
      <c r="L48" s="68">
        <f>'PP - Data'!L76</f>
        <v>0.5714285714</v>
      </c>
      <c r="M48" s="68">
        <f>'PP - Data'!M76</f>
        <v>0.1111111111</v>
      </c>
      <c r="N48" s="68">
        <f>'PP - Data'!N76</f>
        <v>0.4444444444</v>
      </c>
      <c r="O48" s="68">
        <f>'PP - Data'!O76</f>
        <v>0.6363636364</v>
      </c>
      <c r="P48" s="68">
        <f>'PP - Data'!P76</f>
        <v>0.5454545455</v>
      </c>
      <c r="Q48" s="68">
        <f>'PP - Data'!Q76</f>
        <v>0.5</v>
      </c>
      <c r="R48" s="68">
        <f>'PP - Data'!R76</f>
        <v>0.4285714286</v>
      </c>
      <c r="S48" s="68">
        <f>'PP - Data'!S76</f>
        <v>0.5454545455</v>
      </c>
      <c r="T48" s="68">
        <f>'PP - Data'!T76</f>
        <v>0.6666666667</v>
      </c>
      <c r="U48" s="68">
        <f>'PP - Data'!U76</f>
        <v>0.4166666667</v>
      </c>
      <c r="V48" s="68">
        <f>'PP - Data'!V76</f>
        <v>0.25</v>
      </c>
      <c r="W48" s="68">
        <f>'PP - Data'!W76</f>
        <v>0.5263157895</v>
      </c>
      <c r="X48" s="68">
        <f>'PP - Data'!X76</f>
        <v>0.3636363636</v>
      </c>
      <c r="Y48" s="68">
        <f>'PP - Data'!Y76</f>
        <v>0.2307692308</v>
      </c>
      <c r="Z48" s="68">
        <f>'PP - Data'!Z76</f>
        <v>0.3529411765</v>
      </c>
      <c r="AA48" s="68">
        <f>'PP - Data'!AA76</f>
        <v>0.4</v>
      </c>
      <c r="AB48" s="68">
        <f>'PP - Data'!AB76</f>
        <v>0.2857142857</v>
      </c>
      <c r="AC48" s="68">
        <f>'PP - Data'!AC76</f>
        <v>0.5</v>
      </c>
      <c r="AD48" s="68">
        <f>'PP - Data'!AD76</f>
        <v>0.2</v>
      </c>
      <c r="AE48" s="68">
        <f>'PP - Data'!AE76</f>
        <v>0.5</v>
      </c>
      <c r="AF48" s="68">
        <f>'PP - Data'!AF76</f>
        <v>0.7777777778</v>
      </c>
    </row>
    <row r="49" hidden="1" outlineLevel="1">
      <c r="A49" s="4" t="s">
        <v>792</v>
      </c>
      <c r="B49" s="68">
        <f>'PP - Data'!B77</f>
        <v>0.4285714286</v>
      </c>
      <c r="C49" s="68">
        <f>'PP - Data'!C77</f>
        <v>0.4285714286</v>
      </c>
      <c r="D49" s="68">
        <f>'PP - Data'!D77</f>
        <v>0.4411764706</v>
      </c>
      <c r="E49" s="68">
        <f>'PP - Data'!E77</f>
        <v>0.3793103448</v>
      </c>
      <c r="F49" s="68">
        <f>'PP - Data'!F77</f>
        <v>0.4444444444</v>
      </c>
      <c r="G49" s="68">
        <f>'PP - Data'!G77</f>
        <v>0.275862069</v>
      </c>
      <c r="H49" s="68">
        <f>'PP - Data'!H77</f>
        <v>0.2820512821</v>
      </c>
      <c r="I49" s="68">
        <f>'PP - Data'!I77</f>
        <v>0.4230769231</v>
      </c>
      <c r="J49" s="68">
        <f>'PP - Data'!J77</f>
        <v>0.6428571429</v>
      </c>
      <c r="K49" s="68">
        <f>'PP - Data'!K77</f>
        <v>0.4</v>
      </c>
      <c r="L49" s="68">
        <f>'PP - Data'!L77</f>
        <v>0.380952381</v>
      </c>
      <c r="M49" s="68">
        <f>'PP - Data'!M77</f>
        <v>0.4444444444</v>
      </c>
      <c r="N49" s="68">
        <f>'PP - Data'!N77</f>
        <v>0.5555555556</v>
      </c>
      <c r="O49" s="68">
        <f>'PP - Data'!O77</f>
        <v>0.3636363636</v>
      </c>
      <c r="P49" s="68">
        <f>'PP - Data'!P77</f>
        <v>0.2727272727</v>
      </c>
      <c r="Q49" s="68">
        <f>'PP - Data'!Q77</f>
        <v>0.375</v>
      </c>
      <c r="R49" s="68">
        <f>'PP - Data'!R77</f>
        <v>0.5714285714</v>
      </c>
      <c r="S49" s="68">
        <f>'PP - Data'!S77</f>
        <v>0.2727272727</v>
      </c>
      <c r="T49" s="68">
        <f>'PP - Data'!T77</f>
        <v>0</v>
      </c>
      <c r="U49" s="68">
        <f>'PP - Data'!U77</f>
        <v>0.4166666667</v>
      </c>
      <c r="V49" s="68">
        <f>'PP - Data'!V77</f>
        <v>0.375</v>
      </c>
      <c r="W49" s="68">
        <f>'PP - Data'!W77</f>
        <v>0.2631578947</v>
      </c>
      <c r="X49" s="68">
        <f>'PP - Data'!X77</f>
        <v>0.3636363636</v>
      </c>
      <c r="Y49" s="68">
        <f>'PP - Data'!Y77</f>
        <v>0.6923076923</v>
      </c>
      <c r="Z49" s="68">
        <f>'PP - Data'!Z77</f>
        <v>0.5882352941</v>
      </c>
      <c r="AA49" s="68">
        <f>'PP - Data'!AA77</f>
        <v>0.4</v>
      </c>
      <c r="AB49" s="68">
        <f>'PP - Data'!AB77</f>
        <v>0.5714285714</v>
      </c>
      <c r="AC49" s="68">
        <f>'PP - Data'!AC77</f>
        <v>0.5</v>
      </c>
      <c r="AD49" s="68">
        <f>'PP - Data'!AD77</f>
        <v>0.4</v>
      </c>
      <c r="AE49" s="68">
        <f>'PP - Data'!AE77</f>
        <v>0.4375</v>
      </c>
      <c r="AF49" s="68">
        <f>'PP - Data'!AF77</f>
        <v>0.2222222222</v>
      </c>
    </row>
    <row r="50" hidden="1" outlineLevel="1">
      <c r="A50" s="4" t="s">
        <v>793</v>
      </c>
      <c r="B50" s="68">
        <f>'PP - Data'!B78</f>
        <v>0.1088435374</v>
      </c>
      <c r="C50" s="68">
        <f>'PP - Data'!C78</f>
        <v>0.1142857143</v>
      </c>
      <c r="D50" s="68">
        <f>'PP - Data'!D78</f>
        <v>0.05882352941</v>
      </c>
      <c r="E50" s="68">
        <f>'PP - Data'!E78</f>
        <v>0.1724137931</v>
      </c>
      <c r="F50" s="68">
        <f>'PP - Data'!F78</f>
        <v>0.1388888889</v>
      </c>
      <c r="G50" s="68">
        <f>'PP - Data'!G78</f>
        <v>0.275862069</v>
      </c>
      <c r="H50" s="68">
        <f>'PP - Data'!H78</f>
        <v>0.07692307692</v>
      </c>
      <c r="I50" s="68">
        <f>'PP - Data'!I78</f>
        <v>0.1153846154</v>
      </c>
      <c r="J50" s="68">
        <f>'PP - Data'!J78</f>
        <v>0.07142857143</v>
      </c>
      <c r="K50" s="68">
        <f>'PP - Data'!K78</f>
        <v>0.24</v>
      </c>
      <c r="L50" s="68">
        <f>'PP - Data'!L78</f>
        <v>0.04761904762</v>
      </c>
      <c r="M50" s="68">
        <f>'PP - Data'!M78</f>
        <v>0.4444444444</v>
      </c>
      <c r="N50" s="68">
        <f>'PP - Data'!N78</f>
        <v>0</v>
      </c>
      <c r="O50" s="68">
        <f>'PP - Data'!O78</f>
        <v>0</v>
      </c>
      <c r="P50" s="68">
        <f>'PP - Data'!P78</f>
        <v>0.1818181818</v>
      </c>
      <c r="Q50" s="68">
        <f>'PP - Data'!Q78</f>
        <v>0.125</v>
      </c>
      <c r="R50" s="68">
        <f>'PP - Data'!R78</f>
        <v>0</v>
      </c>
      <c r="S50" s="68">
        <f>'PP - Data'!S78</f>
        <v>0.1818181818</v>
      </c>
      <c r="T50" s="68">
        <f>'PP - Data'!T78</f>
        <v>0.3333333333</v>
      </c>
      <c r="U50" s="68">
        <f>'PP - Data'!U78</f>
        <v>0.1666666667</v>
      </c>
      <c r="V50" s="68">
        <f>'PP - Data'!V78</f>
        <v>0.375</v>
      </c>
      <c r="W50" s="68">
        <f>'PP - Data'!W78</f>
        <v>0.2105263158</v>
      </c>
      <c r="X50" s="68">
        <f>'PP - Data'!X78</f>
        <v>0.2727272727</v>
      </c>
      <c r="Y50" s="68">
        <f>'PP - Data'!Y78</f>
        <v>0.07692307692</v>
      </c>
      <c r="Z50" s="68">
        <f>'PP - Data'!Z78</f>
        <v>0.05882352941</v>
      </c>
      <c r="AA50" s="68">
        <f>'PP - Data'!AA78</f>
        <v>0.2</v>
      </c>
      <c r="AB50" s="68">
        <f>'PP - Data'!AB78</f>
        <v>0.1428571429</v>
      </c>
      <c r="AC50" s="68">
        <f>'PP - Data'!AC78</f>
        <v>0</v>
      </c>
      <c r="AD50" s="68">
        <f>'PP - Data'!AD78</f>
        <v>0.4</v>
      </c>
      <c r="AE50" s="68">
        <f>'PP - Data'!AE78</f>
        <v>0.0625</v>
      </c>
      <c r="AF50" s="68">
        <f>'PP - Data'!AF78</f>
        <v>0</v>
      </c>
    </row>
    <row r="51" hidden="1" outlineLevel="1">
      <c r="A51" s="490" t="s">
        <v>800</v>
      </c>
      <c r="B51" s="469"/>
      <c r="C51" s="469"/>
      <c r="D51" s="469"/>
      <c r="E51" s="469"/>
      <c r="F51" s="469"/>
      <c r="G51" s="469"/>
      <c r="H51" s="469"/>
      <c r="I51" s="469"/>
      <c r="J51" s="469"/>
      <c r="K51" s="469"/>
      <c r="L51" s="469"/>
      <c r="M51" s="469"/>
      <c r="N51" s="469"/>
      <c r="O51" s="469"/>
      <c r="P51" s="469"/>
      <c r="Q51" s="469"/>
      <c r="R51" s="469"/>
      <c r="S51" s="469"/>
      <c r="T51" s="469"/>
      <c r="U51" s="469"/>
      <c r="V51" s="469"/>
      <c r="W51" s="469"/>
      <c r="X51" s="469"/>
      <c r="Y51" s="469"/>
      <c r="Z51" s="469"/>
      <c r="AA51" s="469"/>
      <c r="AB51" s="469"/>
      <c r="AC51" s="469"/>
      <c r="AD51" s="469"/>
      <c r="AE51" s="469"/>
      <c r="AF51" s="469"/>
    </row>
    <row r="52" hidden="1" outlineLevel="1">
      <c r="A52" s="486" t="s">
        <v>795</v>
      </c>
      <c r="B52" s="68">
        <f>'PP - Data'!B130</f>
        <v>0.3469387755</v>
      </c>
      <c r="C52" s="68">
        <f>'PP - Data'!C130</f>
        <v>0.3428571429</v>
      </c>
      <c r="D52" s="68">
        <f>'PP - Data'!D130</f>
        <v>0.4705882353</v>
      </c>
      <c r="E52" s="68">
        <f>'PP - Data'!E130</f>
        <v>0.3103448276</v>
      </c>
      <c r="F52" s="68">
        <f>'PP - Data'!F130</f>
        <v>0.3055555556</v>
      </c>
      <c r="G52" s="68">
        <f>'PP - Data'!G130</f>
        <v>0.1724137931</v>
      </c>
      <c r="H52" s="68">
        <f>'PP - Data'!H130</f>
        <v>0.2820512821</v>
      </c>
      <c r="I52" s="68">
        <f>'PP - Data'!I130</f>
        <v>0.3076923077</v>
      </c>
      <c r="J52" s="68">
        <f>'PP - Data'!J130</f>
        <v>0.3214285714</v>
      </c>
      <c r="K52" s="68">
        <f>'PP - Data'!K130</f>
        <v>0.2</v>
      </c>
      <c r="L52" s="68">
        <f>'PP - Data'!L130</f>
        <v>0.3333333333</v>
      </c>
      <c r="M52" s="68">
        <f>'PP - Data'!M130</f>
        <v>0.4444444444</v>
      </c>
      <c r="N52" s="68">
        <f>'PP - Data'!N130</f>
        <v>0.3333333333</v>
      </c>
      <c r="O52" s="68">
        <f>'PP - Data'!O130</f>
        <v>0.2727272727</v>
      </c>
      <c r="P52" s="68">
        <f>'PP - Data'!P130</f>
        <v>0.1818181818</v>
      </c>
      <c r="Q52" s="68">
        <f>'PP - Data'!Q130</f>
        <v>0.375</v>
      </c>
      <c r="R52" s="68">
        <f>'PP - Data'!R130</f>
        <v>0.5714285714</v>
      </c>
      <c r="S52" s="68">
        <f>'PP - Data'!S130</f>
        <v>0.09090909091</v>
      </c>
      <c r="T52" s="68">
        <f>'PP - Data'!T130</f>
        <v>0.8333333333</v>
      </c>
      <c r="U52" s="68">
        <f>'PP - Data'!U130</f>
        <v>0.3333333333</v>
      </c>
      <c r="V52" s="68">
        <f>'PP - Data'!V130</f>
        <v>0.375</v>
      </c>
      <c r="W52" s="68">
        <f>'PP - Data'!W130</f>
        <v>0.4736842105</v>
      </c>
      <c r="X52" s="68">
        <f>'PP - Data'!X130</f>
        <v>0.1818181818</v>
      </c>
      <c r="Y52" s="68">
        <f>'PP - Data'!Y130</f>
        <v>0.6153846154</v>
      </c>
      <c r="Z52" s="68">
        <f>'PP - Data'!Z130</f>
        <v>0.3529411765</v>
      </c>
      <c r="AA52" s="68">
        <f>'PP - Data'!AA130</f>
        <v>0.4</v>
      </c>
      <c r="AB52" s="68">
        <f>'PP - Data'!AB130</f>
        <v>0.4285714286</v>
      </c>
      <c r="AC52" s="68">
        <f>'PP - Data'!AC130</f>
        <v>0.5</v>
      </c>
      <c r="AD52" s="68">
        <f>'PP - Data'!AD130</f>
        <v>0.6</v>
      </c>
      <c r="AE52" s="68">
        <f>'PP - Data'!AE130</f>
        <v>0.375</v>
      </c>
      <c r="AF52" s="68">
        <f>'PP - Data'!AF130</f>
        <v>0.4444444444</v>
      </c>
    </row>
    <row r="53" hidden="1" outlineLevel="1">
      <c r="A53" s="4" t="s">
        <v>796</v>
      </c>
      <c r="B53" s="68">
        <f>'PP - Data'!B131</f>
        <v>0.5442176871</v>
      </c>
      <c r="C53" s="68">
        <f>'PP - Data'!C131</f>
        <v>0.5714285714</v>
      </c>
      <c r="D53" s="68">
        <f>'PP - Data'!D131</f>
        <v>0.4705882353</v>
      </c>
      <c r="E53" s="68">
        <f>'PP - Data'!E131</f>
        <v>0.5172413793</v>
      </c>
      <c r="F53" s="68">
        <f>'PP - Data'!F131</f>
        <v>0.5555555556</v>
      </c>
      <c r="G53" s="68">
        <f>'PP - Data'!G131</f>
        <v>0.724137931</v>
      </c>
      <c r="H53" s="68">
        <f>'PP - Data'!H131</f>
        <v>0.4871794872</v>
      </c>
      <c r="I53" s="68">
        <f>'PP - Data'!I131</f>
        <v>0.6538461538</v>
      </c>
      <c r="J53" s="68">
        <f>'PP - Data'!J131</f>
        <v>0.5357142857</v>
      </c>
      <c r="K53" s="68">
        <f>'PP - Data'!K131</f>
        <v>0.64</v>
      </c>
      <c r="L53" s="68">
        <f>'PP - Data'!L131</f>
        <v>0.5238095238</v>
      </c>
      <c r="M53" s="68">
        <f>'PP - Data'!M131</f>
        <v>0.5555555556</v>
      </c>
      <c r="N53" s="68">
        <f>'PP - Data'!N131</f>
        <v>0.4444444444</v>
      </c>
      <c r="O53" s="68">
        <f>'PP - Data'!O131</f>
        <v>0.4545454545</v>
      </c>
      <c r="P53" s="68">
        <f>'PP - Data'!P131</f>
        <v>0.5454545455</v>
      </c>
      <c r="Q53" s="68">
        <f>'PP - Data'!Q131</f>
        <v>0.625</v>
      </c>
      <c r="R53" s="68">
        <f>'PP - Data'!R131</f>
        <v>0.3571428571</v>
      </c>
      <c r="S53" s="68">
        <f>'PP - Data'!S131</f>
        <v>0.8181818182</v>
      </c>
      <c r="T53" s="68">
        <f>'PP - Data'!T131</f>
        <v>0.1666666667</v>
      </c>
      <c r="U53" s="68">
        <f>'PP - Data'!U131</f>
        <v>0.5833333333</v>
      </c>
      <c r="V53" s="68">
        <f>'PP - Data'!V131</f>
        <v>0.625</v>
      </c>
      <c r="W53" s="68">
        <f>'PP - Data'!W131</f>
        <v>0.3157894737</v>
      </c>
      <c r="X53" s="68">
        <f>'PP - Data'!X131</f>
        <v>0.7272727273</v>
      </c>
      <c r="Y53" s="68">
        <f>'PP - Data'!Y131</f>
        <v>0.2307692308</v>
      </c>
      <c r="Z53" s="68">
        <f>'PP - Data'!Z131</f>
        <v>0.5294117647</v>
      </c>
      <c r="AA53" s="68">
        <f>'PP - Data'!AA131</f>
        <v>0.6</v>
      </c>
      <c r="AB53" s="68">
        <f>'PP - Data'!AB131</f>
        <v>0.4285714286</v>
      </c>
      <c r="AC53" s="68">
        <f>'PP - Data'!AC131</f>
        <v>0.25</v>
      </c>
      <c r="AD53" s="68">
        <f>'PP - Data'!AD131</f>
        <v>0.2</v>
      </c>
      <c r="AE53" s="68">
        <f>'PP - Data'!AE131</f>
        <v>0.625</v>
      </c>
      <c r="AF53" s="68">
        <f>'PP - Data'!AF131</f>
        <v>0.4444444444</v>
      </c>
    </row>
    <row r="54" hidden="1" outlineLevel="1">
      <c r="A54" s="4" t="s">
        <v>797</v>
      </c>
      <c r="B54" s="68">
        <f>'PP - Data'!B132</f>
        <v>0.1088435374</v>
      </c>
      <c r="C54" s="68">
        <f>'PP - Data'!C132</f>
        <v>0.08571428571</v>
      </c>
      <c r="D54" s="68">
        <f>'PP - Data'!D132</f>
        <v>0.05882352941</v>
      </c>
      <c r="E54" s="68">
        <f>'PP - Data'!E132</f>
        <v>0.1724137931</v>
      </c>
      <c r="F54" s="68">
        <f>'PP - Data'!F132</f>
        <v>0.1388888889</v>
      </c>
      <c r="G54" s="68">
        <f>'PP - Data'!G132</f>
        <v>0.1034482759</v>
      </c>
      <c r="H54" s="68">
        <f>'PP - Data'!H132</f>
        <v>0.2307692308</v>
      </c>
      <c r="I54" s="68">
        <f>'PP - Data'!I132</f>
        <v>0.03846153846</v>
      </c>
      <c r="J54" s="68">
        <f>'PP - Data'!J132</f>
        <v>0.1428571429</v>
      </c>
      <c r="K54" s="68">
        <f>'PP - Data'!K132</f>
        <v>0.16</v>
      </c>
      <c r="L54" s="68">
        <f>'PP - Data'!L132</f>
        <v>0.1428571429</v>
      </c>
      <c r="M54" s="68">
        <f>'PP - Data'!M132</f>
        <v>0</v>
      </c>
      <c r="N54" s="68">
        <f>'PP - Data'!N132</f>
        <v>0.2222222222</v>
      </c>
      <c r="O54" s="68">
        <f>'PP - Data'!O132</f>
        <v>0.2727272727</v>
      </c>
      <c r="P54" s="68">
        <f>'PP - Data'!P132</f>
        <v>0.2727272727</v>
      </c>
      <c r="Q54" s="68">
        <f>'PP - Data'!Q132</f>
        <v>0</v>
      </c>
      <c r="R54" s="68">
        <f>'PP - Data'!R132</f>
        <v>0.07142857143</v>
      </c>
      <c r="S54" s="68">
        <f>'PP - Data'!S132</f>
        <v>0.09090909091</v>
      </c>
      <c r="T54" s="68">
        <f>'PP - Data'!T132</f>
        <v>0</v>
      </c>
      <c r="U54" s="68">
        <f>'PP - Data'!U132</f>
        <v>0.08333333333</v>
      </c>
      <c r="V54" s="68">
        <f>'PP - Data'!V132</f>
        <v>0</v>
      </c>
      <c r="W54" s="68">
        <f>'PP - Data'!W132</f>
        <v>0.2105263158</v>
      </c>
      <c r="X54" s="68">
        <f>'PP - Data'!X132</f>
        <v>0.09090909091</v>
      </c>
      <c r="Y54" s="68">
        <f>'PP - Data'!Y132</f>
        <v>0.1538461538</v>
      </c>
      <c r="Z54" s="68">
        <f>'PP - Data'!Z132</f>
        <v>0.1176470588</v>
      </c>
      <c r="AA54" s="68">
        <f>'PP - Data'!AA132</f>
        <v>0</v>
      </c>
      <c r="AB54" s="68">
        <f>'PP - Data'!AB132</f>
        <v>0.1428571429</v>
      </c>
      <c r="AC54" s="68">
        <f>'PP - Data'!AC132</f>
        <v>0.25</v>
      </c>
      <c r="AD54" s="68">
        <f>'PP - Data'!AD132</f>
        <v>0.2</v>
      </c>
      <c r="AE54" s="68">
        <f>'PP - Data'!AE132</f>
        <v>0</v>
      </c>
      <c r="AF54" s="68">
        <f>'PP - Data'!AF132</f>
        <v>0.1111111111</v>
      </c>
    </row>
    <row r="55" hidden="1" outlineLevel="1">
      <c r="A55" s="488"/>
      <c r="B55" s="489" t="str">
        <f>'PP - Data'!B79</f>
        <v/>
      </c>
      <c r="C55" s="489" t="str">
        <f>'PP - Data'!C79</f>
        <v/>
      </c>
      <c r="D55" s="489" t="str">
        <f>'PP - Data'!D79</f>
        <v/>
      </c>
      <c r="E55" s="489" t="str">
        <f>'PP - Data'!E79</f>
        <v/>
      </c>
      <c r="F55" s="489" t="str">
        <f>'PP - Data'!F79</f>
        <v/>
      </c>
      <c r="G55" s="489" t="str">
        <f>'PP - Data'!G79</f>
        <v/>
      </c>
      <c r="H55" s="489" t="str">
        <f>'PP - Data'!H79</f>
        <v/>
      </c>
      <c r="I55" s="489" t="str">
        <f>'PP - Data'!I79</f>
        <v/>
      </c>
      <c r="J55" s="489" t="str">
        <f>'PP - Data'!J79</f>
        <v/>
      </c>
      <c r="K55" s="489" t="str">
        <f>'PP - Data'!K79</f>
        <v/>
      </c>
      <c r="L55" s="489" t="str">
        <f>'PP - Data'!L79</f>
        <v/>
      </c>
      <c r="M55" s="489" t="str">
        <f>'PP - Data'!M79</f>
        <v/>
      </c>
      <c r="N55" s="489" t="str">
        <f>'PP - Data'!N79</f>
        <v/>
      </c>
      <c r="O55" s="489" t="str">
        <f>'PP - Data'!O79</f>
        <v/>
      </c>
      <c r="P55" s="489" t="str">
        <f>'PP - Data'!P79</f>
        <v/>
      </c>
      <c r="Q55" s="489" t="str">
        <f>'PP - Data'!Q79</f>
        <v/>
      </c>
      <c r="R55" s="489" t="str">
        <f>'PP - Data'!R79</f>
        <v/>
      </c>
      <c r="S55" s="489" t="str">
        <f>'PP - Data'!S79</f>
        <v/>
      </c>
      <c r="T55" s="489" t="str">
        <f>'PP - Data'!T79</f>
        <v/>
      </c>
      <c r="U55" s="489" t="str">
        <f>'PP - Data'!U79</f>
        <v/>
      </c>
      <c r="V55" s="489" t="str">
        <f>'PP - Data'!V79</f>
        <v/>
      </c>
      <c r="W55" s="489" t="str">
        <f>'PP - Data'!W79</f>
        <v/>
      </c>
      <c r="X55" s="489" t="str">
        <f>'PP - Data'!X79</f>
        <v/>
      </c>
      <c r="Y55" s="489" t="str">
        <f>'PP - Data'!Y79</f>
        <v/>
      </c>
      <c r="Z55" s="489" t="str">
        <f>'PP - Data'!Z79</f>
        <v/>
      </c>
      <c r="AA55" s="489" t="str">
        <f>'PP - Data'!AA79</f>
        <v/>
      </c>
      <c r="AB55" s="489" t="str">
        <f>'PP - Data'!AB79</f>
        <v/>
      </c>
      <c r="AC55" s="489" t="str">
        <f>'PP - Data'!AC79</f>
        <v/>
      </c>
      <c r="AD55" s="489" t="str">
        <f>'PP - Data'!AD79</f>
        <v/>
      </c>
      <c r="AE55" s="489" t="str">
        <f>'PP - Data'!AE79</f>
        <v/>
      </c>
      <c r="AF55" s="489" t="str">
        <f>'PP - Data'!AF79</f>
        <v/>
      </c>
    </row>
    <row r="56" collapsed="1">
      <c r="A56" s="478" t="s">
        <v>801</v>
      </c>
      <c r="B56" s="479">
        <f>'PP - Data'!B80</f>
        <v>0.2129032258</v>
      </c>
      <c r="C56" s="479">
        <f>'PP - Data'!C80</f>
        <v>0.1626984127</v>
      </c>
      <c r="D56" s="479">
        <f>'PP - Data'!D80</f>
        <v>0.205</v>
      </c>
      <c r="E56" s="479">
        <f>'PP - Data'!E80</f>
        <v>0.2096774194</v>
      </c>
      <c r="F56" s="479">
        <f>'PP - Data'!F80</f>
        <v>0.1910828025</v>
      </c>
      <c r="G56" s="479">
        <f>'PP - Data'!G80</f>
        <v>0.1729323308</v>
      </c>
      <c r="H56" s="479">
        <f>'PP - Data'!H80</f>
        <v>0.1865671642</v>
      </c>
      <c r="I56" s="479">
        <f>'PP - Data'!I80</f>
        <v>0.2136752137</v>
      </c>
      <c r="J56" s="479">
        <f>'PP - Data'!J80</f>
        <v>0.2142857143</v>
      </c>
      <c r="K56" s="479">
        <f>'PP - Data'!K80</f>
        <v>0.1589403974</v>
      </c>
      <c r="L56" s="479">
        <f>'PP - Data'!L80</f>
        <v>0.2268041237</v>
      </c>
      <c r="M56" s="479">
        <f>'PP - Data'!M80</f>
        <v>0.2272727273</v>
      </c>
      <c r="N56" s="479">
        <f>'PP - Data'!N80</f>
        <v>0.2</v>
      </c>
      <c r="O56" s="479">
        <f>'PP - Data'!O80</f>
        <v>0.2786885246</v>
      </c>
      <c r="P56" s="479">
        <f>'PP - Data'!P80</f>
        <v>0.2045454545</v>
      </c>
      <c r="Q56" s="479">
        <f>'PP - Data'!Q80</f>
        <v>0.1875</v>
      </c>
      <c r="R56" s="479">
        <f>'PP - Data'!R80</f>
        <v>0.04255319149</v>
      </c>
      <c r="S56" s="479">
        <f>'PP - Data'!S80</f>
        <v>0.1666666667</v>
      </c>
      <c r="T56" s="479">
        <f>'PP - Data'!T80</f>
        <v>0.1875</v>
      </c>
      <c r="U56" s="479">
        <f>'PP - Data'!U80</f>
        <v>0.1454545455</v>
      </c>
      <c r="V56" s="479">
        <f>'PP - Data'!V80</f>
        <v>0.2608695652</v>
      </c>
      <c r="W56" s="479">
        <f>'PP - Data'!W80</f>
        <v>0.1454545455</v>
      </c>
      <c r="X56" s="479">
        <f>'PP - Data'!X80</f>
        <v>0.224137931</v>
      </c>
      <c r="Y56" s="479">
        <f>'PP - Data'!Y80</f>
        <v>0.2361111111</v>
      </c>
      <c r="Z56" s="479">
        <f>'PP - Data'!Z80</f>
        <v>0.296875</v>
      </c>
      <c r="AA56" s="479">
        <f>'PP - Data'!AA80</f>
        <v>0.2222222222</v>
      </c>
      <c r="AB56" s="479">
        <f>'PP - Data'!AB80</f>
        <v>0.2222222222</v>
      </c>
      <c r="AC56" s="479">
        <f>'PP - Data'!AC80</f>
        <v>0.1764705882</v>
      </c>
      <c r="AD56" s="479">
        <f>'PP - Data'!AD80</f>
        <v>0.4285714286</v>
      </c>
      <c r="AE56" s="479">
        <f>'PP - Data'!AE80</f>
        <v>0.2033898305</v>
      </c>
      <c r="AF56" s="479">
        <f>'PP - Data'!AF80</f>
        <v>0.1739130435</v>
      </c>
    </row>
    <row r="57" hidden="1" outlineLevel="1">
      <c r="A57" s="480" t="s">
        <v>790</v>
      </c>
      <c r="B57" s="481"/>
      <c r="C57" s="481"/>
      <c r="D57" s="481"/>
      <c r="E57" s="481"/>
      <c r="F57" s="481"/>
      <c r="G57" s="482"/>
      <c r="H57" s="481"/>
      <c r="I57" s="481"/>
      <c r="J57" s="481"/>
      <c r="K57" s="481"/>
      <c r="L57" s="481"/>
      <c r="M57" s="481"/>
      <c r="N57" s="481"/>
      <c r="O57" s="481"/>
      <c r="P57" s="481"/>
      <c r="Q57" s="481"/>
      <c r="R57" s="481"/>
      <c r="S57" s="481"/>
      <c r="T57" s="481"/>
      <c r="U57" s="481"/>
      <c r="V57" s="481"/>
      <c r="W57" s="481"/>
      <c r="X57" s="481"/>
      <c r="Y57" s="481"/>
      <c r="Z57" s="481"/>
      <c r="AA57" s="481"/>
      <c r="AB57" s="481"/>
      <c r="AC57" s="481"/>
      <c r="AD57" s="481"/>
      <c r="AE57" s="481"/>
      <c r="AF57" s="481"/>
    </row>
    <row r="58" hidden="1" outlineLevel="1">
      <c r="A58" s="4" t="s">
        <v>791</v>
      </c>
      <c r="B58" s="68">
        <f>'PP - Data'!B135</f>
        <v>0.2537878788</v>
      </c>
      <c r="C58" s="68">
        <f>'PP - Data'!C135</f>
        <v>0.3902439024</v>
      </c>
      <c r="D58" s="68">
        <f>'PP - Data'!D135</f>
        <v>0.487804878</v>
      </c>
      <c r="E58" s="68">
        <f>'PP - Data'!E135</f>
        <v>0.4358974359</v>
      </c>
      <c r="F58" s="68">
        <f>'PP - Data'!F135</f>
        <v>0.3666666667</v>
      </c>
      <c r="G58" s="68">
        <f>'PP - Data'!G135</f>
        <v>0.4347826087</v>
      </c>
      <c r="H58" s="68">
        <f>'PP - Data'!H135</f>
        <v>0.44</v>
      </c>
      <c r="I58" s="68">
        <f>'PP - Data'!I135</f>
        <v>0.32</v>
      </c>
      <c r="J58" s="68">
        <f>'PP - Data'!J135</f>
        <v>0.4242424242</v>
      </c>
      <c r="K58" s="68">
        <f>'PP - Data'!K135</f>
        <v>0.3333333333</v>
      </c>
      <c r="L58" s="68">
        <f>'PP - Data'!L135</f>
        <v>0.3636363636</v>
      </c>
      <c r="M58" s="68">
        <f>'PP - Data'!M135</f>
        <v>0.4</v>
      </c>
      <c r="N58" s="68">
        <f>'PP - Data'!N135</f>
        <v>0.2727272727</v>
      </c>
      <c r="O58" s="68">
        <f>'PP - Data'!O135</f>
        <v>0.2352941176</v>
      </c>
      <c r="P58" s="68">
        <f>'PP - Data'!P135</f>
        <v>0.4444444444</v>
      </c>
      <c r="Q58" s="68">
        <f>'PP - Data'!Q135</f>
        <v>0.3333333333</v>
      </c>
      <c r="R58" s="68">
        <f>'PP - Data'!R135</f>
        <v>0</v>
      </c>
      <c r="S58" s="68">
        <f>'PP - Data'!S135</f>
        <v>0.25</v>
      </c>
      <c r="T58" s="68">
        <f>'PP - Data'!T135</f>
        <v>0.1666666667</v>
      </c>
      <c r="U58" s="68">
        <f>'PP - Data'!U135</f>
        <v>0.25</v>
      </c>
      <c r="V58" s="68">
        <f>'PP - Data'!V135</f>
        <v>0.25</v>
      </c>
      <c r="W58" s="68">
        <f>'PP - Data'!W135</f>
        <v>0.125</v>
      </c>
      <c r="X58" s="68">
        <f>'PP - Data'!X135</f>
        <v>0.4615384615</v>
      </c>
      <c r="Y58" s="68">
        <f>'PP - Data'!Y135</f>
        <v>0.2941176471</v>
      </c>
      <c r="Z58" s="68">
        <f>'PP - Data'!Z135</f>
        <v>0.5789473684</v>
      </c>
      <c r="AA58" s="68">
        <f>'PP - Data'!AA135</f>
        <v>0.2</v>
      </c>
      <c r="AB58" s="68">
        <f>'PP - Data'!AB135</f>
        <v>0.7</v>
      </c>
      <c r="AC58" s="68">
        <f>'PP - Data'!AC135</f>
        <v>0.5555555556</v>
      </c>
      <c r="AD58" s="68">
        <f>'PP - Data'!AD135</f>
        <v>0.4166666667</v>
      </c>
      <c r="AE58" s="68">
        <f>'PP - Data'!AE135</f>
        <v>0.5</v>
      </c>
      <c r="AF58" s="68">
        <f>'PP - Data'!AF135</f>
        <v>0.5</v>
      </c>
    </row>
    <row r="59" hidden="1" outlineLevel="1">
      <c r="A59" s="4" t="s">
        <v>792</v>
      </c>
      <c r="B59" s="68">
        <f>'PP - Data'!B136</f>
        <v>0.5416666667</v>
      </c>
      <c r="C59" s="68">
        <f>'PP - Data'!C136</f>
        <v>0.4634146341</v>
      </c>
      <c r="D59" s="68">
        <f>'PP - Data'!D136</f>
        <v>0.4390243902</v>
      </c>
      <c r="E59" s="68">
        <f>'PP - Data'!E136</f>
        <v>0.5641025641</v>
      </c>
      <c r="F59" s="68">
        <f>'PP - Data'!F136</f>
        <v>0.5333333333</v>
      </c>
      <c r="G59" s="68">
        <f>'PP - Data'!G136</f>
        <v>0.5217391304</v>
      </c>
      <c r="H59" s="68">
        <f>'PP - Data'!H136</f>
        <v>0.48</v>
      </c>
      <c r="I59" s="68">
        <f>'PP - Data'!I136</f>
        <v>0.64</v>
      </c>
      <c r="J59" s="68">
        <f>'PP - Data'!J136</f>
        <v>0.4848484848</v>
      </c>
      <c r="K59" s="68">
        <f>'PP - Data'!K136</f>
        <v>0.5416666667</v>
      </c>
      <c r="L59" s="68">
        <f>'PP - Data'!L136</f>
        <v>0.5</v>
      </c>
      <c r="M59" s="68">
        <f>'PP - Data'!M136</f>
        <v>0.4666666667</v>
      </c>
      <c r="N59" s="68">
        <f>'PP - Data'!N136</f>
        <v>0.5454545455</v>
      </c>
      <c r="O59" s="68">
        <f>'PP - Data'!O136</f>
        <v>0.6470588235</v>
      </c>
      <c r="P59" s="68">
        <f>'PP - Data'!P136</f>
        <v>0.5555555556</v>
      </c>
      <c r="Q59" s="68">
        <f>'PP - Data'!Q136</f>
        <v>0.5</v>
      </c>
      <c r="R59" s="68">
        <f>'PP - Data'!R136</f>
        <v>0.5</v>
      </c>
      <c r="S59" s="68">
        <f>'PP - Data'!S136</f>
        <v>0.5</v>
      </c>
      <c r="T59" s="68">
        <f>'PP - Data'!T136</f>
        <v>0.6666666667</v>
      </c>
      <c r="U59" s="68">
        <f>'PP - Data'!U136</f>
        <v>0.625</v>
      </c>
      <c r="V59" s="68">
        <f>'PP - Data'!V136</f>
        <v>0.5833333333</v>
      </c>
      <c r="W59" s="68">
        <f>'PP - Data'!W136</f>
        <v>0.75</v>
      </c>
      <c r="X59" s="68">
        <f>'PP - Data'!X136</f>
        <v>0.4615384615</v>
      </c>
      <c r="Y59" s="68">
        <f>'PP - Data'!Y136</f>
        <v>0.5882352941</v>
      </c>
      <c r="Z59" s="68">
        <f>'PP - Data'!Z136</f>
        <v>0.3684210526</v>
      </c>
      <c r="AA59" s="68">
        <f>'PP - Data'!AA136</f>
        <v>0.6</v>
      </c>
      <c r="AB59" s="68">
        <f>'PP - Data'!AB136</f>
        <v>0.3</v>
      </c>
      <c r="AC59" s="68">
        <f>'PP - Data'!AC136</f>
        <v>0.1111111111</v>
      </c>
      <c r="AD59" s="68">
        <f>'PP - Data'!AD136</f>
        <v>0.25</v>
      </c>
      <c r="AE59" s="68">
        <f>'PP - Data'!AE136</f>
        <v>0.3333333333</v>
      </c>
      <c r="AF59" s="68">
        <f>'PP - Data'!AF136</f>
        <v>0.5</v>
      </c>
    </row>
    <row r="60" hidden="1" outlineLevel="1">
      <c r="A60" s="4" t="s">
        <v>793</v>
      </c>
      <c r="B60" s="68">
        <f>'PP - Data'!B137</f>
        <v>0.2045454545</v>
      </c>
      <c r="C60" s="68">
        <f>'PP - Data'!C137</f>
        <v>0.1463414634</v>
      </c>
      <c r="D60" s="68">
        <f>'PP - Data'!D137</f>
        <v>0.07317073171</v>
      </c>
      <c r="E60" s="68">
        <f>'PP - Data'!E137</f>
        <v>0</v>
      </c>
      <c r="F60" s="68">
        <f>'PP - Data'!F137</f>
        <v>0.1</v>
      </c>
      <c r="G60" s="68">
        <f>'PP - Data'!G137</f>
        <v>0.04347826087</v>
      </c>
      <c r="H60" s="68">
        <f>'PP - Data'!H137</f>
        <v>0.08</v>
      </c>
      <c r="I60" s="68">
        <f>'PP - Data'!I137</f>
        <v>0.04</v>
      </c>
      <c r="J60" s="68">
        <f>'PP - Data'!J137</f>
        <v>0.09090909091</v>
      </c>
      <c r="K60" s="68">
        <f>'PP - Data'!K137</f>
        <v>0.125</v>
      </c>
      <c r="L60" s="68">
        <f>'PP - Data'!L137</f>
        <v>0.1363636364</v>
      </c>
      <c r="M60" s="68">
        <f>'PP - Data'!M137</f>
        <v>0.1333333333</v>
      </c>
      <c r="N60" s="68">
        <f>'PP - Data'!N137</f>
        <v>0.1818181818</v>
      </c>
      <c r="O60" s="68">
        <f>'PP - Data'!O137</f>
        <v>0.1176470588</v>
      </c>
      <c r="P60" s="68">
        <f>'PP - Data'!P137</f>
        <v>0</v>
      </c>
      <c r="Q60" s="68">
        <f>'PP - Data'!Q137</f>
        <v>0.1666666667</v>
      </c>
      <c r="R60" s="68">
        <f>'PP - Data'!R137</f>
        <v>0.5</v>
      </c>
      <c r="S60" s="68">
        <f>'PP - Data'!S137</f>
        <v>0.25</v>
      </c>
      <c r="T60" s="68">
        <f>'PP - Data'!T137</f>
        <v>0.1666666667</v>
      </c>
      <c r="U60" s="68">
        <f>'PP - Data'!U137</f>
        <v>0.125</v>
      </c>
      <c r="V60" s="68">
        <f>'PP - Data'!V137</f>
        <v>0.1666666667</v>
      </c>
      <c r="W60" s="68">
        <f>'PP - Data'!W137</f>
        <v>0.125</v>
      </c>
      <c r="X60" s="68">
        <f>'PP - Data'!X137</f>
        <v>0.07692307692</v>
      </c>
      <c r="Y60" s="68">
        <f>'PP - Data'!Y137</f>
        <v>0.1176470588</v>
      </c>
      <c r="Z60" s="68">
        <f>'PP - Data'!Z137</f>
        <v>0.05263157895</v>
      </c>
      <c r="AA60" s="68">
        <f>'PP - Data'!AA137</f>
        <v>0.2</v>
      </c>
      <c r="AB60" s="68">
        <f>'PP - Data'!AB137</f>
        <v>0</v>
      </c>
      <c r="AC60" s="68">
        <f>'PP - Data'!AC137</f>
        <v>0.3333333333</v>
      </c>
      <c r="AD60" s="68">
        <f>'PP - Data'!AD137</f>
        <v>0.3333333333</v>
      </c>
      <c r="AE60" s="68">
        <f>'PP - Data'!AE137</f>
        <v>0.1666666667</v>
      </c>
      <c r="AF60" s="68">
        <f>'PP - Data'!AF137</f>
        <v>0</v>
      </c>
    </row>
    <row r="61" hidden="1" outlineLevel="1">
      <c r="A61" s="490" t="s">
        <v>800</v>
      </c>
      <c r="B61" s="469"/>
      <c r="C61" s="469"/>
      <c r="D61" s="469"/>
      <c r="E61" s="469"/>
      <c r="F61" s="469"/>
      <c r="G61" s="469"/>
      <c r="H61" s="469"/>
      <c r="I61" s="469"/>
      <c r="J61" s="469"/>
      <c r="K61" s="469"/>
      <c r="L61" s="469"/>
      <c r="M61" s="469"/>
      <c r="N61" s="469"/>
      <c r="O61" s="469"/>
      <c r="P61" s="469"/>
      <c r="Q61" s="469"/>
      <c r="R61" s="469"/>
      <c r="S61" s="469"/>
      <c r="T61" s="469"/>
      <c r="U61" s="469"/>
      <c r="V61" s="469"/>
      <c r="W61" s="469"/>
      <c r="X61" s="469"/>
      <c r="Y61" s="469"/>
      <c r="Z61" s="469"/>
      <c r="AA61" s="469"/>
      <c r="AB61" s="469"/>
      <c r="AC61" s="469"/>
      <c r="AD61" s="469"/>
      <c r="AE61" s="469"/>
      <c r="AF61" s="469"/>
    </row>
    <row r="62" hidden="1" outlineLevel="1">
      <c r="A62" s="486" t="s">
        <v>795</v>
      </c>
      <c r="B62" s="68">
        <f>'PP - Data'!B135</f>
        <v>0.2537878788</v>
      </c>
      <c r="C62" s="68">
        <f>'PP - Data'!C135</f>
        <v>0.3902439024</v>
      </c>
      <c r="D62" s="68">
        <f>'PP - Data'!D135</f>
        <v>0.487804878</v>
      </c>
      <c r="E62" s="68">
        <f>'PP - Data'!E135</f>
        <v>0.4358974359</v>
      </c>
      <c r="F62" s="68">
        <f>'PP - Data'!F135</f>
        <v>0.3666666667</v>
      </c>
      <c r="G62" s="68">
        <f>'PP - Data'!G135</f>
        <v>0.4347826087</v>
      </c>
      <c r="H62" s="68">
        <f>'PP - Data'!H135</f>
        <v>0.44</v>
      </c>
      <c r="I62" s="68">
        <f>'PP - Data'!I135</f>
        <v>0.32</v>
      </c>
      <c r="J62" s="68">
        <f>'PP - Data'!J135</f>
        <v>0.4242424242</v>
      </c>
      <c r="K62" s="68">
        <f>'PP - Data'!K135</f>
        <v>0.3333333333</v>
      </c>
      <c r="L62" s="68">
        <f>'PP - Data'!L135</f>
        <v>0.3636363636</v>
      </c>
      <c r="M62" s="68">
        <f>'PP - Data'!M135</f>
        <v>0.4</v>
      </c>
      <c r="N62" s="68">
        <f>'PP - Data'!N135</f>
        <v>0.2727272727</v>
      </c>
      <c r="O62" s="68">
        <f>'PP - Data'!O135</f>
        <v>0.2352941176</v>
      </c>
      <c r="P62" s="68">
        <f>'PP - Data'!P135</f>
        <v>0.4444444444</v>
      </c>
      <c r="Q62" s="68">
        <f>'PP - Data'!Q135</f>
        <v>0.3333333333</v>
      </c>
      <c r="R62" s="68">
        <f>'PP - Data'!R135</f>
        <v>0</v>
      </c>
      <c r="S62" s="68">
        <f>'PP - Data'!S135</f>
        <v>0.25</v>
      </c>
      <c r="T62" s="68">
        <f>'PP - Data'!T135</f>
        <v>0.1666666667</v>
      </c>
      <c r="U62" s="68">
        <f>'PP - Data'!U135</f>
        <v>0.25</v>
      </c>
      <c r="V62" s="68">
        <f>'PP - Data'!V135</f>
        <v>0.25</v>
      </c>
      <c r="W62" s="68">
        <f>'PP - Data'!W135</f>
        <v>0.125</v>
      </c>
      <c r="X62" s="68">
        <f>'PP - Data'!X135</f>
        <v>0.4615384615</v>
      </c>
      <c r="Y62" s="68">
        <f>'PP - Data'!Y135</f>
        <v>0.2941176471</v>
      </c>
      <c r="Z62" s="68">
        <f>'PP - Data'!Z135</f>
        <v>0.5789473684</v>
      </c>
      <c r="AA62" s="68">
        <f>'PP - Data'!AA135</f>
        <v>0.2</v>
      </c>
      <c r="AB62" s="68">
        <f>'PP - Data'!AB135</f>
        <v>0.7</v>
      </c>
      <c r="AC62" s="68">
        <f>'PP - Data'!AC135</f>
        <v>0.5555555556</v>
      </c>
      <c r="AD62" s="68">
        <f>'PP - Data'!AD135</f>
        <v>0.4166666667</v>
      </c>
      <c r="AE62" s="68">
        <f>'PP - Data'!AE135</f>
        <v>0.5</v>
      </c>
      <c r="AF62" s="68">
        <f>'PP - Data'!AF135</f>
        <v>0.5</v>
      </c>
    </row>
    <row r="63" hidden="1" outlineLevel="1">
      <c r="A63" s="4" t="s">
        <v>796</v>
      </c>
      <c r="B63" s="68">
        <f>'PP - Data'!B136</f>
        <v>0.5416666667</v>
      </c>
      <c r="C63" s="68">
        <f>'PP - Data'!C136</f>
        <v>0.4634146341</v>
      </c>
      <c r="D63" s="68">
        <f>'PP - Data'!D136</f>
        <v>0.4390243902</v>
      </c>
      <c r="E63" s="68">
        <f>'PP - Data'!E136</f>
        <v>0.5641025641</v>
      </c>
      <c r="F63" s="68">
        <f>'PP - Data'!F136</f>
        <v>0.5333333333</v>
      </c>
      <c r="G63" s="68">
        <f>'PP - Data'!G136</f>
        <v>0.5217391304</v>
      </c>
      <c r="H63" s="68">
        <f>'PP - Data'!H136</f>
        <v>0.48</v>
      </c>
      <c r="I63" s="68">
        <f>'PP - Data'!I136</f>
        <v>0.64</v>
      </c>
      <c r="J63" s="68">
        <f>'PP - Data'!J136</f>
        <v>0.4848484848</v>
      </c>
      <c r="K63" s="68">
        <f>'PP - Data'!K136</f>
        <v>0.5416666667</v>
      </c>
      <c r="L63" s="68">
        <f>'PP - Data'!L136</f>
        <v>0.5</v>
      </c>
      <c r="M63" s="68">
        <f>'PP - Data'!M136</f>
        <v>0.4666666667</v>
      </c>
      <c r="N63" s="68">
        <f>'PP - Data'!N136</f>
        <v>0.5454545455</v>
      </c>
      <c r="O63" s="68">
        <f>'PP - Data'!O136</f>
        <v>0.6470588235</v>
      </c>
      <c r="P63" s="68">
        <f>'PP - Data'!P136</f>
        <v>0.5555555556</v>
      </c>
      <c r="Q63" s="68">
        <f>'PP - Data'!Q136</f>
        <v>0.5</v>
      </c>
      <c r="R63" s="68">
        <f>'PP - Data'!R136</f>
        <v>0.5</v>
      </c>
      <c r="S63" s="68">
        <f>'PP - Data'!S136</f>
        <v>0.5</v>
      </c>
      <c r="T63" s="68">
        <f>'PP - Data'!T136</f>
        <v>0.6666666667</v>
      </c>
      <c r="U63" s="68">
        <f>'PP - Data'!U136</f>
        <v>0.625</v>
      </c>
      <c r="V63" s="68">
        <f>'PP - Data'!V136</f>
        <v>0.5833333333</v>
      </c>
      <c r="W63" s="68">
        <f>'PP - Data'!W136</f>
        <v>0.75</v>
      </c>
      <c r="X63" s="68">
        <f>'PP - Data'!X136</f>
        <v>0.4615384615</v>
      </c>
      <c r="Y63" s="68">
        <f>'PP - Data'!Y136</f>
        <v>0.5882352941</v>
      </c>
      <c r="Z63" s="68">
        <f>'PP - Data'!Z136</f>
        <v>0.3684210526</v>
      </c>
      <c r="AA63" s="68">
        <f>'PP - Data'!AA136</f>
        <v>0.6</v>
      </c>
      <c r="AB63" s="68">
        <f>'PP - Data'!AB136</f>
        <v>0.3</v>
      </c>
      <c r="AC63" s="68">
        <f>'PP - Data'!AC136</f>
        <v>0.1111111111</v>
      </c>
      <c r="AD63" s="68">
        <f>'PP - Data'!AD136</f>
        <v>0.25</v>
      </c>
      <c r="AE63" s="68">
        <f>'PP - Data'!AE136</f>
        <v>0.3333333333</v>
      </c>
      <c r="AF63" s="68">
        <f>'PP - Data'!AF136</f>
        <v>0.5</v>
      </c>
    </row>
    <row r="64" hidden="1" outlineLevel="1">
      <c r="A64" s="4" t="s">
        <v>797</v>
      </c>
      <c r="B64" s="68">
        <f>'PP - Data'!B137</f>
        <v>0.2045454545</v>
      </c>
      <c r="C64" s="68">
        <f>'PP - Data'!C137</f>
        <v>0.1463414634</v>
      </c>
      <c r="D64" s="68">
        <f>'PP - Data'!D137</f>
        <v>0.07317073171</v>
      </c>
      <c r="E64" s="68">
        <f>'PP - Data'!E137</f>
        <v>0</v>
      </c>
      <c r="F64" s="68">
        <f>'PP - Data'!F137</f>
        <v>0.1</v>
      </c>
      <c r="G64" s="68">
        <f>'PP - Data'!G137</f>
        <v>0.04347826087</v>
      </c>
      <c r="H64" s="68">
        <f>'PP - Data'!H137</f>
        <v>0.08</v>
      </c>
      <c r="I64" s="68">
        <f>'PP - Data'!I137</f>
        <v>0.04</v>
      </c>
      <c r="J64" s="68">
        <f>'PP - Data'!J137</f>
        <v>0.09090909091</v>
      </c>
      <c r="K64" s="68">
        <f>'PP - Data'!K137</f>
        <v>0.125</v>
      </c>
      <c r="L64" s="68">
        <f>'PP - Data'!L137</f>
        <v>0.1363636364</v>
      </c>
      <c r="M64" s="68">
        <f>'PP - Data'!M137</f>
        <v>0.1333333333</v>
      </c>
      <c r="N64" s="68">
        <f>'PP - Data'!N137</f>
        <v>0.1818181818</v>
      </c>
      <c r="O64" s="68">
        <f>'PP - Data'!O137</f>
        <v>0.1176470588</v>
      </c>
      <c r="P64" s="68">
        <f>'PP - Data'!P137</f>
        <v>0</v>
      </c>
      <c r="Q64" s="68">
        <f>'PP - Data'!Q137</f>
        <v>0.1666666667</v>
      </c>
      <c r="R64" s="68">
        <f>'PP - Data'!R137</f>
        <v>0.5</v>
      </c>
      <c r="S64" s="68">
        <f>'PP - Data'!S137</f>
        <v>0.25</v>
      </c>
      <c r="T64" s="68">
        <f>'PP - Data'!T137</f>
        <v>0.1666666667</v>
      </c>
      <c r="U64" s="68">
        <f>'PP - Data'!U137</f>
        <v>0.125</v>
      </c>
      <c r="V64" s="68">
        <f>'PP - Data'!V137</f>
        <v>0.1666666667</v>
      </c>
      <c r="W64" s="68">
        <f>'PP - Data'!W137</f>
        <v>0.125</v>
      </c>
      <c r="X64" s="68">
        <f>'PP - Data'!X137</f>
        <v>0.07692307692</v>
      </c>
      <c r="Y64" s="68">
        <f>'PP - Data'!Y137</f>
        <v>0.1176470588</v>
      </c>
      <c r="Z64" s="68">
        <f>'PP - Data'!Z137</f>
        <v>0.05263157895</v>
      </c>
      <c r="AA64" s="68">
        <f>'PP - Data'!AA137</f>
        <v>0.2</v>
      </c>
      <c r="AB64" s="68">
        <f>'PP - Data'!AB137</f>
        <v>0</v>
      </c>
      <c r="AC64" s="68">
        <f>'PP - Data'!AC137</f>
        <v>0.3333333333</v>
      </c>
      <c r="AD64" s="68">
        <f>'PP - Data'!AD137</f>
        <v>0.3333333333</v>
      </c>
      <c r="AE64" s="68">
        <f>'PP - Data'!AE137</f>
        <v>0.1666666667</v>
      </c>
      <c r="AF64" s="68">
        <f>'PP - Data'!AF137</f>
        <v>0</v>
      </c>
    </row>
    <row r="65" hidden="1" outlineLevel="1">
      <c r="A65" s="488"/>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c r="AA65" s="491"/>
      <c r="AB65" s="491"/>
      <c r="AC65" s="491"/>
      <c r="AD65" s="491"/>
      <c r="AE65" s="491"/>
      <c r="AF65" s="491"/>
    </row>
    <row r="66">
      <c r="G66" s="78"/>
    </row>
    <row r="68">
      <c r="G68" s="78"/>
    </row>
    <row r="69">
      <c r="G69" s="78"/>
    </row>
  </sheetData>
  <conditionalFormatting sqref="Z7">
    <cfRule type="colorScale" priority="1">
      <colorScale>
        <cfvo type="min"/>
        <cfvo type="max"/>
        <color rgb="FFFFFFFF"/>
        <color rgb="FF57BB8A"/>
      </colorScale>
    </cfRule>
  </conditionalFormatting>
  <conditionalFormatting sqref="B8:AF19">
    <cfRule type="colorScale" priority="2">
      <colorScale>
        <cfvo type="min"/>
        <cfvo type="max"/>
        <color rgb="FFFFFFFF"/>
        <color rgb="FF57BB8A"/>
      </colorScale>
    </cfRule>
  </conditionalFormatting>
  <conditionalFormatting sqref="B26:AF26">
    <cfRule type="colorScale" priority="3">
      <colorScale>
        <cfvo type="min"/>
        <cfvo type="max"/>
        <color rgb="FFFFFFFF"/>
        <color rgb="FF57BB8A"/>
      </colorScale>
    </cfRule>
  </conditionalFormatting>
  <conditionalFormatting sqref="B28:AF30">
    <cfRule type="colorScale" priority="4">
      <colorScale>
        <cfvo type="min"/>
        <cfvo type="max"/>
        <color rgb="FFFCFCFF"/>
        <color rgb="FF57BB8A"/>
      </colorScale>
    </cfRule>
  </conditionalFormatting>
  <conditionalFormatting sqref="B36:AF36">
    <cfRule type="colorScale" priority="5">
      <colorScale>
        <cfvo type="min"/>
        <cfvo type="max"/>
        <color rgb="FFFCFCFF"/>
        <color rgb="FF57BB8A"/>
      </colorScale>
    </cfRule>
  </conditionalFormatting>
  <conditionalFormatting sqref="B38:AF44">
    <cfRule type="colorScale" priority="6">
      <colorScale>
        <cfvo type="min"/>
        <cfvo type="max"/>
        <color rgb="FFFCFCFF"/>
        <color rgb="FF57BB8A"/>
      </colorScale>
    </cfRule>
  </conditionalFormatting>
  <conditionalFormatting sqref="B46:AF46">
    <cfRule type="colorScale" priority="7">
      <colorScale>
        <cfvo type="min"/>
        <cfvo type="max"/>
        <color rgb="FFFCFCFF"/>
        <color rgb="FF57BB8A"/>
      </colorScale>
    </cfRule>
  </conditionalFormatting>
  <conditionalFormatting sqref="B48:AF54">
    <cfRule type="colorScale" priority="8">
      <colorScale>
        <cfvo type="min"/>
        <cfvo type="max"/>
        <color rgb="FFFCFCFF"/>
        <color rgb="FF57BB8A"/>
      </colorScale>
    </cfRule>
  </conditionalFormatting>
  <conditionalFormatting sqref="B56:AF56">
    <cfRule type="colorScale" priority="9">
      <colorScale>
        <cfvo type="min"/>
        <cfvo type="max"/>
        <color rgb="FFFCFCFF"/>
        <color rgb="FF57BB8A"/>
      </colorScale>
    </cfRule>
  </conditionalFormatting>
  <conditionalFormatting sqref="B58:AF64">
    <cfRule type="colorScale" priority="10">
      <colorScale>
        <cfvo type="min"/>
        <cfvo type="max"/>
        <color rgb="FFFCFCFF"/>
        <color rgb="FF57BB8A"/>
      </colorScale>
    </cfRule>
  </conditionalFormatting>
  <conditionalFormatting sqref="B32:AF34">
    <cfRule type="colorScale" priority="11">
      <colorScale>
        <cfvo type="min"/>
        <cfvo type="max"/>
        <color rgb="FFFFFFFF"/>
        <color rgb="FF57BB8A"/>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492" t="s">
        <v>776</v>
      </c>
      <c r="B1" s="493">
        <v>45352.0</v>
      </c>
      <c r="C1" s="493">
        <v>45353.0</v>
      </c>
      <c r="D1" s="493">
        <v>45354.0</v>
      </c>
      <c r="E1" s="493">
        <v>45355.0</v>
      </c>
      <c r="F1" s="493">
        <v>45356.0</v>
      </c>
      <c r="G1" s="493">
        <v>45357.0</v>
      </c>
      <c r="H1" s="493">
        <v>45358.0</v>
      </c>
      <c r="I1" s="493">
        <v>45359.0</v>
      </c>
      <c r="J1" s="493">
        <v>45360.0</v>
      </c>
      <c r="K1" s="493">
        <v>45361.0</v>
      </c>
      <c r="L1" s="493">
        <v>45362.0</v>
      </c>
      <c r="M1" s="493">
        <v>45363.0</v>
      </c>
      <c r="N1" s="493">
        <v>45364.0</v>
      </c>
      <c r="O1" s="493">
        <v>45365.0</v>
      </c>
      <c r="P1" s="493">
        <v>45366.0</v>
      </c>
      <c r="Q1" s="493">
        <v>45367.0</v>
      </c>
      <c r="R1" s="493">
        <v>45368.0</v>
      </c>
      <c r="S1" s="493">
        <v>45369.0</v>
      </c>
      <c r="T1" s="493">
        <v>45370.0</v>
      </c>
      <c r="U1" s="493">
        <v>45371.0</v>
      </c>
      <c r="V1" s="493">
        <v>45372.0</v>
      </c>
      <c r="W1" s="493">
        <v>45373.0</v>
      </c>
      <c r="X1" s="493">
        <v>45374.0</v>
      </c>
      <c r="Y1" s="493">
        <v>45375.0</v>
      </c>
      <c r="Z1" s="493">
        <v>45376.0</v>
      </c>
      <c r="AA1" s="493">
        <v>45377.0</v>
      </c>
      <c r="AB1" s="493">
        <v>45378.0</v>
      </c>
      <c r="AC1" s="493">
        <v>45379.0</v>
      </c>
      <c r="AD1" s="493">
        <v>45380.0</v>
      </c>
      <c r="AE1" s="493">
        <v>45381.0</v>
      </c>
      <c r="AF1" s="493">
        <v>45382.0</v>
      </c>
      <c r="AG1" s="494" t="s">
        <v>802</v>
      </c>
      <c r="AH1" s="495" t="s">
        <v>803</v>
      </c>
    </row>
    <row r="2">
      <c r="A2" s="496" t="s">
        <v>777</v>
      </c>
      <c r="B2" s="497">
        <v>313.0</v>
      </c>
      <c r="C2" s="497">
        <v>76.0</v>
      </c>
      <c r="D2" s="497">
        <v>78.0</v>
      </c>
      <c r="E2" s="497">
        <v>56.0</v>
      </c>
      <c r="F2" s="497">
        <v>45.0</v>
      </c>
      <c r="G2" s="497">
        <v>38.0</v>
      </c>
      <c r="H2" s="497">
        <v>48.0</v>
      </c>
      <c r="I2" s="497">
        <v>54.0</v>
      </c>
      <c r="J2" s="497">
        <v>44.0</v>
      </c>
      <c r="K2" s="497">
        <v>47.0</v>
      </c>
      <c r="L2" s="497">
        <v>32.0</v>
      </c>
      <c r="M2" s="497">
        <v>12.0</v>
      </c>
      <c r="N2" s="8">
        <v>14.0</v>
      </c>
      <c r="O2" s="498">
        <v>24.0</v>
      </c>
      <c r="P2" s="498">
        <v>13.0</v>
      </c>
      <c r="Q2" s="498">
        <v>12.0</v>
      </c>
      <c r="R2" s="498">
        <v>8.0</v>
      </c>
      <c r="S2" s="498">
        <v>8.0</v>
      </c>
      <c r="T2" s="498">
        <v>3.0</v>
      </c>
      <c r="U2" s="499">
        <v>7.0</v>
      </c>
      <c r="V2" s="499">
        <v>7.0</v>
      </c>
      <c r="W2" s="499">
        <v>17.0</v>
      </c>
      <c r="X2" s="499">
        <v>11.0</v>
      </c>
      <c r="Y2" s="498">
        <v>14.0</v>
      </c>
      <c r="Z2" s="498">
        <v>10.0</v>
      </c>
      <c r="AA2" s="498">
        <v>9.0</v>
      </c>
      <c r="AB2" s="498">
        <v>9.0</v>
      </c>
      <c r="AC2" s="498">
        <v>12.0</v>
      </c>
      <c r="AD2" s="498">
        <v>1.0</v>
      </c>
      <c r="AE2" s="498">
        <v>12.0</v>
      </c>
      <c r="AF2" s="498">
        <v>7.0</v>
      </c>
      <c r="AG2" s="500">
        <f t="shared" ref="AG2:AG10" si="1">SUM(B2:AF2)</f>
        <v>1041</v>
      </c>
      <c r="AH2" s="501">
        <f t="shared" ref="AH2:AH9" si="2">iferror(AG2/AG$10,"")</f>
        <v>0.2682298377</v>
      </c>
    </row>
    <row r="3">
      <c r="A3" s="502" t="s">
        <v>782</v>
      </c>
      <c r="B3" s="498">
        <v>655.0</v>
      </c>
      <c r="C3" s="498">
        <v>131.0</v>
      </c>
      <c r="D3" s="498">
        <v>97.0</v>
      </c>
      <c r="E3" s="498">
        <v>105.0</v>
      </c>
      <c r="F3" s="498">
        <v>83.0</v>
      </c>
      <c r="G3" s="498">
        <v>75.0</v>
      </c>
      <c r="H3" s="498">
        <v>70.0</v>
      </c>
      <c r="I3" s="498">
        <v>49.0</v>
      </c>
      <c r="J3" s="498">
        <v>73.0</v>
      </c>
      <c r="K3" s="498">
        <v>80.0</v>
      </c>
      <c r="L3" s="498">
        <v>48.0</v>
      </c>
      <c r="M3" s="498">
        <v>38.0</v>
      </c>
      <c r="N3" s="8">
        <v>34.0</v>
      </c>
      <c r="O3" s="8">
        <v>28.0</v>
      </c>
      <c r="P3" s="8">
        <v>21.0</v>
      </c>
      <c r="Q3" s="498">
        <v>42.0</v>
      </c>
      <c r="R3" s="498">
        <v>31.0</v>
      </c>
      <c r="S3" s="498">
        <v>35.0</v>
      </c>
      <c r="T3" s="498">
        <v>19.0</v>
      </c>
      <c r="U3" s="498">
        <v>41.0</v>
      </c>
      <c r="V3" s="498">
        <v>28.0</v>
      </c>
      <c r="W3" s="498">
        <v>36.0</v>
      </c>
      <c r="X3" s="498">
        <v>29.0</v>
      </c>
      <c r="Y3" s="498">
        <v>37.0</v>
      </c>
      <c r="Z3" s="498">
        <v>38.0</v>
      </c>
      <c r="AA3" s="498">
        <v>24.0</v>
      </c>
      <c r="AB3" s="498">
        <v>23.0</v>
      </c>
      <c r="AC3" s="498">
        <v>31.0</v>
      </c>
      <c r="AD3" s="498">
        <v>20.0</v>
      </c>
      <c r="AE3" s="498">
        <v>40.0</v>
      </c>
      <c r="AF3" s="498">
        <v>32.0</v>
      </c>
      <c r="AG3" s="500">
        <f t="shared" si="1"/>
        <v>2093</v>
      </c>
      <c r="AH3" s="501">
        <f t="shared" si="2"/>
        <v>0.5392939964</v>
      </c>
    </row>
    <row r="4">
      <c r="A4" s="502" t="s">
        <v>109</v>
      </c>
      <c r="B4" s="498">
        <v>3.0</v>
      </c>
      <c r="C4" s="498">
        <v>1.0</v>
      </c>
      <c r="D4" s="498">
        <v>1.0</v>
      </c>
      <c r="E4" s="498">
        <v>2.0</v>
      </c>
      <c r="F4" s="498">
        <v>5.0</v>
      </c>
      <c r="G4" s="498">
        <v>3.0</v>
      </c>
      <c r="H4" s="498">
        <v>2.0</v>
      </c>
      <c r="I4" s="498">
        <v>2.0</v>
      </c>
      <c r="J4" s="498">
        <v>2.0</v>
      </c>
      <c r="K4" s="498">
        <v>3.0</v>
      </c>
      <c r="L4" s="498">
        <v>1.0</v>
      </c>
      <c r="M4" s="498">
        <v>3.0</v>
      </c>
      <c r="N4" s="8">
        <v>1.0</v>
      </c>
      <c r="O4" s="8">
        <v>3.0</v>
      </c>
      <c r="P4" s="8">
        <v>0.0</v>
      </c>
      <c r="Q4" s="498">
        <v>1.0</v>
      </c>
      <c r="R4" s="498">
        <v>2.0</v>
      </c>
      <c r="S4" s="498">
        <v>1.0</v>
      </c>
      <c r="T4" s="498">
        <v>1.0</v>
      </c>
      <c r="U4" s="498">
        <v>0.0</v>
      </c>
      <c r="V4" s="498">
        <v>1.0</v>
      </c>
      <c r="W4" s="498">
        <v>0.0</v>
      </c>
      <c r="X4" s="498">
        <v>1.0</v>
      </c>
      <c r="Y4" s="498">
        <v>1.0</v>
      </c>
      <c r="Z4" s="498">
        <v>4.0</v>
      </c>
      <c r="AA4" s="498">
        <v>3.0</v>
      </c>
      <c r="AB4" s="498">
        <v>0.0</v>
      </c>
      <c r="AC4" s="498">
        <v>0.0</v>
      </c>
      <c r="AD4" s="498">
        <v>1.0</v>
      </c>
      <c r="AE4" s="498">
        <v>2.0</v>
      </c>
      <c r="AF4" s="498">
        <v>1.0</v>
      </c>
      <c r="AG4" s="500">
        <f t="shared" si="1"/>
        <v>51</v>
      </c>
      <c r="AH4" s="501">
        <f t="shared" si="2"/>
        <v>0.01314094306</v>
      </c>
    </row>
    <row r="5">
      <c r="A5" s="502" t="s">
        <v>783</v>
      </c>
      <c r="B5" s="498">
        <v>21.0</v>
      </c>
      <c r="C5" s="498">
        <v>5.0</v>
      </c>
      <c r="D5" s="498">
        <v>3.0</v>
      </c>
      <c r="E5" s="498">
        <v>3.0</v>
      </c>
      <c r="F5" s="498">
        <v>2.0</v>
      </c>
      <c r="G5" s="498">
        <v>3.0</v>
      </c>
      <c r="H5" s="498">
        <v>2.0</v>
      </c>
      <c r="I5" s="498">
        <v>2.0</v>
      </c>
      <c r="J5" s="498">
        <v>0.0</v>
      </c>
      <c r="K5" s="498">
        <v>2.0</v>
      </c>
      <c r="L5" s="498">
        <v>3.0</v>
      </c>
      <c r="M5" s="498">
        <v>1.0</v>
      </c>
      <c r="N5" s="8">
        <v>1.0</v>
      </c>
      <c r="O5" s="8">
        <v>0.0</v>
      </c>
      <c r="P5" s="8">
        <v>2.0</v>
      </c>
      <c r="Q5" s="498">
        <v>1.0</v>
      </c>
      <c r="R5" s="498">
        <v>0.0</v>
      </c>
      <c r="S5" s="498">
        <v>0.0</v>
      </c>
      <c r="T5" s="498">
        <v>0.0</v>
      </c>
      <c r="U5" s="498">
        <v>2.0</v>
      </c>
      <c r="V5" s="498">
        <v>1.0</v>
      </c>
      <c r="W5" s="498">
        <v>0.0</v>
      </c>
      <c r="X5" s="498">
        <v>0.0</v>
      </c>
      <c r="Y5" s="498">
        <v>2.0</v>
      </c>
      <c r="Z5" s="498">
        <v>0.0</v>
      </c>
      <c r="AA5" s="498">
        <v>0.0</v>
      </c>
      <c r="AB5" s="498">
        <v>2.0</v>
      </c>
      <c r="AC5" s="498">
        <v>0.0</v>
      </c>
      <c r="AD5" s="498">
        <v>1.0</v>
      </c>
      <c r="AE5" s="498">
        <v>0.0</v>
      </c>
      <c r="AF5" s="498">
        <v>0.0</v>
      </c>
      <c r="AG5" s="500">
        <f t="shared" si="1"/>
        <v>59</v>
      </c>
      <c r="AH5" s="501">
        <f t="shared" si="2"/>
        <v>0.01520226746</v>
      </c>
    </row>
    <row r="6">
      <c r="A6" s="502" t="s">
        <v>784</v>
      </c>
      <c r="B6" s="498">
        <v>102.0</v>
      </c>
      <c r="C6" s="498">
        <v>21.0</v>
      </c>
      <c r="D6" s="498">
        <v>9.0</v>
      </c>
      <c r="E6" s="498">
        <v>3.0</v>
      </c>
      <c r="F6" s="498">
        <v>9.0</v>
      </c>
      <c r="G6" s="498">
        <v>7.0</v>
      </c>
      <c r="H6" s="498">
        <v>4.0</v>
      </c>
      <c r="I6" s="498">
        <v>2.0</v>
      </c>
      <c r="J6" s="498">
        <v>10.0</v>
      </c>
      <c r="K6" s="498">
        <v>6.0</v>
      </c>
      <c r="L6" s="498">
        <v>4.0</v>
      </c>
      <c r="M6" s="498">
        <v>6.0</v>
      </c>
      <c r="N6" s="8">
        <v>0.0</v>
      </c>
      <c r="O6" s="8">
        <v>3.0</v>
      </c>
      <c r="P6" s="8">
        <v>2.0</v>
      </c>
      <c r="Q6" s="498">
        <v>2.0</v>
      </c>
      <c r="R6" s="498">
        <v>2.0</v>
      </c>
      <c r="S6" s="498">
        <v>1.0</v>
      </c>
      <c r="T6" s="498">
        <v>3.0</v>
      </c>
      <c r="U6" s="498">
        <v>2.0</v>
      </c>
      <c r="V6" s="498">
        <v>2.0</v>
      </c>
      <c r="W6" s="498">
        <v>1.0</v>
      </c>
      <c r="X6" s="498">
        <v>14.0</v>
      </c>
      <c r="Y6" s="498">
        <v>12.0</v>
      </c>
      <c r="Z6" s="498">
        <v>5.0</v>
      </c>
      <c r="AA6" s="498">
        <v>6.0</v>
      </c>
      <c r="AB6" s="498">
        <v>1.0</v>
      </c>
      <c r="AC6" s="498">
        <v>2.0</v>
      </c>
      <c r="AD6" s="498">
        <v>0.0</v>
      </c>
      <c r="AE6" s="498">
        <v>0.0</v>
      </c>
      <c r="AF6" s="498">
        <v>4.0</v>
      </c>
      <c r="AG6" s="500">
        <f t="shared" si="1"/>
        <v>245</v>
      </c>
      <c r="AH6" s="501">
        <f t="shared" si="2"/>
        <v>0.06312805978</v>
      </c>
    </row>
    <row r="7">
      <c r="A7" s="503" t="s">
        <v>785</v>
      </c>
      <c r="B7" s="498">
        <v>5.0</v>
      </c>
      <c r="C7" s="8">
        <v>2.0</v>
      </c>
      <c r="D7" s="8">
        <v>0.0</v>
      </c>
      <c r="E7" s="8">
        <v>1.0</v>
      </c>
      <c r="F7" s="8">
        <v>1.0</v>
      </c>
      <c r="G7" s="8">
        <v>1.0</v>
      </c>
      <c r="H7" s="8">
        <v>1.0</v>
      </c>
      <c r="I7" s="8">
        <v>0.0</v>
      </c>
      <c r="J7" s="8">
        <v>3.0</v>
      </c>
      <c r="K7" s="8">
        <v>4.0</v>
      </c>
      <c r="L7" s="8">
        <v>0.0</v>
      </c>
      <c r="M7" s="8">
        <v>2.0</v>
      </c>
      <c r="N7" s="8">
        <v>2.0</v>
      </c>
      <c r="O7" s="8">
        <v>0.0</v>
      </c>
      <c r="P7" s="8">
        <v>1.0</v>
      </c>
      <c r="Q7" s="498">
        <v>1.0</v>
      </c>
      <c r="R7" s="498">
        <v>0.0</v>
      </c>
      <c r="S7" s="498">
        <v>1.0</v>
      </c>
      <c r="T7" s="498">
        <v>1.0</v>
      </c>
      <c r="U7" s="498">
        <v>0.0</v>
      </c>
      <c r="V7" s="498">
        <v>2.0</v>
      </c>
      <c r="W7" s="498">
        <v>0.0</v>
      </c>
      <c r="X7" s="498">
        <v>1.0</v>
      </c>
      <c r="Y7" s="498">
        <v>2.0</v>
      </c>
      <c r="Z7" s="498">
        <v>0.0</v>
      </c>
      <c r="AA7" s="498">
        <v>0.0</v>
      </c>
      <c r="AB7" s="498">
        <v>2.0</v>
      </c>
      <c r="AC7" s="498">
        <v>0.0</v>
      </c>
      <c r="AD7" s="498">
        <v>1.0</v>
      </c>
      <c r="AE7" s="498">
        <v>1.0</v>
      </c>
      <c r="AF7" s="498">
        <v>0.0</v>
      </c>
      <c r="AG7" s="500">
        <f t="shared" si="1"/>
        <v>35</v>
      </c>
      <c r="AH7" s="501">
        <f t="shared" si="2"/>
        <v>0.009018294254</v>
      </c>
    </row>
    <row r="8">
      <c r="A8" s="503" t="s">
        <v>786</v>
      </c>
      <c r="B8" s="8">
        <v>141.0</v>
      </c>
      <c r="C8" s="8">
        <v>12.0</v>
      </c>
      <c r="D8" s="8">
        <v>12.0</v>
      </c>
      <c r="E8" s="8">
        <v>13.0</v>
      </c>
      <c r="F8" s="8">
        <v>14.0</v>
      </c>
      <c r="G8" s="8">
        <v>6.0</v>
      </c>
      <c r="H8" s="8">
        <v>7.0</v>
      </c>
      <c r="I8" s="8">
        <v>8.0</v>
      </c>
      <c r="J8" s="8">
        <v>19.0</v>
      </c>
      <c r="K8" s="8">
        <v>9.0</v>
      </c>
      <c r="L8" s="8">
        <v>9.0</v>
      </c>
      <c r="M8" s="8">
        <v>4.0</v>
      </c>
      <c r="N8" s="8">
        <v>3.0</v>
      </c>
      <c r="O8" s="8">
        <v>3.0</v>
      </c>
      <c r="P8" s="8">
        <v>3.0</v>
      </c>
      <c r="Q8" s="498">
        <v>6.0</v>
      </c>
      <c r="R8" s="498">
        <v>3.0</v>
      </c>
      <c r="S8" s="498">
        <v>4.0</v>
      </c>
      <c r="T8" s="498">
        <v>3.0</v>
      </c>
      <c r="U8" s="498">
        <v>5.0</v>
      </c>
      <c r="V8" s="498">
        <v>4.0</v>
      </c>
      <c r="W8" s="498">
        <v>2.0</v>
      </c>
      <c r="X8" s="498">
        <v>2.0</v>
      </c>
      <c r="Y8" s="498">
        <v>4.0</v>
      </c>
      <c r="Z8" s="498">
        <v>7.0</v>
      </c>
      <c r="AA8" s="498">
        <v>3.0</v>
      </c>
      <c r="AB8" s="498">
        <v>6.0</v>
      </c>
      <c r="AC8" s="498">
        <v>7.0</v>
      </c>
      <c r="AD8" s="498">
        <v>4.0</v>
      </c>
      <c r="AE8" s="498">
        <v>4.0</v>
      </c>
      <c r="AF8" s="498">
        <v>2.0</v>
      </c>
      <c r="AG8" s="500">
        <f t="shared" si="1"/>
        <v>329</v>
      </c>
      <c r="AH8" s="501">
        <f t="shared" si="2"/>
        <v>0.08477196599</v>
      </c>
    </row>
    <row r="9">
      <c r="A9" s="503" t="s">
        <v>787</v>
      </c>
      <c r="B9" s="8">
        <v>19.0</v>
      </c>
      <c r="C9" s="8">
        <v>3.0</v>
      </c>
      <c r="D9" s="8">
        <v>1.0</v>
      </c>
      <c r="E9" s="8">
        <v>1.0</v>
      </c>
      <c r="F9" s="8">
        <v>0.0</v>
      </c>
      <c r="G9" s="8">
        <v>0.0</v>
      </c>
      <c r="H9" s="8">
        <v>0.0</v>
      </c>
      <c r="I9" s="8">
        <v>0.0</v>
      </c>
      <c r="J9" s="8">
        <v>2.0</v>
      </c>
      <c r="K9" s="8">
        <v>1.0</v>
      </c>
      <c r="L9" s="8">
        <v>0.0</v>
      </c>
      <c r="M9" s="8">
        <v>0.0</v>
      </c>
      <c r="N9" s="8">
        <v>0.0</v>
      </c>
      <c r="O9" s="8">
        <v>0.0</v>
      </c>
      <c r="P9" s="8">
        <v>0.0</v>
      </c>
      <c r="Q9" s="498">
        <v>0.0</v>
      </c>
      <c r="R9" s="498">
        <v>0.0</v>
      </c>
      <c r="S9" s="498">
        <v>0.0</v>
      </c>
      <c r="T9" s="498">
        <v>0.0</v>
      </c>
      <c r="U9" s="498">
        <v>0.0</v>
      </c>
      <c r="V9" s="498">
        <v>0.0</v>
      </c>
      <c r="W9" s="498">
        <v>0.0</v>
      </c>
      <c r="X9" s="498">
        <v>0.0</v>
      </c>
      <c r="Y9" s="498">
        <v>0.0</v>
      </c>
      <c r="Z9" s="498">
        <v>0.0</v>
      </c>
      <c r="AA9" s="498">
        <v>0.0</v>
      </c>
      <c r="AB9" s="498">
        <v>1.0</v>
      </c>
      <c r="AC9" s="498">
        <v>0.0</v>
      </c>
      <c r="AD9" s="498">
        <v>0.0</v>
      </c>
      <c r="AE9" s="498">
        <v>0.0</v>
      </c>
      <c r="AF9" s="498">
        <v>0.0</v>
      </c>
      <c r="AG9" s="500">
        <f t="shared" si="1"/>
        <v>28</v>
      </c>
      <c r="AH9" s="501">
        <f t="shared" si="2"/>
        <v>0.007214635403</v>
      </c>
    </row>
    <row r="10">
      <c r="A10" s="504" t="s">
        <v>804</v>
      </c>
      <c r="B10" s="505">
        <f t="shared" ref="B10:AF10" si="3">SUM(B2:B9)</f>
        <v>1259</v>
      </c>
      <c r="C10" s="505">
        <f t="shared" si="3"/>
        <v>251</v>
      </c>
      <c r="D10" s="505">
        <f t="shared" si="3"/>
        <v>201</v>
      </c>
      <c r="E10" s="505">
        <f t="shared" si="3"/>
        <v>184</v>
      </c>
      <c r="F10" s="505">
        <f t="shared" si="3"/>
        <v>159</v>
      </c>
      <c r="G10" s="505">
        <f t="shared" si="3"/>
        <v>133</v>
      </c>
      <c r="H10" s="505">
        <f t="shared" si="3"/>
        <v>134</v>
      </c>
      <c r="I10" s="505">
        <f t="shared" si="3"/>
        <v>117</v>
      </c>
      <c r="J10" s="505">
        <f t="shared" si="3"/>
        <v>153</v>
      </c>
      <c r="K10" s="505">
        <f t="shared" si="3"/>
        <v>152</v>
      </c>
      <c r="L10" s="505">
        <f t="shared" si="3"/>
        <v>97</v>
      </c>
      <c r="M10" s="505">
        <f t="shared" si="3"/>
        <v>66</v>
      </c>
      <c r="N10" s="505">
        <f t="shared" si="3"/>
        <v>55</v>
      </c>
      <c r="O10" s="505">
        <f t="shared" si="3"/>
        <v>61</v>
      </c>
      <c r="P10" s="505">
        <f t="shared" si="3"/>
        <v>42</v>
      </c>
      <c r="Q10" s="505">
        <f t="shared" si="3"/>
        <v>65</v>
      </c>
      <c r="R10" s="505">
        <f t="shared" si="3"/>
        <v>46</v>
      </c>
      <c r="S10" s="505">
        <f t="shared" si="3"/>
        <v>50</v>
      </c>
      <c r="T10" s="505">
        <f t="shared" si="3"/>
        <v>30</v>
      </c>
      <c r="U10" s="505">
        <f t="shared" si="3"/>
        <v>57</v>
      </c>
      <c r="V10" s="505">
        <f t="shared" si="3"/>
        <v>45</v>
      </c>
      <c r="W10" s="505">
        <f t="shared" si="3"/>
        <v>56</v>
      </c>
      <c r="X10" s="505">
        <f t="shared" si="3"/>
        <v>58</v>
      </c>
      <c r="Y10" s="505">
        <f t="shared" si="3"/>
        <v>72</v>
      </c>
      <c r="Z10" s="505">
        <f t="shared" si="3"/>
        <v>64</v>
      </c>
      <c r="AA10" s="505">
        <f t="shared" si="3"/>
        <v>45</v>
      </c>
      <c r="AB10" s="505">
        <f t="shared" si="3"/>
        <v>44</v>
      </c>
      <c r="AC10" s="505">
        <f t="shared" si="3"/>
        <v>52</v>
      </c>
      <c r="AD10" s="505">
        <f t="shared" si="3"/>
        <v>28</v>
      </c>
      <c r="AE10" s="505">
        <f t="shared" si="3"/>
        <v>59</v>
      </c>
      <c r="AF10" s="505">
        <f t="shared" si="3"/>
        <v>46</v>
      </c>
      <c r="AG10" s="506">
        <f t="shared" si="1"/>
        <v>3881</v>
      </c>
      <c r="AH10" s="507">
        <f>SUM(AH2:AH9)</f>
        <v>1</v>
      </c>
    </row>
    <row r="11">
      <c r="A11" s="508" t="s">
        <v>805</v>
      </c>
      <c r="B11" s="509"/>
      <c r="C11" s="509"/>
      <c r="D11" s="509"/>
      <c r="E11" s="509"/>
      <c r="F11" s="509"/>
      <c r="G11" s="509"/>
      <c r="H11" s="509"/>
      <c r="I11" s="509"/>
      <c r="J11" s="509"/>
      <c r="K11" s="509"/>
      <c r="L11" s="509"/>
      <c r="M11" s="509"/>
      <c r="N11" s="509"/>
      <c r="O11" s="509"/>
      <c r="P11" s="509"/>
      <c r="Q11" s="509"/>
      <c r="R11" s="509"/>
      <c r="S11" s="509"/>
      <c r="T11" s="509"/>
      <c r="U11" s="509"/>
      <c r="V11" s="509"/>
      <c r="W11" s="509"/>
      <c r="X11" s="509"/>
      <c r="Y11" s="509"/>
      <c r="Z11" s="509"/>
      <c r="AA11" s="509"/>
      <c r="AB11" s="509"/>
      <c r="AC11" s="509"/>
      <c r="AD11" s="509"/>
      <c r="AE11" s="509"/>
      <c r="AF11" s="509"/>
      <c r="AG11" s="510"/>
      <c r="AH11" s="511"/>
    </row>
    <row r="12">
      <c r="A12" s="512" t="s">
        <v>777</v>
      </c>
      <c r="B12" s="513">
        <f t="shared" ref="B12:AF12" si="4">iferror(B2/B$10,"")</f>
        <v>0.2486100079</v>
      </c>
      <c r="C12" s="513">
        <f t="shared" si="4"/>
        <v>0.3027888446</v>
      </c>
      <c r="D12" s="513">
        <f t="shared" si="4"/>
        <v>0.3880597015</v>
      </c>
      <c r="E12" s="513">
        <f t="shared" si="4"/>
        <v>0.3043478261</v>
      </c>
      <c r="F12" s="513">
        <f t="shared" si="4"/>
        <v>0.2830188679</v>
      </c>
      <c r="G12" s="513">
        <f t="shared" si="4"/>
        <v>0.2857142857</v>
      </c>
      <c r="H12" s="513">
        <f t="shared" si="4"/>
        <v>0.3582089552</v>
      </c>
      <c r="I12" s="513">
        <f t="shared" si="4"/>
        <v>0.4615384615</v>
      </c>
      <c r="J12" s="513">
        <f t="shared" si="4"/>
        <v>0.2875816993</v>
      </c>
      <c r="K12" s="513">
        <f t="shared" si="4"/>
        <v>0.3092105263</v>
      </c>
      <c r="L12" s="513">
        <f t="shared" si="4"/>
        <v>0.3298969072</v>
      </c>
      <c r="M12" s="513">
        <f t="shared" si="4"/>
        <v>0.1818181818</v>
      </c>
      <c r="N12" s="513">
        <f t="shared" si="4"/>
        <v>0.2545454545</v>
      </c>
      <c r="O12" s="513">
        <f t="shared" si="4"/>
        <v>0.393442623</v>
      </c>
      <c r="P12" s="513">
        <f t="shared" si="4"/>
        <v>0.3095238095</v>
      </c>
      <c r="Q12" s="513">
        <f t="shared" si="4"/>
        <v>0.1846153846</v>
      </c>
      <c r="R12" s="513">
        <f t="shared" si="4"/>
        <v>0.1739130435</v>
      </c>
      <c r="S12" s="513">
        <f t="shared" si="4"/>
        <v>0.16</v>
      </c>
      <c r="T12" s="513">
        <f t="shared" si="4"/>
        <v>0.1</v>
      </c>
      <c r="U12" s="513">
        <f t="shared" si="4"/>
        <v>0.1228070175</v>
      </c>
      <c r="V12" s="513">
        <f t="shared" si="4"/>
        <v>0.1555555556</v>
      </c>
      <c r="W12" s="513">
        <f t="shared" si="4"/>
        <v>0.3035714286</v>
      </c>
      <c r="X12" s="513">
        <f t="shared" si="4"/>
        <v>0.1896551724</v>
      </c>
      <c r="Y12" s="513">
        <f t="shared" si="4"/>
        <v>0.1944444444</v>
      </c>
      <c r="Z12" s="513">
        <f t="shared" si="4"/>
        <v>0.15625</v>
      </c>
      <c r="AA12" s="513">
        <f t="shared" si="4"/>
        <v>0.2</v>
      </c>
      <c r="AB12" s="513">
        <f t="shared" si="4"/>
        <v>0.2045454545</v>
      </c>
      <c r="AC12" s="513">
        <f t="shared" si="4"/>
        <v>0.2307692308</v>
      </c>
      <c r="AD12" s="513">
        <f t="shared" si="4"/>
        <v>0.03571428571</v>
      </c>
      <c r="AE12" s="513">
        <f t="shared" si="4"/>
        <v>0.2033898305</v>
      </c>
      <c r="AF12" s="513">
        <f t="shared" si="4"/>
        <v>0.152173913</v>
      </c>
      <c r="AG12" s="510"/>
      <c r="AH12" s="511"/>
    </row>
    <row r="13">
      <c r="A13" s="512" t="s">
        <v>782</v>
      </c>
      <c r="B13" s="513">
        <f t="shared" ref="B13:AF13" si="5">iferror(B3/B$10,"")</f>
        <v>0.52025417</v>
      </c>
      <c r="C13" s="513">
        <f t="shared" si="5"/>
        <v>0.5219123506</v>
      </c>
      <c r="D13" s="513">
        <f t="shared" si="5"/>
        <v>0.4825870647</v>
      </c>
      <c r="E13" s="513">
        <f t="shared" si="5"/>
        <v>0.5706521739</v>
      </c>
      <c r="F13" s="513">
        <f t="shared" si="5"/>
        <v>0.5220125786</v>
      </c>
      <c r="G13" s="513">
        <f t="shared" si="5"/>
        <v>0.5639097744</v>
      </c>
      <c r="H13" s="513">
        <f t="shared" si="5"/>
        <v>0.5223880597</v>
      </c>
      <c r="I13" s="513">
        <f t="shared" si="5"/>
        <v>0.4188034188</v>
      </c>
      <c r="J13" s="513">
        <f t="shared" si="5"/>
        <v>0.477124183</v>
      </c>
      <c r="K13" s="513">
        <f t="shared" si="5"/>
        <v>0.5263157895</v>
      </c>
      <c r="L13" s="513">
        <f t="shared" si="5"/>
        <v>0.4948453608</v>
      </c>
      <c r="M13" s="513">
        <f t="shared" si="5"/>
        <v>0.5757575758</v>
      </c>
      <c r="N13" s="513">
        <f t="shared" si="5"/>
        <v>0.6181818182</v>
      </c>
      <c r="O13" s="513">
        <f t="shared" si="5"/>
        <v>0.4590163934</v>
      </c>
      <c r="P13" s="513">
        <f t="shared" si="5"/>
        <v>0.5</v>
      </c>
      <c r="Q13" s="513">
        <f t="shared" si="5"/>
        <v>0.6461538462</v>
      </c>
      <c r="R13" s="513">
        <f t="shared" si="5"/>
        <v>0.6739130435</v>
      </c>
      <c r="S13" s="513">
        <f t="shared" si="5"/>
        <v>0.7</v>
      </c>
      <c r="T13" s="513">
        <f t="shared" si="5"/>
        <v>0.6333333333</v>
      </c>
      <c r="U13" s="513">
        <f t="shared" si="5"/>
        <v>0.7192982456</v>
      </c>
      <c r="V13" s="513">
        <f t="shared" si="5"/>
        <v>0.6222222222</v>
      </c>
      <c r="W13" s="513">
        <f t="shared" si="5"/>
        <v>0.6428571429</v>
      </c>
      <c r="X13" s="513">
        <f t="shared" si="5"/>
        <v>0.5</v>
      </c>
      <c r="Y13" s="513">
        <f t="shared" si="5"/>
        <v>0.5138888889</v>
      </c>
      <c r="Z13" s="513">
        <f t="shared" si="5"/>
        <v>0.59375</v>
      </c>
      <c r="AA13" s="513">
        <f t="shared" si="5"/>
        <v>0.5333333333</v>
      </c>
      <c r="AB13" s="513">
        <f t="shared" si="5"/>
        <v>0.5227272727</v>
      </c>
      <c r="AC13" s="513">
        <f t="shared" si="5"/>
        <v>0.5961538462</v>
      </c>
      <c r="AD13" s="513">
        <f t="shared" si="5"/>
        <v>0.7142857143</v>
      </c>
      <c r="AE13" s="513">
        <f t="shared" si="5"/>
        <v>0.6779661017</v>
      </c>
      <c r="AF13" s="513">
        <f t="shared" si="5"/>
        <v>0.6956521739</v>
      </c>
      <c r="AG13" s="510"/>
      <c r="AH13" s="511"/>
    </row>
    <row r="14">
      <c r="A14" s="512" t="s">
        <v>109</v>
      </c>
      <c r="B14" s="513">
        <f t="shared" ref="B14:AF14" si="6">iferror(B4/B$10,"")</f>
        <v>0.002382843527</v>
      </c>
      <c r="C14" s="513">
        <f t="shared" si="6"/>
        <v>0.003984063745</v>
      </c>
      <c r="D14" s="513">
        <f t="shared" si="6"/>
        <v>0.004975124378</v>
      </c>
      <c r="E14" s="513">
        <f t="shared" si="6"/>
        <v>0.01086956522</v>
      </c>
      <c r="F14" s="513">
        <f t="shared" si="6"/>
        <v>0.03144654088</v>
      </c>
      <c r="G14" s="513">
        <f t="shared" si="6"/>
        <v>0.02255639098</v>
      </c>
      <c r="H14" s="513">
        <f t="shared" si="6"/>
        <v>0.01492537313</v>
      </c>
      <c r="I14" s="513">
        <f t="shared" si="6"/>
        <v>0.01709401709</v>
      </c>
      <c r="J14" s="513">
        <f t="shared" si="6"/>
        <v>0.01307189542</v>
      </c>
      <c r="K14" s="513">
        <f t="shared" si="6"/>
        <v>0.01973684211</v>
      </c>
      <c r="L14" s="513">
        <f t="shared" si="6"/>
        <v>0.01030927835</v>
      </c>
      <c r="M14" s="513">
        <f t="shared" si="6"/>
        <v>0.04545454545</v>
      </c>
      <c r="N14" s="513">
        <f t="shared" si="6"/>
        <v>0.01818181818</v>
      </c>
      <c r="O14" s="513">
        <f t="shared" si="6"/>
        <v>0.04918032787</v>
      </c>
      <c r="P14" s="513">
        <f t="shared" si="6"/>
        <v>0</v>
      </c>
      <c r="Q14" s="513">
        <f t="shared" si="6"/>
        <v>0.01538461538</v>
      </c>
      <c r="R14" s="513">
        <f t="shared" si="6"/>
        <v>0.04347826087</v>
      </c>
      <c r="S14" s="513">
        <f t="shared" si="6"/>
        <v>0.02</v>
      </c>
      <c r="T14" s="513">
        <f t="shared" si="6"/>
        <v>0.03333333333</v>
      </c>
      <c r="U14" s="513">
        <f t="shared" si="6"/>
        <v>0</v>
      </c>
      <c r="V14" s="513">
        <f t="shared" si="6"/>
        <v>0.02222222222</v>
      </c>
      <c r="W14" s="513">
        <f t="shared" si="6"/>
        <v>0</v>
      </c>
      <c r="X14" s="513">
        <f t="shared" si="6"/>
        <v>0.01724137931</v>
      </c>
      <c r="Y14" s="513">
        <f t="shared" si="6"/>
        <v>0.01388888889</v>
      </c>
      <c r="Z14" s="513">
        <f t="shared" si="6"/>
        <v>0.0625</v>
      </c>
      <c r="AA14" s="513">
        <f t="shared" si="6"/>
        <v>0.06666666667</v>
      </c>
      <c r="AB14" s="513">
        <f t="shared" si="6"/>
        <v>0</v>
      </c>
      <c r="AC14" s="513">
        <f t="shared" si="6"/>
        <v>0</v>
      </c>
      <c r="AD14" s="513">
        <f t="shared" si="6"/>
        <v>0.03571428571</v>
      </c>
      <c r="AE14" s="513">
        <f t="shared" si="6"/>
        <v>0.03389830508</v>
      </c>
      <c r="AF14" s="513">
        <f t="shared" si="6"/>
        <v>0.02173913043</v>
      </c>
      <c r="AG14" s="510"/>
      <c r="AH14" s="511"/>
    </row>
    <row r="15">
      <c r="A15" s="512" t="s">
        <v>783</v>
      </c>
      <c r="B15" s="513">
        <f t="shared" ref="B15:AF15" si="7">iferror(B5/B$10,"")</f>
        <v>0.01667990469</v>
      </c>
      <c r="C15" s="513">
        <f t="shared" si="7"/>
        <v>0.01992031873</v>
      </c>
      <c r="D15" s="513">
        <f t="shared" si="7"/>
        <v>0.01492537313</v>
      </c>
      <c r="E15" s="513">
        <f t="shared" si="7"/>
        <v>0.01630434783</v>
      </c>
      <c r="F15" s="513">
        <f t="shared" si="7"/>
        <v>0.01257861635</v>
      </c>
      <c r="G15" s="513">
        <f t="shared" si="7"/>
        <v>0.02255639098</v>
      </c>
      <c r="H15" s="513">
        <f t="shared" si="7"/>
        <v>0.01492537313</v>
      </c>
      <c r="I15" s="513">
        <f t="shared" si="7"/>
        <v>0.01709401709</v>
      </c>
      <c r="J15" s="513">
        <f t="shared" si="7"/>
        <v>0</v>
      </c>
      <c r="K15" s="513">
        <f t="shared" si="7"/>
        <v>0.01315789474</v>
      </c>
      <c r="L15" s="513">
        <f t="shared" si="7"/>
        <v>0.03092783505</v>
      </c>
      <c r="M15" s="513">
        <f t="shared" si="7"/>
        <v>0.01515151515</v>
      </c>
      <c r="N15" s="513">
        <f t="shared" si="7"/>
        <v>0.01818181818</v>
      </c>
      <c r="O15" s="513">
        <f t="shared" si="7"/>
        <v>0</v>
      </c>
      <c r="P15" s="513">
        <f t="shared" si="7"/>
        <v>0.04761904762</v>
      </c>
      <c r="Q15" s="513">
        <f t="shared" si="7"/>
        <v>0.01538461538</v>
      </c>
      <c r="R15" s="513">
        <f t="shared" si="7"/>
        <v>0</v>
      </c>
      <c r="S15" s="513">
        <f t="shared" si="7"/>
        <v>0</v>
      </c>
      <c r="T15" s="513">
        <f t="shared" si="7"/>
        <v>0</v>
      </c>
      <c r="U15" s="513">
        <f t="shared" si="7"/>
        <v>0.0350877193</v>
      </c>
      <c r="V15" s="513">
        <f t="shared" si="7"/>
        <v>0.02222222222</v>
      </c>
      <c r="W15" s="513">
        <f t="shared" si="7"/>
        <v>0</v>
      </c>
      <c r="X15" s="513">
        <f t="shared" si="7"/>
        <v>0</v>
      </c>
      <c r="Y15" s="513">
        <f t="shared" si="7"/>
        <v>0.02777777778</v>
      </c>
      <c r="Z15" s="513">
        <f t="shared" si="7"/>
        <v>0</v>
      </c>
      <c r="AA15" s="513">
        <f t="shared" si="7"/>
        <v>0</v>
      </c>
      <c r="AB15" s="513">
        <f t="shared" si="7"/>
        <v>0.04545454545</v>
      </c>
      <c r="AC15" s="513">
        <f t="shared" si="7"/>
        <v>0</v>
      </c>
      <c r="AD15" s="513">
        <f t="shared" si="7"/>
        <v>0.03571428571</v>
      </c>
      <c r="AE15" s="513">
        <f t="shared" si="7"/>
        <v>0</v>
      </c>
      <c r="AF15" s="513">
        <f t="shared" si="7"/>
        <v>0</v>
      </c>
      <c r="AG15" s="510"/>
      <c r="AH15" s="511"/>
    </row>
    <row r="16">
      <c r="A16" s="512" t="s">
        <v>784</v>
      </c>
      <c r="B16" s="513">
        <f t="shared" ref="B16:AF16" si="8">iferror(B6/B$10,"")</f>
        <v>0.0810166799</v>
      </c>
      <c r="C16" s="513">
        <f t="shared" si="8"/>
        <v>0.08366533865</v>
      </c>
      <c r="D16" s="513">
        <f t="shared" si="8"/>
        <v>0.0447761194</v>
      </c>
      <c r="E16" s="513">
        <f t="shared" si="8"/>
        <v>0.01630434783</v>
      </c>
      <c r="F16" s="513">
        <f t="shared" si="8"/>
        <v>0.05660377358</v>
      </c>
      <c r="G16" s="513">
        <f t="shared" si="8"/>
        <v>0.05263157895</v>
      </c>
      <c r="H16" s="513">
        <f t="shared" si="8"/>
        <v>0.02985074627</v>
      </c>
      <c r="I16" s="513">
        <f t="shared" si="8"/>
        <v>0.01709401709</v>
      </c>
      <c r="J16" s="513">
        <f t="shared" si="8"/>
        <v>0.06535947712</v>
      </c>
      <c r="K16" s="513">
        <f t="shared" si="8"/>
        <v>0.03947368421</v>
      </c>
      <c r="L16" s="513">
        <f t="shared" si="8"/>
        <v>0.0412371134</v>
      </c>
      <c r="M16" s="513">
        <f t="shared" si="8"/>
        <v>0.09090909091</v>
      </c>
      <c r="N16" s="513">
        <f t="shared" si="8"/>
        <v>0</v>
      </c>
      <c r="O16" s="513">
        <f t="shared" si="8"/>
        <v>0.04918032787</v>
      </c>
      <c r="P16" s="513">
        <f t="shared" si="8"/>
        <v>0.04761904762</v>
      </c>
      <c r="Q16" s="513">
        <f t="shared" si="8"/>
        <v>0.03076923077</v>
      </c>
      <c r="R16" s="513">
        <f t="shared" si="8"/>
        <v>0.04347826087</v>
      </c>
      <c r="S16" s="513">
        <f t="shared" si="8"/>
        <v>0.02</v>
      </c>
      <c r="T16" s="513">
        <f t="shared" si="8"/>
        <v>0.1</v>
      </c>
      <c r="U16" s="513">
        <f t="shared" si="8"/>
        <v>0.0350877193</v>
      </c>
      <c r="V16" s="513">
        <f t="shared" si="8"/>
        <v>0.04444444444</v>
      </c>
      <c r="W16" s="513">
        <f t="shared" si="8"/>
        <v>0.01785714286</v>
      </c>
      <c r="X16" s="513">
        <f t="shared" si="8"/>
        <v>0.2413793103</v>
      </c>
      <c r="Y16" s="513">
        <f t="shared" si="8"/>
        <v>0.1666666667</v>
      </c>
      <c r="Z16" s="513">
        <f t="shared" si="8"/>
        <v>0.078125</v>
      </c>
      <c r="AA16" s="513">
        <f t="shared" si="8"/>
        <v>0.1333333333</v>
      </c>
      <c r="AB16" s="513">
        <f t="shared" si="8"/>
        <v>0.02272727273</v>
      </c>
      <c r="AC16" s="513">
        <f t="shared" si="8"/>
        <v>0.03846153846</v>
      </c>
      <c r="AD16" s="513">
        <f t="shared" si="8"/>
        <v>0</v>
      </c>
      <c r="AE16" s="513">
        <f t="shared" si="8"/>
        <v>0</v>
      </c>
      <c r="AF16" s="513">
        <f t="shared" si="8"/>
        <v>0.08695652174</v>
      </c>
      <c r="AG16" s="510"/>
      <c r="AH16" s="511"/>
    </row>
    <row r="17">
      <c r="A17" s="514" t="s">
        <v>785</v>
      </c>
      <c r="B17" s="513">
        <f t="shared" ref="B17:AF17" si="9">iferror(B7/B$10,"")</f>
        <v>0.003971405878</v>
      </c>
      <c r="C17" s="513">
        <f t="shared" si="9"/>
        <v>0.00796812749</v>
      </c>
      <c r="D17" s="513">
        <f t="shared" si="9"/>
        <v>0</v>
      </c>
      <c r="E17" s="513">
        <f t="shared" si="9"/>
        <v>0.005434782609</v>
      </c>
      <c r="F17" s="513">
        <f t="shared" si="9"/>
        <v>0.006289308176</v>
      </c>
      <c r="G17" s="513">
        <f t="shared" si="9"/>
        <v>0.007518796992</v>
      </c>
      <c r="H17" s="513">
        <f t="shared" si="9"/>
        <v>0.007462686567</v>
      </c>
      <c r="I17" s="513">
        <f t="shared" si="9"/>
        <v>0</v>
      </c>
      <c r="J17" s="513">
        <f t="shared" si="9"/>
        <v>0.01960784314</v>
      </c>
      <c r="K17" s="513">
        <f t="shared" si="9"/>
        <v>0.02631578947</v>
      </c>
      <c r="L17" s="513">
        <f t="shared" si="9"/>
        <v>0</v>
      </c>
      <c r="M17" s="513">
        <f t="shared" si="9"/>
        <v>0.0303030303</v>
      </c>
      <c r="N17" s="513">
        <f t="shared" si="9"/>
        <v>0.03636363636</v>
      </c>
      <c r="O17" s="513">
        <f t="shared" si="9"/>
        <v>0</v>
      </c>
      <c r="P17" s="513">
        <f t="shared" si="9"/>
        <v>0.02380952381</v>
      </c>
      <c r="Q17" s="513">
        <f t="shared" si="9"/>
        <v>0.01538461538</v>
      </c>
      <c r="R17" s="513">
        <f t="shared" si="9"/>
        <v>0</v>
      </c>
      <c r="S17" s="513">
        <f t="shared" si="9"/>
        <v>0.02</v>
      </c>
      <c r="T17" s="513">
        <f t="shared" si="9"/>
        <v>0.03333333333</v>
      </c>
      <c r="U17" s="513">
        <f t="shared" si="9"/>
        <v>0</v>
      </c>
      <c r="V17" s="513">
        <f t="shared" si="9"/>
        <v>0.04444444444</v>
      </c>
      <c r="W17" s="513">
        <f t="shared" si="9"/>
        <v>0</v>
      </c>
      <c r="X17" s="513">
        <f t="shared" si="9"/>
        <v>0.01724137931</v>
      </c>
      <c r="Y17" s="513">
        <f t="shared" si="9"/>
        <v>0.02777777778</v>
      </c>
      <c r="Z17" s="513">
        <f t="shared" si="9"/>
        <v>0</v>
      </c>
      <c r="AA17" s="513">
        <f t="shared" si="9"/>
        <v>0</v>
      </c>
      <c r="AB17" s="513">
        <f t="shared" si="9"/>
        <v>0.04545454545</v>
      </c>
      <c r="AC17" s="513">
        <f t="shared" si="9"/>
        <v>0</v>
      </c>
      <c r="AD17" s="513">
        <f t="shared" si="9"/>
        <v>0.03571428571</v>
      </c>
      <c r="AE17" s="513">
        <f t="shared" si="9"/>
        <v>0.01694915254</v>
      </c>
      <c r="AF17" s="513">
        <f t="shared" si="9"/>
        <v>0</v>
      </c>
      <c r="AG17" s="510"/>
      <c r="AH17" s="511"/>
    </row>
    <row r="18">
      <c r="A18" s="514" t="s">
        <v>786</v>
      </c>
      <c r="B18" s="513">
        <f t="shared" ref="B18:AF18" si="10">iferror(B8/B$10,"")</f>
        <v>0.1119936458</v>
      </c>
      <c r="C18" s="513">
        <f t="shared" si="10"/>
        <v>0.04780876494</v>
      </c>
      <c r="D18" s="513">
        <f t="shared" si="10"/>
        <v>0.05970149254</v>
      </c>
      <c r="E18" s="513">
        <f t="shared" si="10"/>
        <v>0.07065217391</v>
      </c>
      <c r="F18" s="513">
        <f t="shared" si="10"/>
        <v>0.08805031447</v>
      </c>
      <c r="G18" s="513">
        <f t="shared" si="10"/>
        <v>0.04511278195</v>
      </c>
      <c r="H18" s="513">
        <f t="shared" si="10"/>
        <v>0.05223880597</v>
      </c>
      <c r="I18" s="513">
        <f t="shared" si="10"/>
        <v>0.06837606838</v>
      </c>
      <c r="J18" s="513">
        <f t="shared" si="10"/>
        <v>0.1241830065</v>
      </c>
      <c r="K18" s="513">
        <f t="shared" si="10"/>
        <v>0.05921052632</v>
      </c>
      <c r="L18" s="513">
        <f t="shared" si="10"/>
        <v>0.09278350515</v>
      </c>
      <c r="M18" s="513">
        <f t="shared" si="10"/>
        <v>0.06060606061</v>
      </c>
      <c r="N18" s="513">
        <f t="shared" si="10"/>
        <v>0.05454545455</v>
      </c>
      <c r="O18" s="513">
        <f t="shared" si="10"/>
        <v>0.04918032787</v>
      </c>
      <c r="P18" s="513">
        <f t="shared" si="10"/>
        <v>0.07142857143</v>
      </c>
      <c r="Q18" s="513">
        <f t="shared" si="10"/>
        <v>0.09230769231</v>
      </c>
      <c r="R18" s="513">
        <f t="shared" si="10"/>
        <v>0.0652173913</v>
      </c>
      <c r="S18" s="513">
        <f t="shared" si="10"/>
        <v>0.08</v>
      </c>
      <c r="T18" s="513">
        <f t="shared" si="10"/>
        <v>0.1</v>
      </c>
      <c r="U18" s="513">
        <f t="shared" si="10"/>
        <v>0.08771929825</v>
      </c>
      <c r="V18" s="513">
        <f t="shared" si="10"/>
        <v>0.08888888889</v>
      </c>
      <c r="W18" s="513">
        <f t="shared" si="10"/>
        <v>0.03571428571</v>
      </c>
      <c r="X18" s="513">
        <f t="shared" si="10"/>
        <v>0.03448275862</v>
      </c>
      <c r="Y18" s="513">
        <f t="shared" si="10"/>
        <v>0.05555555556</v>
      </c>
      <c r="Z18" s="513">
        <f t="shared" si="10"/>
        <v>0.109375</v>
      </c>
      <c r="AA18" s="513">
        <f t="shared" si="10"/>
        <v>0.06666666667</v>
      </c>
      <c r="AB18" s="513">
        <f t="shared" si="10"/>
        <v>0.1363636364</v>
      </c>
      <c r="AC18" s="513">
        <f t="shared" si="10"/>
        <v>0.1346153846</v>
      </c>
      <c r="AD18" s="513">
        <f t="shared" si="10"/>
        <v>0.1428571429</v>
      </c>
      <c r="AE18" s="513">
        <f t="shared" si="10"/>
        <v>0.06779661017</v>
      </c>
      <c r="AF18" s="513">
        <f t="shared" si="10"/>
        <v>0.04347826087</v>
      </c>
      <c r="AG18" s="510"/>
      <c r="AH18" s="511"/>
    </row>
    <row r="19">
      <c r="A19" s="515" t="s">
        <v>787</v>
      </c>
      <c r="B19" s="513">
        <f t="shared" ref="B19:AF19" si="11">iferror(B9/B$10,"")</f>
        <v>0.01509134234</v>
      </c>
      <c r="C19" s="513">
        <f t="shared" si="11"/>
        <v>0.01195219124</v>
      </c>
      <c r="D19" s="513">
        <f t="shared" si="11"/>
        <v>0.004975124378</v>
      </c>
      <c r="E19" s="513">
        <f t="shared" si="11"/>
        <v>0.005434782609</v>
      </c>
      <c r="F19" s="513">
        <f t="shared" si="11"/>
        <v>0</v>
      </c>
      <c r="G19" s="513">
        <f t="shared" si="11"/>
        <v>0</v>
      </c>
      <c r="H19" s="513">
        <f t="shared" si="11"/>
        <v>0</v>
      </c>
      <c r="I19" s="513">
        <f t="shared" si="11"/>
        <v>0</v>
      </c>
      <c r="J19" s="513">
        <f t="shared" si="11"/>
        <v>0.01307189542</v>
      </c>
      <c r="K19" s="513">
        <f t="shared" si="11"/>
        <v>0.006578947368</v>
      </c>
      <c r="L19" s="513">
        <f t="shared" si="11"/>
        <v>0</v>
      </c>
      <c r="M19" s="513">
        <f t="shared" si="11"/>
        <v>0</v>
      </c>
      <c r="N19" s="513">
        <f t="shared" si="11"/>
        <v>0</v>
      </c>
      <c r="O19" s="513">
        <f t="shared" si="11"/>
        <v>0</v>
      </c>
      <c r="P19" s="513">
        <f t="shared" si="11"/>
        <v>0</v>
      </c>
      <c r="Q19" s="513">
        <f t="shared" si="11"/>
        <v>0</v>
      </c>
      <c r="R19" s="513">
        <f t="shared" si="11"/>
        <v>0</v>
      </c>
      <c r="S19" s="513">
        <f t="shared" si="11"/>
        <v>0</v>
      </c>
      <c r="T19" s="513">
        <f t="shared" si="11"/>
        <v>0</v>
      </c>
      <c r="U19" s="513">
        <f t="shared" si="11"/>
        <v>0</v>
      </c>
      <c r="V19" s="513">
        <f t="shared" si="11"/>
        <v>0</v>
      </c>
      <c r="W19" s="513">
        <f t="shared" si="11"/>
        <v>0</v>
      </c>
      <c r="X19" s="513">
        <f t="shared" si="11"/>
        <v>0</v>
      </c>
      <c r="Y19" s="513">
        <f t="shared" si="11"/>
        <v>0</v>
      </c>
      <c r="Z19" s="513">
        <f t="shared" si="11"/>
        <v>0</v>
      </c>
      <c r="AA19" s="513">
        <f t="shared" si="11"/>
        <v>0</v>
      </c>
      <c r="AB19" s="513">
        <f t="shared" si="11"/>
        <v>0.02272727273</v>
      </c>
      <c r="AC19" s="513">
        <f t="shared" si="11"/>
        <v>0</v>
      </c>
      <c r="AD19" s="513">
        <f t="shared" si="11"/>
        <v>0</v>
      </c>
      <c r="AE19" s="513">
        <f t="shared" si="11"/>
        <v>0</v>
      </c>
      <c r="AF19" s="513">
        <f t="shared" si="11"/>
        <v>0</v>
      </c>
      <c r="AG19" s="510"/>
      <c r="AH19" s="511"/>
    </row>
    <row r="20">
      <c r="A20" s="503"/>
      <c r="B20" s="516"/>
      <c r="C20" s="516"/>
      <c r="D20" s="516"/>
      <c r="E20" s="516"/>
      <c r="F20" s="516"/>
      <c r="G20" s="516"/>
      <c r="H20" s="516"/>
      <c r="I20" s="516"/>
      <c r="J20" s="516"/>
      <c r="K20" s="516"/>
      <c r="L20" s="516"/>
      <c r="M20" s="516"/>
      <c r="N20" s="516"/>
      <c r="O20" s="516"/>
      <c r="P20" s="516"/>
      <c r="Q20" s="516"/>
      <c r="R20" s="516"/>
      <c r="S20" s="516"/>
      <c r="T20" s="516"/>
      <c r="U20" s="516"/>
      <c r="V20" s="516"/>
      <c r="W20" s="516"/>
      <c r="X20" s="516"/>
      <c r="Y20" s="516"/>
      <c r="Z20" s="516"/>
      <c r="AA20" s="516"/>
      <c r="AB20" s="516"/>
      <c r="AC20" s="516"/>
      <c r="AD20" s="516"/>
      <c r="AE20" s="516"/>
      <c r="AF20" s="517"/>
      <c r="AG20" s="510"/>
      <c r="AH20" s="511"/>
    </row>
    <row r="21">
      <c r="A21" s="503"/>
      <c r="B21" s="517"/>
      <c r="C21" s="517"/>
      <c r="D21" s="517"/>
      <c r="E21" s="517"/>
      <c r="F21" s="517"/>
      <c r="G21" s="517"/>
      <c r="H21" s="517"/>
      <c r="I21" s="517"/>
      <c r="J21" s="517"/>
      <c r="K21" s="517"/>
      <c r="L21" s="517"/>
      <c r="M21" s="517"/>
      <c r="N21" s="517"/>
      <c r="O21" s="517"/>
      <c r="P21" s="517"/>
      <c r="Q21" s="517"/>
      <c r="R21" s="517"/>
      <c r="S21" s="517"/>
      <c r="T21" s="517"/>
      <c r="U21" s="517"/>
      <c r="V21" s="517"/>
      <c r="W21" s="517"/>
      <c r="X21" s="517"/>
      <c r="Y21" s="517"/>
      <c r="Z21" s="517"/>
      <c r="AA21" s="517"/>
      <c r="AB21" s="517"/>
      <c r="AC21" s="517"/>
      <c r="AD21" s="517"/>
      <c r="AE21" s="517"/>
      <c r="AF21" s="517"/>
      <c r="AG21" s="510"/>
      <c r="AH21" s="511"/>
    </row>
    <row r="22">
      <c r="A22" s="518" t="s">
        <v>806</v>
      </c>
      <c r="B22" s="519"/>
      <c r="C22" s="519"/>
      <c r="D22" s="519"/>
      <c r="E22" s="519"/>
      <c r="F22" s="519"/>
      <c r="G22" s="519"/>
      <c r="H22" s="519"/>
      <c r="I22" s="519"/>
      <c r="J22" s="519"/>
      <c r="K22" s="519"/>
      <c r="L22" s="519"/>
      <c r="M22" s="519"/>
      <c r="N22" s="519"/>
      <c r="O22" s="519"/>
      <c r="P22" s="519"/>
      <c r="Q22" s="519"/>
      <c r="R22" s="519"/>
      <c r="S22" s="519"/>
      <c r="T22" s="519"/>
      <c r="U22" s="519"/>
      <c r="V22" s="519"/>
      <c r="W22" s="519"/>
      <c r="X22" s="519"/>
      <c r="Y22" s="519"/>
      <c r="Z22" s="519"/>
      <c r="AA22" s="519"/>
      <c r="AB22" s="519"/>
      <c r="AC22" s="519"/>
      <c r="AD22" s="519"/>
      <c r="AE22" s="519"/>
      <c r="AF22" s="519"/>
      <c r="AG22" s="520"/>
      <c r="AH22" s="521"/>
    </row>
    <row r="23">
      <c r="A23" s="502" t="s">
        <v>779</v>
      </c>
      <c r="B23" s="497">
        <v>216.0</v>
      </c>
      <c r="C23" s="497">
        <v>55.0</v>
      </c>
      <c r="D23" s="497">
        <v>59.0</v>
      </c>
      <c r="E23" s="497">
        <v>46.0</v>
      </c>
      <c r="F23" s="497">
        <v>38.0</v>
      </c>
      <c r="G23" s="497">
        <v>30.0</v>
      </c>
      <c r="H23" s="497">
        <v>36.0</v>
      </c>
      <c r="I23" s="497">
        <v>45.0</v>
      </c>
      <c r="J23" s="497">
        <v>34.0</v>
      </c>
      <c r="K23" s="497">
        <v>38.0</v>
      </c>
      <c r="L23" s="497">
        <v>23.0</v>
      </c>
      <c r="M23" s="497">
        <v>10.0</v>
      </c>
      <c r="N23" s="498">
        <v>11.0</v>
      </c>
      <c r="O23" s="498">
        <v>15.0</v>
      </c>
      <c r="P23" s="498">
        <v>12.0</v>
      </c>
      <c r="Q23" s="498">
        <v>8.0</v>
      </c>
      <c r="R23" s="498">
        <v>4.0</v>
      </c>
      <c r="S23" s="498">
        <v>6.0</v>
      </c>
      <c r="T23" s="498">
        <v>3.0</v>
      </c>
      <c r="U23" s="497">
        <v>5.0</v>
      </c>
      <c r="V23" s="497">
        <v>4.0</v>
      </c>
      <c r="W23" s="497">
        <v>12.0</v>
      </c>
      <c r="X23" s="497">
        <v>4.0</v>
      </c>
      <c r="Y23" s="498">
        <v>11.0</v>
      </c>
      <c r="Z23" s="498">
        <v>5.0</v>
      </c>
      <c r="AA23" s="498">
        <v>7.0</v>
      </c>
      <c r="AB23" s="498">
        <v>6.0</v>
      </c>
      <c r="AC23" s="498">
        <v>11.0</v>
      </c>
      <c r="AD23" s="498">
        <v>1.0</v>
      </c>
      <c r="AE23" s="498">
        <v>8.0</v>
      </c>
      <c r="AF23" s="498">
        <v>6.0</v>
      </c>
      <c r="AG23" s="500">
        <f t="shared" ref="AG23:AG26" si="12">SUM(B23:AF23)</f>
        <v>769</v>
      </c>
      <c r="AH23" s="501">
        <f t="shared" ref="AH23:AH25" si="13">iferror(AG23/AG$26,"")</f>
        <v>0.7387127762</v>
      </c>
    </row>
    <row r="24">
      <c r="A24" s="522" t="s">
        <v>780</v>
      </c>
      <c r="B24" s="498">
        <v>18.0</v>
      </c>
      <c r="C24" s="498">
        <v>7.0</v>
      </c>
      <c r="D24" s="498">
        <v>6.0</v>
      </c>
      <c r="E24" s="498">
        <v>4.0</v>
      </c>
      <c r="F24" s="498">
        <v>4.0</v>
      </c>
      <c r="G24" s="498">
        <v>5.0</v>
      </c>
      <c r="H24" s="498">
        <v>3.0</v>
      </c>
      <c r="I24" s="498">
        <v>6.0</v>
      </c>
      <c r="J24" s="498">
        <v>4.0</v>
      </c>
      <c r="K24" s="498">
        <v>4.0</v>
      </c>
      <c r="L24" s="498">
        <v>5.0</v>
      </c>
      <c r="M24" s="523">
        <v>0.0</v>
      </c>
      <c r="N24" s="498">
        <v>1.0</v>
      </c>
      <c r="O24" s="498">
        <v>5.0</v>
      </c>
      <c r="P24" s="498">
        <v>0.0</v>
      </c>
      <c r="Q24" s="498">
        <v>1.0</v>
      </c>
      <c r="R24" s="498">
        <v>2.0</v>
      </c>
      <c r="S24" s="498">
        <v>1.0</v>
      </c>
      <c r="T24" s="498">
        <v>0.0</v>
      </c>
      <c r="U24" s="498">
        <v>1.0</v>
      </c>
      <c r="V24" s="498">
        <v>3.0</v>
      </c>
      <c r="W24" s="498">
        <v>2.0</v>
      </c>
      <c r="X24" s="498">
        <v>3.0</v>
      </c>
      <c r="Y24" s="498">
        <v>3.0</v>
      </c>
      <c r="Z24" s="498">
        <v>2.0</v>
      </c>
      <c r="AA24" s="498">
        <v>0.0</v>
      </c>
      <c r="AB24" s="498">
        <v>3.0</v>
      </c>
      <c r="AC24" s="498">
        <v>1.0</v>
      </c>
      <c r="AD24" s="498">
        <v>0.0</v>
      </c>
      <c r="AE24" s="498">
        <v>2.0</v>
      </c>
      <c r="AF24" s="498">
        <v>1.0</v>
      </c>
      <c r="AG24" s="500">
        <f t="shared" si="12"/>
        <v>97</v>
      </c>
      <c r="AH24" s="501">
        <f t="shared" si="13"/>
        <v>0.09317963497</v>
      </c>
    </row>
    <row r="25">
      <c r="A25" s="522" t="s">
        <v>781</v>
      </c>
      <c r="B25" s="498">
        <v>79.0</v>
      </c>
      <c r="C25" s="498">
        <v>14.0</v>
      </c>
      <c r="D25" s="498">
        <v>13.0</v>
      </c>
      <c r="E25" s="498">
        <v>6.0</v>
      </c>
      <c r="F25" s="498">
        <v>3.0</v>
      </c>
      <c r="G25" s="498">
        <v>3.0</v>
      </c>
      <c r="H25" s="498">
        <v>9.0</v>
      </c>
      <c r="I25" s="498">
        <v>3.0</v>
      </c>
      <c r="J25" s="498">
        <v>6.0</v>
      </c>
      <c r="K25" s="498">
        <v>5.0</v>
      </c>
      <c r="L25" s="498">
        <v>4.0</v>
      </c>
      <c r="M25" s="523">
        <v>2.0</v>
      </c>
      <c r="N25" s="498">
        <v>2.0</v>
      </c>
      <c r="O25" s="498">
        <v>4.0</v>
      </c>
      <c r="P25" s="498">
        <v>1.0</v>
      </c>
      <c r="Q25" s="498">
        <v>3.0</v>
      </c>
      <c r="R25" s="498">
        <v>2.0</v>
      </c>
      <c r="S25" s="498">
        <v>1.0</v>
      </c>
      <c r="T25" s="498">
        <v>0.0</v>
      </c>
      <c r="U25" s="498">
        <v>1.0</v>
      </c>
      <c r="V25" s="498">
        <v>0.0</v>
      </c>
      <c r="W25" s="498">
        <v>3.0</v>
      </c>
      <c r="X25" s="498">
        <v>4.0</v>
      </c>
      <c r="Y25" s="498">
        <v>0.0</v>
      </c>
      <c r="Z25" s="498">
        <v>3.0</v>
      </c>
      <c r="AA25" s="498">
        <v>2.0</v>
      </c>
      <c r="AB25" s="498">
        <v>0.0</v>
      </c>
      <c r="AC25" s="498">
        <v>0.0</v>
      </c>
      <c r="AD25" s="498">
        <v>0.0</v>
      </c>
      <c r="AE25" s="498">
        <v>2.0</v>
      </c>
      <c r="AF25" s="498">
        <v>0.0</v>
      </c>
      <c r="AG25" s="500">
        <f t="shared" si="12"/>
        <v>175</v>
      </c>
      <c r="AH25" s="501">
        <f t="shared" si="13"/>
        <v>0.1681075889</v>
      </c>
    </row>
    <row r="26">
      <c r="A26" s="504" t="s">
        <v>804</v>
      </c>
      <c r="B26" s="505">
        <f t="shared" ref="B26:AF26" si="14">SUM(B23:B25)</f>
        <v>313</v>
      </c>
      <c r="C26" s="505">
        <f t="shared" si="14"/>
        <v>76</v>
      </c>
      <c r="D26" s="505">
        <f t="shared" si="14"/>
        <v>78</v>
      </c>
      <c r="E26" s="505">
        <f t="shared" si="14"/>
        <v>56</v>
      </c>
      <c r="F26" s="505">
        <f t="shared" si="14"/>
        <v>45</v>
      </c>
      <c r="G26" s="505">
        <f t="shared" si="14"/>
        <v>38</v>
      </c>
      <c r="H26" s="505">
        <f t="shared" si="14"/>
        <v>48</v>
      </c>
      <c r="I26" s="505">
        <f t="shared" si="14"/>
        <v>54</v>
      </c>
      <c r="J26" s="505">
        <f t="shared" si="14"/>
        <v>44</v>
      </c>
      <c r="K26" s="505">
        <f t="shared" si="14"/>
        <v>47</v>
      </c>
      <c r="L26" s="505">
        <f t="shared" si="14"/>
        <v>32</v>
      </c>
      <c r="M26" s="505">
        <f t="shared" si="14"/>
        <v>12</v>
      </c>
      <c r="N26" s="505">
        <f t="shared" si="14"/>
        <v>14</v>
      </c>
      <c r="O26" s="505">
        <f t="shared" si="14"/>
        <v>24</v>
      </c>
      <c r="P26" s="505">
        <f t="shared" si="14"/>
        <v>13</v>
      </c>
      <c r="Q26" s="505">
        <f t="shared" si="14"/>
        <v>12</v>
      </c>
      <c r="R26" s="505">
        <f t="shared" si="14"/>
        <v>8</v>
      </c>
      <c r="S26" s="505">
        <f t="shared" si="14"/>
        <v>8</v>
      </c>
      <c r="T26" s="505">
        <f t="shared" si="14"/>
        <v>3</v>
      </c>
      <c r="U26" s="505">
        <f t="shared" si="14"/>
        <v>7</v>
      </c>
      <c r="V26" s="505">
        <f t="shared" si="14"/>
        <v>7</v>
      </c>
      <c r="W26" s="505">
        <f t="shared" si="14"/>
        <v>17</v>
      </c>
      <c r="X26" s="505">
        <f t="shared" si="14"/>
        <v>11</v>
      </c>
      <c r="Y26" s="505">
        <f t="shared" si="14"/>
        <v>14</v>
      </c>
      <c r="Z26" s="505">
        <f t="shared" si="14"/>
        <v>10</v>
      </c>
      <c r="AA26" s="505">
        <f t="shared" si="14"/>
        <v>9</v>
      </c>
      <c r="AB26" s="505">
        <f t="shared" si="14"/>
        <v>9</v>
      </c>
      <c r="AC26" s="505">
        <f t="shared" si="14"/>
        <v>12</v>
      </c>
      <c r="AD26" s="505">
        <f t="shared" si="14"/>
        <v>1</v>
      </c>
      <c r="AE26" s="505">
        <f t="shared" si="14"/>
        <v>12</v>
      </c>
      <c r="AF26" s="505">
        <f t="shared" si="14"/>
        <v>7</v>
      </c>
      <c r="AG26" s="524">
        <f t="shared" si="12"/>
        <v>1041</v>
      </c>
      <c r="AH26" s="525">
        <f>SUM(AH23:AH25)</f>
        <v>1</v>
      </c>
    </row>
    <row r="27">
      <c r="A27" s="508" t="s">
        <v>807</v>
      </c>
      <c r="B27" s="509"/>
      <c r="C27" s="509"/>
      <c r="D27" s="509"/>
      <c r="E27" s="509"/>
      <c r="F27" s="509"/>
      <c r="G27" s="509"/>
      <c r="H27" s="509"/>
      <c r="I27" s="509"/>
      <c r="J27" s="509"/>
      <c r="K27" s="509"/>
      <c r="L27" s="509"/>
      <c r="M27" s="509"/>
      <c r="N27" s="509"/>
      <c r="O27" s="509"/>
      <c r="P27" s="509"/>
      <c r="Q27" s="509"/>
      <c r="R27" s="509"/>
      <c r="S27" s="509"/>
      <c r="T27" s="509"/>
      <c r="U27" s="509"/>
      <c r="V27" s="509"/>
      <c r="W27" s="509"/>
      <c r="X27" s="509"/>
      <c r="Y27" s="509"/>
      <c r="Z27" s="509"/>
      <c r="AA27" s="509"/>
      <c r="AB27" s="509"/>
      <c r="AC27" s="509"/>
      <c r="AD27" s="509"/>
      <c r="AE27" s="509"/>
      <c r="AF27" s="509"/>
      <c r="AG27" s="526"/>
      <c r="AH27" s="527"/>
    </row>
    <row r="28">
      <c r="A28" s="512" t="s">
        <v>779</v>
      </c>
      <c r="B28" s="513">
        <f t="shared" ref="B28:AF28" si="15">iferror(B23/B$26,"")</f>
        <v>0.6900958466</v>
      </c>
      <c r="C28" s="513">
        <f t="shared" si="15"/>
        <v>0.7236842105</v>
      </c>
      <c r="D28" s="513">
        <f t="shared" si="15"/>
        <v>0.7564102564</v>
      </c>
      <c r="E28" s="513">
        <f t="shared" si="15"/>
        <v>0.8214285714</v>
      </c>
      <c r="F28" s="513">
        <f t="shared" si="15"/>
        <v>0.8444444444</v>
      </c>
      <c r="G28" s="513">
        <f t="shared" si="15"/>
        <v>0.7894736842</v>
      </c>
      <c r="H28" s="513">
        <f t="shared" si="15"/>
        <v>0.75</v>
      </c>
      <c r="I28" s="513">
        <f t="shared" si="15"/>
        <v>0.8333333333</v>
      </c>
      <c r="J28" s="513">
        <f t="shared" si="15"/>
        <v>0.7727272727</v>
      </c>
      <c r="K28" s="513">
        <f t="shared" si="15"/>
        <v>0.8085106383</v>
      </c>
      <c r="L28" s="513">
        <f t="shared" si="15"/>
        <v>0.71875</v>
      </c>
      <c r="M28" s="513">
        <f t="shared" si="15"/>
        <v>0.8333333333</v>
      </c>
      <c r="N28" s="513">
        <f t="shared" si="15"/>
        <v>0.7857142857</v>
      </c>
      <c r="O28" s="513">
        <f t="shared" si="15"/>
        <v>0.625</v>
      </c>
      <c r="P28" s="513">
        <f t="shared" si="15"/>
        <v>0.9230769231</v>
      </c>
      <c r="Q28" s="513">
        <f t="shared" si="15"/>
        <v>0.6666666667</v>
      </c>
      <c r="R28" s="513">
        <f t="shared" si="15"/>
        <v>0.5</v>
      </c>
      <c r="S28" s="513">
        <f t="shared" si="15"/>
        <v>0.75</v>
      </c>
      <c r="T28" s="513">
        <f t="shared" si="15"/>
        <v>1</v>
      </c>
      <c r="U28" s="513">
        <f t="shared" si="15"/>
        <v>0.7142857143</v>
      </c>
      <c r="V28" s="513">
        <f t="shared" si="15"/>
        <v>0.5714285714</v>
      </c>
      <c r="W28" s="513">
        <f t="shared" si="15"/>
        <v>0.7058823529</v>
      </c>
      <c r="X28" s="513">
        <f t="shared" si="15"/>
        <v>0.3636363636</v>
      </c>
      <c r="Y28" s="513">
        <f t="shared" si="15"/>
        <v>0.7857142857</v>
      </c>
      <c r="Z28" s="513">
        <f t="shared" si="15"/>
        <v>0.5</v>
      </c>
      <c r="AA28" s="513">
        <f t="shared" si="15"/>
        <v>0.7777777778</v>
      </c>
      <c r="AB28" s="513">
        <f t="shared" si="15"/>
        <v>0.6666666667</v>
      </c>
      <c r="AC28" s="513">
        <f t="shared" si="15"/>
        <v>0.9166666667</v>
      </c>
      <c r="AD28" s="513">
        <f t="shared" si="15"/>
        <v>1</v>
      </c>
      <c r="AE28" s="513">
        <f t="shared" si="15"/>
        <v>0.6666666667</v>
      </c>
      <c r="AF28" s="513">
        <f t="shared" si="15"/>
        <v>0.8571428571</v>
      </c>
      <c r="AG28" s="510"/>
      <c r="AH28" s="511"/>
    </row>
    <row r="29">
      <c r="A29" s="512" t="s">
        <v>780</v>
      </c>
      <c r="B29" s="513">
        <f t="shared" ref="B29:AF29" si="16">iferror(B24/B$26,"")</f>
        <v>0.05750798722</v>
      </c>
      <c r="C29" s="513">
        <f t="shared" si="16"/>
        <v>0.09210526316</v>
      </c>
      <c r="D29" s="513">
        <f t="shared" si="16"/>
        <v>0.07692307692</v>
      </c>
      <c r="E29" s="513">
        <f t="shared" si="16"/>
        <v>0.07142857143</v>
      </c>
      <c r="F29" s="513">
        <f t="shared" si="16"/>
        <v>0.08888888889</v>
      </c>
      <c r="G29" s="513">
        <f t="shared" si="16"/>
        <v>0.1315789474</v>
      </c>
      <c r="H29" s="513">
        <f t="shared" si="16"/>
        <v>0.0625</v>
      </c>
      <c r="I29" s="513">
        <f t="shared" si="16"/>
        <v>0.1111111111</v>
      </c>
      <c r="J29" s="513">
        <f t="shared" si="16"/>
        <v>0.09090909091</v>
      </c>
      <c r="K29" s="513">
        <f t="shared" si="16"/>
        <v>0.08510638298</v>
      </c>
      <c r="L29" s="513">
        <f t="shared" si="16"/>
        <v>0.15625</v>
      </c>
      <c r="M29" s="513">
        <f t="shared" si="16"/>
        <v>0</v>
      </c>
      <c r="N29" s="513">
        <f t="shared" si="16"/>
        <v>0.07142857143</v>
      </c>
      <c r="O29" s="513">
        <f t="shared" si="16"/>
        <v>0.2083333333</v>
      </c>
      <c r="P29" s="513">
        <f t="shared" si="16"/>
        <v>0</v>
      </c>
      <c r="Q29" s="513">
        <f t="shared" si="16"/>
        <v>0.08333333333</v>
      </c>
      <c r="R29" s="513">
        <f t="shared" si="16"/>
        <v>0.25</v>
      </c>
      <c r="S29" s="513">
        <f t="shared" si="16"/>
        <v>0.125</v>
      </c>
      <c r="T29" s="513">
        <f t="shared" si="16"/>
        <v>0</v>
      </c>
      <c r="U29" s="513">
        <f t="shared" si="16"/>
        <v>0.1428571429</v>
      </c>
      <c r="V29" s="513">
        <f t="shared" si="16"/>
        <v>0.4285714286</v>
      </c>
      <c r="W29" s="513">
        <f t="shared" si="16"/>
        <v>0.1176470588</v>
      </c>
      <c r="X29" s="513">
        <f t="shared" si="16"/>
        <v>0.2727272727</v>
      </c>
      <c r="Y29" s="513">
        <f t="shared" si="16"/>
        <v>0.2142857143</v>
      </c>
      <c r="Z29" s="513">
        <f t="shared" si="16"/>
        <v>0.2</v>
      </c>
      <c r="AA29" s="513">
        <f t="shared" si="16"/>
        <v>0</v>
      </c>
      <c r="AB29" s="513">
        <f t="shared" si="16"/>
        <v>0.3333333333</v>
      </c>
      <c r="AC29" s="513">
        <f t="shared" si="16"/>
        <v>0.08333333333</v>
      </c>
      <c r="AD29" s="513">
        <f t="shared" si="16"/>
        <v>0</v>
      </c>
      <c r="AE29" s="513">
        <f t="shared" si="16"/>
        <v>0.1666666667</v>
      </c>
      <c r="AF29" s="513">
        <f t="shared" si="16"/>
        <v>0.1428571429</v>
      </c>
      <c r="AG29" s="528"/>
      <c r="AH29" s="511"/>
    </row>
    <row r="30">
      <c r="A30" s="473" t="s">
        <v>781</v>
      </c>
      <c r="B30" s="513">
        <f t="shared" ref="B30:AF30" si="17">iferror(B25/B$26,"")</f>
        <v>0.2523961661</v>
      </c>
      <c r="C30" s="513">
        <f t="shared" si="17"/>
        <v>0.1842105263</v>
      </c>
      <c r="D30" s="513">
        <f t="shared" si="17"/>
        <v>0.1666666667</v>
      </c>
      <c r="E30" s="513">
        <f t="shared" si="17"/>
        <v>0.1071428571</v>
      </c>
      <c r="F30" s="513">
        <f t="shared" si="17"/>
        <v>0.06666666667</v>
      </c>
      <c r="G30" s="513">
        <f t="shared" si="17"/>
        <v>0.07894736842</v>
      </c>
      <c r="H30" s="513">
        <f t="shared" si="17"/>
        <v>0.1875</v>
      </c>
      <c r="I30" s="513">
        <f t="shared" si="17"/>
        <v>0.05555555556</v>
      </c>
      <c r="J30" s="513">
        <f t="shared" si="17"/>
        <v>0.1363636364</v>
      </c>
      <c r="K30" s="513">
        <f t="shared" si="17"/>
        <v>0.1063829787</v>
      </c>
      <c r="L30" s="513">
        <f t="shared" si="17"/>
        <v>0.125</v>
      </c>
      <c r="M30" s="513">
        <f t="shared" si="17"/>
        <v>0.1666666667</v>
      </c>
      <c r="N30" s="513">
        <f t="shared" si="17"/>
        <v>0.1428571429</v>
      </c>
      <c r="O30" s="513">
        <f t="shared" si="17"/>
        <v>0.1666666667</v>
      </c>
      <c r="P30" s="513">
        <f t="shared" si="17"/>
        <v>0.07692307692</v>
      </c>
      <c r="Q30" s="513">
        <f t="shared" si="17"/>
        <v>0.25</v>
      </c>
      <c r="R30" s="513">
        <f t="shared" si="17"/>
        <v>0.25</v>
      </c>
      <c r="S30" s="513">
        <f t="shared" si="17"/>
        <v>0.125</v>
      </c>
      <c r="T30" s="513">
        <f t="shared" si="17"/>
        <v>0</v>
      </c>
      <c r="U30" s="513">
        <f t="shared" si="17"/>
        <v>0.1428571429</v>
      </c>
      <c r="V30" s="513">
        <f t="shared" si="17"/>
        <v>0</v>
      </c>
      <c r="W30" s="513">
        <f t="shared" si="17"/>
        <v>0.1764705882</v>
      </c>
      <c r="X30" s="513">
        <f t="shared" si="17"/>
        <v>0.3636363636</v>
      </c>
      <c r="Y30" s="513">
        <f t="shared" si="17"/>
        <v>0</v>
      </c>
      <c r="Z30" s="513">
        <f t="shared" si="17"/>
        <v>0.3</v>
      </c>
      <c r="AA30" s="513">
        <f t="shared" si="17"/>
        <v>0.2222222222</v>
      </c>
      <c r="AB30" s="513">
        <f t="shared" si="17"/>
        <v>0</v>
      </c>
      <c r="AC30" s="513">
        <f t="shared" si="17"/>
        <v>0</v>
      </c>
      <c r="AD30" s="513">
        <f t="shared" si="17"/>
        <v>0</v>
      </c>
      <c r="AE30" s="513">
        <f t="shared" si="17"/>
        <v>0.1666666667</v>
      </c>
      <c r="AF30" s="513">
        <f t="shared" si="17"/>
        <v>0</v>
      </c>
      <c r="AG30" s="528"/>
      <c r="AH30" s="511"/>
    </row>
    <row r="31">
      <c r="B31" s="529"/>
      <c r="C31" s="529"/>
      <c r="D31" s="529"/>
      <c r="E31" s="529"/>
      <c r="F31" s="529"/>
      <c r="G31" s="529"/>
      <c r="H31" s="529"/>
      <c r="I31" s="529"/>
      <c r="J31" s="529"/>
      <c r="K31" s="529"/>
      <c r="L31" s="529"/>
      <c r="M31" s="529"/>
      <c r="N31" s="529"/>
      <c r="O31" s="529"/>
      <c r="P31" s="529"/>
      <c r="Q31" s="529"/>
      <c r="R31" s="529"/>
      <c r="S31" s="529"/>
      <c r="T31" s="529"/>
      <c r="U31" s="529"/>
      <c r="V31" s="529"/>
      <c r="W31" s="529"/>
      <c r="X31" s="529"/>
      <c r="Y31" s="529"/>
      <c r="Z31" s="529"/>
      <c r="AA31" s="529"/>
      <c r="AB31" s="529"/>
      <c r="AC31" s="529"/>
      <c r="AD31" s="529"/>
      <c r="AE31" s="529"/>
      <c r="AF31" s="529"/>
      <c r="AG31" s="528"/>
      <c r="AH31" s="528"/>
    </row>
    <row r="32">
      <c r="A32" s="530"/>
      <c r="B32" s="531"/>
      <c r="C32" s="531"/>
      <c r="D32" s="531"/>
      <c r="E32" s="531"/>
      <c r="F32" s="531"/>
      <c r="G32" s="531"/>
      <c r="H32" s="531"/>
      <c r="I32" s="531"/>
      <c r="J32" s="531"/>
      <c r="K32" s="531"/>
      <c r="L32" s="531"/>
      <c r="M32" s="531"/>
      <c r="N32" s="531"/>
      <c r="O32" s="531"/>
      <c r="P32" s="531"/>
      <c r="Q32" s="531"/>
      <c r="R32" s="531"/>
      <c r="S32" s="531"/>
      <c r="T32" s="531"/>
      <c r="U32" s="531"/>
      <c r="V32" s="531"/>
      <c r="W32" s="531"/>
      <c r="X32" s="531"/>
      <c r="Y32" s="531"/>
      <c r="Z32" s="531"/>
      <c r="AA32" s="531"/>
      <c r="AB32" s="531"/>
      <c r="AC32" s="531"/>
      <c r="AD32" s="531"/>
      <c r="AE32" s="531"/>
      <c r="AF32" s="531"/>
      <c r="AG32" s="511"/>
      <c r="AH32" s="511"/>
    </row>
    <row r="33">
      <c r="A33" s="530"/>
      <c r="B33" s="531"/>
      <c r="C33" s="531"/>
      <c r="D33" s="531"/>
      <c r="E33" s="531"/>
      <c r="F33" s="531"/>
      <c r="G33" s="531"/>
      <c r="H33" s="531"/>
      <c r="I33" s="531"/>
      <c r="J33" s="531"/>
      <c r="K33" s="531"/>
      <c r="L33" s="531"/>
      <c r="M33" s="531"/>
      <c r="N33" s="531"/>
      <c r="O33" s="531"/>
      <c r="P33" s="531"/>
      <c r="Q33" s="531"/>
      <c r="R33" s="531"/>
      <c r="S33" s="531"/>
      <c r="T33" s="531"/>
      <c r="U33" s="531"/>
      <c r="V33" s="531"/>
      <c r="W33" s="531"/>
      <c r="X33" s="531"/>
      <c r="Y33" s="531"/>
      <c r="Z33" s="531"/>
      <c r="AA33" s="531"/>
      <c r="AB33" s="531"/>
      <c r="AC33" s="531"/>
      <c r="AD33" s="531"/>
      <c r="AE33" s="531"/>
      <c r="AF33" s="531"/>
      <c r="AG33" s="511"/>
      <c r="AH33" s="511"/>
    </row>
    <row r="34">
      <c r="B34" s="529"/>
      <c r="C34" s="529"/>
      <c r="D34" s="529"/>
      <c r="E34" s="529"/>
      <c r="F34" s="529"/>
      <c r="G34" s="529"/>
      <c r="H34" s="529"/>
      <c r="I34" s="529"/>
      <c r="J34" s="529"/>
      <c r="K34" s="529"/>
      <c r="L34" s="529"/>
      <c r="M34" s="529"/>
      <c r="N34" s="529"/>
      <c r="O34" s="529"/>
      <c r="P34" s="529"/>
      <c r="Q34" s="529"/>
      <c r="R34" s="529"/>
      <c r="S34" s="529"/>
      <c r="T34" s="529"/>
      <c r="U34" s="529"/>
      <c r="V34" s="529"/>
      <c r="W34" s="529"/>
      <c r="X34" s="529"/>
      <c r="Y34" s="529"/>
      <c r="Z34" s="529"/>
      <c r="AA34" s="529"/>
      <c r="AB34" s="529"/>
      <c r="AC34" s="529"/>
      <c r="AD34" s="529"/>
      <c r="AE34" s="529"/>
      <c r="AF34" s="529"/>
      <c r="AG34" s="528"/>
      <c r="AH34" s="528"/>
    </row>
    <row r="35">
      <c r="A35" s="532" t="s">
        <v>788</v>
      </c>
      <c r="B35" s="533"/>
      <c r="C35" s="533"/>
      <c r="D35" s="533"/>
      <c r="E35" s="533"/>
      <c r="F35" s="533"/>
      <c r="G35" s="533"/>
      <c r="H35" s="533"/>
      <c r="I35" s="533"/>
      <c r="J35" s="533"/>
      <c r="K35" s="533"/>
      <c r="L35" s="533"/>
      <c r="M35" s="533"/>
      <c r="N35" s="533"/>
      <c r="O35" s="533"/>
      <c r="P35" s="533"/>
      <c r="Q35" s="533"/>
      <c r="R35" s="533"/>
      <c r="S35" s="533"/>
      <c r="T35" s="533"/>
      <c r="U35" s="533"/>
      <c r="V35" s="533"/>
      <c r="W35" s="533"/>
      <c r="X35" s="533"/>
      <c r="Y35" s="533"/>
      <c r="Z35" s="533"/>
      <c r="AA35" s="533"/>
      <c r="AB35" s="533"/>
      <c r="AC35" s="533"/>
      <c r="AD35" s="533"/>
      <c r="AE35" s="533"/>
      <c r="AF35" s="533"/>
      <c r="AG35" s="511"/>
      <c r="AH35" s="511"/>
    </row>
    <row r="36" collapsed="1">
      <c r="A36" s="502" t="s">
        <v>789</v>
      </c>
      <c r="B36" s="498">
        <f t="shared" ref="B36:AF36" si="18">B41</f>
        <v>386</v>
      </c>
      <c r="C36" s="498">
        <f t="shared" si="18"/>
        <v>76</v>
      </c>
      <c r="D36" s="498">
        <f t="shared" si="18"/>
        <v>54</v>
      </c>
      <c r="E36" s="498">
        <f t="shared" si="18"/>
        <v>55</v>
      </c>
      <c r="F36" s="498">
        <f t="shared" si="18"/>
        <v>30</v>
      </c>
      <c r="G36" s="498">
        <f t="shared" si="18"/>
        <v>43</v>
      </c>
      <c r="H36" s="498">
        <f t="shared" si="18"/>
        <v>30</v>
      </c>
      <c r="I36" s="498">
        <f t="shared" si="18"/>
        <v>35</v>
      </c>
      <c r="J36" s="498">
        <f t="shared" si="18"/>
        <v>31</v>
      </c>
      <c r="K36" s="498">
        <f t="shared" si="18"/>
        <v>55</v>
      </c>
      <c r="L36" s="498">
        <f t="shared" si="18"/>
        <v>24</v>
      </c>
      <c r="M36" s="498">
        <f t="shared" si="18"/>
        <v>21</v>
      </c>
      <c r="N36" s="498">
        <f t="shared" si="18"/>
        <v>16</v>
      </c>
      <c r="O36" s="498">
        <f t="shared" si="18"/>
        <v>14</v>
      </c>
      <c r="P36" s="498">
        <f t="shared" si="18"/>
        <v>11</v>
      </c>
      <c r="Q36" s="498">
        <f t="shared" si="18"/>
        <v>21</v>
      </c>
      <c r="R36" s="498">
        <f t="shared" si="18"/>
        <v>18</v>
      </c>
      <c r="S36" s="498">
        <f t="shared" si="18"/>
        <v>12</v>
      </c>
      <c r="T36" s="498">
        <f t="shared" si="18"/>
        <v>11</v>
      </c>
      <c r="U36" s="498">
        <f t="shared" si="18"/>
        <v>16</v>
      </c>
      <c r="V36" s="498">
        <f t="shared" si="18"/>
        <v>11</v>
      </c>
      <c r="W36" s="498">
        <f t="shared" si="18"/>
        <v>10</v>
      </c>
      <c r="X36" s="498">
        <f t="shared" si="18"/>
        <v>14</v>
      </c>
      <c r="Y36" s="498">
        <f t="shared" si="18"/>
        <v>19</v>
      </c>
      <c r="Z36" s="498">
        <f t="shared" si="18"/>
        <v>12</v>
      </c>
      <c r="AA36" s="498">
        <f t="shared" si="18"/>
        <v>14</v>
      </c>
      <c r="AB36" s="498">
        <f t="shared" si="18"/>
        <v>13</v>
      </c>
      <c r="AC36" s="498">
        <f t="shared" si="18"/>
        <v>18</v>
      </c>
      <c r="AD36" s="498">
        <f t="shared" si="18"/>
        <v>7</v>
      </c>
      <c r="AE36" s="498">
        <f t="shared" si="18"/>
        <v>18</v>
      </c>
      <c r="AF36" s="498">
        <f t="shared" si="18"/>
        <v>12</v>
      </c>
      <c r="AG36" s="500"/>
      <c r="AH36" s="534"/>
    </row>
    <row r="37" hidden="1" outlineLevel="1">
      <c r="A37" s="535" t="s">
        <v>808</v>
      </c>
      <c r="B37" s="536"/>
      <c r="C37" s="536"/>
      <c r="D37" s="536"/>
      <c r="E37" s="536"/>
      <c r="F37" s="536"/>
      <c r="G37" s="536"/>
      <c r="H37" s="536"/>
      <c r="I37" s="536"/>
      <c r="J37" s="536"/>
      <c r="K37" s="536"/>
      <c r="L37" s="536"/>
      <c r="M37" s="536"/>
      <c r="N37" s="537"/>
      <c r="O37" s="537"/>
      <c r="P37" s="537"/>
      <c r="Q37" s="537"/>
      <c r="R37" s="537"/>
      <c r="S37" s="537"/>
      <c r="T37" s="538"/>
      <c r="U37" s="539"/>
      <c r="V37" s="539"/>
      <c r="W37" s="539"/>
      <c r="X37" s="539"/>
      <c r="Y37" s="538"/>
      <c r="Z37" s="538"/>
      <c r="AA37" s="538"/>
      <c r="AB37" s="538"/>
      <c r="AC37" s="538"/>
      <c r="AD37" s="538"/>
      <c r="AE37" s="538"/>
      <c r="AF37" s="538"/>
      <c r="AG37" s="500"/>
      <c r="AH37" s="534"/>
    </row>
    <row r="38" hidden="1" outlineLevel="1">
      <c r="A38" s="502" t="s">
        <v>809</v>
      </c>
      <c r="B38" s="497">
        <v>251.0</v>
      </c>
      <c r="C38" s="497">
        <v>47.0</v>
      </c>
      <c r="D38" s="497">
        <v>37.0</v>
      </c>
      <c r="E38" s="497">
        <v>39.0</v>
      </c>
      <c r="F38" s="497">
        <v>18.0</v>
      </c>
      <c r="G38" s="497">
        <v>31.0</v>
      </c>
      <c r="H38" s="497">
        <v>18.0</v>
      </c>
      <c r="I38" s="497">
        <v>20.0</v>
      </c>
      <c r="J38" s="497">
        <v>23.0</v>
      </c>
      <c r="K38" s="497">
        <v>32.0</v>
      </c>
      <c r="L38" s="497">
        <v>18.0</v>
      </c>
      <c r="M38" s="497">
        <v>14.0</v>
      </c>
      <c r="N38" s="498">
        <v>8.0</v>
      </c>
      <c r="O38" s="498">
        <v>10.0</v>
      </c>
      <c r="P38" s="497">
        <v>7.0</v>
      </c>
      <c r="Q38" s="498">
        <v>18.0</v>
      </c>
      <c r="R38" s="498">
        <v>15.0</v>
      </c>
      <c r="S38" s="498">
        <v>7.0</v>
      </c>
      <c r="T38" s="498">
        <v>7.0</v>
      </c>
      <c r="U38" s="497">
        <v>12.0</v>
      </c>
      <c r="V38" s="497">
        <v>8.0</v>
      </c>
      <c r="W38" s="497">
        <v>6.0</v>
      </c>
      <c r="X38" s="497">
        <v>12.0</v>
      </c>
      <c r="Y38" s="498">
        <v>14.0</v>
      </c>
      <c r="Z38" s="498">
        <v>4.0</v>
      </c>
      <c r="AA38" s="498">
        <v>12.0</v>
      </c>
      <c r="AB38" s="498">
        <v>10.0</v>
      </c>
      <c r="AC38" s="498">
        <v>12.0</v>
      </c>
      <c r="AD38" s="498">
        <v>4.0</v>
      </c>
      <c r="AE38" s="498">
        <v>11.0</v>
      </c>
      <c r="AF38" s="498">
        <v>8.0</v>
      </c>
      <c r="AG38" s="500">
        <f t="shared" ref="AG38:AG41" si="19">SUM(B38:AF38)</f>
        <v>733</v>
      </c>
      <c r="AH38" s="501">
        <f t="shared" ref="AH38:AH40" si="20">iferror(AG38/AG$41,"")</f>
        <v>0.6621499548</v>
      </c>
    </row>
    <row r="39" hidden="1" outlineLevel="1">
      <c r="A39" s="502" t="s">
        <v>810</v>
      </c>
      <c r="B39" s="497">
        <v>119.0</v>
      </c>
      <c r="C39" s="497">
        <v>24.0</v>
      </c>
      <c r="D39" s="497">
        <v>16.0</v>
      </c>
      <c r="E39" s="497">
        <v>9.0</v>
      </c>
      <c r="F39" s="497">
        <v>10.0</v>
      </c>
      <c r="G39" s="497">
        <v>11.0</v>
      </c>
      <c r="H39" s="497">
        <v>11.0</v>
      </c>
      <c r="I39" s="497">
        <v>12.0</v>
      </c>
      <c r="J39" s="497">
        <v>8.0</v>
      </c>
      <c r="K39" s="497">
        <v>16.0</v>
      </c>
      <c r="L39" s="497">
        <v>5.0</v>
      </c>
      <c r="M39" s="497">
        <v>7.0</v>
      </c>
      <c r="N39" s="498">
        <v>7.0</v>
      </c>
      <c r="O39" s="498">
        <v>3.0</v>
      </c>
      <c r="P39" s="497">
        <v>2.0</v>
      </c>
      <c r="Q39" s="498">
        <v>2.0</v>
      </c>
      <c r="R39" s="498">
        <v>3.0</v>
      </c>
      <c r="S39" s="498">
        <v>5.0</v>
      </c>
      <c r="T39" s="498">
        <v>3.0</v>
      </c>
      <c r="U39" s="497">
        <v>4.0</v>
      </c>
      <c r="V39" s="497">
        <v>2.0</v>
      </c>
      <c r="W39" s="497">
        <v>3.0</v>
      </c>
      <c r="X39" s="497">
        <v>1.0</v>
      </c>
      <c r="Y39" s="498">
        <v>4.0</v>
      </c>
      <c r="Z39" s="498">
        <v>8.0</v>
      </c>
      <c r="AA39" s="498">
        <v>2.0</v>
      </c>
      <c r="AB39" s="498">
        <v>3.0</v>
      </c>
      <c r="AC39" s="498">
        <v>5.0</v>
      </c>
      <c r="AD39" s="498">
        <v>2.0</v>
      </c>
      <c r="AE39" s="498">
        <v>5.0</v>
      </c>
      <c r="AF39" s="498">
        <v>4.0</v>
      </c>
      <c r="AG39" s="500">
        <f t="shared" si="19"/>
        <v>316</v>
      </c>
      <c r="AH39" s="501">
        <f t="shared" si="20"/>
        <v>0.2854561879</v>
      </c>
    </row>
    <row r="40" hidden="1" outlineLevel="1">
      <c r="A40" s="502" t="s">
        <v>811</v>
      </c>
      <c r="B40" s="497">
        <v>16.0</v>
      </c>
      <c r="C40" s="497">
        <v>5.0</v>
      </c>
      <c r="D40" s="497">
        <v>1.0</v>
      </c>
      <c r="E40" s="497">
        <v>7.0</v>
      </c>
      <c r="F40" s="497">
        <v>2.0</v>
      </c>
      <c r="G40" s="497">
        <v>1.0</v>
      </c>
      <c r="H40" s="497">
        <v>1.0</v>
      </c>
      <c r="I40" s="497">
        <v>3.0</v>
      </c>
      <c r="J40" s="497">
        <v>0.0</v>
      </c>
      <c r="K40" s="497">
        <v>7.0</v>
      </c>
      <c r="L40" s="497">
        <v>1.0</v>
      </c>
      <c r="M40" s="497">
        <v>0.0</v>
      </c>
      <c r="N40" s="498">
        <v>1.0</v>
      </c>
      <c r="O40" s="498">
        <v>1.0</v>
      </c>
      <c r="P40" s="497">
        <v>2.0</v>
      </c>
      <c r="Q40" s="498">
        <v>1.0</v>
      </c>
      <c r="R40" s="498">
        <v>0.0</v>
      </c>
      <c r="S40" s="498">
        <v>0.0</v>
      </c>
      <c r="T40" s="498">
        <v>1.0</v>
      </c>
      <c r="U40" s="497">
        <v>0.0</v>
      </c>
      <c r="V40" s="497">
        <v>1.0</v>
      </c>
      <c r="W40" s="497">
        <v>1.0</v>
      </c>
      <c r="X40" s="497">
        <v>1.0</v>
      </c>
      <c r="Y40" s="498">
        <v>1.0</v>
      </c>
      <c r="Z40" s="498">
        <v>0.0</v>
      </c>
      <c r="AA40" s="498">
        <v>0.0</v>
      </c>
      <c r="AB40" s="498">
        <v>0.0</v>
      </c>
      <c r="AC40" s="498">
        <v>1.0</v>
      </c>
      <c r="AD40" s="498">
        <v>1.0</v>
      </c>
      <c r="AE40" s="498">
        <v>2.0</v>
      </c>
      <c r="AF40" s="498">
        <v>0.0</v>
      </c>
      <c r="AG40" s="500">
        <f t="shared" si="19"/>
        <v>58</v>
      </c>
      <c r="AH40" s="501">
        <f t="shared" si="20"/>
        <v>0.05239385727</v>
      </c>
    </row>
    <row r="41" hidden="1" outlineLevel="1">
      <c r="A41" s="540" t="s">
        <v>804</v>
      </c>
      <c r="B41" s="536">
        <f t="shared" ref="B41:AF41" si="21">SUM(B38:B40)</f>
        <v>386</v>
      </c>
      <c r="C41" s="536">
        <f t="shared" si="21"/>
        <v>76</v>
      </c>
      <c r="D41" s="536">
        <f t="shared" si="21"/>
        <v>54</v>
      </c>
      <c r="E41" s="536">
        <f t="shared" si="21"/>
        <v>55</v>
      </c>
      <c r="F41" s="536">
        <f t="shared" si="21"/>
        <v>30</v>
      </c>
      <c r="G41" s="536">
        <f t="shared" si="21"/>
        <v>43</v>
      </c>
      <c r="H41" s="536">
        <f t="shared" si="21"/>
        <v>30</v>
      </c>
      <c r="I41" s="536">
        <f t="shared" si="21"/>
        <v>35</v>
      </c>
      <c r="J41" s="536">
        <f t="shared" si="21"/>
        <v>31</v>
      </c>
      <c r="K41" s="536">
        <f t="shared" si="21"/>
        <v>55</v>
      </c>
      <c r="L41" s="536">
        <f t="shared" si="21"/>
        <v>24</v>
      </c>
      <c r="M41" s="536">
        <f t="shared" si="21"/>
        <v>21</v>
      </c>
      <c r="N41" s="536">
        <f t="shared" si="21"/>
        <v>16</v>
      </c>
      <c r="O41" s="536">
        <f t="shared" si="21"/>
        <v>14</v>
      </c>
      <c r="P41" s="536">
        <f t="shared" si="21"/>
        <v>11</v>
      </c>
      <c r="Q41" s="536">
        <f t="shared" si="21"/>
        <v>21</v>
      </c>
      <c r="R41" s="536">
        <f t="shared" si="21"/>
        <v>18</v>
      </c>
      <c r="S41" s="536">
        <f t="shared" si="21"/>
        <v>12</v>
      </c>
      <c r="T41" s="536">
        <f t="shared" si="21"/>
        <v>11</v>
      </c>
      <c r="U41" s="536">
        <f t="shared" si="21"/>
        <v>16</v>
      </c>
      <c r="V41" s="536">
        <f t="shared" si="21"/>
        <v>11</v>
      </c>
      <c r="W41" s="536">
        <f t="shared" si="21"/>
        <v>10</v>
      </c>
      <c r="X41" s="536">
        <f t="shared" si="21"/>
        <v>14</v>
      </c>
      <c r="Y41" s="536">
        <f t="shared" si="21"/>
        <v>19</v>
      </c>
      <c r="Z41" s="536">
        <f t="shared" si="21"/>
        <v>12</v>
      </c>
      <c r="AA41" s="536">
        <f t="shared" si="21"/>
        <v>14</v>
      </c>
      <c r="AB41" s="536">
        <f t="shared" si="21"/>
        <v>13</v>
      </c>
      <c r="AC41" s="536">
        <f t="shared" si="21"/>
        <v>18</v>
      </c>
      <c r="AD41" s="536">
        <f t="shared" si="21"/>
        <v>7</v>
      </c>
      <c r="AE41" s="536">
        <f t="shared" si="21"/>
        <v>18</v>
      </c>
      <c r="AF41" s="536">
        <f t="shared" si="21"/>
        <v>12</v>
      </c>
      <c r="AG41" s="541">
        <f t="shared" si="19"/>
        <v>1107</v>
      </c>
      <c r="AH41" s="507">
        <f>SUM(AH38:AH40)</f>
        <v>1</v>
      </c>
    </row>
    <row r="42" collapsed="1">
      <c r="A42" s="522" t="s">
        <v>798</v>
      </c>
      <c r="B42" s="498">
        <f t="shared" ref="B42:AF42" si="22">B47</f>
        <v>443</v>
      </c>
      <c r="C42" s="498">
        <f t="shared" si="22"/>
        <v>100</v>
      </c>
      <c r="D42" s="498">
        <f t="shared" si="22"/>
        <v>71</v>
      </c>
      <c r="E42" s="498">
        <f t="shared" si="22"/>
        <v>63</v>
      </c>
      <c r="F42" s="498">
        <f t="shared" si="22"/>
        <v>61</v>
      </c>
      <c r="G42" s="498">
        <f t="shared" si="22"/>
        <v>38</v>
      </c>
      <c r="H42" s="498">
        <f t="shared" si="22"/>
        <v>40</v>
      </c>
      <c r="I42" s="498">
        <f t="shared" si="22"/>
        <v>31</v>
      </c>
      <c r="J42" s="498">
        <f t="shared" si="22"/>
        <v>62</v>
      </c>
      <c r="K42" s="498">
        <f t="shared" si="22"/>
        <v>47</v>
      </c>
      <c r="L42" s="498">
        <f t="shared" si="22"/>
        <v>30</v>
      </c>
      <c r="M42" s="498">
        <f t="shared" si="22"/>
        <v>21</v>
      </c>
      <c r="N42" s="498">
        <f t="shared" si="22"/>
        <v>19</v>
      </c>
      <c r="O42" s="498">
        <f t="shared" si="22"/>
        <v>19</v>
      </c>
      <c r="P42" s="498">
        <f t="shared" si="22"/>
        <v>13</v>
      </c>
      <c r="Q42" s="498">
        <f t="shared" si="22"/>
        <v>23</v>
      </c>
      <c r="R42" s="498">
        <f t="shared" si="22"/>
        <v>13</v>
      </c>
      <c r="S42" s="498">
        <f t="shared" si="22"/>
        <v>17</v>
      </c>
      <c r="T42" s="498">
        <f t="shared" si="22"/>
        <v>9</v>
      </c>
      <c r="U42" s="498">
        <f t="shared" si="22"/>
        <v>19</v>
      </c>
      <c r="V42" s="498">
        <f t="shared" si="22"/>
        <v>15</v>
      </c>
      <c r="W42" s="498">
        <f t="shared" si="22"/>
        <v>18</v>
      </c>
      <c r="X42" s="498">
        <f t="shared" si="22"/>
        <v>20</v>
      </c>
      <c r="Y42" s="498">
        <f t="shared" si="22"/>
        <v>23</v>
      </c>
      <c r="Z42" s="498">
        <f t="shared" si="22"/>
        <v>16</v>
      </c>
      <c r="AA42" s="498">
        <f t="shared" si="22"/>
        <v>16</v>
      </c>
      <c r="AB42" s="498">
        <f t="shared" si="22"/>
        <v>15</v>
      </c>
      <c r="AC42" s="498">
        <f t="shared" si="22"/>
        <v>16</v>
      </c>
      <c r="AD42" s="498">
        <f t="shared" si="22"/>
        <v>4</v>
      </c>
      <c r="AE42" s="498">
        <f t="shared" si="22"/>
        <v>13</v>
      </c>
      <c r="AF42" s="498">
        <f t="shared" si="22"/>
        <v>17</v>
      </c>
      <c r="AG42" s="500"/>
      <c r="AH42" s="534"/>
    </row>
    <row r="43" hidden="1" outlineLevel="1">
      <c r="A43" s="535" t="s">
        <v>808</v>
      </c>
      <c r="B43" s="537"/>
      <c r="C43" s="537"/>
      <c r="D43" s="537"/>
      <c r="E43" s="537"/>
      <c r="F43" s="537"/>
      <c r="G43" s="537"/>
      <c r="H43" s="537"/>
      <c r="I43" s="537"/>
      <c r="J43" s="537"/>
      <c r="K43" s="537"/>
      <c r="L43" s="537"/>
      <c r="M43" s="537"/>
      <c r="N43" s="537"/>
      <c r="O43" s="537"/>
      <c r="P43" s="537"/>
      <c r="Q43" s="537"/>
      <c r="R43" s="537"/>
      <c r="S43" s="537"/>
      <c r="T43" s="538"/>
      <c r="U43" s="538"/>
      <c r="V43" s="538"/>
      <c r="W43" s="538"/>
      <c r="X43" s="538"/>
      <c r="Y43" s="538"/>
      <c r="Z43" s="538"/>
      <c r="AA43" s="542"/>
      <c r="AB43" s="542"/>
      <c r="AC43" s="542"/>
      <c r="AD43" s="542"/>
      <c r="AE43" s="542"/>
      <c r="AF43" s="542"/>
      <c r="AG43" s="543"/>
      <c r="AH43" s="544"/>
    </row>
    <row r="44" hidden="1" outlineLevel="1">
      <c r="A44" s="502" t="s">
        <v>809</v>
      </c>
      <c r="B44" s="498">
        <v>297.0</v>
      </c>
      <c r="C44" s="498">
        <v>56.0</v>
      </c>
      <c r="D44" s="498">
        <v>52.0</v>
      </c>
      <c r="E44" s="498">
        <v>27.0</v>
      </c>
      <c r="F44" s="498">
        <v>38.0</v>
      </c>
      <c r="G44" s="498">
        <v>25.0</v>
      </c>
      <c r="H44" s="498">
        <v>27.0</v>
      </c>
      <c r="I44" s="498">
        <v>20.0</v>
      </c>
      <c r="J44" s="498">
        <v>33.0</v>
      </c>
      <c r="K44" s="498">
        <v>31.0</v>
      </c>
      <c r="L44" s="498">
        <v>18.0</v>
      </c>
      <c r="M44" s="498">
        <v>17.0</v>
      </c>
      <c r="N44" s="498">
        <v>10.0</v>
      </c>
      <c r="O44" s="498">
        <v>14.0</v>
      </c>
      <c r="P44" s="498">
        <v>7.0</v>
      </c>
      <c r="Q44" s="498">
        <v>10.0</v>
      </c>
      <c r="R44" s="498">
        <v>9.0</v>
      </c>
      <c r="S44" s="498">
        <v>13.0</v>
      </c>
      <c r="T44" s="498">
        <v>3.0</v>
      </c>
      <c r="U44" s="498">
        <v>12.0</v>
      </c>
      <c r="V44" s="498">
        <v>8.0</v>
      </c>
      <c r="W44" s="498">
        <v>10.0</v>
      </c>
      <c r="X44" s="498">
        <v>12.0</v>
      </c>
      <c r="Y44" s="498">
        <v>16.0</v>
      </c>
      <c r="Z44" s="498">
        <v>11.0</v>
      </c>
      <c r="AA44" s="498">
        <v>4.0</v>
      </c>
      <c r="AB44" s="498">
        <v>8.0</v>
      </c>
      <c r="AC44" s="498">
        <v>9.0</v>
      </c>
      <c r="AD44" s="498">
        <v>2.0</v>
      </c>
      <c r="AE44" s="498">
        <v>8.0</v>
      </c>
      <c r="AF44" s="498">
        <v>13.0</v>
      </c>
      <c r="AG44" s="500">
        <f t="shared" ref="AG44:AG47" si="23">SUM(B44:AF44)</f>
        <v>820</v>
      </c>
      <c r="AH44" s="501">
        <f t="shared" ref="AH44:AH46" si="24">iferror(AG44/AG$47,"")</f>
        <v>0.625</v>
      </c>
    </row>
    <row r="45" hidden="1" outlineLevel="1">
      <c r="A45" s="502" t="s">
        <v>810</v>
      </c>
      <c r="B45" s="498">
        <v>132.0</v>
      </c>
      <c r="C45" s="498">
        <v>40.0</v>
      </c>
      <c r="D45" s="498">
        <v>18.0</v>
      </c>
      <c r="E45" s="498">
        <v>33.0</v>
      </c>
      <c r="F45" s="498">
        <v>20.0</v>
      </c>
      <c r="G45" s="498">
        <v>12.0</v>
      </c>
      <c r="H45" s="498">
        <v>13.0</v>
      </c>
      <c r="I45" s="498">
        <v>7.0</v>
      </c>
      <c r="J45" s="498">
        <v>24.0</v>
      </c>
      <c r="K45" s="498">
        <v>16.0</v>
      </c>
      <c r="L45" s="498">
        <v>11.0</v>
      </c>
      <c r="M45" s="498">
        <v>2.0</v>
      </c>
      <c r="N45" s="498">
        <v>6.0</v>
      </c>
      <c r="O45" s="498">
        <v>5.0</v>
      </c>
      <c r="P45" s="498">
        <v>4.0</v>
      </c>
      <c r="Q45" s="498">
        <v>12.0</v>
      </c>
      <c r="R45" s="498">
        <v>3.0</v>
      </c>
      <c r="S45" s="498">
        <v>3.0</v>
      </c>
      <c r="T45" s="498">
        <v>6.0</v>
      </c>
      <c r="U45" s="498">
        <v>7.0</v>
      </c>
      <c r="V45" s="498">
        <v>5.0</v>
      </c>
      <c r="W45" s="498">
        <v>6.0</v>
      </c>
      <c r="X45" s="498">
        <v>6.0</v>
      </c>
      <c r="Y45" s="498">
        <v>7.0</v>
      </c>
      <c r="Z45" s="498">
        <v>4.0</v>
      </c>
      <c r="AA45" s="498">
        <v>8.0</v>
      </c>
      <c r="AB45" s="498">
        <v>6.0</v>
      </c>
      <c r="AC45" s="498">
        <v>6.0</v>
      </c>
      <c r="AD45" s="498">
        <v>2.0</v>
      </c>
      <c r="AE45" s="498">
        <v>5.0</v>
      </c>
      <c r="AF45" s="498">
        <v>4.0</v>
      </c>
      <c r="AG45" s="500">
        <f t="shared" si="23"/>
        <v>433</v>
      </c>
      <c r="AH45" s="501">
        <f t="shared" si="24"/>
        <v>0.3300304878</v>
      </c>
    </row>
    <row r="46" hidden="1" outlineLevel="1">
      <c r="A46" s="502" t="s">
        <v>811</v>
      </c>
      <c r="B46" s="498">
        <v>14.0</v>
      </c>
      <c r="C46" s="498">
        <v>4.0</v>
      </c>
      <c r="D46" s="498">
        <v>1.0</v>
      </c>
      <c r="E46" s="498">
        <v>3.0</v>
      </c>
      <c r="F46" s="498">
        <v>3.0</v>
      </c>
      <c r="G46" s="498">
        <v>1.0</v>
      </c>
      <c r="H46" s="498">
        <v>0.0</v>
      </c>
      <c r="I46" s="498">
        <v>4.0</v>
      </c>
      <c r="J46" s="498">
        <v>5.0</v>
      </c>
      <c r="K46" s="498">
        <v>0.0</v>
      </c>
      <c r="L46" s="498">
        <v>1.0</v>
      </c>
      <c r="M46" s="498">
        <v>2.0</v>
      </c>
      <c r="N46" s="498">
        <v>3.0</v>
      </c>
      <c r="O46" s="498">
        <v>0.0</v>
      </c>
      <c r="P46" s="498">
        <v>2.0</v>
      </c>
      <c r="Q46" s="498">
        <v>1.0</v>
      </c>
      <c r="R46" s="498">
        <v>1.0</v>
      </c>
      <c r="S46" s="498">
        <v>1.0</v>
      </c>
      <c r="T46" s="498">
        <v>0.0</v>
      </c>
      <c r="U46" s="498">
        <v>0.0</v>
      </c>
      <c r="V46" s="498">
        <v>2.0</v>
      </c>
      <c r="W46" s="498">
        <v>2.0</v>
      </c>
      <c r="X46" s="498">
        <v>2.0</v>
      </c>
      <c r="Y46" s="498">
        <v>0.0</v>
      </c>
      <c r="Z46" s="498">
        <v>1.0</v>
      </c>
      <c r="AA46" s="498">
        <v>4.0</v>
      </c>
      <c r="AB46" s="498">
        <v>1.0</v>
      </c>
      <c r="AC46" s="498">
        <v>1.0</v>
      </c>
      <c r="AD46" s="498">
        <v>0.0</v>
      </c>
      <c r="AE46" s="498">
        <v>0.0</v>
      </c>
      <c r="AF46" s="498">
        <v>0.0</v>
      </c>
      <c r="AG46" s="500">
        <f t="shared" si="23"/>
        <v>59</v>
      </c>
      <c r="AH46" s="501">
        <f t="shared" si="24"/>
        <v>0.0449695122</v>
      </c>
    </row>
    <row r="47" hidden="1" outlineLevel="1">
      <c r="A47" s="540" t="s">
        <v>804</v>
      </c>
      <c r="B47" s="537">
        <f t="shared" ref="B47:AF47" si="25">SUM(B44:B46)</f>
        <v>443</v>
      </c>
      <c r="C47" s="537">
        <f t="shared" si="25"/>
        <v>100</v>
      </c>
      <c r="D47" s="537">
        <f t="shared" si="25"/>
        <v>71</v>
      </c>
      <c r="E47" s="537">
        <f t="shared" si="25"/>
        <v>63</v>
      </c>
      <c r="F47" s="537">
        <f t="shared" si="25"/>
        <v>61</v>
      </c>
      <c r="G47" s="537">
        <f t="shared" si="25"/>
        <v>38</v>
      </c>
      <c r="H47" s="537">
        <f t="shared" si="25"/>
        <v>40</v>
      </c>
      <c r="I47" s="537">
        <f t="shared" si="25"/>
        <v>31</v>
      </c>
      <c r="J47" s="537">
        <f t="shared" si="25"/>
        <v>62</v>
      </c>
      <c r="K47" s="537">
        <f t="shared" si="25"/>
        <v>47</v>
      </c>
      <c r="L47" s="537">
        <f t="shared" si="25"/>
        <v>30</v>
      </c>
      <c r="M47" s="537">
        <f t="shared" si="25"/>
        <v>21</v>
      </c>
      <c r="N47" s="537">
        <f t="shared" si="25"/>
        <v>19</v>
      </c>
      <c r="O47" s="537">
        <f t="shared" si="25"/>
        <v>19</v>
      </c>
      <c r="P47" s="537">
        <f t="shared" si="25"/>
        <v>13</v>
      </c>
      <c r="Q47" s="537">
        <f t="shared" si="25"/>
        <v>23</v>
      </c>
      <c r="R47" s="537">
        <f t="shared" si="25"/>
        <v>13</v>
      </c>
      <c r="S47" s="537">
        <f t="shared" si="25"/>
        <v>17</v>
      </c>
      <c r="T47" s="537">
        <f t="shared" si="25"/>
        <v>9</v>
      </c>
      <c r="U47" s="537">
        <f t="shared" si="25"/>
        <v>19</v>
      </c>
      <c r="V47" s="537">
        <f t="shared" si="25"/>
        <v>15</v>
      </c>
      <c r="W47" s="537">
        <f t="shared" si="25"/>
        <v>18</v>
      </c>
      <c r="X47" s="537">
        <f t="shared" si="25"/>
        <v>20</v>
      </c>
      <c r="Y47" s="537">
        <f t="shared" si="25"/>
        <v>23</v>
      </c>
      <c r="Z47" s="537">
        <f t="shared" si="25"/>
        <v>16</v>
      </c>
      <c r="AA47" s="537">
        <f t="shared" si="25"/>
        <v>16</v>
      </c>
      <c r="AB47" s="537">
        <f t="shared" si="25"/>
        <v>15</v>
      </c>
      <c r="AC47" s="537">
        <f t="shared" si="25"/>
        <v>16</v>
      </c>
      <c r="AD47" s="537">
        <f t="shared" si="25"/>
        <v>4</v>
      </c>
      <c r="AE47" s="537">
        <f t="shared" si="25"/>
        <v>13</v>
      </c>
      <c r="AF47" s="537">
        <f t="shared" si="25"/>
        <v>17</v>
      </c>
      <c r="AG47" s="541">
        <f t="shared" si="23"/>
        <v>1312</v>
      </c>
      <c r="AH47" s="507">
        <f>SUM(AH44:AH46)</f>
        <v>1</v>
      </c>
    </row>
    <row r="48" collapsed="1">
      <c r="A48" s="522" t="s">
        <v>799</v>
      </c>
      <c r="B48" s="545">
        <f t="shared" ref="B48:AF48" si="26">B53</f>
        <v>147</v>
      </c>
      <c r="C48" s="545">
        <f t="shared" si="26"/>
        <v>35</v>
      </c>
      <c r="D48" s="545">
        <f t="shared" si="26"/>
        <v>34</v>
      </c>
      <c r="E48" s="545">
        <f t="shared" si="26"/>
        <v>29</v>
      </c>
      <c r="F48" s="545">
        <f t="shared" si="26"/>
        <v>36</v>
      </c>
      <c r="G48" s="545">
        <f t="shared" si="26"/>
        <v>29</v>
      </c>
      <c r="H48" s="545">
        <f t="shared" si="26"/>
        <v>39</v>
      </c>
      <c r="I48" s="545">
        <f t="shared" si="26"/>
        <v>26</v>
      </c>
      <c r="J48" s="545">
        <f t="shared" si="26"/>
        <v>28</v>
      </c>
      <c r="K48" s="545">
        <f t="shared" si="26"/>
        <v>25</v>
      </c>
      <c r="L48" s="545">
        <f t="shared" si="26"/>
        <v>21</v>
      </c>
      <c r="M48" s="545">
        <f t="shared" si="26"/>
        <v>9</v>
      </c>
      <c r="N48" s="545">
        <f t="shared" si="26"/>
        <v>9</v>
      </c>
      <c r="O48" s="545">
        <f t="shared" si="26"/>
        <v>11</v>
      </c>
      <c r="P48" s="545">
        <f t="shared" si="26"/>
        <v>11</v>
      </c>
      <c r="Q48" s="545">
        <f t="shared" si="26"/>
        <v>8</v>
      </c>
      <c r="R48" s="545">
        <f t="shared" si="26"/>
        <v>14</v>
      </c>
      <c r="S48" s="545">
        <f t="shared" si="26"/>
        <v>11</v>
      </c>
      <c r="T48" s="545">
        <f t="shared" si="26"/>
        <v>6</v>
      </c>
      <c r="U48" s="545">
        <f t="shared" si="26"/>
        <v>12</v>
      </c>
      <c r="V48" s="545">
        <f t="shared" si="26"/>
        <v>8</v>
      </c>
      <c r="W48" s="545">
        <f t="shared" si="26"/>
        <v>19</v>
      </c>
      <c r="X48" s="545">
        <f t="shared" si="26"/>
        <v>11</v>
      </c>
      <c r="Y48" s="545">
        <f t="shared" si="26"/>
        <v>13</v>
      </c>
      <c r="Z48" s="545">
        <f t="shared" si="26"/>
        <v>17</v>
      </c>
      <c r="AA48" s="545">
        <f t="shared" si="26"/>
        <v>5</v>
      </c>
      <c r="AB48" s="545">
        <f t="shared" si="26"/>
        <v>7</v>
      </c>
      <c r="AC48" s="545">
        <f t="shared" si="26"/>
        <v>8</v>
      </c>
      <c r="AD48" s="545">
        <f t="shared" si="26"/>
        <v>5</v>
      </c>
      <c r="AE48" s="545">
        <f t="shared" si="26"/>
        <v>16</v>
      </c>
      <c r="AF48" s="545">
        <f t="shared" si="26"/>
        <v>9</v>
      </c>
      <c r="AG48" s="543"/>
      <c r="AH48" s="544"/>
    </row>
    <row r="49" hidden="1" outlineLevel="1">
      <c r="A49" s="535" t="s">
        <v>808</v>
      </c>
      <c r="B49" s="537"/>
      <c r="C49" s="537"/>
      <c r="D49" s="537"/>
      <c r="E49" s="537"/>
      <c r="F49" s="537"/>
      <c r="G49" s="537"/>
      <c r="H49" s="537"/>
      <c r="I49" s="537"/>
      <c r="J49" s="537"/>
      <c r="K49" s="537"/>
      <c r="L49" s="537"/>
      <c r="M49" s="537"/>
      <c r="N49" s="537"/>
      <c r="O49" s="537"/>
      <c r="P49" s="537"/>
      <c r="Q49" s="537"/>
      <c r="R49" s="537"/>
      <c r="S49" s="537"/>
      <c r="T49" s="537"/>
      <c r="U49" s="537"/>
      <c r="V49" s="537"/>
      <c r="W49" s="537"/>
      <c r="X49" s="537"/>
      <c r="Y49" s="537"/>
      <c r="Z49" s="537"/>
      <c r="AA49" s="537"/>
      <c r="AB49" s="537"/>
      <c r="AC49" s="537"/>
      <c r="AD49" s="537"/>
      <c r="AE49" s="537"/>
      <c r="AF49" s="537"/>
      <c r="AG49" s="500"/>
      <c r="AH49" s="534"/>
    </row>
    <row r="50" hidden="1" outlineLevel="1">
      <c r="A50" s="502" t="s">
        <v>809</v>
      </c>
      <c r="B50" s="498">
        <v>68.0</v>
      </c>
      <c r="C50" s="498">
        <v>16.0</v>
      </c>
      <c r="D50" s="498">
        <v>17.0</v>
      </c>
      <c r="E50" s="498">
        <v>13.0</v>
      </c>
      <c r="F50" s="498">
        <v>15.0</v>
      </c>
      <c r="G50" s="498">
        <v>13.0</v>
      </c>
      <c r="H50" s="498">
        <v>25.0</v>
      </c>
      <c r="I50" s="498">
        <v>12.0</v>
      </c>
      <c r="J50" s="498">
        <v>8.0</v>
      </c>
      <c r="K50" s="498">
        <v>9.0</v>
      </c>
      <c r="L50" s="498">
        <v>12.0</v>
      </c>
      <c r="M50" s="498">
        <v>1.0</v>
      </c>
      <c r="N50" s="498">
        <v>4.0</v>
      </c>
      <c r="O50" s="498">
        <v>7.0</v>
      </c>
      <c r="P50" s="498">
        <v>6.0</v>
      </c>
      <c r="Q50" s="498">
        <v>4.0</v>
      </c>
      <c r="R50" s="498">
        <v>6.0</v>
      </c>
      <c r="S50" s="498">
        <v>6.0</v>
      </c>
      <c r="T50" s="498">
        <v>4.0</v>
      </c>
      <c r="U50" s="498">
        <v>5.0</v>
      </c>
      <c r="V50" s="498">
        <v>2.0</v>
      </c>
      <c r="W50" s="498">
        <v>10.0</v>
      </c>
      <c r="X50" s="498">
        <v>4.0</v>
      </c>
      <c r="Y50" s="498">
        <v>3.0</v>
      </c>
      <c r="Z50" s="498">
        <v>6.0</v>
      </c>
      <c r="AA50" s="498">
        <v>2.0</v>
      </c>
      <c r="AB50" s="498">
        <v>2.0</v>
      </c>
      <c r="AC50" s="498">
        <v>4.0</v>
      </c>
      <c r="AD50" s="498">
        <v>1.0</v>
      </c>
      <c r="AE50" s="498">
        <v>8.0</v>
      </c>
      <c r="AF50" s="498">
        <v>7.0</v>
      </c>
      <c r="AG50" s="500">
        <f t="shared" ref="AG50:AG53" si="27">SUM(B50:AF50)</f>
        <v>300</v>
      </c>
      <c r="AH50" s="501">
        <f t="shared" ref="AH50:AH52" si="28">iferror(AG50/AG$53,"")</f>
        <v>0.4559270517</v>
      </c>
    </row>
    <row r="51" hidden="1" outlineLevel="1">
      <c r="A51" s="502" t="s">
        <v>810</v>
      </c>
      <c r="B51" s="498">
        <v>63.0</v>
      </c>
      <c r="C51" s="498">
        <v>15.0</v>
      </c>
      <c r="D51" s="498">
        <v>15.0</v>
      </c>
      <c r="E51" s="498">
        <v>11.0</v>
      </c>
      <c r="F51" s="498">
        <v>16.0</v>
      </c>
      <c r="G51" s="498">
        <v>8.0</v>
      </c>
      <c r="H51" s="498">
        <v>11.0</v>
      </c>
      <c r="I51" s="498">
        <v>11.0</v>
      </c>
      <c r="J51" s="498">
        <v>18.0</v>
      </c>
      <c r="K51" s="498">
        <v>10.0</v>
      </c>
      <c r="L51" s="498">
        <v>8.0</v>
      </c>
      <c r="M51" s="498">
        <v>4.0</v>
      </c>
      <c r="N51" s="498">
        <v>5.0</v>
      </c>
      <c r="O51" s="498">
        <v>4.0</v>
      </c>
      <c r="P51" s="498">
        <v>3.0</v>
      </c>
      <c r="Q51" s="498">
        <v>3.0</v>
      </c>
      <c r="R51" s="498">
        <v>8.0</v>
      </c>
      <c r="S51" s="498">
        <v>3.0</v>
      </c>
      <c r="T51" s="498">
        <v>0.0</v>
      </c>
      <c r="U51" s="498">
        <v>5.0</v>
      </c>
      <c r="V51" s="498">
        <v>3.0</v>
      </c>
      <c r="W51" s="498">
        <v>5.0</v>
      </c>
      <c r="X51" s="498">
        <v>4.0</v>
      </c>
      <c r="Y51" s="498">
        <v>9.0</v>
      </c>
      <c r="Z51" s="498">
        <v>10.0</v>
      </c>
      <c r="AA51" s="498">
        <v>2.0</v>
      </c>
      <c r="AB51" s="498">
        <v>4.0</v>
      </c>
      <c r="AC51" s="498">
        <v>4.0</v>
      </c>
      <c r="AD51" s="498">
        <v>2.0</v>
      </c>
      <c r="AE51" s="498">
        <v>7.0</v>
      </c>
      <c r="AF51" s="498">
        <v>2.0</v>
      </c>
      <c r="AG51" s="500">
        <f t="shared" si="27"/>
        <v>273</v>
      </c>
      <c r="AH51" s="501">
        <f t="shared" si="28"/>
        <v>0.414893617</v>
      </c>
    </row>
    <row r="52" hidden="1" outlineLevel="1">
      <c r="A52" s="502" t="s">
        <v>811</v>
      </c>
      <c r="B52" s="498">
        <v>16.0</v>
      </c>
      <c r="C52" s="498">
        <v>4.0</v>
      </c>
      <c r="D52" s="498">
        <v>2.0</v>
      </c>
      <c r="E52" s="498">
        <v>5.0</v>
      </c>
      <c r="F52" s="498">
        <v>5.0</v>
      </c>
      <c r="G52" s="498">
        <v>8.0</v>
      </c>
      <c r="H52" s="498">
        <v>3.0</v>
      </c>
      <c r="I52" s="498">
        <v>3.0</v>
      </c>
      <c r="J52" s="498">
        <v>2.0</v>
      </c>
      <c r="K52" s="498">
        <v>6.0</v>
      </c>
      <c r="L52" s="498">
        <v>1.0</v>
      </c>
      <c r="M52" s="498">
        <v>4.0</v>
      </c>
      <c r="N52" s="498">
        <v>0.0</v>
      </c>
      <c r="O52" s="498">
        <v>0.0</v>
      </c>
      <c r="P52" s="498">
        <v>2.0</v>
      </c>
      <c r="Q52" s="498">
        <v>1.0</v>
      </c>
      <c r="R52" s="498">
        <v>0.0</v>
      </c>
      <c r="S52" s="498">
        <v>2.0</v>
      </c>
      <c r="T52" s="498">
        <v>2.0</v>
      </c>
      <c r="U52" s="498">
        <v>2.0</v>
      </c>
      <c r="V52" s="498">
        <v>3.0</v>
      </c>
      <c r="W52" s="498">
        <v>4.0</v>
      </c>
      <c r="X52" s="498">
        <v>3.0</v>
      </c>
      <c r="Y52" s="498">
        <v>1.0</v>
      </c>
      <c r="Z52" s="498">
        <v>1.0</v>
      </c>
      <c r="AA52" s="498">
        <v>1.0</v>
      </c>
      <c r="AB52" s="498">
        <v>1.0</v>
      </c>
      <c r="AC52" s="498">
        <v>0.0</v>
      </c>
      <c r="AD52" s="498">
        <v>2.0</v>
      </c>
      <c r="AE52" s="498">
        <v>1.0</v>
      </c>
      <c r="AF52" s="498">
        <v>0.0</v>
      </c>
      <c r="AG52" s="500">
        <f t="shared" si="27"/>
        <v>85</v>
      </c>
      <c r="AH52" s="501">
        <f t="shared" si="28"/>
        <v>0.1291793313</v>
      </c>
    </row>
    <row r="53" hidden="1" outlineLevel="1">
      <c r="A53" s="540" t="s">
        <v>804</v>
      </c>
      <c r="B53" s="537">
        <f t="shared" ref="B53:AF53" si="29">SUM(B50:B52)</f>
        <v>147</v>
      </c>
      <c r="C53" s="537">
        <f t="shared" si="29"/>
        <v>35</v>
      </c>
      <c r="D53" s="537">
        <f t="shared" si="29"/>
        <v>34</v>
      </c>
      <c r="E53" s="537">
        <f t="shared" si="29"/>
        <v>29</v>
      </c>
      <c r="F53" s="537">
        <f t="shared" si="29"/>
        <v>36</v>
      </c>
      <c r="G53" s="537">
        <f t="shared" si="29"/>
        <v>29</v>
      </c>
      <c r="H53" s="537">
        <f t="shared" si="29"/>
        <v>39</v>
      </c>
      <c r="I53" s="537">
        <f t="shared" si="29"/>
        <v>26</v>
      </c>
      <c r="J53" s="537">
        <f t="shared" si="29"/>
        <v>28</v>
      </c>
      <c r="K53" s="537">
        <f t="shared" si="29"/>
        <v>25</v>
      </c>
      <c r="L53" s="537">
        <f t="shared" si="29"/>
        <v>21</v>
      </c>
      <c r="M53" s="537">
        <f t="shared" si="29"/>
        <v>9</v>
      </c>
      <c r="N53" s="537">
        <f t="shared" si="29"/>
        <v>9</v>
      </c>
      <c r="O53" s="537">
        <f t="shared" si="29"/>
        <v>11</v>
      </c>
      <c r="P53" s="537">
        <f t="shared" si="29"/>
        <v>11</v>
      </c>
      <c r="Q53" s="537">
        <f t="shared" si="29"/>
        <v>8</v>
      </c>
      <c r="R53" s="537">
        <f t="shared" si="29"/>
        <v>14</v>
      </c>
      <c r="S53" s="537">
        <f t="shared" si="29"/>
        <v>11</v>
      </c>
      <c r="T53" s="537">
        <f t="shared" si="29"/>
        <v>6</v>
      </c>
      <c r="U53" s="537">
        <f t="shared" si="29"/>
        <v>12</v>
      </c>
      <c r="V53" s="537">
        <f t="shared" si="29"/>
        <v>8</v>
      </c>
      <c r="W53" s="537">
        <f t="shared" si="29"/>
        <v>19</v>
      </c>
      <c r="X53" s="537">
        <f t="shared" si="29"/>
        <v>11</v>
      </c>
      <c r="Y53" s="537">
        <f t="shared" si="29"/>
        <v>13</v>
      </c>
      <c r="Z53" s="537">
        <f t="shared" si="29"/>
        <v>17</v>
      </c>
      <c r="AA53" s="537">
        <f t="shared" si="29"/>
        <v>5</v>
      </c>
      <c r="AB53" s="537">
        <f t="shared" si="29"/>
        <v>7</v>
      </c>
      <c r="AC53" s="537">
        <f t="shared" si="29"/>
        <v>8</v>
      </c>
      <c r="AD53" s="537">
        <f t="shared" si="29"/>
        <v>5</v>
      </c>
      <c r="AE53" s="537">
        <f t="shared" si="29"/>
        <v>16</v>
      </c>
      <c r="AF53" s="537">
        <f t="shared" si="29"/>
        <v>9</v>
      </c>
      <c r="AG53" s="541">
        <f t="shared" si="27"/>
        <v>658</v>
      </c>
      <c r="AH53" s="507">
        <f>SUM(AH50:AH52)</f>
        <v>1</v>
      </c>
    </row>
    <row r="54" collapsed="1">
      <c r="A54" s="546" t="s">
        <v>801</v>
      </c>
      <c r="B54" s="545">
        <f t="shared" ref="B54:AF54" si="30">B59</f>
        <v>264</v>
      </c>
      <c r="C54" s="545">
        <f t="shared" si="30"/>
        <v>41</v>
      </c>
      <c r="D54" s="545">
        <f t="shared" si="30"/>
        <v>41</v>
      </c>
      <c r="E54" s="545">
        <f t="shared" si="30"/>
        <v>39</v>
      </c>
      <c r="F54" s="545">
        <f t="shared" si="30"/>
        <v>30</v>
      </c>
      <c r="G54" s="545">
        <f t="shared" si="30"/>
        <v>23</v>
      </c>
      <c r="H54" s="545">
        <f t="shared" si="30"/>
        <v>25</v>
      </c>
      <c r="I54" s="545">
        <f t="shared" si="30"/>
        <v>25</v>
      </c>
      <c r="J54" s="545">
        <f t="shared" si="30"/>
        <v>33</v>
      </c>
      <c r="K54" s="545">
        <f t="shared" si="30"/>
        <v>24</v>
      </c>
      <c r="L54" s="545">
        <f t="shared" si="30"/>
        <v>22</v>
      </c>
      <c r="M54" s="545">
        <f t="shared" si="30"/>
        <v>15</v>
      </c>
      <c r="N54" s="545">
        <f t="shared" si="30"/>
        <v>11</v>
      </c>
      <c r="O54" s="545">
        <f t="shared" si="30"/>
        <v>17</v>
      </c>
      <c r="P54" s="545">
        <f t="shared" si="30"/>
        <v>9</v>
      </c>
      <c r="Q54" s="545">
        <f t="shared" si="30"/>
        <v>12</v>
      </c>
      <c r="R54" s="545">
        <f t="shared" si="30"/>
        <v>2</v>
      </c>
      <c r="S54" s="545">
        <f t="shared" si="30"/>
        <v>8</v>
      </c>
      <c r="T54" s="545">
        <f t="shared" si="30"/>
        <v>6</v>
      </c>
      <c r="U54" s="545">
        <f t="shared" si="30"/>
        <v>8</v>
      </c>
      <c r="V54" s="545">
        <f t="shared" si="30"/>
        <v>12</v>
      </c>
      <c r="W54" s="545">
        <f t="shared" si="30"/>
        <v>8</v>
      </c>
      <c r="X54" s="545">
        <f t="shared" si="30"/>
        <v>13</v>
      </c>
      <c r="Y54" s="545">
        <f t="shared" si="30"/>
        <v>17</v>
      </c>
      <c r="Z54" s="545">
        <f t="shared" si="30"/>
        <v>19</v>
      </c>
      <c r="AA54" s="545">
        <f t="shared" si="30"/>
        <v>10</v>
      </c>
      <c r="AB54" s="545">
        <f t="shared" si="30"/>
        <v>10</v>
      </c>
      <c r="AC54" s="545">
        <f t="shared" si="30"/>
        <v>9</v>
      </c>
      <c r="AD54" s="545">
        <f t="shared" si="30"/>
        <v>12</v>
      </c>
      <c r="AE54" s="545">
        <f t="shared" si="30"/>
        <v>12</v>
      </c>
      <c r="AF54" s="545">
        <f t="shared" si="30"/>
        <v>8</v>
      </c>
      <c r="AG54" s="543"/>
      <c r="AH54" s="544"/>
    </row>
    <row r="55" hidden="1" outlineLevel="1">
      <c r="A55" s="535" t="s">
        <v>808</v>
      </c>
      <c r="B55" s="537"/>
      <c r="C55" s="537"/>
      <c r="D55" s="537"/>
      <c r="E55" s="537"/>
      <c r="F55" s="537"/>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00"/>
      <c r="AH55" s="534"/>
    </row>
    <row r="56" hidden="1" outlineLevel="1">
      <c r="A56" s="502" t="s">
        <v>809</v>
      </c>
      <c r="B56" s="498">
        <v>154.0</v>
      </c>
      <c r="C56" s="498">
        <v>18.0</v>
      </c>
      <c r="D56" s="498">
        <v>20.0</v>
      </c>
      <c r="E56" s="498">
        <v>19.0</v>
      </c>
      <c r="F56" s="498">
        <v>11.0</v>
      </c>
      <c r="G56" s="498">
        <v>12.0</v>
      </c>
      <c r="H56" s="498">
        <v>9.0</v>
      </c>
      <c r="I56" s="498">
        <v>9.0</v>
      </c>
      <c r="J56" s="498">
        <v>13.0</v>
      </c>
      <c r="K56" s="498">
        <v>8.0</v>
      </c>
      <c r="L56" s="498">
        <v>8.0</v>
      </c>
      <c r="M56" s="498">
        <v>8.0</v>
      </c>
      <c r="N56" s="498">
        <v>6.0</v>
      </c>
      <c r="O56" s="498">
        <v>7.0</v>
      </c>
      <c r="P56" s="498">
        <v>3.0</v>
      </c>
      <c r="Q56" s="498">
        <v>8.0</v>
      </c>
      <c r="R56" s="498">
        <v>0.0</v>
      </c>
      <c r="S56" s="498">
        <v>3.0</v>
      </c>
      <c r="T56" s="498">
        <v>4.0</v>
      </c>
      <c r="U56" s="498">
        <v>4.0</v>
      </c>
      <c r="V56" s="498">
        <v>8.0</v>
      </c>
      <c r="W56" s="498">
        <v>7.0</v>
      </c>
      <c r="X56" s="498">
        <v>8.0</v>
      </c>
      <c r="Y56" s="498">
        <v>8.0</v>
      </c>
      <c r="Z56" s="498">
        <v>11.0</v>
      </c>
      <c r="AA56" s="498">
        <v>6.0</v>
      </c>
      <c r="AB56" s="498">
        <v>4.0</v>
      </c>
      <c r="AC56" s="498">
        <v>5.0</v>
      </c>
      <c r="AD56" s="498">
        <v>5.0</v>
      </c>
      <c r="AE56" s="498">
        <v>3.0</v>
      </c>
      <c r="AF56" s="498">
        <v>5.0</v>
      </c>
      <c r="AG56" s="500">
        <f t="shared" ref="AG56:AG59" si="31">SUM(B56:AF56)</f>
        <v>394</v>
      </c>
      <c r="AH56" s="501">
        <f t="shared" ref="AH56:AH58" si="32">iferror(AG56/AG$59,"")</f>
        <v>0.501910828</v>
      </c>
    </row>
    <row r="57" hidden="1" outlineLevel="1">
      <c r="A57" s="502" t="s">
        <v>810</v>
      </c>
      <c r="B57" s="498">
        <v>98.0</v>
      </c>
      <c r="C57" s="498">
        <v>16.0</v>
      </c>
      <c r="D57" s="498">
        <v>17.0</v>
      </c>
      <c r="E57" s="498">
        <v>17.0</v>
      </c>
      <c r="F57" s="498">
        <v>15.0</v>
      </c>
      <c r="G57" s="498">
        <v>10.0</v>
      </c>
      <c r="H57" s="498">
        <v>14.0</v>
      </c>
      <c r="I57" s="498">
        <v>15.0</v>
      </c>
      <c r="J57" s="498">
        <v>11.0</v>
      </c>
      <c r="K57" s="498">
        <v>14.0</v>
      </c>
      <c r="L57" s="498">
        <v>9.0</v>
      </c>
      <c r="M57" s="498">
        <v>6.0</v>
      </c>
      <c r="N57" s="498">
        <v>5.0</v>
      </c>
      <c r="O57" s="498">
        <v>9.0</v>
      </c>
      <c r="P57" s="498">
        <v>6.0</v>
      </c>
      <c r="Q57" s="498">
        <v>3.0</v>
      </c>
      <c r="R57" s="498">
        <v>2.0</v>
      </c>
      <c r="S57" s="498">
        <v>3.0</v>
      </c>
      <c r="T57" s="498">
        <v>1.0</v>
      </c>
      <c r="U57" s="498">
        <v>3.0</v>
      </c>
      <c r="V57" s="498">
        <v>2.0</v>
      </c>
      <c r="W57" s="498">
        <v>1.0</v>
      </c>
      <c r="X57" s="498">
        <v>3.0</v>
      </c>
      <c r="Y57" s="498">
        <v>6.0</v>
      </c>
      <c r="Z57" s="498">
        <v>8.0</v>
      </c>
      <c r="AA57" s="498">
        <v>3.0</v>
      </c>
      <c r="AB57" s="498">
        <v>4.0</v>
      </c>
      <c r="AC57" s="498">
        <v>3.0</v>
      </c>
      <c r="AD57" s="498">
        <v>4.0</v>
      </c>
      <c r="AE57" s="498">
        <v>8.0</v>
      </c>
      <c r="AF57" s="498">
        <v>1.0</v>
      </c>
      <c r="AG57" s="500">
        <f t="shared" si="31"/>
        <v>317</v>
      </c>
      <c r="AH57" s="501">
        <f t="shared" si="32"/>
        <v>0.4038216561</v>
      </c>
    </row>
    <row r="58" hidden="1" outlineLevel="1">
      <c r="A58" s="502" t="s">
        <v>811</v>
      </c>
      <c r="B58" s="498">
        <v>12.0</v>
      </c>
      <c r="C58" s="498">
        <v>7.0</v>
      </c>
      <c r="D58" s="498">
        <v>4.0</v>
      </c>
      <c r="E58" s="498">
        <v>3.0</v>
      </c>
      <c r="F58" s="498">
        <v>4.0</v>
      </c>
      <c r="G58" s="498">
        <v>1.0</v>
      </c>
      <c r="H58" s="498">
        <v>2.0</v>
      </c>
      <c r="I58" s="498">
        <v>1.0</v>
      </c>
      <c r="J58" s="498">
        <v>9.0</v>
      </c>
      <c r="K58" s="498">
        <v>2.0</v>
      </c>
      <c r="L58" s="498">
        <v>5.0</v>
      </c>
      <c r="M58" s="498">
        <v>1.0</v>
      </c>
      <c r="N58" s="498">
        <v>0.0</v>
      </c>
      <c r="O58" s="498">
        <v>1.0</v>
      </c>
      <c r="P58" s="498">
        <v>0.0</v>
      </c>
      <c r="Q58" s="498">
        <v>1.0</v>
      </c>
      <c r="R58" s="498">
        <v>0.0</v>
      </c>
      <c r="S58" s="498">
        <v>2.0</v>
      </c>
      <c r="T58" s="498">
        <v>1.0</v>
      </c>
      <c r="U58" s="498">
        <v>1.0</v>
      </c>
      <c r="V58" s="498">
        <v>2.0</v>
      </c>
      <c r="W58" s="498">
        <v>0.0</v>
      </c>
      <c r="X58" s="498">
        <v>2.0</v>
      </c>
      <c r="Y58" s="498">
        <v>3.0</v>
      </c>
      <c r="Z58" s="498">
        <v>0.0</v>
      </c>
      <c r="AA58" s="498">
        <v>1.0</v>
      </c>
      <c r="AB58" s="498">
        <v>2.0</v>
      </c>
      <c r="AC58" s="498">
        <v>1.0</v>
      </c>
      <c r="AD58" s="498">
        <v>3.0</v>
      </c>
      <c r="AE58" s="498">
        <v>1.0</v>
      </c>
      <c r="AF58" s="498">
        <v>2.0</v>
      </c>
      <c r="AG58" s="500">
        <f t="shared" si="31"/>
        <v>74</v>
      </c>
      <c r="AH58" s="501">
        <f t="shared" si="32"/>
        <v>0.09426751592</v>
      </c>
    </row>
    <row r="59" hidden="1" outlineLevel="1">
      <c r="A59" s="540" t="s">
        <v>804</v>
      </c>
      <c r="B59" s="537">
        <f t="shared" ref="B59:AF59" si="33">SUM(B56:B58)</f>
        <v>264</v>
      </c>
      <c r="C59" s="537">
        <f t="shared" si="33"/>
        <v>41</v>
      </c>
      <c r="D59" s="537">
        <f t="shared" si="33"/>
        <v>41</v>
      </c>
      <c r="E59" s="537">
        <f t="shared" si="33"/>
        <v>39</v>
      </c>
      <c r="F59" s="537">
        <f t="shared" si="33"/>
        <v>30</v>
      </c>
      <c r="G59" s="537">
        <f t="shared" si="33"/>
        <v>23</v>
      </c>
      <c r="H59" s="537">
        <f t="shared" si="33"/>
        <v>25</v>
      </c>
      <c r="I59" s="537">
        <f t="shared" si="33"/>
        <v>25</v>
      </c>
      <c r="J59" s="537">
        <f t="shared" si="33"/>
        <v>33</v>
      </c>
      <c r="K59" s="537">
        <f t="shared" si="33"/>
        <v>24</v>
      </c>
      <c r="L59" s="537">
        <f t="shared" si="33"/>
        <v>22</v>
      </c>
      <c r="M59" s="537">
        <f t="shared" si="33"/>
        <v>15</v>
      </c>
      <c r="N59" s="537">
        <f t="shared" si="33"/>
        <v>11</v>
      </c>
      <c r="O59" s="537">
        <f t="shared" si="33"/>
        <v>17</v>
      </c>
      <c r="P59" s="537">
        <f t="shared" si="33"/>
        <v>9</v>
      </c>
      <c r="Q59" s="537">
        <f t="shared" si="33"/>
        <v>12</v>
      </c>
      <c r="R59" s="537">
        <f t="shared" si="33"/>
        <v>2</v>
      </c>
      <c r="S59" s="537">
        <f t="shared" si="33"/>
        <v>8</v>
      </c>
      <c r="T59" s="537">
        <f t="shared" si="33"/>
        <v>6</v>
      </c>
      <c r="U59" s="537">
        <f t="shared" si="33"/>
        <v>8</v>
      </c>
      <c r="V59" s="537">
        <f t="shared" si="33"/>
        <v>12</v>
      </c>
      <c r="W59" s="537">
        <f t="shared" si="33"/>
        <v>8</v>
      </c>
      <c r="X59" s="537">
        <f t="shared" si="33"/>
        <v>13</v>
      </c>
      <c r="Y59" s="537">
        <f t="shared" si="33"/>
        <v>17</v>
      </c>
      <c r="Z59" s="537">
        <f t="shared" si="33"/>
        <v>19</v>
      </c>
      <c r="AA59" s="537">
        <f t="shared" si="33"/>
        <v>10</v>
      </c>
      <c r="AB59" s="537">
        <f t="shared" si="33"/>
        <v>10</v>
      </c>
      <c r="AC59" s="537">
        <f t="shared" si="33"/>
        <v>9</v>
      </c>
      <c r="AD59" s="537">
        <f t="shared" si="33"/>
        <v>12</v>
      </c>
      <c r="AE59" s="537">
        <f t="shared" si="33"/>
        <v>12</v>
      </c>
      <c r="AF59" s="537">
        <f t="shared" si="33"/>
        <v>8</v>
      </c>
      <c r="AG59" s="541">
        <f t="shared" si="31"/>
        <v>785</v>
      </c>
      <c r="AH59" s="507">
        <f>SUM(AH56:AH58)</f>
        <v>1</v>
      </c>
    </row>
    <row r="60">
      <c r="A60" s="547" t="s">
        <v>804</v>
      </c>
      <c r="B60" s="548">
        <f t="shared" ref="B60:AF60" si="34">SUM(B36,B42,B48,B54)</f>
        <v>1240</v>
      </c>
      <c r="C60" s="548">
        <f t="shared" si="34"/>
        <v>252</v>
      </c>
      <c r="D60" s="548">
        <f t="shared" si="34"/>
        <v>200</v>
      </c>
      <c r="E60" s="548">
        <f t="shared" si="34"/>
        <v>186</v>
      </c>
      <c r="F60" s="548">
        <f t="shared" si="34"/>
        <v>157</v>
      </c>
      <c r="G60" s="548">
        <f t="shared" si="34"/>
        <v>133</v>
      </c>
      <c r="H60" s="548">
        <f t="shared" si="34"/>
        <v>134</v>
      </c>
      <c r="I60" s="548">
        <f t="shared" si="34"/>
        <v>117</v>
      </c>
      <c r="J60" s="548">
        <f t="shared" si="34"/>
        <v>154</v>
      </c>
      <c r="K60" s="548">
        <f t="shared" si="34"/>
        <v>151</v>
      </c>
      <c r="L60" s="548">
        <f t="shared" si="34"/>
        <v>97</v>
      </c>
      <c r="M60" s="548">
        <f t="shared" si="34"/>
        <v>66</v>
      </c>
      <c r="N60" s="548">
        <f t="shared" si="34"/>
        <v>55</v>
      </c>
      <c r="O60" s="548">
        <f t="shared" si="34"/>
        <v>61</v>
      </c>
      <c r="P60" s="548">
        <f t="shared" si="34"/>
        <v>44</v>
      </c>
      <c r="Q60" s="548">
        <f t="shared" si="34"/>
        <v>64</v>
      </c>
      <c r="R60" s="548">
        <f t="shared" si="34"/>
        <v>47</v>
      </c>
      <c r="S60" s="548">
        <f t="shared" si="34"/>
        <v>48</v>
      </c>
      <c r="T60" s="505">
        <f t="shared" si="34"/>
        <v>32</v>
      </c>
      <c r="U60" s="505">
        <f t="shared" si="34"/>
        <v>55</v>
      </c>
      <c r="V60" s="505">
        <f t="shared" si="34"/>
        <v>46</v>
      </c>
      <c r="W60" s="505">
        <f t="shared" si="34"/>
        <v>55</v>
      </c>
      <c r="X60" s="505">
        <f t="shared" si="34"/>
        <v>58</v>
      </c>
      <c r="Y60" s="505">
        <f t="shared" si="34"/>
        <v>72</v>
      </c>
      <c r="Z60" s="505">
        <f t="shared" si="34"/>
        <v>64</v>
      </c>
      <c r="AA60" s="505">
        <f t="shared" si="34"/>
        <v>45</v>
      </c>
      <c r="AB60" s="505">
        <f t="shared" si="34"/>
        <v>45</v>
      </c>
      <c r="AC60" s="505">
        <f t="shared" si="34"/>
        <v>51</v>
      </c>
      <c r="AD60" s="505">
        <f t="shared" si="34"/>
        <v>28</v>
      </c>
      <c r="AE60" s="505">
        <f t="shared" si="34"/>
        <v>59</v>
      </c>
      <c r="AF60" s="505">
        <f t="shared" si="34"/>
        <v>46</v>
      </c>
      <c r="AG60" s="549"/>
      <c r="AH60" s="550"/>
    </row>
    <row r="61">
      <c r="A61" s="532" t="s">
        <v>812</v>
      </c>
      <c r="B61" s="533"/>
      <c r="C61" s="533"/>
      <c r="D61" s="533"/>
      <c r="E61" s="533"/>
      <c r="F61" s="533"/>
      <c r="G61" s="533"/>
      <c r="H61" s="533"/>
      <c r="I61" s="533"/>
      <c r="J61" s="533"/>
      <c r="K61" s="533"/>
      <c r="L61" s="533"/>
      <c r="M61" s="533"/>
      <c r="N61" s="533"/>
      <c r="O61" s="533"/>
      <c r="P61" s="533"/>
      <c r="Q61" s="533"/>
      <c r="R61" s="533"/>
      <c r="S61" s="533"/>
      <c r="T61" s="533"/>
      <c r="U61" s="533"/>
      <c r="V61" s="533"/>
      <c r="W61" s="533"/>
      <c r="X61" s="533"/>
      <c r="Y61" s="533"/>
      <c r="Z61" s="533"/>
      <c r="AA61" s="533"/>
      <c r="AB61" s="533"/>
      <c r="AC61" s="533"/>
      <c r="AD61" s="533"/>
      <c r="AE61" s="533"/>
      <c r="AF61" s="533"/>
      <c r="AG61" s="511"/>
      <c r="AH61" s="511"/>
    </row>
    <row r="62" collapsed="1">
      <c r="A62" s="512" t="s">
        <v>789</v>
      </c>
      <c r="B62" s="551">
        <f t="shared" ref="B62:AF62" si="35">iferror(B36/B$60,"")</f>
        <v>0.3112903226</v>
      </c>
      <c r="C62" s="551">
        <f t="shared" si="35"/>
        <v>0.3015873016</v>
      </c>
      <c r="D62" s="551">
        <f t="shared" si="35"/>
        <v>0.27</v>
      </c>
      <c r="E62" s="551">
        <f t="shared" si="35"/>
        <v>0.2956989247</v>
      </c>
      <c r="F62" s="551">
        <f t="shared" si="35"/>
        <v>0.1910828025</v>
      </c>
      <c r="G62" s="551">
        <f t="shared" si="35"/>
        <v>0.3233082707</v>
      </c>
      <c r="H62" s="551">
        <f t="shared" si="35"/>
        <v>0.223880597</v>
      </c>
      <c r="I62" s="551">
        <f t="shared" si="35"/>
        <v>0.2991452991</v>
      </c>
      <c r="J62" s="551">
        <f t="shared" si="35"/>
        <v>0.2012987013</v>
      </c>
      <c r="K62" s="551">
        <f t="shared" si="35"/>
        <v>0.3642384106</v>
      </c>
      <c r="L62" s="551">
        <f t="shared" si="35"/>
        <v>0.2474226804</v>
      </c>
      <c r="M62" s="551">
        <f t="shared" si="35"/>
        <v>0.3181818182</v>
      </c>
      <c r="N62" s="551">
        <f t="shared" si="35"/>
        <v>0.2909090909</v>
      </c>
      <c r="O62" s="551">
        <f t="shared" si="35"/>
        <v>0.2295081967</v>
      </c>
      <c r="P62" s="551">
        <f t="shared" si="35"/>
        <v>0.25</v>
      </c>
      <c r="Q62" s="551">
        <f t="shared" si="35"/>
        <v>0.328125</v>
      </c>
      <c r="R62" s="551">
        <f t="shared" si="35"/>
        <v>0.3829787234</v>
      </c>
      <c r="S62" s="551">
        <f t="shared" si="35"/>
        <v>0.25</v>
      </c>
      <c r="T62" s="551">
        <f t="shared" si="35"/>
        <v>0.34375</v>
      </c>
      <c r="U62" s="551">
        <f t="shared" si="35"/>
        <v>0.2909090909</v>
      </c>
      <c r="V62" s="551">
        <f t="shared" si="35"/>
        <v>0.2391304348</v>
      </c>
      <c r="W62" s="551">
        <f t="shared" si="35"/>
        <v>0.1818181818</v>
      </c>
      <c r="X62" s="551">
        <f t="shared" si="35"/>
        <v>0.2413793103</v>
      </c>
      <c r="Y62" s="551">
        <f t="shared" si="35"/>
        <v>0.2638888889</v>
      </c>
      <c r="Z62" s="551">
        <f t="shared" si="35"/>
        <v>0.1875</v>
      </c>
      <c r="AA62" s="551">
        <f t="shared" si="35"/>
        <v>0.3111111111</v>
      </c>
      <c r="AB62" s="551">
        <f t="shared" si="35"/>
        <v>0.2888888889</v>
      </c>
      <c r="AC62" s="551">
        <f t="shared" si="35"/>
        <v>0.3529411765</v>
      </c>
      <c r="AD62" s="551">
        <f t="shared" si="35"/>
        <v>0.25</v>
      </c>
      <c r="AE62" s="551">
        <f t="shared" si="35"/>
        <v>0.3050847458</v>
      </c>
      <c r="AF62" s="551">
        <f t="shared" si="35"/>
        <v>0.2608695652</v>
      </c>
      <c r="AG62" s="510"/>
      <c r="AH62" s="511"/>
    </row>
    <row r="63" hidden="1" outlineLevel="1">
      <c r="A63" s="552" t="s">
        <v>808</v>
      </c>
      <c r="B63" s="551"/>
      <c r="C63" s="551"/>
      <c r="D63" s="551"/>
      <c r="E63" s="551"/>
      <c r="F63" s="551"/>
      <c r="G63" s="551"/>
      <c r="H63" s="551"/>
      <c r="I63" s="551"/>
      <c r="J63" s="551"/>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10"/>
      <c r="AH63" s="511"/>
    </row>
    <row r="64" hidden="1" outlineLevel="1">
      <c r="A64" s="512" t="s">
        <v>809</v>
      </c>
      <c r="B64" s="551">
        <f t="shared" ref="B64:AF64" si="36">iferror(B38/B$41,"")</f>
        <v>0.6502590674</v>
      </c>
      <c r="C64" s="551">
        <f t="shared" si="36"/>
        <v>0.6184210526</v>
      </c>
      <c r="D64" s="551">
        <f t="shared" si="36"/>
        <v>0.6851851852</v>
      </c>
      <c r="E64" s="551">
        <f t="shared" si="36"/>
        <v>0.7090909091</v>
      </c>
      <c r="F64" s="551">
        <f t="shared" si="36"/>
        <v>0.6</v>
      </c>
      <c r="G64" s="551">
        <f t="shared" si="36"/>
        <v>0.7209302326</v>
      </c>
      <c r="H64" s="551">
        <f t="shared" si="36"/>
        <v>0.6</v>
      </c>
      <c r="I64" s="551">
        <f t="shared" si="36"/>
        <v>0.5714285714</v>
      </c>
      <c r="J64" s="551">
        <f t="shared" si="36"/>
        <v>0.7419354839</v>
      </c>
      <c r="K64" s="551">
        <f t="shared" si="36"/>
        <v>0.5818181818</v>
      </c>
      <c r="L64" s="551">
        <f t="shared" si="36"/>
        <v>0.75</v>
      </c>
      <c r="M64" s="551">
        <f t="shared" si="36"/>
        <v>0.6666666667</v>
      </c>
      <c r="N64" s="551">
        <f t="shared" si="36"/>
        <v>0.5</v>
      </c>
      <c r="O64" s="551">
        <f t="shared" si="36"/>
        <v>0.7142857143</v>
      </c>
      <c r="P64" s="551">
        <f t="shared" si="36"/>
        <v>0.6363636364</v>
      </c>
      <c r="Q64" s="551">
        <f t="shared" si="36"/>
        <v>0.8571428571</v>
      </c>
      <c r="R64" s="551">
        <f t="shared" si="36"/>
        <v>0.8333333333</v>
      </c>
      <c r="S64" s="551">
        <f t="shared" si="36"/>
        <v>0.5833333333</v>
      </c>
      <c r="T64" s="551">
        <f t="shared" si="36"/>
        <v>0.6363636364</v>
      </c>
      <c r="U64" s="551">
        <f t="shared" si="36"/>
        <v>0.75</v>
      </c>
      <c r="V64" s="551">
        <f t="shared" si="36"/>
        <v>0.7272727273</v>
      </c>
      <c r="W64" s="551">
        <f t="shared" si="36"/>
        <v>0.6</v>
      </c>
      <c r="X64" s="551">
        <f t="shared" si="36"/>
        <v>0.8571428571</v>
      </c>
      <c r="Y64" s="551">
        <f t="shared" si="36"/>
        <v>0.7368421053</v>
      </c>
      <c r="Z64" s="551">
        <f t="shared" si="36"/>
        <v>0.3333333333</v>
      </c>
      <c r="AA64" s="551">
        <f t="shared" si="36"/>
        <v>0.8571428571</v>
      </c>
      <c r="AB64" s="551">
        <f t="shared" si="36"/>
        <v>0.7692307692</v>
      </c>
      <c r="AC64" s="551">
        <f t="shared" si="36"/>
        <v>0.6666666667</v>
      </c>
      <c r="AD64" s="551">
        <f t="shared" si="36"/>
        <v>0.5714285714</v>
      </c>
      <c r="AE64" s="551">
        <f t="shared" si="36"/>
        <v>0.6111111111</v>
      </c>
      <c r="AF64" s="551">
        <f t="shared" si="36"/>
        <v>0.6666666667</v>
      </c>
      <c r="AG64" s="510"/>
      <c r="AH64" s="511"/>
    </row>
    <row r="65" hidden="1" outlineLevel="1">
      <c r="A65" s="512" t="s">
        <v>810</v>
      </c>
      <c r="B65" s="551">
        <f t="shared" ref="B65:AF65" si="37">iferror(B39/B$41,"")</f>
        <v>0.3082901554</v>
      </c>
      <c r="C65" s="551">
        <f t="shared" si="37"/>
        <v>0.3157894737</v>
      </c>
      <c r="D65" s="551">
        <f t="shared" si="37"/>
        <v>0.2962962963</v>
      </c>
      <c r="E65" s="551">
        <f t="shared" si="37"/>
        <v>0.1636363636</v>
      </c>
      <c r="F65" s="551">
        <f t="shared" si="37"/>
        <v>0.3333333333</v>
      </c>
      <c r="G65" s="551">
        <f t="shared" si="37"/>
        <v>0.2558139535</v>
      </c>
      <c r="H65" s="551">
        <f t="shared" si="37"/>
        <v>0.3666666667</v>
      </c>
      <c r="I65" s="551">
        <f t="shared" si="37"/>
        <v>0.3428571429</v>
      </c>
      <c r="J65" s="551">
        <f t="shared" si="37"/>
        <v>0.2580645161</v>
      </c>
      <c r="K65" s="551">
        <f t="shared" si="37"/>
        <v>0.2909090909</v>
      </c>
      <c r="L65" s="551">
        <f t="shared" si="37"/>
        <v>0.2083333333</v>
      </c>
      <c r="M65" s="551">
        <f t="shared" si="37"/>
        <v>0.3333333333</v>
      </c>
      <c r="N65" s="551">
        <f t="shared" si="37"/>
        <v>0.4375</v>
      </c>
      <c r="O65" s="551">
        <f t="shared" si="37"/>
        <v>0.2142857143</v>
      </c>
      <c r="P65" s="551">
        <f t="shared" si="37"/>
        <v>0.1818181818</v>
      </c>
      <c r="Q65" s="551">
        <f t="shared" si="37"/>
        <v>0.09523809524</v>
      </c>
      <c r="R65" s="551">
        <f t="shared" si="37"/>
        <v>0.1666666667</v>
      </c>
      <c r="S65" s="551">
        <f t="shared" si="37"/>
        <v>0.4166666667</v>
      </c>
      <c r="T65" s="551">
        <f t="shared" si="37"/>
        <v>0.2727272727</v>
      </c>
      <c r="U65" s="551">
        <f t="shared" si="37"/>
        <v>0.25</v>
      </c>
      <c r="V65" s="551">
        <f t="shared" si="37"/>
        <v>0.1818181818</v>
      </c>
      <c r="W65" s="551">
        <f t="shared" si="37"/>
        <v>0.3</v>
      </c>
      <c r="X65" s="551">
        <f t="shared" si="37"/>
        <v>0.07142857143</v>
      </c>
      <c r="Y65" s="551">
        <f t="shared" si="37"/>
        <v>0.2105263158</v>
      </c>
      <c r="Z65" s="551">
        <f t="shared" si="37"/>
        <v>0.6666666667</v>
      </c>
      <c r="AA65" s="551">
        <f t="shared" si="37"/>
        <v>0.1428571429</v>
      </c>
      <c r="AB65" s="551">
        <f t="shared" si="37"/>
        <v>0.2307692308</v>
      </c>
      <c r="AC65" s="551">
        <f t="shared" si="37"/>
        <v>0.2777777778</v>
      </c>
      <c r="AD65" s="551">
        <f t="shared" si="37"/>
        <v>0.2857142857</v>
      </c>
      <c r="AE65" s="551">
        <f t="shared" si="37"/>
        <v>0.2777777778</v>
      </c>
      <c r="AF65" s="551">
        <f t="shared" si="37"/>
        <v>0.3333333333</v>
      </c>
      <c r="AG65" s="510"/>
      <c r="AH65" s="511"/>
    </row>
    <row r="66" hidden="1" outlineLevel="1">
      <c r="A66" s="512" t="s">
        <v>811</v>
      </c>
      <c r="B66" s="551">
        <f t="shared" ref="B66:AF66" si="38">iferror(B40/B$41,"")</f>
        <v>0.0414507772</v>
      </c>
      <c r="C66" s="551">
        <f t="shared" si="38"/>
        <v>0.06578947368</v>
      </c>
      <c r="D66" s="551">
        <f t="shared" si="38"/>
        <v>0.01851851852</v>
      </c>
      <c r="E66" s="551">
        <f t="shared" si="38"/>
        <v>0.1272727273</v>
      </c>
      <c r="F66" s="551">
        <f t="shared" si="38"/>
        <v>0.06666666667</v>
      </c>
      <c r="G66" s="551">
        <f t="shared" si="38"/>
        <v>0.02325581395</v>
      </c>
      <c r="H66" s="551">
        <f t="shared" si="38"/>
        <v>0.03333333333</v>
      </c>
      <c r="I66" s="551">
        <f t="shared" si="38"/>
        <v>0.08571428571</v>
      </c>
      <c r="J66" s="551">
        <f t="shared" si="38"/>
        <v>0</v>
      </c>
      <c r="K66" s="551">
        <f t="shared" si="38"/>
        <v>0.1272727273</v>
      </c>
      <c r="L66" s="551">
        <f t="shared" si="38"/>
        <v>0.04166666667</v>
      </c>
      <c r="M66" s="551">
        <f t="shared" si="38"/>
        <v>0</v>
      </c>
      <c r="N66" s="551">
        <f t="shared" si="38"/>
        <v>0.0625</v>
      </c>
      <c r="O66" s="551">
        <f t="shared" si="38"/>
        <v>0.07142857143</v>
      </c>
      <c r="P66" s="551">
        <f t="shared" si="38"/>
        <v>0.1818181818</v>
      </c>
      <c r="Q66" s="551">
        <f t="shared" si="38"/>
        <v>0.04761904762</v>
      </c>
      <c r="R66" s="551">
        <f t="shared" si="38"/>
        <v>0</v>
      </c>
      <c r="S66" s="551">
        <f t="shared" si="38"/>
        <v>0</v>
      </c>
      <c r="T66" s="551">
        <f t="shared" si="38"/>
        <v>0.09090909091</v>
      </c>
      <c r="U66" s="551">
        <f t="shared" si="38"/>
        <v>0</v>
      </c>
      <c r="V66" s="551">
        <f t="shared" si="38"/>
        <v>0.09090909091</v>
      </c>
      <c r="W66" s="551">
        <f t="shared" si="38"/>
        <v>0.1</v>
      </c>
      <c r="X66" s="551">
        <f t="shared" si="38"/>
        <v>0.07142857143</v>
      </c>
      <c r="Y66" s="551">
        <f t="shared" si="38"/>
        <v>0.05263157895</v>
      </c>
      <c r="Z66" s="551">
        <f t="shared" si="38"/>
        <v>0</v>
      </c>
      <c r="AA66" s="551">
        <f t="shared" si="38"/>
        <v>0</v>
      </c>
      <c r="AB66" s="551">
        <f t="shared" si="38"/>
        <v>0</v>
      </c>
      <c r="AC66" s="551">
        <f t="shared" si="38"/>
        <v>0.05555555556</v>
      </c>
      <c r="AD66" s="551">
        <f t="shared" si="38"/>
        <v>0.1428571429</v>
      </c>
      <c r="AE66" s="551">
        <f t="shared" si="38"/>
        <v>0.1111111111</v>
      </c>
      <c r="AF66" s="551">
        <f t="shared" si="38"/>
        <v>0</v>
      </c>
      <c r="AG66" s="510"/>
      <c r="AH66" s="511"/>
    </row>
    <row r="67" hidden="1" outlineLevel="1">
      <c r="A67" s="553"/>
      <c r="B67" s="554"/>
      <c r="C67" s="554"/>
      <c r="D67" s="554"/>
      <c r="E67" s="554"/>
      <c r="F67" s="554"/>
      <c r="G67" s="554"/>
      <c r="H67" s="554" t="str">
        <f t="shared" ref="H67:AF67" si="39">iferror(H41/#REF!,"")</f>
        <v/>
      </c>
      <c r="I67" s="554" t="str">
        <f t="shared" si="39"/>
        <v/>
      </c>
      <c r="J67" s="554" t="str">
        <f t="shared" si="39"/>
        <v/>
      </c>
      <c r="K67" s="554" t="str">
        <f t="shared" si="39"/>
        <v/>
      </c>
      <c r="L67" s="554" t="str">
        <f t="shared" si="39"/>
        <v/>
      </c>
      <c r="M67" s="554" t="str">
        <f t="shared" si="39"/>
        <v/>
      </c>
      <c r="N67" s="554" t="str">
        <f t="shared" si="39"/>
        <v/>
      </c>
      <c r="O67" s="554" t="str">
        <f t="shared" si="39"/>
        <v/>
      </c>
      <c r="P67" s="554" t="str">
        <f t="shared" si="39"/>
        <v/>
      </c>
      <c r="Q67" s="554" t="str">
        <f t="shared" si="39"/>
        <v/>
      </c>
      <c r="R67" s="554" t="str">
        <f t="shared" si="39"/>
        <v/>
      </c>
      <c r="S67" s="554" t="str">
        <f t="shared" si="39"/>
        <v/>
      </c>
      <c r="T67" s="554" t="str">
        <f t="shared" si="39"/>
        <v/>
      </c>
      <c r="U67" s="554" t="str">
        <f t="shared" si="39"/>
        <v/>
      </c>
      <c r="V67" s="554" t="str">
        <f t="shared" si="39"/>
        <v/>
      </c>
      <c r="W67" s="554" t="str">
        <f t="shared" si="39"/>
        <v/>
      </c>
      <c r="X67" s="554" t="str">
        <f t="shared" si="39"/>
        <v/>
      </c>
      <c r="Y67" s="554" t="str">
        <f t="shared" si="39"/>
        <v/>
      </c>
      <c r="Z67" s="554" t="str">
        <f t="shared" si="39"/>
        <v/>
      </c>
      <c r="AA67" s="554" t="str">
        <f t="shared" si="39"/>
        <v/>
      </c>
      <c r="AB67" s="554" t="str">
        <f t="shared" si="39"/>
        <v/>
      </c>
      <c r="AC67" s="554" t="str">
        <f t="shared" si="39"/>
        <v/>
      </c>
      <c r="AD67" s="554" t="str">
        <f t="shared" si="39"/>
        <v/>
      </c>
      <c r="AE67" s="554" t="str">
        <f t="shared" si="39"/>
        <v/>
      </c>
      <c r="AF67" s="554" t="str">
        <f t="shared" si="39"/>
        <v/>
      </c>
      <c r="AG67" s="510"/>
      <c r="AH67" s="511"/>
    </row>
    <row r="68" collapsed="1">
      <c r="A68" s="512" t="s">
        <v>798</v>
      </c>
      <c r="B68" s="551">
        <f t="shared" ref="B68:AF68" si="40">iferror(B42/B$60,"")</f>
        <v>0.3572580645</v>
      </c>
      <c r="C68" s="551">
        <f t="shared" si="40"/>
        <v>0.3968253968</v>
      </c>
      <c r="D68" s="551">
        <f t="shared" si="40"/>
        <v>0.355</v>
      </c>
      <c r="E68" s="551">
        <f t="shared" si="40"/>
        <v>0.3387096774</v>
      </c>
      <c r="F68" s="551">
        <f t="shared" si="40"/>
        <v>0.3885350318</v>
      </c>
      <c r="G68" s="551">
        <f t="shared" si="40"/>
        <v>0.2857142857</v>
      </c>
      <c r="H68" s="551">
        <f t="shared" si="40"/>
        <v>0.2985074627</v>
      </c>
      <c r="I68" s="551">
        <f t="shared" si="40"/>
        <v>0.264957265</v>
      </c>
      <c r="J68" s="551">
        <f t="shared" si="40"/>
        <v>0.4025974026</v>
      </c>
      <c r="K68" s="551">
        <f t="shared" si="40"/>
        <v>0.3112582781</v>
      </c>
      <c r="L68" s="551">
        <f t="shared" si="40"/>
        <v>0.3092783505</v>
      </c>
      <c r="M68" s="551">
        <f t="shared" si="40"/>
        <v>0.3181818182</v>
      </c>
      <c r="N68" s="551">
        <f t="shared" si="40"/>
        <v>0.3454545455</v>
      </c>
      <c r="O68" s="551">
        <f t="shared" si="40"/>
        <v>0.3114754098</v>
      </c>
      <c r="P68" s="551">
        <f t="shared" si="40"/>
        <v>0.2954545455</v>
      </c>
      <c r="Q68" s="551">
        <f t="shared" si="40"/>
        <v>0.359375</v>
      </c>
      <c r="R68" s="551">
        <f t="shared" si="40"/>
        <v>0.2765957447</v>
      </c>
      <c r="S68" s="551">
        <f t="shared" si="40"/>
        <v>0.3541666667</v>
      </c>
      <c r="T68" s="551">
        <f t="shared" si="40"/>
        <v>0.28125</v>
      </c>
      <c r="U68" s="551">
        <f t="shared" si="40"/>
        <v>0.3454545455</v>
      </c>
      <c r="V68" s="551">
        <f t="shared" si="40"/>
        <v>0.3260869565</v>
      </c>
      <c r="W68" s="551">
        <f t="shared" si="40"/>
        <v>0.3272727273</v>
      </c>
      <c r="X68" s="551">
        <f t="shared" si="40"/>
        <v>0.3448275862</v>
      </c>
      <c r="Y68" s="551">
        <f t="shared" si="40"/>
        <v>0.3194444444</v>
      </c>
      <c r="Z68" s="551">
        <f t="shared" si="40"/>
        <v>0.25</v>
      </c>
      <c r="AA68" s="551">
        <f t="shared" si="40"/>
        <v>0.3555555556</v>
      </c>
      <c r="AB68" s="551">
        <f t="shared" si="40"/>
        <v>0.3333333333</v>
      </c>
      <c r="AC68" s="551">
        <f t="shared" si="40"/>
        <v>0.3137254902</v>
      </c>
      <c r="AD68" s="551">
        <f t="shared" si="40"/>
        <v>0.1428571429</v>
      </c>
      <c r="AE68" s="551">
        <f t="shared" si="40"/>
        <v>0.2203389831</v>
      </c>
      <c r="AF68" s="551">
        <f t="shared" si="40"/>
        <v>0.3695652174</v>
      </c>
      <c r="AG68" s="510"/>
      <c r="AH68" s="511"/>
    </row>
    <row r="69" hidden="1" outlineLevel="1">
      <c r="A69" s="552" t="s">
        <v>808</v>
      </c>
      <c r="B69" s="551"/>
      <c r="C69" s="551"/>
      <c r="D69" s="551"/>
      <c r="E69" s="551"/>
      <c r="F69" s="551"/>
      <c r="G69" s="551"/>
      <c r="H69" s="551"/>
      <c r="I69" s="551"/>
      <c r="J69" s="551"/>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10"/>
      <c r="AH69" s="511"/>
    </row>
    <row r="70" hidden="1" outlineLevel="1">
      <c r="A70" s="512" t="s">
        <v>809</v>
      </c>
      <c r="B70" s="551">
        <f t="shared" ref="B70:AF70" si="41">iferror(B44/B$47,"")</f>
        <v>0.6704288939</v>
      </c>
      <c r="C70" s="551">
        <f t="shared" si="41"/>
        <v>0.56</v>
      </c>
      <c r="D70" s="551">
        <f t="shared" si="41"/>
        <v>0.7323943662</v>
      </c>
      <c r="E70" s="551">
        <f t="shared" si="41"/>
        <v>0.4285714286</v>
      </c>
      <c r="F70" s="551">
        <f t="shared" si="41"/>
        <v>0.6229508197</v>
      </c>
      <c r="G70" s="551">
        <f t="shared" si="41"/>
        <v>0.6578947368</v>
      </c>
      <c r="H70" s="551">
        <f t="shared" si="41"/>
        <v>0.675</v>
      </c>
      <c r="I70" s="551">
        <f t="shared" si="41"/>
        <v>0.6451612903</v>
      </c>
      <c r="J70" s="551">
        <f t="shared" si="41"/>
        <v>0.5322580645</v>
      </c>
      <c r="K70" s="551">
        <f t="shared" si="41"/>
        <v>0.6595744681</v>
      </c>
      <c r="L70" s="551">
        <f t="shared" si="41"/>
        <v>0.6</v>
      </c>
      <c r="M70" s="551">
        <f t="shared" si="41"/>
        <v>0.8095238095</v>
      </c>
      <c r="N70" s="551">
        <f t="shared" si="41"/>
        <v>0.5263157895</v>
      </c>
      <c r="O70" s="551">
        <f t="shared" si="41"/>
        <v>0.7368421053</v>
      </c>
      <c r="P70" s="551">
        <f t="shared" si="41"/>
        <v>0.5384615385</v>
      </c>
      <c r="Q70" s="551">
        <f t="shared" si="41"/>
        <v>0.4347826087</v>
      </c>
      <c r="R70" s="551">
        <f t="shared" si="41"/>
        <v>0.6923076923</v>
      </c>
      <c r="S70" s="551">
        <f t="shared" si="41"/>
        <v>0.7647058824</v>
      </c>
      <c r="T70" s="551">
        <f t="shared" si="41"/>
        <v>0.3333333333</v>
      </c>
      <c r="U70" s="551">
        <f t="shared" si="41"/>
        <v>0.6315789474</v>
      </c>
      <c r="V70" s="551">
        <f t="shared" si="41"/>
        <v>0.5333333333</v>
      </c>
      <c r="W70" s="551">
        <f t="shared" si="41"/>
        <v>0.5555555556</v>
      </c>
      <c r="X70" s="551">
        <f t="shared" si="41"/>
        <v>0.6</v>
      </c>
      <c r="Y70" s="551">
        <f t="shared" si="41"/>
        <v>0.6956521739</v>
      </c>
      <c r="Z70" s="551">
        <f t="shared" si="41"/>
        <v>0.6875</v>
      </c>
      <c r="AA70" s="551">
        <f t="shared" si="41"/>
        <v>0.25</v>
      </c>
      <c r="AB70" s="551">
        <f t="shared" si="41"/>
        <v>0.5333333333</v>
      </c>
      <c r="AC70" s="551">
        <f t="shared" si="41"/>
        <v>0.5625</v>
      </c>
      <c r="AD70" s="551">
        <f t="shared" si="41"/>
        <v>0.5</v>
      </c>
      <c r="AE70" s="551">
        <f t="shared" si="41"/>
        <v>0.6153846154</v>
      </c>
      <c r="AF70" s="551">
        <f t="shared" si="41"/>
        <v>0.7647058824</v>
      </c>
      <c r="AG70" s="510"/>
      <c r="AH70" s="511"/>
    </row>
    <row r="71" hidden="1" outlineLevel="1">
      <c r="A71" s="512" t="s">
        <v>810</v>
      </c>
      <c r="B71" s="551">
        <f t="shared" ref="B71:AF71" si="42">iferror(B45/B$47,"")</f>
        <v>0.2979683973</v>
      </c>
      <c r="C71" s="551">
        <f t="shared" si="42"/>
        <v>0.4</v>
      </c>
      <c r="D71" s="551">
        <f t="shared" si="42"/>
        <v>0.2535211268</v>
      </c>
      <c r="E71" s="551">
        <f t="shared" si="42"/>
        <v>0.5238095238</v>
      </c>
      <c r="F71" s="551">
        <f t="shared" si="42"/>
        <v>0.3278688525</v>
      </c>
      <c r="G71" s="551">
        <f t="shared" si="42"/>
        <v>0.3157894737</v>
      </c>
      <c r="H71" s="551">
        <f t="shared" si="42"/>
        <v>0.325</v>
      </c>
      <c r="I71" s="551">
        <f t="shared" si="42"/>
        <v>0.2258064516</v>
      </c>
      <c r="J71" s="551">
        <f t="shared" si="42"/>
        <v>0.3870967742</v>
      </c>
      <c r="K71" s="551">
        <f t="shared" si="42"/>
        <v>0.3404255319</v>
      </c>
      <c r="L71" s="551">
        <f t="shared" si="42"/>
        <v>0.3666666667</v>
      </c>
      <c r="M71" s="551">
        <f t="shared" si="42"/>
        <v>0.09523809524</v>
      </c>
      <c r="N71" s="551">
        <f t="shared" si="42"/>
        <v>0.3157894737</v>
      </c>
      <c r="O71" s="551">
        <f t="shared" si="42"/>
        <v>0.2631578947</v>
      </c>
      <c r="P71" s="551">
        <f t="shared" si="42"/>
        <v>0.3076923077</v>
      </c>
      <c r="Q71" s="551">
        <f t="shared" si="42"/>
        <v>0.5217391304</v>
      </c>
      <c r="R71" s="551">
        <f t="shared" si="42"/>
        <v>0.2307692308</v>
      </c>
      <c r="S71" s="551">
        <f t="shared" si="42"/>
        <v>0.1764705882</v>
      </c>
      <c r="T71" s="551">
        <f t="shared" si="42"/>
        <v>0.6666666667</v>
      </c>
      <c r="U71" s="551">
        <f t="shared" si="42"/>
        <v>0.3684210526</v>
      </c>
      <c r="V71" s="551">
        <f t="shared" si="42"/>
        <v>0.3333333333</v>
      </c>
      <c r="W71" s="551">
        <f t="shared" si="42"/>
        <v>0.3333333333</v>
      </c>
      <c r="X71" s="551">
        <f t="shared" si="42"/>
        <v>0.3</v>
      </c>
      <c r="Y71" s="551">
        <f t="shared" si="42"/>
        <v>0.3043478261</v>
      </c>
      <c r="Z71" s="551">
        <f t="shared" si="42"/>
        <v>0.25</v>
      </c>
      <c r="AA71" s="551">
        <f t="shared" si="42"/>
        <v>0.5</v>
      </c>
      <c r="AB71" s="551">
        <f t="shared" si="42"/>
        <v>0.4</v>
      </c>
      <c r="AC71" s="551">
        <f t="shared" si="42"/>
        <v>0.375</v>
      </c>
      <c r="AD71" s="551">
        <f t="shared" si="42"/>
        <v>0.5</v>
      </c>
      <c r="AE71" s="551">
        <f t="shared" si="42"/>
        <v>0.3846153846</v>
      </c>
      <c r="AF71" s="551">
        <f t="shared" si="42"/>
        <v>0.2352941176</v>
      </c>
      <c r="AG71" s="510"/>
      <c r="AH71" s="511"/>
    </row>
    <row r="72" hidden="1" outlineLevel="1">
      <c r="A72" s="512" t="s">
        <v>811</v>
      </c>
      <c r="B72" s="551">
        <f t="shared" ref="B72:AF72" si="43">iferror(B46/B$47,"")</f>
        <v>0.0316027088</v>
      </c>
      <c r="C72" s="551">
        <f t="shared" si="43"/>
        <v>0.04</v>
      </c>
      <c r="D72" s="551">
        <f t="shared" si="43"/>
        <v>0.01408450704</v>
      </c>
      <c r="E72" s="551">
        <f t="shared" si="43"/>
        <v>0.04761904762</v>
      </c>
      <c r="F72" s="551">
        <f t="shared" si="43"/>
        <v>0.04918032787</v>
      </c>
      <c r="G72" s="551">
        <f t="shared" si="43"/>
        <v>0.02631578947</v>
      </c>
      <c r="H72" s="551">
        <f t="shared" si="43"/>
        <v>0</v>
      </c>
      <c r="I72" s="551">
        <f t="shared" si="43"/>
        <v>0.1290322581</v>
      </c>
      <c r="J72" s="551">
        <f t="shared" si="43"/>
        <v>0.08064516129</v>
      </c>
      <c r="K72" s="551">
        <f t="shared" si="43"/>
        <v>0</v>
      </c>
      <c r="L72" s="551">
        <f t="shared" si="43"/>
        <v>0.03333333333</v>
      </c>
      <c r="M72" s="551">
        <f t="shared" si="43"/>
        <v>0.09523809524</v>
      </c>
      <c r="N72" s="551">
        <f t="shared" si="43"/>
        <v>0.1578947368</v>
      </c>
      <c r="O72" s="551">
        <f t="shared" si="43"/>
        <v>0</v>
      </c>
      <c r="P72" s="551">
        <f t="shared" si="43"/>
        <v>0.1538461538</v>
      </c>
      <c r="Q72" s="551">
        <f t="shared" si="43"/>
        <v>0.04347826087</v>
      </c>
      <c r="R72" s="551">
        <f t="shared" si="43"/>
        <v>0.07692307692</v>
      </c>
      <c r="S72" s="551">
        <f t="shared" si="43"/>
        <v>0.05882352941</v>
      </c>
      <c r="T72" s="551">
        <f t="shared" si="43"/>
        <v>0</v>
      </c>
      <c r="U72" s="551">
        <f t="shared" si="43"/>
        <v>0</v>
      </c>
      <c r="V72" s="551">
        <f t="shared" si="43"/>
        <v>0.1333333333</v>
      </c>
      <c r="W72" s="551">
        <f t="shared" si="43"/>
        <v>0.1111111111</v>
      </c>
      <c r="X72" s="551">
        <f t="shared" si="43"/>
        <v>0.1</v>
      </c>
      <c r="Y72" s="551">
        <f t="shared" si="43"/>
        <v>0</v>
      </c>
      <c r="Z72" s="551">
        <f t="shared" si="43"/>
        <v>0.0625</v>
      </c>
      <c r="AA72" s="551">
        <f t="shared" si="43"/>
        <v>0.25</v>
      </c>
      <c r="AB72" s="551">
        <f t="shared" si="43"/>
        <v>0.06666666667</v>
      </c>
      <c r="AC72" s="551">
        <f t="shared" si="43"/>
        <v>0.0625</v>
      </c>
      <c r="AD72" s="551">
        <f t="shared" si="43"/>
        <v>0</v>
      </c>
      <c r="AE72" s="551">
        <f t="shared" si="43"/>
        <v>0</v>
      </c>
      <c r="AF72" s="551">
        <f t="shared" si="43"/>
        <v>0</v>
      </c>
      <c r="AG72" s="510"/>
      <c r="AH72" s="511"/>
    </row>
    <row r="73" hidden="1" outlineLevel="1">
      <c r="A73" s="553"/>
      <c r="B73" s="554"/>
      <c r="C73" s="554"/>
      <c r="D73" s="554"/>
      <c r="E73" s="554"/>
      <c r="F73" s="554"/>
      <c r="G73" s="554"/>
      <c r="H73" s="554"/>
      <c r="I73" s="554"/>
      <c r="J73" s="554"/>
      <c r="K73" s="554"/>
      <c r="L73" s="554"/>
      <c r="M73" s="554"/>
      <c r="N73" s="554"/>
      <c r="O73" s="554"/>
      <c r="P73" s="554"/>
      <c r="Q73" s="554"/>
      <c r="R73" s="554"/>
      <c r="S73" s="554"/>
      <c r="T73" s="554"/>
      <c r="U73" s="554"/>
      <c r="V73" s="554"/>
      <c r="W73" s="554"/>
      <c r="X73" s="554"/>
      <c r="Y73" s="554"/>
      <c r="Z73" s="554"/>
      <c r="AA73" s="554"/>
      <c r="AB73" s="554"/>
      <c r="AC73" s="554"/>
      <c r="AD73" s="554"/>
      <c r="AE73" s="554"/>
      <c r="AF73" s="554"/>
      <c r="AG73" s="510"/>
      <c r="AH73" s="511"/>
    </row>
    <row r="74" collapsed="1">
      <c r="A74" s="512" t="s">
        <v>799</v>
      </c>
      <c r="B74" s="551">
        <f t="shared" ref="B74:AF74" si="44">iferror(B48/B$60,"")</f>
        <v>0.1185483871</v>
      </c>
      <c r="C74" s="551">
        <f t="shared" si="44"/>
        <v>0.1388888889</v>
      </c>
      <c r="D74" s="551">
        <f t="shared" si="44"/>
        <v>0.17</v>
      </c>
      <c r="E74" s="551">
        <f t="shared" si="44"/>
        <v>0.1559139785</v>
      </c>
      <c r="F74" s="551">
        <f t="shared" si="44"/>
        <v>0.2292993631</v>
      </c>
      <c r="G74" s="551">
        <f t="shared" si="44"/>
        <v>0.2180451128</v>
      </c>
      <c r="H74" s="551">
        <f t="shared" si="44"/>
        <v>0.2910447761</v>
      </c>
      <c r="I74" s="551">
        <f t="shared" si="44"/>
        <v>0.2222222222</v>
      </c>
      <c r="J74" s="551">
        <f t="shared" si="44"/>
        <v>0.1818181818</v>
      </c>
      <c r="K74" s="551">
        <f t="shared" si="44"/>
        <v>0.1655629139</v>
      </c>
      <c r="L74" s="551">
        <f t="shared" si="44"/>
        <v>0.2164948454</v>
      </c>
      <c r="M74" s="551">
        <f t="shared" si="44"/>
        <v>0.1363636364</v>
      </c>
      <c r="N74" s="551">
        <f t="shared" si="44"/>
        <v>0.1636363636</v>
      </c>
      <c r="O74" s="551">
        <f t="shared" si="44"/>
        <v>0.1803278689</v>
      </c>
      <c r="P74" s="551">
        <f t="shared" si="44"/>
        <v>0.25</v>
      </c>
      <c r="Q74" s="551">
        <f t="shared" si="44"/>
        <v>0.125</v>
      </c>
      <c r="R74" s="551">
        <f t="shared" si="44"/>
        <v>0.2978723404</v>
      </c>
      <c r="S74" s="551">
        <f t="shared" si="44"/>
        <v>0.2291666667</v>
      </c>
      <c r="T74" s="551">
        <f t="shared" si="44"/>
        <v>0.1875</v>
      </c>
      <c r="U74" s="551">
        <f t="shared" si="44"/>
        <v>0.2181818182</v>
      </c>
      <c r="V74" s="551">
        <f t="shared" si="44"/>
        <v>0.1739130435</v>
      </c>
      <c r="W74" s="551">
        <f t="shared" si="44"/>
        <v>0.3454545455</v>
      </c>
      <c r="X74" s="551">
        <f t="shared" si="44"/>
        <v>0.1896551724</v>
      </c>
      <c r="Y74" s="551">
        <f t="shared" si="44"/>
        <v>0.1805555556</v>
      </c>
      <c r="Z74" s="551">
        <f t="shared" si="44"/>
        <v>0.265625</v>
      </c>
      <c r="AA74" s="551">
        <f t="shared" si="44"/>
        <v>0.1111111111</v>
      </c>
      <c r="AB74" s="551">
        <f t="shared" si="44"/>
        <v>0.1555555556</v>
      </c>
      <c r="AC74" s="551">
        <f t="shared" si="44"/>
        <v>0.1568627451</v>
      </c>
      <c r="AD74" s="551">
        <f t="shared" si="44"/>
        <v>0.1785714286</v>
      </c>
      <c r="AE74" s="551">
        <f t="shared" si="44"/>
        <v>0.2711864407</v>
      </c>
      <c r="AF74" s="551">
        <f t="shared" si="44"/>
        <v>0.1956521739</v>
      </c>
      <c r="AG74" s="510"/>
      <c r="AH74" s="511"/>
    </row>
    <row r="75" hidden="1" outlineLevel="1">
      <c r="A75" s="552" t="s">
        <v>808</v>
      </c>
      <c r="B75" s="551"/>
      <c r="C75" s="551"/>
      <c r="D75" s="551"/>
      <c r="E75" s="551"/>
      <c r="F75" s="551"/>
      <c r="G75" s="551"/>
      <c r="H75" s="551"/>
      <c r="I75" s="551"/>
      <c r="J75" s="551"/>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10"/>
      <c r="AH75" s="511"/>
    </row>
    <row r="76" hidden="1" outlineLevel="1">
      <c r="A76" s="512" t="s">
        <v>809</v>
      </c>
      <c r="B76" s="551">
        <f t="shared" ref="B76:AF76" si="45">iferror(B50/B$53,"")</f>
        <v>0.462585034</v>
      </c>
      <c r="C76" s="551">
        <f t="shared" si="45"/>
        <v>0.4571428571</v>
      </c>
      <c r="D76" s="551">
        <f t="shared" si="45"/>
        <v>0.5</v>
      </c>
      <c r="E76" s="551">
        <f t="shared" si="45"/>
        <v>0.4482758621</v>
      </c>
      <c r="F76" s="551">
        <f t="shared" si="45"/>
        <v>0.4166666667</v>
      </c>
      <c r="G76" s="551">
        <f t="shared" si="45"/>
        <v>0.4482758621</v>
      </c>
      <c r="H76" s="551">
        <f t="shared" si="45"/>
        <v>0.641025641</v>
      </c>
      <c r="I76" s="551">
        <f t="shared" si="45"/>
        <v>0.4615384615</v>
      </c>
      <c r="J76" s="551">
        <f t="shared" si="45"/>
        <v>0.2857142857</v>
      </c>
      <c r="K76" s="551">
        <f t="shared" si="45"/>
        <v>0.36</v>
      </c>
      <c r="L76" s="551">
        <f t="shared" si="45"/>
        <v>0.5714285714</v>
      </c>
      <c r="M76" s="551">
        <f t="shared" si="45"/>
        <v>0.1111111111</v>
      </c>
      <c r="N76" s="551">
        <f t="shared" si="45"/>
        <v>0.4444444444</v>
      </c>
      <c r="O76" s="551">
        <f t="shared" si="45"/>
        <v>0.6363636364</v>
      </c>
      <c r="P76" s="551">
        <f t="shared" si="45"/>
        <v>0.5454545455</v>
      </c>
      <c r="Q76" s="551">
        <f t="shared" si="45"/>
        <v>0.5</v>
      </c>
      <c r="R76" s="551">
        <f t="shared" si="45"/>
        <v>0.4285714286</v>
      </c>
      <c r="S76" s="551">
        <f t="shared" si="45"/>
        <v>0.5454545455</v>
      </c>
      <c r="T76" s="551">
        <f t="shared" si="45"/>
        <v>0.6666666667</v>
      </c>
      <c r="U76" s="551">
        <f t="shared" si="45"/>
        <v>0.4166666667</v>
      </c>
      <c r="V76" s="551">
        <f t="shared" si="45"/>
        <v>0.25</v>
      </c>
      <c r="W76" s="551">
        <f t="shared" si="45"/>
        <v>0.5263157895</v>
      </c>
      <c r="X76" s="551">
        <f t="shared" si="45"/>
        <v>0.3636363636</v>
      </c>
      <c r="Y76" s="551">
        <f t="shared" si="45"/>
        <v>0.2307692308</v>
      </c>
      <c r="Z76" s="551">
        <f t="shared" si="45"/>
        <v>0.3529411765</v>
      </c>
      <c r="AA76" s="551">
        <f t="shared" si="45"/>
        <v>0.4</v>
      </c>
      <c r="AB76" s="551">
        <f t="shared" si="45"/>
        <v>0.2857142857</v>
      </c>
      <c r="AC76" s="551">
        <f t="shared" si="45"/>
        <v>0.5</v>
      </c>
      <c r="AD76" s="551">
        <f t="shared" si="45"/>
        <v>0.2</v>
      </c>
      <c r="AE76" s="551">
        <f t="shared" si="45"/>
        <v>0.5</v>
      </c>
      <c r="AF76" s="551">
        <f t="shared" si="45"/>
        <v>0.7777777778</v>
      </c>
      <c r="AG76" s="510"/>
      <c r="AH76" s="511"/>
    </row>
    <row r="77" hidden="1" outlineLevel="1">
      <c r="A77" s="512" t="s">
        <v>810</v>
      </c>
      <c r="B77" s="551">
        <f t="shared" ref="B77:AF77" si="46">iferror(B51/B$53,"")</f>
        <v>0.4285714286</v>
      </c>
      <c r="C77" s="551">
        <f t="shared" si="46"/>
        <v>0.4285714286</v>
      </c>
      <c r="D77" s="551">
        <f t="shared" si="46"/>
        <v>0.4411764706</v>
      </c>
      <c r="E77" s="551">
        <f t="shared" si="46"/>
        <v>0.3793103448</v>
      </c>
      <c r="F77" s="551">
        <f t="shared" si="46"/>
        <v>0.4444444444</v>
      </c>
      <c r="G77" s="551">
        <f t="shared" si="46"/>
        <v>0.275862069</v>
      </c>
      <c r="H77" s="551">
        <f t="shared" si="46"/>
        <v>0.2820512821</v>
      </c>
      <c r="I77" s="551">
        <f t="shared" si="46"/>
        <v>0.4230769231</v>
      </c>
      <c r="J77" s="551">
        <f t="shared" si="46"/>
        <v>0.6428571429</v>
      </c>
      <c r="K77" s="551">
        <f t="shared" si="46"/>
        <v>0.4</v>
      </c>
      <c r="L77" s="551">
        <f t="shared" si="46"/>
        <v>0.380952381</v>
      </c>
      <c r="M77" s="551">
        <f t="shared" si="46"/>
        <v>0.4444444444</v>
      </c>
      <c r="N77" s="551">
        <f t="shared" si="46"/>
        <v>0.5555555556</v>
      </c>
      <c r="O77" s="551">
        <f t="shared" si="46"/>
        <v>0.3636363636</v>
      </c>
      <c r="P77" s="551">
        <f t="shared" si="46"/>
        <v>0.2727272727</v>
      </c>
      <c r="Q77" s="551">
        <f t="shared" si="46"/>
        <v>0.375</v>
      </c>
      <c r="R77" s="551">
        <f t="shared" si="46"/>
        <v>0.5714285714</v>
      </c>
      <c r="S77" s="551">
        <f t="shared" si="46"/>
        <v>0.2727272727</v>
      </c>
      <c r="T77" s="551">
        <f t="shared" si="46"/>
        <v>0</v>
      </c>
      <c r="U77" s="551">
        <f t="shared" si="46"/>
        <v>0.4166666667</v>
      </c>
      <c r="V77" s="551">
        <f t="shared" si="46"/>
        <v>0.375</v>
      </c>
      <c r="W77" s="551">
        <f t="shared" si="46"/>
        <v>0.2631578947</v>
      </c>
      <c r="X77" s="551">
        <f t="shared" si="46"/>
        <v>0.3636363636</v>
      </c>
      <c r="Y77" s="551">
        <f t="shared" si="46"/>
        <v>0.6923076923</v>
      </c>
      <c r="Z77" s="551">
        <f t="shared" si="46"/>
        <v>0.5882352941</v>
      </c>
      <c r="AA77" s="551">
        <f t="shared" si="46"/>
        <v>0.4</v>
      </c>
      <c r="AB77" s="551">
        <f t="shared" si="46"/>
        <v>0.5714285714</v>
      </c>
      <c r="AC77" s="551">
        <f t="shared" si="46"/>
        <v>0.5</v>
      </c>
      <c r="AD77" s="551">
        <f t="shared" si="46"/>
        <v>0.4</v>
      </c>
      <c r="AE77" s="551">
        <f t="shared" si="46"/>
        <v>0.4375</v>
      </c>
      <c r="AF77" s="551">
        <f t="shared" si="46"/>
        <v>0.2222222222</v>
      </c>
      <c r="AG77" s="510"/>
      <c r="AH77" s="511"/>
    </row>
    <row r="78" hidden="1" outlineLevel="1">
      <c r="A78" s="512" t="s">
        <v>811</v>
      </c>
      <c r="B78" s="551">
        <f t="shared" ref="B78:AF78" si="47">iferror(B52/B$53,"")</f>
        <v>0.1088435374</v>
      </c>
      <c r="C78" s="551">
        <f t="shared" si="47"/>
        <v>0.1142857143</v>
      </c>
      <c r="D78" s="551">
        <f t="shared" si="47"/>
        <v>0.05882352941</v>
      </c>
      <c r="E78" s="551">
        <f t="shared" si="47"/>
        <v>0.1724137931</v>
      </c>
      <c r="F78" s="551">
        <f t="shared" si="47"/>
        <v>0.1388888889</v>
      </c>
      <c r="G78" s="551">
        <f t="shared" si="47"/>
        <v>0.275862069</v>
      </c>
      <c r="H78" s="551">
        <f t="shared" si="47"/>
        <v>0.07692307692</v>
      </c>
      <c r="I78" s="551">
        <f t="shared" si="47"/>
        <v>0.1153846154</v>
      </c>
      <c r="J78" s="551">
        <f t="shared" si="47"/>
        <v>0.07142857143</v>
      </c>
      <c r="K78" s="551">
        <f t="shared" si="47"/>
        <v>0.24</v>
      </c>
      <c r="L78" s="551">
        <f t="shared" si="47"/>
        <v>0.04761904762</v>
      </c>
      <c r="M78" s="551">
        <f t="shared" si="47"/>
        <v>0.4444444444</v>
      </c>
      <c r="N78" s="551">
        <f t="shared" si="47"/>
        <v>0</v>
      </c>
      <c r="O78" s="551">
        <f t="shared" si="47"/>
        <v>0</v>
      </c>
      <c r="P78" s="551">
        <f t="shared" si="47"/>
        <v>0.1818181818</v>
      </c>
      <c r="Q78" s="551">
        <f t="shared" si="47"/>
        <v>0.125</v>
      </c>
      <c r="R78" s="551">
        <f t="shared" si="47"/>
        <v>0</v>
      </c>
      <c r="S78" s="551">
        <f t="shared" si="47"/>
        <v>0.1818181818</v>
      </c>
      <c r="T78" s="551">
        <f t="shared" si="47"/>
        <v>0.3333333333</v>
      </c>
      <c r="U78" s="551">
        <f t="shared" si="47"/>
        <v>0.1666666667</v>
      </c>
      <c r="V78" s="551">
        <f t="shared" si="47"/>
        <v>0.375</v>
      </c>
      <c r="W78" s="551">
        <f t="shared" si="47"/>
        <v>0.2105263158</v>
      </c>
      <c r="X78" s="551">
        <f t="shared" si="47"/>
        <v>0.2727272727</v>
      </c>
      <c r="Y78" s="551">
        <f t="shared" si="47"/>
        <v>0.07692307692</v>
      </c>
      <c r="Z78" s="551">
        <f t="shared" si="47"/>
        <v>0.05882352941</v>
      </c>
      <c r="AA78" s="551">
        <f t="shared" si="47"/>
        <v>0.2</v>
      </c>
      <c r="AB78" s="551">
        <f t="shared" si="47"/>
        <v>0.1428571429</v>
      </c>
      <c r="AC78" s="551">
        <f t="shared" si="47"/>
        <v>0</v>
      </c>
      <c r="AD78" s="551">
        <f t="shared" si="47"/>
        <v>0.4</v>
      </c>
      <c r="AE78" s="551">
        <f t="shared" si="47"/>
        <v>0.0625</v>
      </c>
      <c r="AF78" s="551">
        <f t="shared" si="47"/>
        <v>0</v>
      </c>
      <c r="AG78" s="510"/>
      <c r="AH78" s="511"/>
    </row>
    <row r="79" hidden="1" outlineLevel="1">
      <c r="A79" s="555"/>
      <c r="B79" s="551"/>
      <c r="C79" s="551"/>
      <c r="D79" s="551"/>
      <c r="E79" s="551"/>
      <c r="F79" s="551"/>
      <c r="G79" s="551"/>
      <c r="H79" s="551"/>
      <c r="I79" s="551"/>
      <c r="J79" s="551"/>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10"/>
      <c r="AH79" s="511"/>
    </row>
    <row r="80" collapsed="1">
      <c r="A80" s="473" t="s">
        <v>801</v>
      </c>
      <c r="B80" s="551">
        <f t="shared" ref="B80:AF80" si="48">iferror(B54/B$60,"")</f>
        <v>0.2129032258</v>
      </c>
      <c r="C80" s="551">
        <f t="shared" si="48"/>
        <v>0.1626984127</v>
      </c>
      <c r="D80" s="551">
        <f t="shared" si="48"/>
        <v>0.205</v>
      </c>
      <c r="E80" s="551">
        <f t="shared" si="48"/>
        <v>0.2096774194</v>
      </c>
      <c r="F80" s="551">
        <f t="shared" si="48"/>
        <v>0.1910828025</v>
      </c>
      <c r="G80" s="551">
        <f t="shared" si="48"/>
        <v>0.1729323308</v>
      </c>
      <c r="H80" s="551">
        <f t="shared" si="48"/>
        <v>0.1865671642</v>
      </c>
      <c r="I80" s="551">
        <f t="shared" si="48"/>
        <v>0.2136752137</v>
      </c>
      <c r="J80" s="551">
        <f t="shared" si="48"/>
        <v>0.2142857143</v>
      </c>
      <c r="K80" s="551">
        <f t="shared" si="48"/>
        <v>0.1589403974</v>
      </c>
      <c r="L80" s="551">
        <f t="shared" si="48"/>
        <v>0.2268041237</v>
      </c>
      <c r="M80" s="551">
        <f t="shared" si="48"/>
        <v>0.2272727273</v>
      </c>
      <c r="N80" s="551">
        <f t="shared" si="48"/>
        <v>0.2</v>
      </c>
      <c r="O80" s="551">
        <f t="shared" si="48"/>
        <v>0.2786885246</v>
      </c>
      <c r="P80" s="551">
        <f t="shared" si="48"/>
        <v>0.2045454545</v>
      </c>
      <c r="Q80" s="551">
        <f t="shared" si="48"/>
        <v>0.1875</v>
      </c>
      <c r="R80" s="551">
        <f t="shared" si="48"/>
        <v>0.04255319149</v>
      </c>
      <c r="S80" s="551">
        <f t="shared" si="48"/>
        <v>0.1666666667</v>
      </c>
      <c r="T80" s="551">
        <f t="shared" si="48"/>
        <v>0.1875</v>
      </c>
      <c r="U80" s="551">
        <f t="shared" si="48"/>
        <v>0.1454545455</v>
      </c>
      <c r="V80" s="551">
        <f t="shared" si="48"/>
        <v>0.2608695652</v>
      </c>
      <c r="W80" s="551">
        <f t="shared" si="48"/>
        <v>0.1454545455</v>
      </c>
      <c r="X80" s="551">
        <f t="shared" si="48"/>
        <v>0.224137931</v>
      </c>
      <c r="Y80" s="551">
        <f t="shared" si="48"/>
        <v>0.2361111111</v>
      </c>
      <c r="Z80" s="551">
        <f t="shared" si="48"/>
        <v>0.296875</v>
      </c>
      <c r="AA80" s="551">
        <f t="shared" si="48"/>
        <v>0.2222222222</v>
      </c>
      <c r="AB80" s="551">
        <f t="shared" si="48"/>
        <v>0.2222222222</v>
      </c>
      <c r="AC80" s="551">
        <f t="shared" si="48"/>
        <v>0.1764705882</v>
      </c>
      <c r="AD80" s="551">
        <f t="shared" si="48"/>
        <v>0.4285714286</v>
      </c>
      <c r="AE80" s="551">
        <f t="shared" si="48"/>
        <v>0.2033898305</v>
      </c>
      <c r="AF80" s="551">
        <f t="shared" si="48"/>
        <v>0.1739130435</v>
      </c>
      <c r="AG80" s="511"/>
      <c r="AH80" s="511"/>
    </row>
    <row r="81" hidden="1" outlineLevel="1">
      <c r="A81" s="552" t="s">
        <v>808</v>
      </c>
      <c r="B81" s="551"/>
      <c r="C81" s="551"/>
      <c r="D81" s="551"/>
      <c r="E81" s="551"/>
      <c r="F81" s="551"/>
      <c r="G81" s="551"/>
      <c r="H81" s="551"/>
      <c r="I81" s="551"/>
      <c r="J81" s="551"/>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10"/>
      <c r="AH81" s="511"/>
    </row>
    <row r="82" hidden="1" outlineLevel="1">
      <c r="A82" s="512" t="s">
        <v>809</v>
      </c>
      <c r="B82" s="551">
        <f t="shared" ref="B82:AF82" si="49">iferror(B56/B$59,"")</f>
        <v>0.5833333333</v>
      </c>
      <c r="C82" s="551">
        <f t="shared" si="49"/>
        <v>0.4390243902</v>
      </c>
      <c r="D82" s="551">
        <f t="shared" si="49"/>
        <v>0.487804878</v>
      </c>
      <c r="E82" s="551">
        <f t="shared" si="49"/>
        <v>0.4871794872</v>
      </c>
      <c r="F82" s="551">
        <f t="shared" si="49"/>
        <v>0.3666666667</v>
      </c>
      <c r="G82" s="551">
        <f t="shared" si="49"/>
        <v>0.5217391304</v>
      </c>
      <c r="H82" s="551">
        <f t="shared" si="49"/>
        <v>0.36</v>
      </c>
      <c r="I82" s="551">
        <f t="shared" si="49"/>
        <v>0.36</v>
      </c>
      <c r="J82" s="551">
        <f t="shared" si="49"/>
        <v>0.3939393939</v>
      </c>
      <c r="K82" s="551">
        <f t="shared" si="49"/>
        <v>0.3333333333</v>
      </c>
      <c r="L82" s="551">
        <f t="shared" si="49"/>
        <v>0.3636363636</v>
      </c>
      <c r="M82" s="551">
        <f t="shared" si="49"/>
        <v>0.5333333333</v>
      </c>
      <c r="N82" s="551">
        <f t="shared" si="49"/>
        <v>0.5454545455</v>
      </c>
      <c r="O82" s="551">
        <f t="shared" si="49"/>
        <v>0.4117647059</v>
      </c>
      <c r="P82" s="551">
        <f t="shared" si="49"/>
        <v>0.3333333333</v>
      </c>
      <c r="Q82" s="551">
        <f t="shared" si="49"/>
        <v>0.6666666667</v>
      </c>
      <c r="R82" s="551">
        <f t="shared" si="49"/>
        <v>0</v>
      </c>
      <c r="S82" s="551">
        <f t="shared" si="49"/>
        <v>0.375</v>
      </c>
      <c r="T82" s="551">
        <f t="shared" si="49"/>
        <v>0.6666666667</v>
      </c>
      <c r="U82" s="551">
        <f t="shared" si="49"/>
        <v>0.5</v>
      </c>
      <c r="V82" s="551">
        <f t="shared" si="49"/>
        <v>0.6666666667</v>
      </c>
      <c r="W82" s="551">
        <f t="shared" si="49"/>
        <v>0.875</v>
      </c>
      <c r="X82" s="551">
        <f t="shared" si="49"/>
        <v>0.6153846154</v>
      </c>
      <c r="Y82" s="551">
        <f t="shared" si="49"/>
        <v>0.4705882353</v>
      </c>
      <c r="Z82" s="551">
        <f t="shared" si="49"/>
        <v>0.5789473684</v>
      </c>
      <c r="AA82" s="551">
        <f t="shared" si="49"/>
        <v>0.6</v>
      </c>
      <c r="AB82" s="551">
        <f t="shared" si="49"/>
        <v>0.4</v>
      </c>
      <c r="AC82" s="551">
        <f t="shared" si="49"/>
        <v>0.5555555556</v>
      </c>
      <c r="AD82" s="551">
        <f t="shared" si="49"/>
        <v>0.4166666667</v>
      </c>
      <c r="AE82" s="551">
        <f t="shared" si="49"/>
        <v>0.25</v>
      </c>
      <c r="AF82" s="551">
        <f t="shared" si="49"/>
        <v>0.625</v>
      </c>
      <c r="AG82" s="510"/>
      <c r="AH82" s="511"/>
    </row>
    <row r="83" hidden="1" outlineLevel="1">
      <c r="A83" s="512" t="s">
        <v>810</v>
      </c>
      <c r="B83" s="551">
        <f t="shared" ref="B83:AF83" si="50">iferror(B57/B$59,"")</f>
        <v>0.3712121212</v>
      </c>
      <c r="C83" s="551">
        <f t="shared" si="50"/>
        <v>0.3902439024</v>
      </c>
      <c r="D83" s="551">
        <f t="shared" si="50"/>
        <v>0.4146341463</v>
      </c>
      <c r="E83" s="551">
        <f t="shared" si="50"/>
        <v>0.4358974359</v>
      </c>
      <c r="F83" s="551">
        <f t="shared" si="50"/>
        <v>0.5</v>
      </c>
      <c r="G83" s="551">
        <f t="shared" si="50"/>
        <v>0.4347826087</v>
      </c>
      <c r="H83" s="551">
        <f t="shared" si="50"/>
        <v>0.56</v>
      </c>
      <c r="I83" s="551">
        <f t="shared" si="50"/>
        <v>0.6</v>
      </c>
      <c r="J83" s="551">
        <f t="shared" si="50"/>
        <v>0.3333333333</v>
      </c>
      <c r="K83" s="551">
        <f t="shared" si="50"/>
        <v>0.5833333333</v>
      </c>
      <c r="L83" s="551">
        <f t="shared" si="50"/>
        <v>0.4090909091</v>
      </c>
      <c r="M83" s="551">
        <f t="shared" si="50"/>
        <v>0.4</v>
      </c>
      <c r="N83" s="551">
        <f t="shared" si="50"/>
        <v>0.4545454545</v>
      </c>
      <c r="O83" s="551">
        <f t="shared" si="50"/>
        <v>0.5294117647</v>
      </c>
      <c r="P83" s="551">
        <f t="shared" si="50"/>
        <v>0.6666666667</v>
      </c>
      <c r="Q83" s="551">
        <f t="shared" si="50"/>
        <v>0.25</v>
      </c>
      <c r="R83" s="551">
        <f t="shared" si="50"/>
        <v>1</v>
      </c>
      <c r="S83" s="551">
        <f t="shared" si="50"/>
        <v>0.375</v>
      </c>
      <c r="T83" s="551">
        <f t="shared" si="50"/>
        <v>0.1666666667</v>
      </c>
      <c r="U83" s="551">
        <f t="shared" si="50"/>
        <v>0.375</v>
      </c>
      <c r="V83" s="551">
        <f t="shared" si="50"/>
        <v>0.1666666667</v>
      </c>
      <c r="W83" s="551">
        <f t="shared" si="50"/>
        <v>0.125</v>
      </c>
      <c r="X83" s="551">
        <f t="shared" si="50"/>
        <v>0.2307692308</v>
      </c>
      <c r="Y83" s="551">
        <f t="shared" si="50"/>
        <v>0.3529411765</v>
      </c>
      <c r="Z83" s="551">
        <f t="shared" si="50"/>
        <v>0.4210526316</v>
      </c>
      <c r="AA83" s="551">
        <f t="shared" si="50"/>
        <v>0.3</v>
      </c>
      <c r="AB83" s="551">
        <f t="shared" si="50"/>
        <v>0.4</v>
      </c>
      <c r="AC83" s="551">
        <f t="shared" si="50"/>
        <v>0.3333333333</v>
      </c>
      <c r="AD83" s="551">
        <f t="shared" si="50"/>
        <v>0.3333333333</v>
      </c>
      <c r="AE83" s="551">
        <f t="shared" si="50"/>
        <v>0.6666666667</v>
      </c>
      <c r="AF83" s="551">
        <f t="shared" si="50"/>
        <v>0.125</v>
      </c>
      <c r="AG83" s="510"/>
      <c r="AH83" s="511"/>
    </row>
    <row r="84" hidden="1" outlineLevel="1">
      <c r="A84" s="512" t="s">
        <v>811</v>
      </c>
      <c r="B84" s="551">
        <f t="shared" ref="B84:AF84" si="51">iferror(B58/B$59,"")</f>
        <v>0.04545454545</v>
      </c>
      <c r="C84" s="551">
        <f t="shared" si="51"/>
        <v>0.1707317073</v>
      </c>
      <c r="D84" s="551">
        <f t="shared" si="51"/>
        <v>0.09756097561</v>
      </c>
      <c r="E84" s="551">
        <f t="shared" si="51"/>
        <v>0.07692307692</v>
      </c>
      <c r="F84" s="551">
        <f t="shared" si="51"/>
        <v>0.1333333333</v>
      </c>
      <c r="G84" s="551">
        <f t="shared" si="51"/>
        <v>0.04347826087</v>
      </c>
      <c r="H84" s="551">
        <f t="shared" si="51"/>
        <v>0.08</v>
      </c>
      <c r="I84" s="551">
        <f t="shared" si="51"/>
        <v>0.04</v>
      </c>
      <c r="J84" s="551">
        <f t="shared" si="51"/>
        <v>0.2727272727</v>
      </c>
      <c r="K84" s="551">
        <f t="shared" si="51"/>
        <v>0.08333333333</v>
      </c>
      <c r="L84" s="551">
        <f t="shared" si="51"/>
        <v>0.2272727273</v>
      </c>
      <c r="M84" s="551">
        <f t="shared" si="51"/>
        <v>0.06666666667</v>
      </c>
      <c r="N84" s="551">
        <f t="shared" si="51"/>
        <v>0</v>
      </c>
      <c r="O84" s="551">
        <f t="shared" si="51"/>
        <v>0.05882352941</v>
      </c>
      <c r="P84" s="551">
        <f t="shared" si="51"/>
        <v>0</v>
      </c>
      <c r="Q84" s="551">
        <f t="shared" si="51"/>
        <v>0.08333333333</v>
      </c>
      <c r="R84" s="551">
        <f t="shared" si="51"/>
        <v>0</v>
      </c>
      <c r="S84" s="551">
        <f t="shared" si="51"/>
        <v>0.25</v>
      </c>
      <c r="T84" s="551">
        <f t="shared" si="51"/>
        <v>0.1666666667</v>
      </c>
      <c r="U84" s="551">
        <f t="shared" si="51"/>
        <v>0.125</v>
      </c>
      <c r="V84" s="551">
        <f t="shared" si="51"/>
        <v>0.1666666667</v>
      </c>
      <c r="W84" s="551">
        <f t="shared" si="51"/>
        <v>0</v>
      </c>
      <c r="X84" s="551">
        <f t="shared" si="51"/>
        <v>0.1538461538</v>
      </c>
      <c r="Y84" s="551">
        <f t="shared" si="51"/>
        <v>0.1764705882</v>
      </c>
      <c r="Z84" s="551">
        <f t="shared" si="51"/>
        <v>0</v>
      </c>
      <c r="AA84" s="551">
        <f t="shared" si="51"/>
        <v>0.1</v>
      </c>
      <c r="AB84" s="551">
        <f t="shared" si="51"/>
        <v>0.2</v>
      </c>
      <c r="AC84" s="551">
        <f t="shared" si="51"/>
        <v>0.1111111111</v>
      </c>
      <c r="AD84" s="551">
        <f t="shared" si="51"/>
        <v>0.25</v>
      </c>
      <c r="AE84" s="551">
        <f t="shared" si="51"/>
        <v>0.08333333333</v>
      </c>
      <c r="AF84" s="551">
        <f t="shared" si="51"/>
        <v>0.25</v>
      </c>
      <c r="AG84" s="510"/>
      <c r="AH84" s="511"/>
    </row>
    <row r="85" hidden="1" outlineLevel="1">
      <c r="A85" s="553"/>
      <c r="B85" s="554"/>
      <c r="C85" s="554"/>
      <c r="D85" s="554"/>
      <c r="E85" s="554"/>
      <c r="F85" s="554"/>
      <c r="G85" s="554"/>
      <c r="H85" s="554"/>
      <c r="I85" s="554"/>
      <c r="J85" s="554"/>
      <c r="K85" s="554"/>
      <c r="L85" s="554"/>
      <c r="M85" s="554"/>
      <c r="N85" s="554"/>
      <c r="O85" s="554"/>
      <c r="P85" s="554"/>
      <c r="Q85" s="554"/>
      <c r="R85" s="554"/>
      <c r="S85" s="554"/>
      <c r="T85" s="554"/>
      <c r="U85" s="554"/>
      <c r="V85" s="554"/>
      <c r="W85" s="554"/>
      <c r="X85" s="554"/>
      <c r="Y85" s="554"/>
      <c r="Z85" s="554"/>
      <c r="AA85" s="554"/>
      <c r="AB85" s="554"/>
      <c r="AC85" s="554"/>
      <c r="AD85" s="554"/>
      <c r="AE85" s="554"/>
      <c r="AF85" s="554"/>
      <c r="AG85" s="510"/>
      <c r="AH85" s="511"/>
    </row>
    <row r="86">
      <c r="B86" s="529"/>
      <c r="C86" s="529"/>
      <c r="D86" s="529"/>
      <c r="E86" s="529"/>
      <c r="F86" s="529"/>
      <c r="G86" s="529"/>
      <c r="H86" s="529"/>
      <c r="I86" s="529"/>
      <c r="J86" s="529"/>
      <c r="K86" s="529"/>
      <c r="L86" s="529"/>
      <c r="M86" s="529"/>
      <c r="N86" s="529"/>
      <c r="O86" s="529"/>
      <c r="P86" s="529"/>
      <c r="Q86" s="529"/>
      <c r="R86" s="529"/>
      <c r="S86" s="529"/>
      <c r="T86" s="529"/>
      <c r="U86" s="529"/>
      <c r="V86" s="529"/>
      <c r="W86" s="529"/>
      <c r="X86" s="529"/>
      <c r="Y86" s="529"/>
      <c r="Z86" s="529"/>
      <c r="AA86" s="529"/>
      <c r="AB86" s="529"/>
      <c r="AC86" s="529"/>
      <c r="AD86" s="529"/>
      <c r="AE86" s="529"/>
      <c r="AF86" s="529"/>
      <c r="AG86" s="556"/>
      <c r="AH86" s="528"/>
    </row>
    <row r="87">
      <c r="A87" s="557"/>
      <c r="B87" s="558"/>
      <c r="C87" s="558"/>
      <c r="D87" s="558"/>
      <c r="E87" s="558"/>
      <c r="F87" s="558"/>
      <c r="G87" s="558"/>
      <c r="H87" s="558"/>
      <c r="I87" s="558"/>
      <c r="J87" s="558"/>
      <c r="K87" s="558"/>
      <c r="L87" s="558"/>
      <c r="M87" s="558"/>
      <c r="N87" s="558"/>
      <c r="O87" s="558"/>
      <c r="P87" s="558"/>
      <c r="Q87" s="558"/>
      <c r="R87" s="558"/>
      <c r="S87" s="558"/>
      <c r="T87" s="558"/>
      <c r="U87" s="558"/>
      <c r="V87" s="558"/>
      <c r="W87" s="558"/>
      <c r="X87" s="558"/>
      <c r="Y87" s="558"/>
      <c r="Z87" s="558"/>
      <c r="AA87" s="558"/>
      <c r="AB87" s="558"/>
      <c r="AC87" s="558"/>
      <c r="AD87" s="558"/>
      <c r="AE87" s="558"/>
      <c r="AF87" s="558"/>
      <c r="AG87" s="556"/>
      <c r="AH87" s="528"/>
    </row>
    <row r="88">
      <c r="A88" s="557"/>
      <c r="B88" s="558"/>
      <c r="C88" s="558"/>
      <c r="D88" s="558"/>
      <c r="E88" s="558"/>
      <c r="F88" s="558"/>
      <c r="G88" s="558"/>
      <c r="H88" s="558"/>
      <c r="I88" s="558"/>
      <c r="J88" s="558"/>
      <c r="K88" s="558"/>
      <c r="L88" s="558"/>
      <c r="M88" s="558"/>
      <c r="N88" s="558"/>
      <c r="O88" s="558"/>
      <c r="P88" s="558"/>
      <c r="Q88" s="558"/>
      <c r="R88" s="558"/>
      <c r="S88" s="558"/>
      <c r="T88" s="558"/>
      <c r="U88" s="558"/>
      <c r="V88" s="558"/>
      <c r="W88" s="558"/>
      <c r="X88" s="558"/>
      <c r="Y88" s="558"/>
      <c r="Z88" s="558"/>
      <c r="AA88" s="558"/>
      <c r="AB88" s="558"/>
      <c r="AC88" s="558"/>
      <c r="AD88" s="558"/>
      <c r="AE88" s="558"/>
      <c r="AF88" s="558"/>
      <c r="AG88" s="556"/>
      <c r="AH88" s="528"/>
    </row>
    <row r="89">
      <c r="B89" s="529"/>
      <c r="C89" s="529"/>
      <c r="D89" s="529"/>
      <c r="E89" s="529"/>
      <c r="F89" s="529"/>
      <c r="G89" s="529"/>
      <c r="H89" s="529"/>
      <c r="I89" s="529"/>
      <c r="J89" s="529"/>
      <c r="K89" s="529"/>
      <c r="L89" s="529"/>
      <c r="M89" s="529"/>
      <c r="N89" s="529"/>
      <c r="O89" s="529"/>
      <c r="P89" s="529"/>
      <c r="Q89" s="529"/>
      <c r="R89" s="529"/>
      <c r="S89" s="529"/>
      <c r="T89" s="529"/>
      <c r="U89" s="529"/>
      <c r="V89" s="529"/>
      <c r="W89" s="529"/>
      <c r="X89" s="529"/>
      <c r="Y89" s="529"/>
      <c r="Z89" s="529"/>
      <c r="AA89" s="529"/>
      <c r="AB89" s="529"/>
      <c r="AC89" s="529"/>
      <c r="AD89" s="529"/>
      <c r="AE89" s="529"/>
      <c r="AF89" s="529"/>
      <c r="AG89" s="556"/>
      <c r="AH89" s="528"/>
    </row>
    <row r="90">
      <c r="A90" s="532" t="s">
        <v>794</v>
      </c>
      <c r="B90" s="533"/>
      <c r="C90" s="533"/>
      <c r="D90" s="533"/>
      <c r="E90" s="533"/>
      <c r="F90" s="533"/>
      <c r="G90" s="533"/>
      <c r="H90" s="533"/>
      <c r="I90" s="533"/>
      <c r="J90" s="533"/>
      <c r="K90" s="533"/>
      <c r="L90" s="533"/>
      <c r="M90" s="533"/>
      <c r="N90" s="533"/>
      <c r="O90" s="533"/>
      <c r="P90" s="533"/>
      <c r="Q90" s="533"/>
      <c r="R90" s="533"/>
      <c r="S90" s="533"/>
      <c r="T90" s="533"/>
      <c r="U90" s="533"/>
      <c r="V90" s="533"/>
      <c r="W90" s="533"/>
      <c r="X90" s="533"/>
      <c r="Y90" s="533"/>
      <c r="Z90" s="533"/>
      <c r="AA90" s="533"/>
      <c r="AB90" s="533"/>
      <c r="AC90" s="533"/>
      <c r="AD90" s="533"/>
      <c r="AE90" s="533"/>
      <c r="AF90" s="533"/>
      <c r="AG90" s="556"/>
      <c r="AH90" s="558"/>
    </row>
    <row r="91">
      <c r="A91" s="559" t="s">
        <v>789</v>
      </c>
      <c r="B91" s="539"/>
      <c r="C91" s="539"/>
      <c r="D91" s="539"/>
      <c r="E91" s="539"/>
      <c r="F91" s="539"/>
      <c r="G91" s="539"/>
      <c r="H91" s="539"/>
      <c r="I91" s="539"/>
      <c r="J91" s="539"/>
      <c r="K91" s="539"/>
      <c r="L91" s="539"/>
      <c r="M91" s="539"/>
      <c r="N91" s="538"/>
      <c r="O91" s="538"/>
      <c r="P91" s="538"/>
      <c r="Q91" s="538"/>
      <c r="R91" s="538"/>
      <c r="S91" s="538"/>
      <c r="T91" s="538"/>
      <c r="U91" s="539"/>
      <c r="V91" s="539"/>
      <c r="W91" s="539"/>
      <c r="X91" s="539"/>
      <c r="Y91" s="538"/>
      <c r="Z91" s="538"/>
      <c r="AA91" s="538"/>
      <c r="AB91" s="538"/>
      <c r="AC91" s="538"/>
      <c r="AD91" s="538"/>
      <c r="AE91" s="538"/>
      <c r="AF91" s="538"/>
      <c r="AG91" s="500"/>
      <c r="AH91" s="534"/>
    </row>
    <row r="92" outlineLevel="1">
      <c r="A92" s="502" t="s">
        <v>795</v>
      </c>
      <c r="B92" s="497">
        <v>152.0</v>
      </c>
      <c r="C92" s="497">
        <v>34.0</v>
      </c>
      <c r="D92" s="497">
        <v>25.0</v>
      </c>
      <c r="E92" s="497">
        <v>25.0</v>
      </c>
      <c r="F92" s="497">
        <v>8.0</v>
      </c>
      <c r="G92" s="497">
        <v>20.0</v>
      </c>
      <c r="H92" s="497">
        <v>15.0</v>
      </c>
      <c r="I92" s="497">
        <v>15.0</v>
      </c>
      <c r="J92" s="497">
        <v>14.0</v>
      </c>
      <c r="K92" s="497">
        <v>26.0</v>
      </c>
      <c r="L92" s="497">
        <v>7.0</v>
      </c>
      <c r="M92" s="497">
        <v>9.0</v>
      </c>
      <c r="N92" s="498">
        <v>4.0</v>
      </c>
      <c r="O92" s="498">
        <v>5.0</v>
      </c>
      <c r="P92" s="497">
        <v>6.0</v>
      </c>
      <c r="Q92" s="498">
        <v>8.0</v>
      </c>
      <c r="R92" s="498">
        <v>8.0</v>
      </c>
      <c r="S92" s="498">
        <v>8.0</v>
      </c>
      <c r="T92" s="498">
        <v>5.0</v>
      </c>
      <c r="U92" s="497">
        <v>11.0</v>
      </c>
      <c r="V92" s="497">
        <v>4.0</v>
      </c>
      <c r="W92" s="497">
        <v>4.0</v>
      </c>
      <c r="X92" s="497">
        <v>5.0</v>
      </c>
      <c r="Y92" s="498">
        <v>6.0</v>
      </c>
      <c r="Z92" s="498">
        <v>7.0</v>
      </c>
      <c r="AA92" s="498">
        <v>8.0</v>
      </c>
      <c r="AB92" s="498">
        <v>6.0</v>
      </c>
      <c r="AC92" s="498">
        <v>9.0</v>
      </c>
      <c r="AD92" s="498">
        <v>3.0</v>
      </c>
      <c r="AE92" s="498">
        <v>9.0</v>
      </c>
      <c r="AF92" s="498">
        <v>4.0</v>
      </c>
      <c r="AG92" s="500">
        <f t="shared" ref="AG92:AG95" si="52">SUM(B92:AF92)</f>
        <v>470</v>
      </c>
      <c r="AH92" s="501">
        <f t="shared" ref="AH92:AH94" si="53">iferror(AG92/AG$95,"")</f>
        <v>0.4245709124</v>
      </c>
    </row>
    <row r="93" outlineLevel="1">
      <c r="A93" s="502" t="s">
        <v>796</v>
      </c>
      <c r="B93" s="497">
        <v>220.0</v>
      </c>
      <c r="C93" s="497">
        <v>36.0</v>
      </c>
      <c r="D93" s="497">
        <v>28.0</v>
      </c>
      <c r="E93" s="497">
        <v>26.0</v>
      </c>
      <c r="F93" s="497">
        <v>21.0</v>
      </c>
      <c r="G93" s="497">
        <v>23.0</v>
      </c>
      <c r="H93" s="497">
        <v>13.0</v>
      </c>
      <c r="I93" s="497">
        <v>18.0</v>
      </c>
      <c r="J93" s="497">
        <v>16.0</v>
      </c>
      <c r="K93" s="497">
        <v>22.0</v>
      </c>
      <c r="L93" s="497">
        <v>17.0</v>
      </c>
      <c r="M93" s="497">
        <v>12.0</v>
      </c>
      <c r="N93" s="498">
        <v>10.0</v>
      </c>
      <c r="O93" s="498">
        <v>8.0</v>
      </c>
      <c r="P93" s="497">
        <v>4.0</v>
      </c>
      <c r="Q93" s="498">
        <v>12.0</v>
      </c>
      <c r="R93" s="498">
        <v>8.0</v>
      </c>
      <c r="S93" s="498">
        <v>3.0</v>
      </c>
      <c r="T93" s="498">
        <v>6.0</v>
      </c>
      <c r="U93" s="497">
        <v>5.0</v>
      </c>
      <c r="V93" s="497">
        <v>6.0</v>
      </c>
      <c r="W93" s="497">
        <v>5.0</v>
      </c>
      <c r="X93" s="497">
        <v>9.0</v>
      </c>
      <c r="Y93" s="498">
        <v>12.0</v>
      </c>
      <c r="Z93" s="498">
        <v>5.0</v>
      </c>
      <c r="AA93" s="498">
        <v>6.0</v>
      </c>
      <c r="AB93" s="498">
        <v>6.0</v>
      </c>
      <c r="AC93" s="498">
        <v>9.0</v>
      </c>
      <c r="AD93" s="498">
        <v>4.0</v>
      </c>
      <c r="AE93" s="498">
        <v>9.0</v>
      </c>
      <c r="AF93" s="498">
        <v>6.0</v>
      </c>
      <c r="AG93" s="500">
        <f t="shared" si="52"/>
        <v>585</v>
      </c>
      <c r="AH93" s="501">
        <f t="shared" si="53"/>
        <v>0.5284552846</v>
      </c>
    </row>
    <row r="94" outlineLevel="1">
      <c r="A94" s="502" t="s">
        <v>797</v>
      </c>
      <c r="B94" s="497">
        <v>14.0</v>
      </c>
      <c r="C94" s="497">
        <v>6.0</v>
      </c>
      <c r="D94" s="497">
        <v>1.0</v>
      </c>
      <c r="E94" s="497">
        <v>4.0</v>
      </c>
      <c r="F94" s="497">
        <v>1.0</v>
      </c>
      <c r="G94" s="497">
        <v>0.0</v>
      </c>
      <c r="H94" s="497">
        <v>2.0</v>
      </c>
      <c r="I94" s="497">
        <v>2.0</v>
      </c>
      <c r="J94" s="497">
        <v>1.0</v>
      </c>
      <c r="K94" s="497">
        <v>7.0</v>
      </c>
      <c r="L94" s="497">
        <v>0.0</v>
      </c>
      <c r="M94" s="497">
        <v>0.0</v>
      </c>
      <c r="N94" s="498">
        <v>2.0</v>
      </c>
      <c r="O94" s="498">
        <v>1.0</v>
      </c>
      <c r="P94" s="497">
        <v>1.0</v>
      </c>
      <c r="Q94" s="498">
        <v>1.0</v>
      </c>
      <c r="R94" s="498">
        <v>2.0</v>
      </c>
      <c r="S94" s="498">
        <v>1.0</v>
      </c>
      <c r="T94" s="498">
        <v>0.0</v>
      </c>
      <c r="U94" s="497">
        <v>0.0</v>
      </c>
      <c r="V94" s="497">
        <v>1.0</v>
      </c>
      <c r="W94" s="497">
        <v>1.0</v>
      </c>
      <c r="X94" s="497">
        <v>0.0</v>
      </c>
      <c r="Y94" s="498">
        <v>1.0</v>
      </c>
      <c r="Z94" s="498">
        <v>0.0</v>
      </c>
      <c r="AA94" s="498">
        <v>0.0</v>
      </c>
      <c r="AB94" s="498">
        <v>1.0</v>
      </c>
      <c r="AC94" s="498">
        <v>0.0</v>
      </c>
      <c r="AD94" s="498">
        <v>0.0</v>
      </c>
      <c r="AE94" s="498">
        <v>0.0</v>
      </c>
      <c r="AF94" s="498">
        <v>2.0</v>
      </c>
      <c r="AG94" s="500">
        <f t="shared" si="52"/>
        <v>52</v>
      </c>
      <c r="AH94" s="501">
        <f t="shared" si="53"/>
        <v>0.04697380307</v>
      </c>
    </row>
    <row r="95" outlineLevel="1">
      <c r="A95" s="540" t="s">
        <v>804</v>
      </c>
      <c r="B95" s="560">
        <f t="shared" ref="B95:AF95" si="54">SUM(B92:B94)</f>
        <v>386</v>
      </c>
      <c r="C95" s="560">
        <f t="shared" si="54"/>
        <v>76</v>
      </c>
      <c r="D95" s="560">
        <f t="shared" si="54"/>
        <v>54</v>
      </c>
      <c r="E95" s="560">
        <f t="shared" si="54"/>
        <v>55</v>
      </c>
      <c r="F95" s="560">
        <f t="shared" si="54"/>
        <v>30</v>
      </c>
      <c r="G95" s="560">
        <f t="shared" si="54"/>
        <v>43</v>
      </c>
      <c r="H95" s="560">
        <f t="shared" si="54"/>
        <v>30</v>
      </c>
      <c r="I95" s="560">
        <f t="shared" si="54"/>
        <v>35</v>
      </c>
      <c r="J95" s="560">
        <f t="shared" si="54"/>
        <v>31</v>
      </c>
      <c r="K95" s="560">
        <f t="shared" si="54"/>
        <v>55</v>
      </c>
      <c r="L95" s="560">
        <f t="shared" si="54"/>
        <v>24</v>
      </c>
      <c r="M95" s="560">
        <f t="shared" si="54"/>
        <v>21</v>
      </c>
      <c r="N95" s="560">
        <f t="shared" si="54"/>
        <v>16</v>
      </c>
      <c r="O95" s="560">
        <f t="shared" si="54"/>
        <v>14</v>
      </c>
      <c r="P95" s="560">
        <f t="shared" si="54"/>
        <v>11</v>
      </c>
      <c r="Q95" s="560">
        <f t="shared" si="54"/>
        <v>21</v>
      </c>
      <c r="R95" s="560">
        <f t="shared" si="54"/>
        <v>18</v>
      </c>
      <c r="S95" s="560">
        <f t="shared" si="54"/>
        <v>12</v>
      </c>
      <c r="T95" s="560">
        <f t="shared" si="54"/>
        <v>11</v>
      </c>
      <c r="U95" s="560">
        <f t="shared" si="54"/>
        <v>16</v>
      </c>
      <c r="V95" s="560">
        <f t="shared" si="54"/>
        <v>11</v>
      </c>
      <c r="W95" s="560">
        <f t="shared" si="54"/>
        <v>10</v>
      </c>
      <c r="X95" s="560">
        <f t="shared" si="54"/>
        <v>14</v>
      </c>
      <c r="Y95" s="560">
        <f t="shared" si="54"/>
        <v>19</v>
      </c>
      <c r="Z95" s="560">
        <f t="shared" si="54"/>
        <v>12</v>
      </c>
      <c r="AA95" s="560">
        <f t="shared" si="54"/>
        <v>14</v>
      </c>
      <c r="AB95" s="560">
        <f t="shared" si="54"/>
        <v>13</v>
      </c>
      <c r="AC95" s="560">
        <f t="shared" si="54"/>
        <v>18</v>
      </c>
      <c r="AD95" s="560">
        <f t="shared" si="54"/>
        <v>7</v>
      </c>
      <c r="AE95" s="560">
        <f t="shared" si="54"/>
        <v>18</v>
      </c>
      <c r="AF95" s="560">
        <f t="shared" si="54"/>
        <v>12</v>
      </c>
      <c r="AG95" s="541">
        <f t="shared" si="52"/>
        <v>1107</v>
      </c>
      <c r="AH95" s="507">
        <f>SUM(AH92:AH94)</f>
        <v>1</v>
      </c>
    </row>
    <row r="96">
      <c r="A96" s="561"/>
      <c r="B96" s="498"/>
      <c r="C96" s="498"/>
      <c r="D96" s="498"/>
      <c r="E96" s="498"/>
      <c r="F96" s="498"/>
      <c r="G96" s="498"/>
      <c r="H96" s="498"/>
      <c r="I96" s="498"/>
      <c r="J96" s="498"/>
      <c r="K96" s="498"/>
      <c r="L96" s="498"/>
      <c r="M96" s="498"/>
      <c r="N96" s="498"/>
      <c r="O96" s="498"/>
      <c r="P96" s="498"/>
      <c r="Q96" s="498"/>
      <c r="R96" s="498"/>
      <c r="S96" s="498"/>
      <c r="T96" s="498"/>
      <c r="U96" s="498"/>
      <c r="V96" s="498"/>
      <c r="W96" s="498"/>
      <c r="X96" s="498"/>
      <c r="Y96" s="498"/>
      <c r="Z96" s="498"/>
      <c r="AA96" s="498"/>
      <c r="AB96" s="498"/>
      <c r="AC96" s="498"/>
      <c r="AD96" s="498"/>
      <c r="AE96" s="498"/>
      <c r="AF96" s="498"/>
      <c r="AG96" s="500"/>
      <c r="AH96" s="534"/>
    </row>
    <row r="97">
      <c r="A97" s="562" t="s">
        <v>798</v>
      </c>
      <c r="B97" s="539"/>
      <c r="C97" s="539"/>
      <c r="D97" s="539"/>
      <c r="E97" s="539"/>
      <c r="F97" s="539"/>
      <c r="G97" s="539"/>
      <c r="H97" s="539"/>
      <c r="I97" s="539"/>
      <c r="J97" s="539"/>
      <c r="K97" s="539"/>
      <c r="L97" s="539"/>
      <c r="M97" s="539"/>
      <c r="N97" s="538"/>
      <c r="O97" s="538"/>
      <c r="P97" s="538"/>
      <c r="Q97" s="538"/>
      <c r="R97" s="538"/>
      <c r="S97" s="538"/>
      <c r="T97" s="538"/>
      <c r="U97" s="539"/>
      <c r="V97" s="539"/>
      <c r="W97" s="539"/>
      <c r="X97" s="539"/>
      <c r="Y97" s="538"/>
      <c r="Z97" s="538"/>
      <c r="AA97" s="538"/>
      <c r="AB97" s="538"/>
      <c r="AC97" s="538"/>
      <c r="AD97" s="538"/>
      <c r="AE97" s="538"/>
      <c r="AF97" s="538"/>
      <c r="AG97" s="500"/>
      <c r="AH97" s="534"/>
    </row>
    <row r="98" outlineLevel="1">
      <c r="A98" s="502" t="s">
        <v>795</v>
      </c>
      <c r="B98" s="497">
        <v>163.0</v>
      </c>
      <c r="C98" s="497">
        <v>49.0</v>
      </c>
      <c r="D98" s="497">
        <v>35.0</v>
      </c>
      <c r="E98" s="497">
        <v>32.0</v>
      </c>
      <c r="F98" s="497">
        <v>32.0</v>
      </c>
      <c r="G98" s="497">
        <v>20.0</v>
      </c>
      <c r="H98" s="497">
        <v>21.0</v>
      </c>
      <c r="I98" s="497">
        <v>20.0</v>
      </c>
      <c r="J98" s="497">
        <v>35.0</v>
      </c>
      <c r="K98" s="497">
        <v>24.0</v>
      </c>
      <c r="L98" s="497">
        <v>17.0</v>
      </c>
      <c r="M98" s="497">
        <v>15.0</v>
      </c>
      <c r="N98" s="498">
        <v>9.0</v>
      </c>
      <c r="O98" s="498">
        <v>9.0</v>
      </c>
      <c r="P98" s="497">
        <v>6.0</v>
      </c>
      <c r="Q98" s="498">
        <v>12.0</v>
      </c>
      <c r="R98" s="498">
        <v>8.0</v>
      </c>
      <c r="S98" s="498">
        <v>13.0</v>
      </c>
      <c r="T98" s="498">
        <v>5.0</v>
      </c>
      <c r="U98" s="497">
        <v>8.0</v>
      </c>
      <c r="V98" s="497">
        <v>6.0</v>
      </c>
      <c r="W98" s="497">
        <v>12.0</v>
      </c>
      <c r="X98" s="497">
        <v>15.0</v>
      </c>
      <c r="Y98" s="498">
        <v>16.0</v>
      </c>
      <c r="Z98" s="498">
        <v>12.0</v>
      </c>
      <c r="AA98" s="498">
        <v>9.0</v>
      </c>
      <c r="AB98" s="498">
        <v>10.0</v>
      </c>
      <c r="AC98" s="498">
        <v>11.0</v>
      </c>
      <c r="AD98" s="498">
        <v>1.0</v>
      </c>
      <c r="AE98" s="498">
        <v>6.0</v>
      </c>
      <c r="AF98" s="498">
        <v>9.0</v>
      </c>
      <c r="AG98" s="500">
        <f t="shared" ref="AG98:AG101" si="55">SUM(B98:AF98)</f>
        <v>640</v>
      </c>
      <c r="AH98" s="501">
        <f t="shared" ref="AH98:AH100" si="56">iferror(AG98/AG$101,"")</f>
        <v>0.487804878</v>
      </c>
    </row>
    <row r="99" outlineLevel="1">
      <c r="A99" s="502" t="s">
        <v>796</v>
      </c>
      <c r="B99" s="497">
        <v>249.0</v>
      </c>
      <c r="C99" s="497">
        <v>46.0</v>
      </c>
      <c r="D99" s="497">
        <v>31.0</v>
      </c>
      <c r="E99" s="497">
        <v>31.0</v>
      </c>
      <c r="F99" s="497">
        <v>27.0</v>
      </c>
      <c r="G99" s="497">
        <v>17.0</v>
      </c>
      <c r="H99" s="497">
        <v>17.0</v>
      </c>
      <c r="I99" s="497">
        <v>11.0</v>
      </c>
      <c r="J99" s="497">
        <v>23.0</v>
      </c>
      <c r="K99" s="497">
        <v>21.0</v>
      </c>
      <c r="L99" s="497">
        <v>11.0</v>
      </c>
      <c r="M99" s="497">
        <v>5.0</v>
      </c>
      <c r="N99" s="498">
        <v>9.0</v>
      </c>
      <c r="O99" s="498">
        <v>10.0</v>
      </c>
      <c r="P99" s="497">
        <v>5.0</v>
      </c>
      <c r="Q99" s="498">
        <v>9.0</v>
      </c>
      <c r="R99" s="498">
        <v>5.0</v>
      </c>
      <c r="S99" s="498">
        <v>3.0</v>
      </c>
      <c r="T99" s="498">
        <v>4.0</v>
      </c>
      <c r="U99" s="497">
        <v>10.0</v>
      </c>
      <c r="V99" s="497">
        <v>8.0</v>
      </c>
      <c r="W99" s="497">
        <v>6.0</v>
      </c>
      <c r="X99" s="497">
        <v>5.0</v>
      </c>
      <c r="Y99" s="498">
        <v>7.0</v>
      </c>
      <c r="Z99" s="498">
        <v>4.0</v>
      </c>
      <c r="AA99" s="498">
        <v>6.0</v>
      </c>
      <c r="AB99" s="498">
        <v>4.0</v>
      </c>
      <c r="AC99" s="498">
        <v>5.0</v>
      </c>
      <c r="AD99" s="498">
        <v>3.0</v>
      </c>
      <c r="AE99" s="498">
        <v>6.0</v>
      </c>
      <c r="AF99" s="498">
        <v>7.0</v>
      </c>
      <c r="AG99" s="500">
        <f t="shared" si="55"/>
        <v>605</v>
      </c>
      <c r="AH99" s="501">
        <f t="shared" si="56"/>
        <v>0.4611280488</v>
      </c>
    </row>
    <row r="100" outlineLevel="1">
      <c r="A100" s="502" t="s">
        <v>797</v>
      </c>
      <c r="B100" s="497">
        <v>31.0</v>
      </c>
      <c r="C100" s="497">
        <v>5.0</v>
      </c>
      <c r="D100" s="497">
        <v>5.0</v>
      </c>
      <c r="E100" s="497">
        <v>0.0</v>
      </c>
      <c r="F100" s="497">
        <v>2.0</v>
      </c>
      <c r="G100" s="497">
        <v>1.0</v>
      </c>
      <c r="H100" s="497">
        <v>2.0</v>
      </c>
      <c r="I100" s="497">
        <v>0.0</v>
      </c>
      <c r="J100" s="497">
        <v>4.0</v>
      </c>
      <c r="K100" s="497">
        <v>2.0</v>
      </c>
      <c r="L100" s="497">
        <v>2.0</v>
      </c>
      <c r="M100" s="497">
        <v>1.0</v>
      </c>
      <c r="N100" s="498">
        <v>1.0</v>
      </c>
      <c r="O100" s="498">
        <v>0.0</v>
      </c>
      <c r="P100" s="497">
        <v>2.0</v>
      </c>
      <c r="Q100" s="498">
        <v>2.0</v>
      </c>
      <c r="R100" s="498">
        <v>0.0</v>
      </c>
      <c r="S100" s="498">
        <v>1.0</v>
      </c>
      <c r="T100" s="498">
        <v>0.0</v>
      </c>
      <c r="U100" s="497">
        <v>1.0</v>
      </c>
      <c r="V100" s="497">
        <v>1.0</v>
      </c>
      <c r="W100" s="497">
        <v>0.0</v>
      </c>
      <c r="X100" s="497">
        <v>0.0</v>
      </c>
      <c r="Y100" s="498">
        <v>0.0</v>
      </c>
      <c r="Z100" s="498">
        <v>0.0</v>
      </c>
      <c r="AA100" s="498">
        <v>1.0</v>
      </c>
      <c r="AB100" s="498">
        <v>1.0</v>
      </c>
      <c r="AC100" s="498">
        <v>0.0</v>
      </c>
      <c r="AD100" s="498">
        <v>0.0</v>
      </c>
      <c r="AE100" s="498">
        <v>1.0</v>
      </c>
      <c r="AF100" s="498">
        <v>1.0</v>
      </c>
      <c r="AG100" s="500">
        <f t="shared" si="55"/>
        <v>67</v>
      </c>
      <c r="AH100" s="501">
        <f t="shared" si="56"/>
        <v>0.05106707317</v>
      </c>
    </row>
    <row r="101" outlineLevel="1">
      <c r="A101" s="540" t="s">
        <v>804</v>
      </c>
      <c r="B101" s="560">
        <f t="shared" ref="B101:AF101" si="57">SUM(B98:B100)</f>
        <v>443</v>
      </c>
      <c r="C101" s="560">
        <f t="shared" si="57"/>
        <v>100</v>
      </c>
      <c r="D101" s="560">
        <f t="shared" si="57"/>
        <v>71</v>
      </c>
      <c r="E101" s="560">
        <f t="shared" si="57"/>
        <v>63</v>
      </c>
      <c r="F101" s="560">
        <f t="shared" si="57"/>
        <v>61</v>
      </c>
      <c r="G101" s="560">
        <f t="shared" si="57"/>
        <v>38</v>
      </c>
      <c r="H101" s="560">
        <f t="shared" si="57"/>
        <v>40</v>
      </c>
      <c r="I101" s="560">
        <f t="shared" si="57"/>
        <v>31</v>
      </c>
      <c r="J101" s="560">
        <f t="shared" si="57"/>
        <v>62</v>
      </c>
      <c r="K101" s="560">
        <f t="shared" si="57"/>
        <v>47</v>
      </c>
      <c r="L101" s="560">
        <f t="shared" si="57"/>
        <v>30</v>
      </c>
      <c r="M101" s="560">
        <f t="shared" si="57"/>
        <v>21</v>
      </c>
      <c r="N101" s="560">
        <f t="shared" si="57"/>
        <v>19</v>
      </c>
      <c r="O101" s="560">
        <f t="shared" si="57"/>
        <v>19</v>
      </c>
      <c r="P101" s="560">
        <f t="shared" si="57"/>
        <v>13</v>
      </c>
      <c r="Q101" s="560">
        <f t="shared" si="57"/>
        <v>23</v>
      </c>
      <c r="R101" s="560">
        <f t="shared" si="57"/>
        <v>13</v>
      </c>
      <c r="S101" s="560">
        <f t="shared" si="57"/>
        <v>17</v>
      </c>
      <c r="T101" s="560">
        <f t="shared" si="57"/>
        <v>9</v>
      </c>
      <c r="U101" s="560">
        <f t="shared" si="57"/>
        <v>19</v>
      </c>
      <c r="V101" s="560">
        <f t="shared" si="57"/>
        <v>15</v>
      </c>
      <c r="W101" s="560">
        <f t="shared" si="57"/>
        <v>18</v>
      </c>
      <c r="X101" s="560">
        <f t="shared" si="57"/>
        <v>20</v>
      </c>
      <c r="Y101" s="560">
        <f t="shared" si="57"/>
        <v>23</v>
      </c>
      <c r="Z101" s="560">
        <f t="shared" si="57"/>
        <v>16</v>
      </c>
      <c r="AA101" s="560">
        <f t="shared" si="57"/>
        <v>16</v>
      </c>
      <c r="AB101" s="560">
        <f t="shared" si="57"/>
        <v>15</v>
      </c>
      <c r="AC101" s="560">
        <f t="shared" si="57"/>
        <v>16</v>
      </c>
      <c r="AD101" s="560">
        <f t="shared" si="57"/>
        <v>4</v>
      </c>
      <c r="AE101" s="560">
        <f t="shared" si="57"/>
        <v>13</v>
      </c>
      <c r="AF101" s="560">
        <f t="shared" si="57"/>
        <v>17</v>
      </c>
      <c r="AG101" s="541">
        <f t="shared" si="55"/>
        <v>1312</v>
      </c>
      <c r="AH101" s="507">
        <f>SUM(AH98:AH100)</f>
        <v>1</v>
      </c>
    </row>
    <row r="102">
      <c r="A102" s="561"/>
      <c r="B102" s="563"/>
      <c r="C102" s="563"/>
      <c r="D102" s="563"/>
      <c r="E102" s="563"/>
      <c r="F102" s="563"/>
      <c r="G102" s="563"/>
      <c r="H102" s="563"/>
      <c r="I102" s="563"/>
      <c r="J102" s="563"/>
      <c r="K102" s="563"/>
      <c r="L102" s="563"/>
      <c r="M102" s="563"/>
      <c r="N102" s="563"/>
      <c r="O102" s="563"/>
      <c r="P102" s="563"/>
      <c r="Q102" s="563"/>
      <c r="R102" s="563"/>
      <c r="S102" s="563"/>
      <c r="T102" s="563"/>
      <c r="U102" s="563"/>
      <c r="V102" s="563"/>
      <c r="W102" s="563"/>
      <c r="X102" s="563"/>
      <c r="Y102" s="563"/>
      <c r="Z102" s="563"/>
      <c r="AA102" s="563"/>
      <c r="AB102" s="563"/>
      <c r="AC102" s="563"/>
      <c r="AD102" s="563"/>
      <c r="AE102" s="563"/>
      <c r="AF102" s="563"/>
      <c r="AG102" s="556"/>
      <c r="AH102" s="558"/>
    </row>
    <row r="103">
      <c r="A103" s="532" t="s">
        <v>800</v>
      </c>
      <c r="B103" s="533"/>
      <c r="C103" s="533"/>
      <c r="D103" s="533"/>
      <c r="E103" s="533"/>
      <c r="F103" s="533"/>
      <c r="G103" s="533"/>
      <c r="H103" s="533"/>
      <c r="I103" s="533"/>
      <c r="J103" s="533"/>
      <c r="K103" s="533"/>
      <c r="L103" s="533"/>
      <c r="M103" s="533"/>
      <c r="N103" s="533"/>
      <c r="O103" s="533"/>
      <c r="P103" s="533"/>
      <c r="Q103" s="533"/>
      <c r="R103" s="533"/>
      <c r="S103" s="533"/>
      <c r="T103" s="533"/>
      <c r="U103" s="533"/>
      <c r="V103" s="533"/>
      <c r="W103" s="533"/>
      <c r="X103" s="533"/>
      <c r="Y103" s="533"/>
      <c r="Z103" s="533"/>
      <c r="AA103" s="533"/>
      <c r="AB103" s="533"/>
      <c r="AC103" s="533"/>
      <c r="AD103" s="533"/>
      <c r="AE103" s="533"/>
      <c r="AF103" s="533"/>
      <c r="AG103" s="556"/>
      <c r="AH103" s="558"/>
    </row>
    <row r="104">
      <c r="A104" s="559" t="s">
        <v>799</v>
      </c>
      <c r="B104" s="539"/>
      <c r="C104" s="539"/>
      <c r="D104" s="539"/>
      <c r="E104" s="539"/>
      <c r="F104" s="539"/>
      <c r="G104" s="539"/>
      <c r="H104" s="539"/>
      <c r="I104" s="539"/>
      <c r="J104" s="539"/>
      <c r="K104" s="539"/>
      <c r="L104" s="539"/>
      <c r="M104" s="539"/>
      <c r="N104" s="538"/>
      <c r="O104" s="538"/>
      <c r="P104" s="538"/>
      <c r="Q104" s="538"/>
      <c r="R104" s="538"/>
      <c r="S104" s="538"/>
      <c r="T104" s="538"/>
      <c r="U104" s="539"/>
      <c r="V104" s="539"/>
      <c r="W104" s="539"/>
      <c r="X104" s="539"/>
      <c r="Y104" s="538"/>
      <c r="Z104" s="538"/>
      <c r="AA104" s="538"/>
      <c r="AB104" s="538"/>
      <c r="AC104" s="538"/>
      <c r="AD104" s="538"/>
      <c r="AE104" s="538"/>
      <c r="AF104" s="538"/>
      <c r="AG104" s="500"/>
      <c r="AH104" s="534"/>
    </row>
    <row r="105" outlineLevel="1">
      <c r="A105" s="502" t="s">
        <v>795</v>
      </c>
      <c r="B105" s="497">
        <v>51.0</v>
      </c>
      <c r="C105" s="497">
        <v>12.0</v>
      </c>
      <c r="D105" s="497">
        <v>16.0</v>
      </c>
      <c r="E105" s="497">
        <v>9.0</v>
      </c>
      <c r="F105" s="497">
        <v>11.0</v>
      </c>
      <c r="G105" s="497">
        <v>5.0</v>
      </c>
      <c r="H105" s="497">
        <v>11.0</v>
      </c>
      <c r="I105" s="497">
        <v>8.0</v>
      </c>
      <c r="J105" s="497">
        <v>9.0</v>
      </c>
      <c r="K105" s="497">
        <v>5.0</v>
      </c>
      <c r="L105" s="497">
        <v>7.0</v>
      </c>
      <c r="M105" s="497">
        <v>4.0</v>
      </c>
      <c r="N105" s="498">
        <v>3.0</v>
      </c>
      <c r="O105" s="498">
        <v>3.0</v>
      </c>
      <c r="P105" s="497">
        <v>2.0</v>
      </c>
      <c r="Q105" s="498">
        <v>3.0</v>
      </c>
      <c r="R105" s="498">
        <v>8.0</v>
      </c>
      <c r="S105" s="498">
        <v>1.0</v>
      </c>
      <c r="T105" s="498">
        <v>5.0</v>
      </c>
      <c r="U105" s="497">
        <v>4.0</v>
      </c>
      <c r="V105" s="497">
        <v>3.0</v>
      </c>
      <c r="W105" s="497">
        <v>9.0</v>
      </c>
      <c r="X105" s="497">
        <v>2.0</v>
      </c>
      <c r="Y105" s="498">
        <v>8.0</v>
      </c>
      <c r="Z105" s="498">
        <v>6.0</v>
      </c>
      <c r="AA105" s="498">
        <v>2.0</v>
      </c>
      <c r="AB105" s="498">
        <v>3.0</v>
      </c>
      <c r="AC105" s="498">
        <v>4.0</v>
      </c>
      <c r="AD105" s="498">
        <v>3.0</v>
      </c>
      <c r="AE105" s="498">
        <v>6.0</v>
      </c>
      <c r="AF105" s="498">
        <v>4.0</v>
      </c>
      <c r="AG105" s="500">
        <f t="shared" ref="AG105:AG108" si="58">SUM(B105:AF105)</f>
        <v>227</v>
      </c>
      <c r="AH105" s="501">
        <f t="shared" ref="AH105:AH107" si="59">iferror(AG105/AG$108,"")</f>
        <v>0.3449848024</v>
      </c>
    </row>
    <row r="106" outlineLevel="1">
      <c r="A106" s="502" t="s">
        <v>796</v>
      </c>
      <c r="B106" s="497">
        <v>80.0</v>
      </c>
      <c r="C106" s="497">
        <v>20.0</v>
      </c>
      <c r="D106" s="497">
        <v>16.0</v>
      </c>
      <c r="E106" s="497">
        <v>15.0</v>
      </c>
      <c r="F106" s="497">
        <v>20.0</v>
      </c>
      <c r="G106" s="497">
        <v>21.0</v>
      </c>
      <c r="H106" s="497">
        <v>19.0</v>
      </c>
      <c r="I106" s="497">
        <v>17.0</v>
      </c>
      <c r="J106" s="497">
        <v>15.0</v>
      </c>
      <c r="K106" s="497">
        <v>16.0</v>
      </c>
      <c r="L106" s="497">
        <v>11.0</v>
      </c>
      <c r="M106" s="497">
        <v>5.0</v>
      </c>
      <c r="N106" s="498">
        <v>4.0</v>
      </c>
      <c r="O106" s="498">
        <v>5.0</v>
      </c>
      <c r="P106" s="497">
        <v>6.0</v>
      </c>
      <c r="Q106" s="498">
        <v>5.0</v>
      </c>
      <c r="R106" s="498">
        <v>5.0</v>
      </c>
      <c r="S106" s="498">
        <v>9.0</v>
      </c>
      <c r="T106" s="498">
        <v>1.0</v>
      </c>
      <c r="U106" s="497">
        <v>7.0</v>
      </c>
      <c r="V106" s="497">
        <v>5.0</v>
      </c>
      <c r="W106" s="497">
        <v>6.0</v>
      </c>
      <c r="X106" s="497">
        <v>8.0</v>
      </c>
      <c r="Y106" s="498">
        <v>3.0</v>
      </c>
      <c r="Z106" s="498">
        <v>9.0</v>
      </c>
      <c r="AA106" s="498">
        <v>3.0</v>
      </c>
      <c r="AB106" s="498">
        <v>3.0</v>
      </c>
      <c r="AC106" s="498">
        <v>2.0</v>
      </c>
      <c r="AD106" s="498">
        <v>1.0</v>
      </c>
      <c r="AE106" s="498">
        <v>10.0</v>
      </c>
      <c r="AF106" s="498">
        <v>4.0</v>
      </c>
      <c r="AG106" s="500">
        <f t="shared" si="58"/>
        <v>351</v>
      </c>
      <c r="AH106" s="501">
        <f t="shared" si="59"/>
        <v>0.5334346505</v>
      </c>
    </row>
    <row r="107" outlineLevel="1">
      <c r="A107" s="502" t="s">
        <v>797</v>
      </c>
      <c r="B107" s="497">
        <v>16.0</v>
      </c>
      <c r="C107" s="497">
        <v>3.0</v>
      </c>
      <c r="D107" s="497">
        <v>2.0</v>
      </c>
      <c r="E107" s="497">
        <v>5.0</v>
      </c>
      <c r="F107" s="497">
        <v>5.0</v>
      </c>
      <c r="G107" s="497">
        <v>3.0</v>
      </c>
      <c r="H107" s="497">
        <v>9.0</v>
      </c>
      <c r="I107" s="497">
        <v>1.0</v>
      </c>
      <c r="J107" s="497">
        <v>4.0</v>
      </c>
      <c r="K107" s="497">
        <v>4.0</v>
      </c>
      <c r="L107" s="497">
        <v>3.0</v>
      </c>
      <c r="M107" s="497">
        <v>0.0</v>
      </c>
      <c r="N107" s="498">
        <v>2.0</v>
      </c>
      <c r="O107" s="498">
        <v>3.0</v>
      </c>
      <c r="P107" s="497">
        <v>3.0</v>
      </c>
      <c r="Q107" s="498">
        <v>0.0</v>
      </c>
      <c r="R107" s="498">
        <v>1.0</v>
      </c>
      <c r="S107" s="498">
        <v>1.0</v>
      </c>
      <c r="T107" s="498">
        <v>0.0</v>
      </c>
      <c r="U107" s="497">
        <v>1.0</v>
      </c>
      <c r="V107" s="497">
        <v>0.0</v>
      </c>
      <c r="W107" s="497">
        <v>4.0</v>
      </c>
      <c r="X107" s="497">
        <v>1.0</v>
      </c>
      <c r="Y107" s="498">
        <v>2.0</v>
      </c>
      <c r="Z107" s="498">
        <v>2.0</v>
      </c>
      <c r="AA107" s="498">
        <v>0.0</v>
      </c>
      <c r="AB107" s="498">
        <v>1.0</v>
      </c>
      <c r="AC107" s="498">
        <v>2.0</v>
      </c>
      <c r="AD107" s="498">
        <v>1.0</v>
      </c>
      <c r="AE107" s="498">
        <v>0.0</v>
      </c>
      <c r="AF107" s="498">
        <v>1.0</v>
      </c>
      <c r="AG107" s="500">
        <f t="shared" si="58"/>
        <v>80</v>
      </c>
      <c r="AH107" s="501">
        <f t="shared" si="59"/>
        <v>0.1215805471</v>
      </c>
    </row>
    <row r="108" outlineLevel="1">
      <c r="A108" s="540" t="s">
        <v>804</v>
      </c>
      <c r="B108" s="560">
        <f t="shared" ref="B108:AF108" si="60">SUM(B105:B107)</f>
        <v>147</v>
      </c>
      <c r="C108" s="560">
        <f t="shared" si="60"/>
        <v>35</v>
      </c>
      <c r="D108" s="560">
        <f t="shared" si="60"/>
        <v>34</v>
      </c>
      <c r="E108" s="560">
        <f t="shared" si="60"/>
        <v>29</v>
      </c>
      <c r="F108" s="560">
        <f t="shared" si="60"/>
        <v>36</v>
      </c>
      <c r="G108" s="560">
        <f t="shared" si="60"/>
        <v>29</v>
      </c>
      <c r="H108" s="560">
        <f t="shared" si="60"/>
        <v>39</v>
      </c>
      <c r="I108" s="560">
        <f t="shared" si="60"/>
        <v>26</v>
      </c>
      <c r="J108" s="560">
        <f t="shared" si="60"/>
        <v>28</v>
      </c>
      <c r="K108" s="560">
        <f t="shared" si="60"/>
        <v>25</v>
      </c>
      <c r="L108" s="560">
        <f t="shared" si="60"/>
        <v>21</v>
      </c>
      <c r="M108" s="560">
        <f t="shared" si="60"/>
        <v>9</v>
      </c>
      <c r="N108" s="560">
        <f t="shared" si="60"/>
        <v>9</v>
      </c>
      <c r="O108" s="560">
        <f t="shared" si="60"/>
        <v>11</v>
      </c>
      <c r="P108" s="560">
        <f t="shared" si="60"/>
        <v>11</v>
      </c>
      <c r="Q108" s="560">
        <f t="shared" si="60"/>
        <v>8</v>
      </c>
      <c r="R108" s="560">
        <f t="shared" si="60"/>
        <v>14</v>
      </c>
      <c r="S108" s="560">
        <f t="shared" si="60"/>
        <v>11</v>
      </c>
      <c r="T108" s="560">
        <f t="shared" si="60"/>
        <v>6</v>
      </c>
      <c r="U108" s="560">
        <f t="shared" si="60"/>
        <v>12</v>
      </c>
      <c r="V108" s="560">
        <f t="shared" si="60"/>
        <v>8</v>
      </c>
      <c r="W108" s="560">
        <f t="shared" si="60"/>
        <v>19</v>
      </c>
      <c r="X108" s="560">
        <f t="shared" si="60"/>
        <v>11</v>
      </c>
      <c r="Y108" s="560">
        <f t="shared" si="60"/>
        <v>13</v>
      </c>
      <c r="Z108" s="560">
        <f t="shared" si="60"/>
        <v>17</v>
      </c>
      <c r="AA108" s="560">
        <f t="shared" si="60"/>
        <v>5</v>
      </c>
      <c r="AB108" s="560">
        <f t="shared" si="60"/>
        <v>7</v>
      </c>
      <c r="AC108" s="560">
        <f t="shared" si="60"/>
        <v>8</v>
      </c>
      <c r="AD108" s="560">
        <f t="shared" si="60"/>
        <v>5</v>
      </c>
      <c r="AE108" s="560">
        <f t="shared" si="60"/>
        <v>16</v>
      </c>
      <c r="AF108" s="560">
        <f t="shared" si="60"/>
        <v>9</v>
      </c>
      <c r="AG108" s="541">
        <f t="shared" si="58"/>
        <v>658</v>
      </c>
      <c r="AH108" s="507">
        <f>SUM(AH105:AH107)</f>
        <v>1</v>
      </c>
    </row>
    <row r="109">
      <c r="A109" s="564"/>
      <c r="B109" s="565"/>
      <c r="C109" s="565"/>
      <c r="D109" s="565"/>
      <c r="E109" s="565"/>
      <c r="F109" s="565"/>
      <c r="G109" s="565"/>
      <c r="H109" s="565"/>
      <c r="I109" s="565"/>
      <c r="J109" s="565"/>
      <c r="K109" s="565"/>
      <c r="L109" s="565"/>
      <c r="M109" s="565"/>
      <c r="N109" s="529"/>
      <c r="O109" s="529"/>
      <c r="P109" s="529"/>
      <c r="Q109" s="529"/>
      <c r="R109" s="529"/>
      <c r="S109" s="529"/>
      <c r="T109" s="529"/>
      <c r="U109" s="529"/>
      <c r="V109" s="529"/>
      <c r="W109" s="529"/>
      <c r="X109" s="529"/>
      <c r="Y109" s="529"/>
      <c r="Z109" s="529"/>
      <c r="AA109" s="529"/>
      <c r="AB109" s="529"/>
      <c r="AC109" s="529"/>
      <c r="AD109" s="529"/>
      <c r="AE109" s="529"/>
      <c r="AF109" s="529"/>
      <c r="AG109" s="556"/>
      <c r="AH109" s="528"/>
    </row>
    <row r="110">
      <c r="A110" s="559" t="s">
        <v>801</v>
      </c>
      <c r="B110" s="539"/>
      <c r="C110" s="539"/>
      <c r="D110" s="539"/>
      <c r="E110" s="539"/>
      <c r="F110" s="539"/>
      <c r="G110" s="539"/>
      <c r="H110" s="539"/>
      <c r="I110" s="539"/>
      <c r="J110" s="539"/>
      <c r="K110" s="539"/>
      <c r="L110" s="539"/>
      <c r="M110" s="539"/>
      <c r="N110" s="538"/>
      <c r="O110" s="538"/>
      <c r="P110" s="538"/>
      <c r="Q110" s="538"/>
      <c r="R110" s="538"/>
      <c r="S110" s="538"/>
      <c r="T110" s="538"/>
      <c r="U110" s="539"/>
      <c r="V110" s="539"/>
      <c r="W110" s="539"/>
      <c r="X110" s="539"/>
      <c r="Y110" s="538"/>
      <c r="Z110" s="538"/>
      <c r="AA110" s="538"/>
      <c r="AB110" s="538"/>
      <c r="AC110" s="538"/>
      <c r="AD110" s="538"/>
      <c r="AE110" s="538"/>
      <c r="AF110" s="538"/>
      <c r="AG110" s="500"/>
      <c r="AH110" s="534"/>
    </row>
    <row r="111" outlineLevel="1">
      <c r="A111" s="502" t="s">
        <v>795</v>
      </c>
      <c r="B111" s="497">
        <v>67.0</v>
      </c>
      <c r="C111" s="497">
        <v>16.0</v>
      </c>
      <c r="D111" s="497">
        <v>20.0</v>
      </c>
      <c r="E111" s="497">
        <v>17.0</v>
      </c>
      <c r="F111" s="497">
        <v>11.0</v>
      </c>
      <c r="G111" s="497">
        <v>10.0</v>
      </c>
      <c r="H111" s="497">
        <v>11.0</v>
      </c>
      <c r="I111" s="497">
        <v>8.0</v>
      </c>
      <c r="J111" s="497">
        <v>14.0</v>
      </c>
      <c r="K111" s="497">
        <v>8.0</v>
      </c>
      <c r="L111" s="497">
        <v>8.0</v>
      </c>
      <c r="M111" s="497">
        <v>6.0</v>
      </c>
      <c r="N111" s="498">
        <v>3.0</v>
      </c>
      <c r="O111" s="498">
        <v>4.0</v>
      </c>
      <c r="P111" s="497">
        <v>4.0</v>
      </c>
      <c r="Q111" s="498">
        <v>4.0</v>
      </c>
      <c r="R111" s="498">
        <v>0.0</v>
      </c>
      <c r="S111" s="498">
        <v>2.0</v>
      </c>
      <c r="T111" s="498">
        <v>1.0</v>
      </c>
      <c r="U111" s="497">
        <v>2.0</v>
      </c>
      <c r="V111" s="497">
        <v>3.0</v>
      </c>
      <c r="W111" s="497">
        <v>1.0</v>
      </c>
      <c r="X111" s="497">
        <v>6.0</v>
      </c>
      <c r="Y111" s="498">
        <v>5.0</v>
      </c>
      <c r="Z111" s="498">
        <v>11.0</v>
      </c>
      <c r="AA111" s="498">
        <v>2.0</v>
      </c>
      <c r="AB111" s="498">
        <v>7.0</v>
      </c>
      <c r="AC111" s="498">
        <v>5.0</v>
      </c>
      <c r="AD111" s="498">
        <v>5.0</v>
      </c>
      <c r="AE111" s="498">
        <v>6.0</v>
      </c>
      <c r="AF111" s="498">
        <v>4.0</v>
      </c>
      <c r="AG111" s="500">
        <f t="shared" ref="AG111:AG114" si="61">SUM(B111:AF111)</f>
        <v>271</v>
      </c>
      <c r="AH111" s="501">
        <f t="shared" ref="AH111:AH113" si="62">iferror(AG111/AG$114,"")</f>
        <v>0.3452229299</v>
      </c>
    </row>
    <row r="112" outlineLevel="1">
      <c r="A112" s="502" t="s">
        <v>796</v>
      </c>
      <c r="B112" s="497">
        <v>143.0</v>
      </c>
      <c r="C112" s="497">
        <v>19.0</v>
      </c>
      <c r="D112" s="497">
        <v>18.0</v>
      </c>
      <c r="E112" s="497">
        <v>22.0</v>
      </c>
      <c r="F112" s="497">
        <v>16.0</v>
      </c>
      <c r="G112" s="497">
        <v>12.0</v>
      </c>
      <c r="H112" s="497">
        <v>12.0</v>
      </c>
      <c r="I112" s="497">
        <v>16.0</v>
      </c>
      <c r="J112" s="497">
        <v>16.0</v>
      </c>
      <c r="K112" s="497">
        <v>13.0</v>
      </c>
      <c r="L112" s="497">
        <v>11.0</v>
      </c>
      <c r="M112" s="497">
        <v>7.0</v>
      </c>
      <c r="N112" s="498">
        <v>6.0</v>
      </c>
      <c r="O112" s="498">
        <v>11.0</v>
      </c>
      <c r="P112" s="497">
        <v>5.0</v>
      </c>
      <c r="Q112" s="498">
        <v>6.0</v>
      </c>
      <c r="R112" s="498">
        <v>1.0</v>
      </c>
      <c r="S112" s="498">
        <v>4.0</v>
      </c>
      <c r="T112" s="498">
        <v>4.0</v>
      </c>
      <c r="U112" s="497">
        <v>5.0</v>
      </c>
      <c r="V112" s="497">
        <v>7.0</v>
      </c>
      <c r="W112" s="497">
        <v>6.0</v>
      </c>
      <c r="X112" s="497">
        <v>6.0</v>
      </c>
      <c r="Y112" s="498">
        <v>10.0</v>
      </c>
      <c r="Z112" s="498">
        <v>7.0</v>
      </c>
      <c r="AA112" s="498">
        <v>6.0</v>
      </c>
      <c r="AB112" s="498">
        <v>3.0</v>
      </c>
      <c r="AC112" s="498">
        <v>1.0</v>
      </c>
      <c r="AD112" s="498">
        <v>3.0</v>
      </c>
      <c r="AE112" s="498">
        <v>4.0</v>
      </c>
      <c r="AF112" s="498">
        <v>4.0</v>
      </c>
      <c r="AG112" s="500">
        <f t="shared" si="61"/>
        <v>404</v>
      </c>
      <c r="AH112" s="501">
        <f t="shared" si="62"/>
        <v>0.5146496815</v>
      </c>
    </row>
    <row r="113" outlineLevel="1">
      <c r="A113" s="502" t="s">
        <v>797</v>
      </c>
      <c r="B113" s="497">
        <v>54.0</v>
      </c>
      <c r="C113" s="497">
        <v>6.0</v>
      </c>
      <c r="D113" s="497">
        <v>3.0</v>
      </c>
      <c r="E113" s="497">
        <v>0.0</v>
      </c>
      <c r="F113" s="497">
        <v>3.0</v>
      </c>
      <c r="G113" s="497">
        <v>1.0</v>
      </c>
      <c r="H113" s="497">
        <v>2.0</v>
      </c>
      <c r="I113" s="497">
        <v>1.0</v>
      </c>
      <c r="J113" s="497">
        <v>3.0</v>
      </c>
      <c r="K113" s="497">
        <v>3.0</v>
      </c>
      <c r="L113" s="497">
        <v>3.0</v>
      </c>
      <c r="M113" s="497">
        <v>2.0</v>
      </c>
      <c r="N113" s="498">
        <v>2.0</v>
      </c>
      <c r="O113" s="498">
        <v>2.0</v>
      </c>
      <c r="P113" s="497">
        <v>0.0</v>
      </c>
      <c r="Q113" s="498">
        <v>2.0</v>
      </c>
      <c r="R113" s="498">
        <v>1.0</v>
      </c>
      <c r="S113" s="498">
        <v>2.0</v>
      </c>
      <c r="T113" s="498">
        <v>1.0</v>
      </c>
      <c r="U113" s="497">
        <v>1.0</v>
      </c>
      <c r="V113" s="497">
        <v>2.0</v>
      </c>
      <c r="W113" s="497">
        <v>1.0</v>
      </c>
      <c r="X113" s="497">
        <v>1.0</v>
      </c>
      <c r="Y113" s="498">
        <v>2.0</v>
      </c>
      <c r="Z113" s="498">
        <v>1.0</v>
      </c>
      <c r="AA113" s="498">
        <v>2.0</v>
      </c>
      <c r="AB113" s="498">
        <v>0.0</v>
      </c>
      <c r="AC113" s="498">
        <v>3.0</v>
      </c>
      <c r="AD113" s="498">
        <v>4.0</v>
      </c>
      <c r="AE113" s="498">
        <v>2.0</v>
      </c>
      <c r="AF113" s="498">
        <v>0.0</v>
      </c>
      <c r="AG113" s="500">
        <f t="shared" si="61"/>
        <v>110</v>
      </c>
      <c r="AH113" s="501">
        <f t="shared" si="62"/>
        <v>0.1401273885</v>
      </c>
    </row>
    <row r="114" outlineLevel="1">
      <c r="A114" s="540" t="s">
        <v>804</v>
      </c>
      <c r="B114" s="560">
        <f t="shared" ref="B114:AF114" si="63">SUM(B111:B113)</f>
        <v>264</v>
      </c>
      <c r="C114" s="560">
        <f t="shared" si="63"/>
        <v>41</v>
      </c>
      <c r="D114" s="560">
        <f t="shared" si="63"/>
        <v>41</v>
      </c>
      <c r="E114" s="560">
        <f t="shared" si="63"/>
        <v>39</v>
      </c>
      <c r="F114" s="560">
        <f t="shared" si="63"/>
        <v>30</v>
      </c>
      <c r="G114" s="560">
        <f t="shared" si="63"/>
        <v>23</v>
      </c>
      <c r="H114" s="560">
        <f t="shared" si="63"/>
        <v>25</v>
      </c>
      <c r="I114" s="560">
        <f t="shared" si="63"/>
        <v>25</v>
      </c>
      <c r="J114" s="560">
        <f t="shared" si="63"/>
        <v>33</v>
      </c>
      <c r="K114" s="560">
        <f t="shared" si="63"/>
        <v>24</v>
      </c>
      <c r="L114" s="560">
        <f t="shared" si="63"/>
        <v>22</v>
      </c>
      <c r="M114" s="560">
        <f t="shared" si="63"/>
        <v>15</v>
      </c>
      <c r="N114" s="560">
        <f t="shared" si="63"/>
        <v>11</v>
      </c>
      <c r="O114" s="560">
        <f t="shared" si="63"/>
        <v>17</v>
      </c>
      <c r="P114" s="560">
        <f t="shared" si="63"/>
        <v>9</v>
      </c>
      <c r="Q114" s="560">
        <f t="shared" si="63"/>
        <v>12</v>
      </c>
      <c r="R114" s="560">
        <f t="shared" si="63"/>
        <v>2</v>
      </c>
      <c r="S114" s="560">
        <f t="shared" si="63"/>
        <v>8</v>
      </c>
      <c r="T114" s="560">
        <f t="shared" si="63"/>
        <v>6</v>
      </c>
      <c r="U114" s="560">
        <f t="shared" si="63"/>
        <v>8</v>
      </c>
      <c r="V114" s="560">
        <f t="shared" si="63"/>
        <v>12</v>
      </c>
      <c r="W114" s="560">
        <f t="shared" si="63"/>
        <v>8</v>
      </c>
      <c r="X114" s="560">
        <f t="shared" si="63"/>
        <v>13</v>
      </c>
      <c r="Y114" s="560">
        <f t="shared" si="63"/>
        <v>17</v>
      </c>
      <c r="Z114" s="560">
        <f t="shared" si="63"/>
        <v>19</v>
      </c>
      <c r="AA114" s="560">
        <f t="shared" si="63"/>
        <v>10</v>
      </c>
      <c r="AB114" s="560">
        <f t="shared" si="63"/>
        <v>10</v>
      </c>
      <c r="AC114" s="560">
        <f t="shared" si="63"/>
        <v>9</v>
      </c>
      <c r="AD114" s="560">
        <f t="shared" si="63"/>
        <v>12</v>
      </c>
      <c r="AE114" s="560">
        <f t="shared" si="63"/>
        <v>12</v>
      </c>
      <c r="AF114" s="560">
        <f t="shared" si="63"/>
        <v>8</v>
      </c>
      <c r="AG114" s="541">
        <f t="shared" si="61"/>
        <v>785</v>
      </c>
      <c r="AH114" s="507">
        <f>SUM(AH111:AH113)</f>
        <v>1</v>
      </c>
    </row>
    <row r="115">
      <c r="A115" s="564"/>
      <c r="B115" s="565"/>
      <c r="C115" s="565"/>
      <c r="D115" s="565"/>
      <c r="E115" s="565"/>
      <c r="F115" s="565"/>
      <c r="G115" s="565"/>
      <c r="H115" s="565"/>
      <c r="I115" s="565"/>
      <c r="J115" s="565"/>
      <c r="K115" s="565"/>
      <c r="L115" s="565"/>
      <c r="M115" s="565"/>
      <c r="N115" s="529"/>
      <c r="O115" s="529"/>
      <c r="P115" s="529"/>
      <c r="Q115" s="529"/>
      <c r="R115" s="529"/>
      <c r="S115" s="529"/>
      <c r="T115" s="529"/>
      <c r="U115" s="529"/>
      <c r="V115" s="529"/>
      <c r="W115" s="529"/>
      <c r="X115" s="529"/>
      <c r="Y115" s="529"/>
      <c r="Z115" s="529"/>
      <c r="AA115" s="529"/>
      <c r="AB115" s="529"/>
      <c r="AC115" s="529"/>
      <c r="AD115" s="529"/>
      <c r="AE115" s="529"/>
      <c r="AF115" s="529"/>
      <c r="AG115" s="556"/>
      <c r="AH115" s="528"/>
    </row>
    <row r="116">
      <c r="A116" s="564"/>
      <c r="B116" s="565"/>
      <c r="C116" s="565"/>
      <c r="D116" s="565"/>
      <c r="E116" s="565"/>
      <c r="F116" s="565"/>
      <c r="G116" s="565"/>
      <c r="H116" s="565"/>
      <c r="I116" s="565"/>
      <c r="J116" s="565"/>
      <c r="K116" s="565"/>
      <c r="L116" s="565"/>
      <c r="M116" s="565"/>
      <c r="N116" s="529"/>
      <c r="O116" s="529"/>
      <c r="P116" s="529"/>
      <c r="Q116" s="529"/>
      <c r="R116" s="529"/>
      <c r="S116" s="529"/>
      <c r="T116" s="529"/>
      <c r="U116" s="529"/>
      <c r="V116" s="529"/>
      <c r="W116" s="529"/>
      <c r="X116" s="529"/>
      <c r="Y116" s="529"/>
      <c r="Z116" s="529"/>
      <c r="AA116" s="529"/>
      <c r="AB116" s="529"/>
      <c r="AC116" s="529"/>
      <c r="AD116" s="529"/>
      <c r="AE116" s="529"/>
      <c r="AF116" s="529"/>
      <c r="AG116" s="556"/>
      <c r="AH116" s="528"/>
    </row>
    <row r="117">
      <c r="A117" s="532" t="s">
        <v>813</v>
      </c>
      <c r="B117" s="533"/>
      <c r="C117" s="533"/>
      <c r="D117" s="533"/>
      <c r="E117" s="533"/>
      <c r="F117" s="533"/>
      <c r="G117" s="533"/>
      <c r="H117" s="533"/>
      <c r="I117" s="533"/>
      <c r="J117" s="533"/>
      <c r="K117" s="533"/>
      <c r="L117" s="533"/>
      <c r="M117" s="533"/>
      <c r="N117" s="533"/>
      <c r="O117" s="533"/>
      <c r="P117" s="533"/>
      <c r="Q117" s="533"/>
      <c r="R117" s="533"/>
      <c r="S117" s="533"/>
      <c r="T117" s="533"/>
      <c r="U117" s="533"/>
      <c r="V117" s="533"/>
      <c r="W117" s="533"/>
      <c r="X117" s="533"/>
      <c r="Y117" s="533"/>
      <c r="Z117" s="533"/>
      <c r="AA117" s="533"/>
      <c r="AB117" s="533"/>
      <c r="AC117" s="533"/>
      <c r="AD117" s="533"/>
      <c r="AE117" s="533"/>
      <c r="AF117" s="533"/>
      <c r="AG117" s="556"/>
      <c r="AH117" s="528"/>
    </row>
    <row r="118" collapsed="1">
      <c r="A118" s="566" t="s">
        <v>789</v>
      </c>
      <c r="B118" s="567"/>
      <c r="C118" s="567"/>
      <c r="D118" s="567"/>
      <c r="E118" s="567"/>
      <c r="F118" s="567"/>
      <c r="G118" s="567"/>
      <c r="H118" s="567"/>
      <c r="I118" s="567"/>
      <c r="J118" s="567"/>
      <c r="K118" s="567"/>
      <c r="L118" s="567"/>
      <c r="M118" s="567"/>
      <c r="N118" s="568"/>
      <c r="O118" s="568"/>
      <c r="P118" s="568"/>
      <c r="Q118" s="568"/>
      <c r="R118" s="568"/>
      <c r="S118" s="568"/>
      <c r="T118" s="568"/>
      <c r="U118" s="567"/>
      <c r="V118" s="567"/>
      <c r="W118" s="567"/>
      <c r="X118" s="567"/>
      <c r="Y118" s="568"/>
      <c r="Z118" s="568"/>
      <c r="AA118" s="568"/>
      <c r="AB118" s="568"/>
      <c r="AC118" s="568"/>
      <c r="AD118" s="568"/>
      <c r="AE118" s="568"/>
      <c r="AF118" s="568"/>
      <c r="AG118" s="556"/>
      <c r="AH118" s="528"/>
    </row>
    <row r="119" hidden="1" outlineLevel="1">
      <c r="A119" s="569" t="s">
        <v>795</v>
      </c>
      <c r="B119" s="570">
        <f t="shared" ref="B119:AF119" si="64">iferror(B92/B$95,"")</f>
        <v>0.3937823834</v>
      </c>
      <c r="C119" s="570">
        <f t="shared" si="64"/>
        <v>0.4473684211</v>
      </c>
      <c r="D119" s="570">
        <f t="shared" si="64"/>
        <v>0.462962963</v>
      </c>
      <c r="E119" s="570">
        <f t="shared" si="64"/>
        <v>0.4545454545</v>
      </c>
      <c r="F119" s="570">
        <f t="shared" si="64"/>
        <v>0.2666666667</v>
      </c>
      <c r="G119" s="570">
        <f t="shared" si="64"/>
        <v>0.4651162791</v>
      </c>
      <c r="H119" s="570">
        <f t="shared" si="64"/>
        <v>0.5</v>
      </c>
      <c r="I119" s="570">
        <f t="shared" si="64"/>
        <v>0.4285714286</v>
      </c>
      <c r="J119" s="570">
        <f t="shared" si="64"/>
        <v>0.4516129032</v>
      </c>
      <c r="K119" s="570">
        <f t="shared" si="64"/>
        <v>0.4727272727</v>
      </c>
      <c r="L119" s="570">
        <f t="shared" si="64"/>
        <v>0.2916666667</v>
      </c>
      <c r="M119" s="570">
        <f t="shared" si="64"/>
        <v>0.4285714286</v>
      </c>
      <c r="N119" s="570">
        <f t="shared" si="64"/>
        <v>0.25</v>
      </c>
      <c r="O119" s="570">
        <f t="shared" si="64"/>
        <v>0.3571428571</v>
      </c>
      <c r="P119" s="570">
        <f t="shared" si="64"/>
        <v>0.5454545455</v>
      </c>
      <c r="Q119" s="570">
        <f t="shared" si="64"/>
        <v>0.380952381</v>
      </c>
      <c r="R119" s="570">
        <f t="shared" si="64"/>
        <v>0.4444444444</v>
      </c>
      <c r="S119" s="570">
        <f t="shared" si="64"/>
        <v>0.6666666667</v>
      </c>
      <c r="T119" s="570">
        <f t="shared" si="64"/>
        <v>0.4545454545</v>
      </c>
      <c r="U119" s="570">
        <f t="shared" si="64"/>
        <v>0.6875</v>
      </c>
      <c r="V119" s="570">
        <f t="shared" si="64"/>
        <v>0.3636363636</v>
      </c>
      <c r="W119" s="570">
        <f t="shared" si="64"/>
        <v>0.4</v>
      </c>
      <c r="X119" s="570">
        <f t="shared" si="64"/>
        <v>0.3571428571</v>
      </c>
      <c r="Y119" s="570">
        <f t="shared" si="64"/>
        <v>0.3157894737</v>
      </c>
      <c r="Z119" s="570">
        <f t="shared" si="64"/>
        <v>0.5833333333</v>
      </c>
      <c r="AA119" s="570">
        <f t="shared" si="64"/>
        <v>0.5714285714</v>
      </c>
      <c r="AB119" s="570">
        <f t="shared" si="64"/>
        <v>0.4615384615</v>
      </c>
      <c r="AC119" s="570">
        <f t="shared" si="64"/>
        <v>0.5</v>
      </c>
      <c r="AD119" s="570">
        <f t="shared" si="64"/>
        <v>0.4285714286</v>
      </c>
      <c r="AE119" s="570">
        <f t="shared" si="64"/>
        <v>0.5</v>
      </c>
      <c r="AF119" s="570">
        <f t="shared" si="64"/>
        <v>0.3333333333</v>
      </c>
      <c r="AG119" s="556"/>
      <c r="AH119" s="528"/>
    </row>
    <row r="120" hidden="1" outlineLevel="1">
      <c r="A120" s="569" t="s">
        <v>796</v>
      </c>
      <c r="B120" s="570">
        <f t="shared" ref="B120:AF120" si="65">iferror(B93/B$95,"")</f>
        <v>0.5699481865</v>
      </c>
      <c r="C120" s="570">
        <f t="shared" si="65"/>
        <v>0.4736842105</v>
      </c>
      <c r="D120" s="570">
        <f t="shared" si="65"/>
        <v>0.5185185185</v>
      </c>
      <c r="E120" s="570">
        <f t="shared" si="65"/>
        <v>0.4727272727</v>
      </c>
      <c r="F120" s="570">
        <f t="shared" si="65"/>
        <v>0.7</v>
      </c>
      <c r="G120" s="570">
        <f t="shared" si="65"/>
        <v>0.5348837209</v>
      </c>
      <c r="H120" s="570">
        <f t="shared" si="65"/>
        <v>0.4333333333</v>
      </c>
      <c r="I120" s="570">
        <f t="shared" si="65"/>
        <v>0.5142857143</v>
      </c>
      <c r="J120" s="570">
        <f t="shared" si="65"/>
        <v>0.5161290323</v>
      </c>
      <c r="K120" s="570">
        <f t="shared" si="65"/>
        <v>0.4</v>
      </c>
      <c r="L120" s="570">
        <f t="shared" si="65"/>
        <v>0.7083333333</v>
      </c>
      <c r="M120" s="570">
        <f t="shared" si="65"/>
        <v>0.5714285714</v>
      </c>
      <c r="N120" s="570">
        <f t="shared" si="65"/>
        <v>0.625</v>
      </c>
      <c r="O120" s="570">
        <f t="shared" si="65"/>
        <v>0.5714285714</v>
      </c>
      <c r="P120" s="570">
        <f t="shared" si="65"/>
        <v>0.3636363636</v>
      </c>
      <c r="Q120" s="570">
        <f t="shared" si="65"/>
        <v>0.5714285714</v>
      </c>
      <c r="R120" s="570">
        <f t="shared" si="65"/>
        <v>0.4444444444</v>
      </c>
      <c r="S120" s="570">
        <f t="shared" si="65"/>
        <v>0.25</v>
      </c>
      <c r="T120" s="570">
        <f t="shared" si="65"/>
        <v>0.5454545455</v>
      </c>
      <c r="U120" s="570">
        <f t="shared" si="65"/>
        <v>0.3125</v>
      </c>
      <c r="V120" s="570">
        <f t="shared" si="65"/>
        <v>0.5454545455</v>
      </c>
      <c r="W120" s="570">
        <f t="shared" si="65"/>
        <v>0.5</v>
      </c>
      <c r="X120" s="570">
        <f t="shared" si="65"/>
        <v>0.6428571429</v>
      </c>
      <c r="Y120" s="570">
        <f t="shared" si="65"/>
        <v>0.6315789474</v>
      </c>
      <c r="Z120" s="570">
        <f t="shared" si="65"/>
        <v>0.4166666667</v>
      </c>
      <c r="AA120" s="570">
        <f t="shared" si="65"/>
        <v>0.4285714286</v>
      </c>
      <c r="AB120" s="570">
        <f t="shared" si="65"/>
        <v>0.4615384615</v>
      </c>
      <c r="AC120" s="570">
        <f t="shared" si="65"/>
        <v>0.5</v>
      </c>
      <c r="AD120" s="570">
        <f t="shared" si="65"/>
        <v>0.5714285714</v>
      </c>
      <c r="AE120" s="570">
        <f t="shared" si="65"/>
        <v>0.5</v>
      </c>
      <c r="AF120" s="570">
        <f t="shared" si="65"/>
        <v>0.5</v>
      </c>
      <c r="AG120" s="556"/>
      <c r="AH120" s="528"/>
    </row>
    <row r="121" hidden="1" outlineLevel="1">
      <c r="A121" s="569" t="s">
        <v>797</v>
      </c>
      <c r="B121" s="570">
        <f t="shared" ref="B121:AF121" si="66">iferror(B94/B$95,"")</f>
        <v>0.03626943005</v>
      </c>
      <c r="C121" s="570">
        <f t="shared" si="66"/>
        <v>0.07894736842</v>
      </c>
      <c r="D121" s="570">
        <f t="shared" si="66"/>
        <v>0.01851851852</v>
      </c>
      <c r="E121" s="570">
        <f t="shared" si="66"/>
        <v>0.07272727273</v>
      </c>
      <c r="F121" s="570">
        <f t="shared" si="66"/>
        <v>0.03333333333</v>
      </c>
      <c r="G121" s="570">
        <f t="shared" si="66"/>
        <v>0</v>
      </c>
      <c r="H121" s="570">
        <f t="shared" si="66"/>
        <v>0.06666666667</v>
      </c>
      <c r="I121" s="570">
        <f t="shared" si="66"/>
        <v>0.05714285714</v>
      </c>
      <c r="J121" s="570">
        <f t="shared" si="66"/>
        <v>0.03225806452</v>
      </c>
      <c r="K121" s="570">
        <f t="shared" si="66"/>
        <v>0.1272727273</v>
      </c>
      <c r="L121" s="570">
        <f t="shared" si="66"/>
        <v>0</v>
      </c>
      <c r="M121" s="570">
        <f t="shared" si="66"/>
        <v>0</v>
      </c>
      <c r="N121" s="570">
        <f t="shared" si="66"/>
        <v>0.125</v>
      </c>
      <c r="O121" s="570">
        <f t="shared" si="66"/>
        <v>0.07142857143</v>
      </c>
      <c r="P121" s="570">
        <f t="shared" si="66"/>
        <v>0.09090909091</v>
      </c>
      <c r="Q121" s="570">
        <f t="shared" si="66"/>
        <v>0.04761904762</v>
      </c>
      <c r="R121" s="570">
        <f t="shared" si="66"/>
        <v>0.1111111111</v>
      </c>
      <c r="S121" s="570">
        <f t="shared" si="66"/>
        <v>0.08333333333</v>
      </c>
      <c r="T121" s="570">
        <f t="shared" si="66"/>
        <v>0</v>
      </c>
      <c r="U121" s="570">
        <f t="shared" si="66"/>
        <v>0</v>
      </c>
      <c r="V121" s="570">
        <f t="shared" si="66"/>
        <v>0.09090909091</v>
      </c>
      <c r="W121" s="570">
        <f t="shared" si="66"/>
        <v>0.1</v>
      </c>
      <c r="X121" s="570">
        <f t="shared" si="66"/>
        <v>0</v>
      </c>
      <c r="Y121" s="570">
        <f t="shared" si="66"/>
        <v>0.05263157895</v>
      </c>
      <c r="Z121" s="570">
        <f t="shared" si="66"/>
        <v>0</v>
      </c>
      <c r="AA121" s="570">
        <f t="shared" si="66"/>
        <v>0</v>
      </c>
      <c r="AB121" s="570">
        <f t="shared" si="66"/>
        <v>0.07692307692</v>
      </c>
      <c r="AC121" s="570">
        <f t="shared" si="66"/>
        <v>0</v>
      </c>
      <c r="AD121" s="570">
        <f t="shared" si="66"/>
        <v>0</v>
      </c>
      <c r="AE121" s="570">
        <f t="shared" si="66"/>
        <v>0</v>
      </c>
      <c r="AF121" s="570">
        <f t="shared" si="66"/>
        <v>0.1666666667</v>
      </c>
      <c r="AG121" s="556"/>
      <c r="AH121" s="528"/>
    </row>
    <row r="122">
      <c r="A122" s="571"/>
      <c r="B122" s="572"/>
      <c r="C122" s="572"/>
      <c r="D122" s="572"/>
      <c r="E122" s="572"/>
      <c r="F122" s="572">
        <f t="shared" ref="F122:W122" si="67">iferror(F95/F$95,"")</f>
        <v>1</v>
      </c>
      <c r="G122" s="572">
        <f t="shared" si="67"/>
        <v>1</v>
      </c>
      <c r="H122" s="572">
        <f t="shared" si="67"/>
        <v>1</v>
      </c>
      <c r="I122" s="572">
        <f t="shared" si="67"/>
        <v>1</v>
      </c>
      <c r="J122" s="572">
        <f t="shared" si="67"/>
        <v>1</v>
      </c>
      <c r="K122" s="572">
        <f t="shared" si="67"/>
        <v>1</v>
      </c>
      <c r="L122" s="572">
        <f t="shared" si="67"/>
        <v>1</v>
      </c>
      <c r="M122" s="572">
        <f t="shared" si="67"/>
        <v>1</v>
      </c>
      <c r="N122" s="572">
        <f t="shared" si="67"/>
        <v>1</v>
      </c>
      <c r="O122" s="572">
        <f t="shared" si="67"/>
        <v>1</v>
      </c>
      <c r="P122" s="572">
        <f t="shared" si="67"/>
        <v>1</v>
      </c>
      <c r="Q122" s="572">
        <f t="shared" si="67"/>
        <v>1</v>
      </c>
      <c r="R122" s="572">
        <f t="shared" si="67"/>
        <v>1</v>
      </c>
      <c r="S122" s="572">
        <f t="shared" si="67"/>
        <v>1</v>
      </c>
      <c r="T122" s="572">
        <f t="shared" si="67"/>
        <v>1</v>
      </c>
      <c r="U122" s="572">
        <f t="shared" si="67"/>
        <v>1</v>
      </c>
      <c r="V122" s="572">
        <f t="shared" si="67"/>
        <v>1</v>
      </c>
      <c r="W122" s="572">
        <f t="shared" si="67"/>
        <v>1</v>
      </c>
      <c r="X122" s="570"/>
      <c r="Y122" s="572"/>
      <c r="Z122" s="572"/>
      <c r="AA122" s="572"/>
      <c r="AB122" s="572"/>
      <c r="AC122" s="572"/>
      <c r="AD122" s="572"/>
      <c r="AE122" s="572">
        <f t="shared" ref="AE122:AF122" si="68">iferror(AE95/AE$95,"")</f>
        <v>1</v>
      </c>
      <c r="AF122" s="572">
        <f t="shared" si="68"/>
        <v>1</v>
      </c>
      <c r="AG122" s="556"/>
      <c r="AH122" s="528"/>
    </row>
    <row r="123" collapsed="1">
      <c r="A123" s="571" t="s">
        <v>798</v>
      </c>
      <c r="B123" s="572"/>
      <c r="C123" s="572"/>
      <c r="D123" s="572"/>
      <c r="E123" s="572"/>
      <c r="F123" s="572">
        <f t="shared" ref="F123:W123" si="69">iferror(F96/F$95,"")</f>
        <v>0</v>
      </c>
      <c r="G123" s="572">
        <f t="shared" si="69"/>
        <v>0</v>
      </c>
      <c r="H123" s="572">
        <f t="shared" si="69"/>
        <v>0</v>
      </c>
      <c r="I123" s="572">
        <f t="shared" si="69"/>
        <v>0</v>
      </c>
      <c r="J123" s="572">
        <f t="shared" si="69"/>
        <v>0</v>
      </c>
      <c r="K123" s="572">
        <f t="shared" si="69"/>
        <v>0</v>
      </c>
      <c r="L123" s="572">
        <f t="shared" si="69"/>
        <v>0</v>
      </c>
      <c r="M123" s="572">
        <f t="shared" si="69"/>
        <v>0</v>
      </c>
      <c r="N123" s="572">
        <f t="shared" si="69"/>
        <v>0</v>
      </c>
      <c r="O123" s="572">
        <f t="shared" si="69"/>
        <v>0</v>
      </c>
      <c r="P123" s="572">
        <f t="shared" si="69"/>
        <v>0</v>
      </c>
      <c r="Q123" s="572">
        <f t="shared" si="69"/>
        <v>0</v>
      </c>
      <c r="R123" s="572">
        <f t="shared" si="69"/>
        <v>0</v>
      </c>
      <c r="S123" s="572">
        <f t="shared" si="69"/>
        <v>0</v>
      </c>
      <c r="T123" s="572">
        <f t="shared" si="69"/>
        <v>0</v>
      </c>
      <c r="U123" s="572">
        <f t="shared" si="69"/>
        <v>0</v>
      </c>
      <c r="V123" s="572">
        <f t="shared" si="69"/>
        <v>0</v>
      </c>
      <c r="W123" s="572">
        <f t="shared" si="69"/>
        <v>0</v>
      </c>
      <c r="X123" s="570"/>
      <c r="Y123" s="572"/>
      <c r="Z123" s="572"/>
      <c r="AA123" s="572"/>
      <c r="AB123" s="572"/>
      <c r="AC123" s="572"/>
      <c r="AD123" s="572"/>
      <c r="AE123" s="572">
        <f t="shared" ref="AE123:AF123" si="70">iferror(AE96/AE$95,"")</f>
        <v>0</v>
      </c>
      <c r="AF123" s="572">
        <f t="shared" si="70"/>
        <v>0</v>
      </c>
      <c r="AG123" s="556"/>
      <c r="AH123" s="528"/>
    </row>
    <row r="124" hidden="1" outlineLevel="1">
      <c r="A124" s="569" t="s">
        <v>795</v>
      </c>
      <c r="B124" s="570">
        <f t="shared" ref="B124:AF124" si="71">iferror(B98/B$101,"")</f>
        <v>0.3679458239</v>
      </c>
      <c r="C124" s="570">
        <f t="shared" si="71"/>
        <v>0.49</v>
      </c>
      <c r="D124" s="570">
        <f t="shared" si="71"/>
        <v>0.4929577465</v>
      </c>
      <c r="E124" s="570">
        <f t="shared" si="71"/>
        <v>0.5079365079</v>
      </c>
      <c r="F124" s="570">
        <f t="shared" si="71"/>
        <v>0.5245901639</v>
      </c>
      <c r="G124" s="570">
        <f t="shared" si="71"/>
        <v>0.5263157895</v>
      </c>
      <c r="H124" s="570">
        <f t="shared" si="71"/>
        <v>0.525</v>
      </c>
      <c r="I124" s="570">
        <f t="shared" si="71"/>
        <v>0.6451612903</v>
      </c>
      <c r="J124" s="570">
        <f t="shared" si="71"/>
        <v>0.564516129</v>
      </c>
      <c r="K124" s="570">
        <f t="shared" si="71"/>
        <v>0.5106382979</v>
      </c>
      <c r="L124" s="570">
        <f t="shared" si="71"/>
        <v>0.5666666667</v>
      </c>
      <c r="M124" s="570">
        <f t="shared" si="71"/>
        <v>0.7142857143</v>
      </c>
      <c r="N124" s="570">
        <f t="shared" si="71"/>
        <v>0.4736842105</v>
      </c>
      <c r="O124" s="570">
        <f t="shared" si="71"/>
        <v>0.4736842105</v>
      </c>
      <c r="P124" s="570">
        <f t="shared" si="71"/>
        <v>0.4615384615</v>
      </c>
      <c r="Q124" s="570">
        <f t="shared" si="71"/>
        <v>0.5217391304</v>
      </c>
      <c r="R124" s="570">
        <f t="shared" si="71"/>
        <v>0.6153846154</v>
      </c>
      <c r="S124" s="570">
        <f t="shared" si="71"/>
        <v>0.7647058824</v>
      </c>
      <c r="T124" s="570">
        <f t="shared" si="71"/>
        <v>0.5555555556</v>
      </c>
      <c r="U124" s="570">
        <f t="shared" si="71"/>
        <v>0.4210526316</v>
      </c>
      <c r="V124" s="570">
        <f t="shared" si="71"/>
        <v>0.4</v>
      </c>
      <c r="W124" s="570">
        <f t="shared" si="71"/>
        <v>0.6666666667</v>
      </c>
      <c r="X124" s="570">
        <f t="shared" si="71"/>
        <v>0.75</v>
      </c>
      <c r="Y124" s="570">
        <f t="shared" si="71"/>
        <v>0.6956521739</v>
      </c>
      <c r="Z124" s="570">
        <f t="shared" si="71"/>
        <v>0.75</v>
      </c>
      <c r="AA124" s="570">
        <f t="shared" si="71"/>
        <v>0.5625</v>
      </c>
      <c r="AB124" s="570">
        <f t="shared" si="71"/>
        <v>0.6666666667</v>
      </c>
      <c r="AC124" s="570">
        <f t="shared" si="71"/>
        <v>0.6875</v>
      </c>
      <c r="AD124" s="570">
        <f t="shared" si="71"/>
        <v>0.25</v>
      </c>
      <c r="AE124" s="570">
        <f t="shared" si="71"/>
        <v>0.4615384615</v>
      </c>
      <c r="AF124" s="570">
        <f t="shared" si="71"/>
        <v>0.5294117647</v>
      </c>
      <c r="AG124" s="556"/>
      <c r="AH124" s="528"/>
    </row>
    <row r="125" hidden="1" outlineLevel="1">
      <c r="A125" s="569" t="s">
        <v>796</v>
      </c>
      <c r="B125" s="570">
        <f t="shared" ref="B125:AF125" si="72">iferror(B99/B$101,"")</f>
        <v>0.5620767494</v>
      </c>
      <c r="C125" s="570">
        <f t="shared" si="72"/>
        <v>0.46</v>
      </c>
      <c r="D125" s="570">
        <f t="shared" si="72"/>
        <v>0.4366197183</v>
      </c>
      <c r="E125" s="570">
        <f t="shared" si="72"/>
        <v>0.4920634921</v>
      </c>
      <c r="F125" s="570">
        <f t="shared" si="72"/>
        <v>0.4426229508</v>
      </c>
      <c r="G125" s="570">
        <f t="shared" si="72"/>
        <v>0.4473684211</v>
      </c>
      <c r="H125" s="570">
        <f t="shared" si="72"/>
        <v>0.425</v>
      </c>
      <c r="I125" s="570">
        <f t="shared" si="72"/>
        <v>0.3548387097</v>
      </c>
      <c r="J125" s="570">
        <f t="shared" si="72"/>
        <v>0.3709677419</v>
      </c>
      <c r="K125" s="570">
        <f t="shared" si="72"/>
        <v>0.4468085106</v>
      </c>
      <c r="L125" s="570">
        <f t="shared" si="72"/>
        <v>0.3666666667</v>
      </c>
      <c r="M125" s="570">
        <f t="shared" si="72"/>
        <v>0.2380952381</v>
      </c>
      <c r="N125" s="570">
        <f t="shared" si="72"/>
        <v>0.4736842105</v>
      </c>
      <c r="O125" s="570">
        <f t="shared" si="72"/>
        <v>0.5263157895</v>
      </c>
      <c r="P125" s="570">
        <f t="shared" si="72"/>
        <v>0.3846153846</v>
      </c>
      <c r="Q125" s="570">
        <f t="shared" si="72"/>
        <v>0.3913043478</v>
      </c>
      <c r="R125" s="570">
        <f t="shared" si="72"/>
        <v>0.3846153846</v>
      </c>
      <c r="S125" s="570">
        <f t="shared" si="72"/>
        <v>0.1764705882</v>
      </c>
      <c r="T125" s="570">
        <f t="shared" si="72"/>
        <v>0.4444444444</v>
      </c>
      <c r="U125" s="570">
        <f t="shared" si="72"/>
        <v>0.5263157895</v>
      </c>
      <c r="V125" s="570">
        <f t="shared" si="72"/>
        <v>0.5333333333</v>
      </c>
      <c r="W125" s="570">
        <f t="shared" si="72"/>
        <v>0.3333333333</v>
      </c>
      <c r="X125" s="570">
        <f t="shared" si="72"/>
        <v>0.25</v>
      </c>
      <c r="Y125" s="570">
        <f t="shared" si="72"/>
        <v>0.3043478261</v>
      </c>
      <c r="Z125" s="570">
        <f t="shared" si="72"/>
        <v>0.25</v>
      </c>
      <c r="AA125" s="570">
        <f t="shared" si="72"/>
        <v>0.375</v>
      </c>
      <c r="AB125" s="570">
        <f t="shared" si="72"/>
        <v>0.2666666667</v>
      </c>
      <c r="AC125" s="570">
        <f t="shared" si="72"/>
        <v>0.3125</v>
      </c>
      <c r="AD125" s="570">
        <f t="shared" si="72"/>
        <v>0.75</v>
      </c>
      <c r="AE125" s="570">
        <f t="shared" si="72"/>
        <v>0.4615384615</v>
      </c>
      <c r="AF125" s="570">
        <f t="shared" si="72"/>
        <v>0.4117647059</v>
      </c>
      <c r="AG125" s="556"/>
      <c r="AH125" s="528"/>
    </row>
    <row r="126" hidden="1" outlineLevel="1">
      <c r="A126" s="569" t="s">
        <v>797</v>
      </c>
      <c r="B126" s="570">
        <f t="shared" ref="B126:AF126" si="73">iferror(B100/B$101,"")</f>
        <v>0.06997742664</v>
      </c>
      <c r="C126" s="570">
        <f t="shared" si="73"/>
        <v>0.05</v>
      </c>
      <c r="D126" s="570">
        <f t="shared" si="73"/>
        <v>0.07042253521</v>
      </c>
      <c r="E126" s="570">
        <f t="shared" si="73"/>
        <v>0</v>
      </c>
      <c r="F126" s="570">
        <f t="shared" si="73"/>
        <v>0.03278688525</v>
      </c>
      <c r="G126" s="570">
        <f t="shared" si="73"/>
        <v>0.02631578947</v>
      </c>
      <c r="H126" s="570">
        <f t="shared" si="73"/>
        <v>0.05</v>
      </c>
      <c r="I126" s="570">
        <f t="shared" si="73"/>
        <v>0</v>
      </c>
      <c r="J126" s="570">
        <f t="shared" si="73"/>
        <v>0.06451612903</v>
      </c>
      <c r="K126" s="570">
        <f t="shared" si="73"/>
        <v>0.04255319149</v>
      </c>
      <c r="L126" s="570">
        <f t="shared" si="73"/>
        <v>0.06666666667</v>
      </c>
      <c r="M126" s="570">
        <f t="shared" si="73"/>
        <v>0.04761904762</v>
      </c>
      <c r="N126" s="570">
        <f t="shared" si="73"/>
        <v>0.05263157895</v>
      </c>
      <c r="O126" s="570">
        <f t="shared" si="73"/>
        <v>0</v>
      </c>
      <c r="P126" s="570">
        <f t="shared" si="73"/>
        <v>0.1538461538</v>
      </c>
      <c r="Q126" s="570">
        <f t="shared" si="73"/>
        <v>0.08695652174</v>
      </c>
      <c r="R126" s="570">
        <f t="shared" si="73"/>
        <v>0</v>
      </c>
      <c r="S126" s="570">
        <f t="shared" si="73"/>
        <v>0.05882352941</v>
      </c>
      <c r="T126" s="570">
        <f t="shared" si="73"/>
        <v>0</v>
      </c>
      <c r="U126" s="570">
        <f t="shared" si="73"/>
        <v>0.05263157895</v>
      </c>
      <c r="V126" s="570">
        <f t="shared" si="73"/>
        <v>0.06666666667</v>
      </c>
      <c r="W126" s="570">
        <f t="shared" si="73"/>
        <v>0</v>
      </c>
      <c r="X126" s="570">
        <f t="shared" si="73"/>
        <v>0</v>
      </c>
      <c r="Y126" s="570">
        <f t="shared" si="73"/>
        <v>0</v>
      </c>
      <c r="Z126" s="570">
        <f t="shared" si="73"/>
        <v>0</v>
      </c>
      <c r="AA126" s="570">
        <f t="shared" si="73"/>
        <v>0.0625</v>
      </c>
      <c r="AB126" s="570">
        <f t="shared" si="73"/>
        <v>0.06666666667</v>
      </c>
      <c r="AC126" s="570">
        <f t="shared" si="73"/>
        <v>0</v>
      </c>
      <c r="AD126" s="570">
        <f t="shared" si="73"/>
        <v>0</v>
      </c>
      <c r="AE126" s="570">
        <f t="shared" si="73"/>
        <v>0.07692307692</v>
      </c>
      <c r="AF126" s="570">
        <f t="shared" si="73"/>
        <v>0.05882352941</v>
      </c>
      <c r="AG126" s="556"/>
      <c r="AH126" s="528"/>
    </row>
    <row r="127">
      <c r="A127" s="571"/>
      <c r="B127" s="572"/>
      <c r="C127" s="572"/>
      <c r="D127" s="572"/>
      <c r="E127" s="572"/>
      <c r="F127" s="572">
        <f t="shared" ref="F127:W127" si="74">iferror(F100/F$95,"")</f>
        <v>0.06666666667</v>
      </c>
      <c r="G127" s="572">
        <f t="shared" si="74"/>
        <v>0.02325581395</v>
      </c>
      <c r="H127" s="572">
        <f t="shared" si="74"/>
        <v>0.06666666667</v>
      </c>
      <c r="I127" s="572">
        <f t="shared" si="74"/>
        <v>0</v>
      </c>
      <c r="J127" s="572">
        <f t="shared" si="74"/>
        <v>0.1290322581</v>
      </c>
      <c r="K127" s="572">
        <f t="shared" si="74"/>
        <v>0.03636363636</v>
      </c>
      <c r="L127" s="572">
        <f t="shared" si="74"/>
        <v>0.08333333333</v>
      </c>
      <c r="M127" s="572">
        <f t="shared" si="74"/>
        <v>0.04761904762</v>
      </c>
      <c r="N127" s="572">
        <f t="shared" si="74"/>
        <v>0.0625</v>
      </c>
      <c r="O127" s="572">
        <f t="shared" si="74"/>
        <v>0</v>
      </c>
      <c r="P127" s="572">
        <f t="shared" si="74"/>
        <v>0.1818181818</v>
      </c>
      <c r="Q127" s="572">
        <f t="shared" si="74"/>
        <v>0.09523809524</v>
      </c>
      <c r="R127" s="572">
        <f t="shared" si="74"/>
        <v>0</v>
      </c>
      <c r="S127" s="572">
        <f t="shared" si="74"/>
        <v>0.08333333333</v>
      </c>
      <c r="T127" s="572">
        <f t="shared" si="74"/>
        <v>0</v>
      </c>
      <c r="U127" s="572">
        <f t="shared" si="74"/>
        <v>0.0625</v>
      </c>
      <c r="V127" s="572">
        <f t="shared" si="74"/>
        <v>0.09090909091</v>
      </c>
      <c r="W127" s="572">
        <f t="shared" si="74"/>
        <v>0</v>
      </c>
      <c r="X127" s="570"/>
      <c r="Y127" s="572"/>
      <c r="Z127" s="572"/>
      <c r="AA127" s="572"/>
      <c r="AB127" s="572"/>
      <c r="AC127" s="572"/>
      <c r="AD127" s="572"/>
      <c r="AE127" s="572">
        <f t="shared" ref="AE127:AF127" si="75">iferror(AE100/AE$95,"")</f>
        <v>0.05555555556</v>
      </c>
      <c r="AF127" s="572">
        <f t="shared" si="75"/>
        <v>0.08333333333</v>
      </c>
      <c r="AG127" s="556"/>
      <c r="AH127" s="528"/>
    </row>
    <row r="128">
      <c r="A128" s="532" t="s">
        <v>800</v>
      </c>
      <c r="B128" s="533"/>
      <c r="C128" s="533"/>
      <c r="D128" s="533"/>
      <c r="E128" s="533"/>
      <c r="F128" s="533"/>
      <c r="G128" s="533"/>
      <c r="H128" s="533"/>
      <c r="I128" s="533"/>
      <c r="J128" s="533"/>
      <c r="K128" s="533"/>
      <c r="L128" s="533"/>
      <c r="M128" s="533"/>
      <c r="N128" s="533"/>
      <c r="O128" s="533"/>
      <c r="P128" s="533"/>
      <c r="Q128" s="533"/>
      <c r="R128" s="533"/>
      <c r="S128" s="533"/>
      <c r="T128" s="533"/>
      <c r="U128" s="533"/>
      <c r="V128" s="533"/>
      <c r="W128" s="533"/>
      <c r="X128" s="533"/>
      <c r="Y128" s="533"/>
      <c r="Z128" s="533"/>
      <c r="AA128" s="533"/>
      <c r="AB128" s="533"/>
      <c r="AC128" s="533"/>
      <c r="AD128" s="533"/>
      <c r="AE128" s="533"/>
      <c r="AF128" s="533"/>
      <c r="AG128" s="556"/>
      <c r="AH128" s="528"/>
    </row>
    <row r="129" collapsed="1">
      <c r="A129" s="573" t="s">
        <v>799</v>
      </c>
      <c r="B129" s="567"/>
      <c r="C129" s="567"/>
      <c r="D129" s="567"/>
      <c r="E129" s="567"/>
      <c r="F129" s="567"/>
      <c r="G129" s="567"/>
      <c r="H129" s="567"/>
      <c r="I129" s="567"/>
      <c r="J129" s="567"/>
      <c r="K129" s="567"/>
      <c r="L129" s="567"/>
      <c r="M129" s="567"/>
      <c r="N129" s="568"/>
      <c r="O129" s="568"/>
      <c r="P129" s="568"/>
      <c r="Q129" s="568"/>
      <c r="R129" s="568"/>
      <c r="S129" s="568"/>
      <c r="T129" s="568"/>
      <c r="U129" s="567"/>
      <c r="V129" s="567"/>
      <c r="W129" s="567"/>
      <c r="X129" s="567"/>
      <c r="Y129" s="568"/>
      <c r="Z129" s="568"/>
      <c r="AA129" s="568"/>
      <c r="AB129" s="568"/>
      <c r="AC129" s="568"/>
      <c r="AD129" s="568"/>
      <c r="AE129" s="568"/>
      <c r="AF129" s="568"/>
      <c r="AG129" s="556"/>
      <c r="AH129" s="528"/>
    </row>
    <row r="130" hidden="1" outlineLevel="1">
      <c r="A130" s="569" t="s">
        <v>795</v>
      </c>
      <c r="B130" s="570">
        <f t="shared" ref="B130:AF130" si="76">iferror(B105/B$108,"")</f>
        <v>0.3469387755</v>
      </c>
      <c r="C130" s="570">
        <f t="shared" si="76"/>
        <v>0.3428571429</v>
      </c>
      <c r="D130" s="570">
        <f t="shared" si="76"/>
        <v>0.4705882353</v>
      </c>
      <c r="E130" s="570">
        <f t="shared" si="76"/>
        <v>0.3103448276</v>
      </c>
      <c r="F130" s="570">
        <f t="shared" si="76"/>
        <v>0.3055555556</v>
      </c>
      <c r="G130" s="570">
        <f t="shared" si="76"/>
        <v>0.1724137931</v>
      </c>
      <c r="H130" s="570">
        <f t="shared" si="76"/>
        <v>0.2820512821</v>
      </c>
      <c r="I130" s="570">
        <f t="shared" si="76"/>
        <v>0.3076923077</v>
      </c>
      <c r="J130" s="570">
        <f t="shared" si="76"/>
        <v>0.3214285714</v>
      </c>
      <c r="K130" s="570">
        <f t="shared" si="76"/>
        <v>0.2</v>
      </c>
      <c r="L130" s="570">
        <f t="shared" si="76"/>
        <v>0.3333333333</v>
      </c>
      <c r="M130" s="570">
        <f t="shared" si="76"/>
        <v>0.4444444444</v>
      </c>
      <c r="N130" s="570">
        <f t="shared" si="76"/>
        <v>0.3333333333</v>
      </c>
      <c r="O130" s="570">
        <f t="shared" si="76"/>
        <v>0.2727272727</v>
      </c>
      <c r="P130" s="570">
        <f t="shared" si="76"/>
        <v>0.1818181818</v>
      </c>
      <c r="Q130" s="570">
        <f t="shared" si="76"/>
        <v>0.375</v>
      </c>
      <c r="R130" s="570">
        <f t="shared" si="76"/>
        <v>0.5714285714</v>
      </c>
      <c r="S130" s="570">
        <f t="shared" si="76"/>
        <v>0.09090909091</v>
      </c>
      <c r="T130" s="570">
        <f t="shared" si="76"/>
        <v>0.8333333333</v>
      </c>
      <c r="U130" s="570">
        <f t="shared" si="76"/>
        <v>0.3333333333</v>
      </c>
      <c r="V130" s="570">
        <f t="shared" si="76"/>
        <v>0.375</v>
      </c>
      <c r="W130" s="570">
        <f t="shared" si="76"/>
        <v>0.4736842105</v>
      </c>
      <c r="X130" s="570">
        <f t="shared" si="76"/>
        <v>0.1818181818</v>
      </c>
      <c r="Y130" s="570">
        <f t="shared" si="76"/>
        <v>0.6153846154</v>
      </c>
      <c r="Z130" s="570">
        <f t="shared" si="76"/>
        <v>0.3529411765</v>
      </c>
      <c r="AA130" s="570">
        <f t="shared" si="76"/>
        <v>0.4</v>
      </c>
      <c r="AB130" s="570">
        <f t="shared" si="76"/>
        <v>0.4285714286</v>
      </c>
      <c r="AC130" s="570">
        <f t="shared" si="76"/>
        <v>0.5</v>
      </c>
      <c r="AD130" s="570">
        <f t="shared" si="76"/>
        <v>0.6</v>
      </c>
      <c r="AE130" s="570">
        <f t="shared" si="76"/>
        <v>0.375</v>
      </c>
      <c r="AF130" s="570">
        <f t="shared" si="76"/>
        <v>0.4444444444</v>
      </c>
      <c r="AG130" s="556"/>
      <c r="AH130" s="528"/>
    </row>
    <row r="131" hidden="1" outlineLevel="1">
      <c r="A131" s="569" t="s">
        <v>796</v>
      </c>
      <c r="B131" s="570">
        <f t="shared" ref="B131:AF131" si="77">iferror(B106/B$108,"")</f>
        <v>0.5442176871</v>
      </c>
      <c r="C131" s="570">
        <f t="shared" si="77"/>
        <v>0.5714285714</v>
      </c>
      <c r="D131" s="570">
        <f t="shared" si="77"/>
        <v>0.4705882353</v>
      </c>
      <c r="E131" s="570">
        <f t="shared" si="77"/>
        <v>0.5172413793</v>
      </c>
      <c r="F131" s="570">
        <f t="shared" si="77"/>
        <v>0.5555555556</v>
      </c>
      <c r="G131" s="570">
        <f t="shared" si="77"/>
        <v>0.724137931</v>
      </c>
      <c r="H131" s="570">
        <f t="shared" si="77"/>
        <v>0.4871794872</v>
      </c>
      <c r="I131" s="570">
        <f t="shared" si="77"/>
        <v>0.6538461538</v>
      </c>
      <c r="J131" s="570">
        <f t="shared" si="77"/>
        <v>0.5357142857</v>
      </c>
      <c r="K131" s="570">
        <f t="shared" si="77"/>
        <v>0.64</v>
      </c>
      <c r="L131" s="570">
        <f t="shared" si="77"/>
        <v>0.5238095238</v>
      </c>
      <c r="M131" s="570">
        <f t="shared" si="77"/>
        <v>0.5555555556</v>
      </c>
      <c r="N131" s="570">
        <f t="shared" si="77"/>
        <v>0.4444444444</v>
      </c>
      <c r="O131" s="570">
        <f t="shared" si="77"/>
        <v>0.4545454545</v>
      </c>
      <c r="P131" s="570">
        <f t="shared" si="77"/>
        <v>0.5454545455</v>
      </c>
      <c r="Q131" s="570">
        <f t="shared" si="77"/>
        <v>0.625</v>
      </c>
      <c r="R131" s="570">
        <f t="shared" si="77"/>
        <v>0.3571428571</v>
      </c>
      <c r="S131" s="570">
        <f t="shared" si="77"/>
        <v>0.8181818182</v>
      </c>
      <c r="T131" s="570">
        <f t="shared" si="77"/>
        <v>0.1666666667</v>
      </c>
      <c r="U131" s="570">
        <f t="shared" si="77"/>
        <v>0.5833333333</v>
      </c>
      <c r="V131" s="570">
        <f t="shared" si="77"/>
        <v>0.625</v>
      </c>
      <c r="W131" s="570">
        <f t="shared" si="77"/>
        <v>0.3157894737</v>
      </c>
      <c r="X131" s="570">
        <f t="shared" si="77"/>
        <v>0.7272727273</v>
      </c>
      <c r="Y131" s="570">
        <f t="shared" si="77"/>
        <v>0.2307692308</v>
      </c>
      <c r="Z131" s="570">
        <f t="shared" si="77"/>
        <v>0.5294117647</v>
      </c>
      <c r="AA131" s="570">
        <f t="shared" si="77"/>
        <v>0.6</v>
      </c>
      <c r="AB131" s="570">
        <f t="shared" si="77"/>
        <v>0.4285714286</v>
      </c>
      <c r="AC131" s="570">
        <f t="shared" si="77"/>
        <v>0.25</v>
      </c>
      <c r="AD131" s="570">
        <f t="shared" si="77"/>
        <v>0.2</v>
      </c>
      <c r="AE131" s="570">
        <f t="shared" si="77"/>
        <v>0.625</v>
      </c>
      <c r="AF131" s="570">
        <f t="shared" si="77"/>
        <v>0.4444444444</v>
      </c>
      <c r="AG131" s="556"/>
      <c r="AH131" s="528"/>
    </row>
    <row r="132" hidden="1" outlineLevel="1">
      <c r="A132" s="569" t="s">
        <v>797</v>
      </c>
      <c r="B132" s="570">
        <f t="shared" ref="B132:AF132" si="78">iferror(B107/B$108,"")</f>
        <v>0.1088435374</v>
      </c>
      <c r="C132" s="570">
        <f t="shared" si="78"/>
        <v>0.08571428571</v>
      </c>
      <c r="D132" s="570">
        <f t="shared" si="78"/>
        <v>0.05882352941</v>
      </c>
      <c r="E132" s="570">
        <f t="shared" si="78"/>
        <v>0.1724137931</v>
      </c>
      <c r="F132" s="570">
        <f t="shared" si="78"/>
        <v>0.1388888889</v>
      </c>
      <c r="G132" s="570">
        <f t="shared" si="78"/>
        <v>0.1034482759</v>
      </c>
      <c r="H132" s="570">
        <f t="shared" si="78"/>
        <v>0.2307692308</v>
      </c>
      <c r="I132" s="570">
        <f t="shared" si="78"/>
        <v>0.03846153846</v>
      </c>
      <c r="J132" s="570">
        <f t="shared" si="78"/>
        <v>0.1428571429</v>
      </c>
      <c r="K132" s="570">
        <f t="shared" si="78"/>
        <v>0.16</v>
      </c>
      <c r="L132" s="570">
        <f t="shared" si="78"/>
        <v>0.1428571429</v>
      </c>
      <c r="M132" s="570">
        <f t="shared" si="78"/>
        <v>0</v>
      </c>
      <c r="N132" s="570">
        <f t="shared" si="78"/>
        <v>0.2222222222</v>
      </c>
      <c r="O132" s="570">
        <f t="shared" si="78"/>
        <v>0.2727272727</v>
      </c>
      <c r="P132" s="570">
        <f t="shared" si="78"/>
        <v>0.2727272727</v>
      </c>
      <c r="Q132" s="570">
        <f t="shared" si="78"/>
        <v>0</v>
      </c>
      <c r="R132" s="570">
        <f t="shared" si="78"/>
        <v>0.07142857143</v>
      </c>
      <c r="S132" s="570">
        <f t="shared" si="78"/>
        <v>0.09090909091</v>
      </c>
      <c r="T132" s="570">
        <f t="shared" si="78"/>
        <v>0</v>
      </c>
      <c r="U132" s="570">
        <f t="shared" si="78"/>
        <v>0.08333333333</v>
      </c>
      <c r="V132" s="570">
        <f t="shared" si="78"/>
        <v>0</v>
      </c>
      <c r="W132" s="570">
        <f t="shared" si="78"/>
        <v>0.2105263158</v>
      </c>
      <c r="X132" s="570">
        <f t="shared" si="78"/>
        <v>0.09090909091</v>
      </c>
      <c r="Y132" s="570">
        <f t="shared" si="78"/>
        <v>0.1538461538</v>
      </c>
      <c r="Z132" s="570">
        <f t="shared" si="78"/>
        <v>0.1176470588</v>
      </c>
      <c r="AA132" s="570">
        <f t="shared" si="78"/>
        <v>0</v>
      </c>
      <c r="AB132" s="570">
        <f t="shared" si="78"/>
        <v>0.1428571429</v>
      </c>
      <c r="AC132" s="570">
        <f t="shared" si="78"/>
        <v>0.25</v>
      </c>
      <c r="AD132" s="570">
        <f t="shared" si="78"/>
        <v>0.2</v>
      </c>
      <c r="AE132" s="570">
        <f t="shared" si="78"/>
        <v>0</v>
      </c>
      <c r="AF132" s="570">
        <f t="shared" si="78"/>
        <v>0.1111111111</v>
      </c>
      <c r="AG132" s="556"/>
      <c r="AH132" s="528"/>
    </row>
    <row r="133">
      <c r="A133" s="574"/>
      <c r="B133" s="575"/>
      <c r="C133" s="575"/>
      <c r="D133" s="575"/>
      <c r="E133" s="575"/>
      <c r="F133" s="575"/>
      <c r="G133" s="575"/>
      <c r="H133" s="575"/>
      <c r="I133" s="575"/>
      <c r="J133" s="575"/>
      <c r="K133" s="575"/>
      <c r="L133" s="575"/>
      <c r="M133" s="575"/>
      <c r="N133" s="575"/>
      <c r="O133" s="575"/>
      <c r="P133" s="575"/>
      <c r="Q133" s="575"/>
      <c r="R133" s="575"/>
      <c r="S133" s="575"/>
      <c r="T133" s="575"/>
      <c r="U133" s="575"/>
      <c r="V133" s="575"/>
      <c r="W133" s="575"/>
      <c r="X133" s="575"/>
      <c r="Y133" s="575"/>
      <c r="Z133" s="575"/>
      <c r="AA133" s="575"/>
      <c r="AB133" s="575"/>
      <c r="AC133" s="575"/>
      <c r="AD133" s="575"/>
      <c r="AE133" s="575"/>
      <c r="AF133" s="575"/>
      <c r="AG133" s="556"/>
      <c r="AH133" s="528"/>
    </row>
    <row r="134" collapsed="1">
      <c r="A134" s="573" t="s">
        <v>801</v>
      </c>
      <c r="B134" s="567"/>
      <c r="C134" s="567"/>
      <c r="D134" s="567"/>
      <c r="E134" s="567"/>
      <c r="F134" s="567"/>
      <c r="G134" s="567"/>
      <c r="H134" s="567"/>
      <c r="I134" s="567"/>
      <c r="J134" s="567"/>
      <c r="K134" s="567"/>
      <c r="L134" s="567"/>
      <c r="M134" s="567"/>
      <c r="N134" s="568"/>
      <c r="O134" s="568"/>
      <c r="P134" s="568"/>
      <c r="Q134" s="568"/>
      <c r="R134" s="568"/>
      <c r="S134" s="568"/>
      <c r="T134" s="568"/>
      <c r="U134" s="567"/>
      <c r="V134" s="567"/>
      <c r="W134" s="567"/>
      <c r="X134" s="567"/>
      <c r="Y134" s="568"/>
      <c r="Z134" s="568"/>
      <c r="AA134" s="568"/>
      <c r="AB134" s="568"/>
      <c r="AC134" s="568"/>
      <c r="AD134" s="568"/>
      <c r="AE134" s="568"/>
      <c r="AF134" s="568"/>
      <c r="AG134" s="556"/>
      <c r="AH134" s="528"/>
    </row>
    <row r="135" hidden="1" outlineLevel="1">
      <c r="A135" s="569" t="s">
        <v>795</v>
      </c>
      <c r="B135" s="570">
        <f t="shared" ref="B135:AF135" si="79">iferror(B111/B$114,"")</f>
        <v>0.2537878788</v>
      </c>
      <c r="C135" s="570">
        <f t="shared" si="79"/>
        <v>0.3902439024</v>
      </c>
      <c r="D135" s="570">
        <f t="shared" si="79"/>
        <v>0.487804878</v>
      </c>
      <c r="E135" s="570">
        <f t="shared" si="79"/>
        <v>0.4358974359</v>
      </c>
      <c r="F135" s="570">
        <f t="shared" si="79"/>
        <v>0.3666666667</v>
      </c>
      <c r="G135" s="570">
        <f t="shared" si="79"/>
        <v>0.4347826087</v>
      </c>
      <c r="H135" s="570">
        <f t="shared" si="79"/>
        <v>0.44</v>
      </c>
      <c r="I135" s="570">
        <f t="shared" si="79"/>
        <v>0.32</v>
      </c>
      <c r="J135" s="570">
        <f t="shared" si="79"/>
        <v>0.4242424242</v>
      </c>
      <c r="K135" s="570">
        <f t="shared" si="79"/>
        <v>0.3333333333</v>
      </c>
      <c r="L135" s="570">
        <f t="shared" si="79"/>
        <v>0.3636363636</v>
      </c>
      <c r="M135" s="570">
        <f t="shared" si="79"/>
        <v>0.4</v>
      </c>
      <c r="N135" s="570">
        <f t="shared" si="79"/>
        <v>0.2727272727</v>
      </c>
      <c r="O135" s="570">
        <f t="shared" si="79"/>
        <v>0.2352941176</v>
      </c>
      <c r="P135" s="570">
        <f t="shared" si="79"/>
        <v>0.4444444444</v>
      </c>
      <c r="Q135" s="570">
        <f t="shared" si="79"/>
        <v>0.3333333333</v>
      </c>
      <c r="R135" s="570">
        <f t="shared" si="79"/>
        <v>0</v>
      </c>
      <c r="S135" s="570">
        <f t="shared" si="79"/>
        <v>0.25</v>
      </c>
      <c r="T135" s="570">
        <f t="shared" si="79"/>
        <v>0.1666666667</v>
      </c>
      <c r="U135" s="570">
        <f t="shared" si="79"/>
        <v>0.25</v>
      </c>
      <c r="V135" s="570">
        <f t="shared" si="79"/>
        <v>0.25</v>
      </c>
      <c r="W135" s="570">
        <f t="shared" si="79"/>
        <v>0.125</v>
      </c>
      <c r="X135" s="570">
        <f t="shared" si="79"/>
        <v>0.4615384615</v>
      </c>
      <c r="Y135" s="570">
        <f t="shared" si="79"/>
        <v>0.2941176471</v>
      </c>
      <c r="Z135" s="570">
        <f t="shared" si="79"/>
        <v>0.5789473684</v>
      </c>
      <c r="AA135" s="570">
        <f t="shared" si="79"/>
        <v>0.2</v>
      </c>
      <c r="AB135" s="570">
        <f t="shared" si="79"/>
        <v>0.7</v>
      </c>
      <c r="AC135" s="570">
        <f t="shared" si="79"/>
        <v>0.5555555556</v>
      </c>
      <c r="AD135" s="570">
        <f t="shared" si="79"/>
        <v>0.4166666667</v>
      </c>
      <c r="AE135" s="570">
        <f t="shared" si="79"/>
        <v>0.5</v>
      </c>
      <c r="AF135" s="570">
        <f t="shared" si="79"/>
        <v>0.5</v>
      </c>
      <c r="AG135" s="556"/>
      <c r="AH135" s="528"/>
    </row>
    <row r="136" hidden="1" outlineLevel="1">
      <c r="A136" s="569" t="s">
        <v>796</v>
      </c>
      <c r="B136" s="570">
        <f t="shared" ref="B136:AF136" si="80">iferror(B112/B$114,"")</f>
        <v>0.5416666667</v>
      </c>
      <c r="C136" s="570">
        <f t="shared" si="80"/>
        <v>0.4634146341</v>
      </c>
      <c r="D136" s="570">
        <f t="shared" si="80"/>
        <v>0.4390243902</v>
      </c>
      <c r="E136" s="570">
        <f t="shared" si="80"/>
        <v>0.5641025641</v>
      </c>
      <c r="F136" s="570">
        <f t="shared" si="80"/>
        <v>0.5333333333</v>
      </c>
      <c r="G136" s="570">
        <f t="shared" si="80"/>
        <v>0.5217391304</v>
      </c>
      <c r="H136" s="570">
        <f t="shared" si="80"/>
        <v>0.48</v>
      </c>
      <c r="I136" s="570">
        <f t="shared" si="80"/>
        <v>0.64</v>
      </c>
      <c r="J136" s="570">
        <f t="shared" si="80"/>
        <v>0.4848484848</v>
      </c>
      <c r="K136" s="570">
        <f t="shared" si="80"/>
        <v>0.5416666667</v>
      </c>
      <c r="L136" s="570">
        <f t="shared" si="80"/>
        <v>0.5</v>
      </c>
      <c r="M136" s="570">
        <f t="shared" si="80"/>
        <v>0.4666666667</v>
      </c>
      <c r="N136" s="570">
        <f t="shared" si="80"/>
        <v>0.5454545455</v>
      </c>
      <c r="O136" s="570">
        <f t="shared" si="80"/>
        <v>0.6470588235</v>
      </c>
      <c r="P136" s="570">
        <f t="shared" si="80"/>
        <v>0.5555555556</v>
      </c>
      <c r="Q136" s="570">
        <f t="shared" si="80"/>
        <v>0.5</v>
      </c>
      <c r="R136" s="570">
        <f t="shared" si="80"/>
        <v>0.5</v>
      </c>
      <c r="S136" s="570">
        <f t="shared" si="80"/>
        <v>0.5</v>
      </c>
      <c r="T136" s="570">
        <f t="shared" si="80"/>
        <v>0.6666666667</v>
      </c>
      <c r="U136" s="570">
        <f t="shared" si="80"/>
        <v>0.625</v>
      </c>
      <c r="V136" s="570">
        <f t="shared" si="80"/>
        <v>0.5833333333</v>
      </c>
      <c r="W136" s="570">
        <f t="shared" si="80"/>
        <v>0.75</v>
      </c>
      <c r="X136" s="570">
        <f t="shared" si="80"/>
        <v>0.4615384615</v>
      </c>
      <c r="Y136" s="570">
        <f t="shared" si="80"/>
        <v>0.5882352941</v>
      </c>
      <c r="Z136" s="570">
        <f t="shared" si="80"/>
        <v>0.3684210526</v>
      </c>
      <c r="AA136" s="570">
        <f t="shared" si="80"/>
        <v>0.6</v>
      </c>
      <c r="AB136" s="570">
        <f t="shared" si="80"/>
        <v>0.3</v>
      </c>
      <c r="AC136" s="570">
        <f t="shared" si="80"/>
        <v>0.1111111111</v>
      </c>
      <c r="AD136" s="570">
        <f t="shared" si="80"/>
        <v>0.25</v>
      </c>
      <c r="AE136" s="570">
        <f t="shared" si="80"/>
        <v>0.3333333333</v>
      </c>
      <c r="AF136" s="570">
        <f t="shared" si="80"/>
        <v>0.5</v>
      </c>
      <c r="AG136" s="556"/>
      <c r="AH136" s="528"/>
    </row>
    <row r="137" hidden="1" outlineLevel="1">
      <c r="A137" s="569" t="s">
        <v>797</v>
      </c>
      <c r="B137" s="570">
        <f t="shared" ref="B137:AF137" si="81">iferror(B113/B$114,"")</f>
        <v>0.2045454545</v>
      </c>
      <c r="C137" s="570">
        <f t="shared" si="81"/>
        <v>0.1463414634</v>
      </c>
      <c r="D137" s="570">
        <f t="shared" si="81"/>
        <v>0.07317073171</v>
      </c>
      <c r="E137" s="570">
        <f t="shared" si="81"/>
        <v>0</v>
      </c>
      <c r="F137" s="570">
        <f t="shared" si="81"/>
        <v>0.1</v>
      </c>
      <c r="G137" s="570">
        <f t="shared" si="81"/>
        <v>0.04347826087</v>
      </c>
      <c r="H137" s="570">
        <f t="shared" si="81"/>
        <v>0.08</v>
      </c>
      <c r="I137" s="570">
        <f t="shared" si="81"/>
        <v>0.04</v>
      </c>
      <c r="J137" s="570">
        <f t="shared" si="81"/>
        <v>0.09090909091</v>
      </c>
      <c r="K137" s="570">
        <f t="shared" si="81"/>
        <v>0.125</v>
      </c>
      <c r="L137" s="570">
        <f t="shared" si="81"/>
        <v>0.1363636364</v>
      </c>
      <c r="M137" s="570">
        <f t="shared" si="81"/>
        <v>0.1333333333</v>
      </c>
      <c r="N137" s="570">
        <f t="shared" si="81"/>
        <v>0.1818181818</v>
      </c>
      <c r="O137" s="570">
        <f t="shared" si="81"/>
        <v>0.1176470588</v>
      </c>
      <c r="P137" s="570">
        <f t="shared" si="81"/>
        <v>0</v>
      </c>
      <c r="Q137" s="570">
        <f t="shared" si="81"/>
        <v>0.1666666667</v>
      </c>
      <c r="R137" s="570">
        <f t="shared" si="81"/>
        <v>0.5</v>
      </c>
      <c r="S137" s="570">
        <f t="shared" si="81"/>
        <v>0.25</v>
      </c>
      <c r="T137" s="570">
        <f t="shared" si="81"/>
        <v>0.1666666667</v>
      </c>
      <c r="U137" s="570">
        <f t="shared" si="81"/>
        <v>0.125</v>
      </c>
      <c r="V137" s="570">
        <f t="shared" si="81"/>
        <v>0.1666666667</v>
      </c>
      <c r="W137" s="570">
        <f t="shared" si="81"/>
        <v>0.125</v>
      </c>
      <c r="X137" s="570">
        <f t="shared" si="81"/>
        <v>0.07692307692</v>
      </c>
      <c r="Y137" s="570">
        <f t="shared" si="81"/>
        <v>0.1176470588</v>
      </c>
      <c r="Z137" s="570">
        <f t="shared" si="81"/>
        <v>0.05263157895</v>
      </c>
      <c r="AA137" s="570">
        <f t="shared" si="81"/>
        <v>0.2</v>
      </c>
      <c r="AB137" s="570">
        <f t="shared" si="81"/>
        <v>0</v>
      </c>
      <c r="AC137" s="570">
        <f t="shared" si="81"/>
        <v>0.3333333333</v>
      </c>
      <c r="AD137" s="570">
        <f t="shared" si="81"/>
        <v>0.3333333333</v>
      </c>
      <c r="AE137" s="570">
        <f t="shared" si="81"/>
        <v>0.1666666667</v>
      </c>
      <c r="AF137" s="570">
        <f t="shared" si="81"/>
        <v>0</v>
      </c>
      <c r="AG137" s="556"/>
      <c r="AH137" s="528"/>
    </row>
    <row r="138">
      <c r="A138" s="564"/>
      <c r="B138" s="565"/>
      <c r="C138" s="565"/>
      <c r="D138" s="565"/>
      <c r="E138" s="565"/>
      <c r="F138" s="565"/>
      <c r="G138" s="565"/>
      <c r="H138" s="565"/>
      <c r="I138" s="565"/>
      <c r="J138" s="565"/>
      <c r="K138" s="565"/>
      <c r="L138" s="565"/>
      <c r="M138" s="565"/>
      <c r="N138" s="529"/>
      <c r="O138" s="529"/>
      <c r="P138" s="529"/>
      <c r="Q138" s="529"/>
      <c r="R138" s="529"/>
      <c r="S138" s="529"/>
      <c r="T138" s="529"/>
      <c r="U138" s="529"/>
      <c r="V138" s="529"/>
      <c r="W138" s="529"/>
      <c r="X138" s="529"/>
      <c r="Y138" s="529"/>
      <c r="Z138" s="529"/>
      <c r="AA138" s="529"/>
      <c r="AB138" s="529"/>
      <c r="AC138" s="529"/>
      <c r="AD138" s="529"/>
      <c r="AE138" s="529"/>
      <c r="AF138" s="529"/>
      <c r="AG138" s="556"/>
      <c r="AH138" s="528"/>
    </row>
    <row r="139">
      <c r="A139" s="564"/>
      <c r="B139" s="565"/>
      <c r="C139" s="565"/>
      <c r="D139" s="565"/>
      <c r="E139" s="565"/>
      <c r="F139" s="565"/>
      <c r="G139" s="565"/>
      <c r="H139" s="565"/>
      <c r="I139" s="565"/>
      <c r="J139" s="565"/>
      <c r="K139" s="565"/>
      <c r="L139" s="565"/>
      <c r="M139" s="565"/>
      <c r="N139" s="529"/>
      <c r="O139" s="529"/>
      <c r="P139" s="529"/>
      <c r="Q139" s="529"/>
      <c r="R139" s="529"/>
      <c r="S139" s="529"/>
      <c r="T139" s="529"/>
      <c r="U139" s="529"/>
      <c r="V139" s="529"/>
      <c r="W139" s="529"/>
      <c r="X139" s="529"/>
      <c r="Y139" s="529"/>
      <c r="Z139" s="529"/>
      <c r="AA139" s="529"/>
      <c r="AB139" s="529"/>
      <c r="AC139" s="529"/>
      <c r="AD139" s="529"/>
      <c r="AE139" s="529"/>
      <c r="AF139" s="529"/>
      <c r="AG139" s="556"/>
      <c r="AH139" s="528"/>
    </row>
    <row r="140">
      <c r="A140" s="564"/>
      <c r="B140" s="565"/>
      <c r="C140" s="565"/>
      <c r="D140" s="565"/>
      <c r="E140" s="565"/>
      <c r="F140" s="565"/>
      <c r="G140" s="565"/>
      <c r="H140" s="565"/>
      <c r="I140" s="565"/>
      <c r="J140" s="565"/>
      <c r="K140" s="565"/>
      <c r="L140" s="565"/>
      <c r="M140" s="565"/>
      <c r="N140" s="529"/>
      <c r="O140" s="529"/>
      <c r="P140" s="529"/>
      <c r="Q140" s="529"/>
      <c r="R140" s="529"/>
      <c r="S140" s="529"/>
      <c r="T140" s="529"/>
      <c r="U140" s="529"/>
      <c r="V140" s="529"/>
      <c r="W140" s="529"/>
      <c r="X140" s="529"/>
      <c r="Y140" s="529"/>
      <c r="Z140" s="529"/>
      <c r="AA140" s="529"/>
      <c r="AB140" s="529"/>
      <c r="AC140" s="529"/>
      <c r="AD140" s="529"/>
      <c r="AE140" s="529"/>
      <c r="AF140" s="529"/>
      <c r="AG140" s="556"/>
      <c r="AH140" s="528"/>
    </row>
    <row r="141">
      <c r="A141" s="564"/>
      <c r="B141" s="565"/>
      <c r="C141" s="565"/>
      <c r="D141" s="565"/>
      <c r="E141" s="565"/>
      <c r="F141" s="565"/>
      <c r="G141" s="565"/>
      <c r="H141" s="565"/>
      <c r="I141" s="565"/>
      <c r="J141" s="565"/>
      <c r="K141" s="565"/>
      <c r="L141" s="565"/>
      <c r="M141" s="565"/>
      <c r="N141" s="529"/>
      <c r="O141" s="529"/>
      <c r="P141" s="529"/>
      <c r="Q141" s="529"/>
      <c r="R141" s="529"/>
      <c r="S141" s="529"/>
      <c r="T141" s="529"/>
      <c r="U141" s="529"/>
      <c r="V141" s="529"/>
      <c r="W141" s="529"/>
      <c r="X141" s="529"/>
      <c r="Y141" s="529"/>
      <c r="Z141" s="529"/>
      <c r="AA141" s="529"/>
      <c r="AB141" s="529"/>
      <c r="AC141" s="529"/>
      <c r="AD141" s="529"/>
      <c r="AE141" s="529"/>
      <c r="AF141" s="529"/>
      <c r="AG141" s="556"/>
      <c r="AH141" s="528"/>
    </row>
    <row r="142">
      <c r="A142" s="564"/>
      <c r="B142" s="565"/>
      <c r="C142" s="565"/>
      <c r="D142" s="565"/>
      <c r="E142" s="565"/>
      <c r="F142" s="565"/>
      <c r="G142" s="565"/>
      <c r="H142" s="565"/>
      <c r="I142" s="565"/>
      <c r="J142" s="565"/>
      <c r="K142" s="565"/>
      <c r="L142" s="565"/>
      <c r="M142" s="565"/>
      <c r="N142" s="529"/>
      <c r="O142" s="529"/>
      <c r="P142" s="529"/>
      <c r="Q142" s="529"/>
      <c r="R142" s="529"/>
      <c r="S142" s="529"/>
      <c r="T142" s="529"/>
      <c r="U142" s="529"/>
      <c r="V142" s="529"/>
      <c r="W142" s="529"/>
      <c r="X142" s="529"/>
      <c r="Y142" s="529"/>
      <c r="Z142" s="529"/>
      <c r="AA142" s="529"/>
      <c r="AB142" s="529"/>
      <c r="AC142" s="529"/>
      <c r="AD142" s="529"/>
      <c r="AE142" s="529"/>
      <c r="AF142" s="529"/>
      <c r="AG142" s="556"/>
      <c r="AH142" s="528"/>
    </row>
    <row r="143">
      <c r="A143" s="564"/>
      <c r="B143" s="565"/>
      <c r="C143" s="565"/>
      <c r="D143" s="565"/>
      <c r="E143" s="565"/>
      <c r="F143" s="565"/>
      <c r="G143" s="565"/>
      <c r="H143" s="565"/>
      <c r="I143" s="565"/>
      <c r="J143" s="565"/>
      <c r="K143" s="565"/>
      <c r="L143" s="565"/>
      <c r="M143" s="565"/>
      <c r="N143" s="529"/>
      <c r="O143" s="529"/>
      <c r="P143" s="529"/>
      <c r="Q143" s="529"/>
      <c r="R143" s="529"/>
      <c r="S143" s="529"/>
      <c r="T143" s="529"/>
      <c r="U143" s="529"/>
      <c r="V143" s="529"/>
      <c r="W143" s="529"/>
      <c r="X143" s="529"/>
      <c r="Y143" s="529"/>
      <c r="Z143" s="529"/>
      <c r="AA143" s="529"/>
      <c r="AB143" s="529"/>
      <c r="AC143" s="529"/>
      <c r="AD143" s="529"/>
      <c r="AE143" s="529"/>
      <c r="AF143" s="529"/>
      <c r="AG143" s="556"/>
      <c r="AH143" s="528"/>
    </row>
    <row r="144">
      <c r="A144" s="564"/>
      <c r="B144" s="565"/>
      <c r="C144" s="565"/>
      <c r="D144" s="565"/>
      <c r="E144" s="565"/>
      <c r="F144" s="565"/>
      <c r="G144" s="565"/>
      <c r="H144" s="565"/>
      <c r="I144" s="565"/>
      <c r="J144" s="565"/>
      <c r="K144" s="565"/>
      <c r="L144" s="565"/>
      <c r="M144" s="565"/>
      <c r="N144" s="529"/>
      <c r="O144" s="529"/>
      <c r="P144" s="529"/>
      <c r="Q144" s="529"/>
      <c r="R144" s="529"/>
      <c r="S144" s="529"/>
      <c r="T144" s="529"/>
      <c r="U144" s="529"/>
      <c r="V144" s="529"/>
      <c r="W144" s="529"/>
      <c r="X144" s="529"/>
      <c r="Y144" s="529"/>
      <c r="Z144" s="529"/>
      <c r="AA144" s="529"/>
      <c r="AB144" s="529"/>
      <c r="AC144" s="529"/>
      <c r="AD144" s="529"/>
      <c r="AE144" s="529"/>
      <c r="AF144" s="529"/>
      <c r="AG144" s="556"/>
      <c r="AH144" s="528"/>
    </row>
    <row r="145">
      <c r="A145" s="564"/>
      <c r="B145" s="565"/>
      <c r="C145" s="565"/>
      <c r="D145" s="565"/>
      <c r="E145" s="565"/>
      <c r="F145" s="565"/>
      <c r="G145" s="565"/>
      <c r="H145" s="565"/>
      <c r="I145" s="565"/>
      <c r="J145" s="565"/>
      <c r="K145" s="565"/>
      <c r="L145" s="565"/>
      <c r="M145" s="565"/>
      <c r="N145" s="529"/>
      <c r="O145" s="529"/>
      <c r="P145" s="529"/>
      <c r="Q145" s="529"/>
      <c r="R145" s="529"/>
      <c r="S145" s="529"/>
      <c r="T145" s="529"/>
      <c r="U145" s="529"/>
      <c r="V145" s="529"/>
      <c r="W145" s="529"/>
      <c r="X145" s="529"/>
      <c r="Y145" s="529"/>
      <c r="Z145" s="529"/>
      <c r="AA145" s="529"/>
      <c r="AB145" s="529"/>
      <c r="AC145" s="529"/>
      <c r="AD145" s="529"/>
      <c r="AE145" s="529"/>
      <c r="AF145" s="529"/>
      <c r="AG145" s="556"/>
      <c r="AH145" s="528"/>
    </row>
    <row r="146">
      <c r="A146" s="564"/>
      <c r="B146" s="565"/>
      <c r="C146" s="565"/>
      <c r="D146" s="565"/>
      <c r="E146" s="565"/>
      <c r="F146" s="565"/>
      <c r="G146" s="565"/>
      <c r="H146" s="565"/>
      <c r="I146" s="565"/>
      <c r="J146" s="565"/>
      <c r="K146" s="565"/>
      <c r="L146" s="565"/>
      <c r="M146" s="565"/>
      <c r="N146" s="529"/>
      <c r="O146" s="529"/>
      <c r="P146" s="529"/>
      <c r="Q146" s="529"/>
      <c r="R146" s="529"/>
      <c r="S146" s="529"/>
      <c r="T146" s="529"/>
      <c r="U146" s="529"/>
      <c r="V146" s="529"/>
      <c r="W146" s="529"/>
      <c r="X146" s="529"/>
      <c r="Y146" s="529"/>
      <c r="Z146" s="529"/>
      <c r="AA146" s="529"/>
      <c r="AB146" s="529"/>
      <c r="AC146" s="529"/>
      <c r="AD146" s="529"/>
      <c r="AE146" s="529"/>
      <c r="AF146" s="529"/>
      <c r="AG146" s="556"/>
      <c r="AH146" s="528"/>
    </row>
    <row r="147">
      <c r="A147" s="564"/>
      <c r="B147" s="565"/>
      <c r="C147" s="565"/>
      <c r="D147" s="565"/>
      <c r="E147" s="565"/>
      <c r="F147" s="565"/>
      <c r="G147" s="565"/>
      <c r="H147" s="565"/>
      <c r="I147" s="565"/>
      <c r="J147" s="565"/>
      <c r="K147" s="565"/>
      <c r="L147" s="565"/>
      <c r="M147" s="565"/>
      <c r="N147" s="529"/>
      <c r="O147" s="529"/>
      <c r="P147" s="529"/>
      <c r="Q147" s="529"/>
      <c r="R147" s="529"/>
      <c r="S147" s="529"/>
      <c r="T147" s="529"/>
      <c r="U147" s="529"/>
      <c r="V147" s="529"/>
      <c r="W147" s="529"/>
      <c r="X147" s="529"/>
      <c r="Y147" s="529"/>
      <c r="Z147" s="529"/>
      <c r="AA147" s="529"/>
      <c r="AB147" s="529"/>
      <c r="AC147" s="529"/>
      <c r="AD147" s="529"/>
      <c r="AE147" s="529"/>
      <c r="AF147" s="529"/>
      <c r="AG147" s="556"/>
      <c r="AH147" s="528"/>
    </row>
    <row r="148">
      <c r="A148" s="564"/>
      <c r="B148" s="565"/>
      <c r="C148" s="565"/>
      <c r="D148" s="565"/>
      <c r="E148" s="565"/>
      <c r="F148" s="565"/>
      <c r="G148" s="565"/>
      <c r="H148" s="565"/>
      <c r="I148" s="565"/>
      <c r="J148" s="565"/>
      <c r="K148" s="565"/>
      <c r="L148" s="565"/>
      <c r="M148" s="565"/>
      <c r="N148" s="529"/>
      <c r="O148" s="529"/>
      <c r="P148" s="529"/>
      <c r="Q148" s="529"/>
      <c r="R148" s="529"/>
      <c r="S148" s="529"/>
      <c r="T148" s="529"/>
      <c r="U148" s="529"/>
      <c r="V148" s="529"/>
      <c r="W148" s="529"/>
      <c r="X148" s="529"/>
      <c r="Y148" s="529"/>
      <c r="Z148" s="529"/>
      <c r="AA148" s="529"/>
      <c r="AB148" s="529"/>
      <c r="AC148" s="529"/>
      <c r="AD148" s="529"/>
      <c r="AE148" s="529"/>
      <c r="AF148" s="529"/>
      <c r="AG148" s="556"/>
      <c r="AH148" s="528"/>
    </row>
    <row r="149">
      <c r="A149" s="564"/>
      <c r="B149" s="565"/>
      <c r="C149" s="565"/>
      <c r="D149" s="565"/>
      <c r="E149" s="565"/>
      <c r="F149" s="565"/>
      <c r="G149" s="565"/>
      <c r="H149" s="565"/>
      <c r="I149" s="565"/>
      <c r="J149" s="565"/>
      <c r="K149" s="565"/>
      <c r="L149" s="565"/>
      <c r="M149" s="565"/>
      <c r="N149" s="529"/>
      <c r="O149" s="529"/>
      <c r="P149" s="529"/>
      <c r="Q149" s="529"/>
      <c r="R149" s="529"/>
      <c r="S149" s="529"/>
      <c r="T149" s="529"/>
      <c r="U149" s="529"/>
      <c r="V149" s="529"/>
      <c r="W149" s="529"/>
      <c r="X149" s="529"/>
      <c r="Y149" s="529"/>
      <c r="Z149" s="529"/>
      <c r="AA149" s="529"/>
      <c r="AB149" s="529"/>
      <c r="AC149" s="529"/>
      <c r="AD149" s="529"/>
      <c r="AE149" s="529"/>
      <c r="AF149" s="529"/>
      <c r="AG149" s="556"/>
      <c r="AH149" s="528"/>
    </row>
    <row r="150">
      <c r="A150" s="564"/>
      <c r="B150" s="565"/>
      <c r="C150" s="565"/>
      <c r="D150" s="565"/>
      <c r="E150" s="565"/>
      <c r="F150" s="565"/>
      <c r="G150" s="565"/>
      <c r="H150" s="565"/>
      <c r="I150" s="565"/>
      <c r="J150" s="565"/>
      <c r="K150" s="565"/>
      <c r="L150" s="565"/>
      <c r="M150" s="565"/>
      <c r="N150" s="529"/>
      <c r="O150" s="529"/>
      <c r="P150" s="529"/>
      <c r="Q150" s="529"/>
      <c r="R150" s="529"/>
      <c r="S150" s="529"/>
      <c r="T150" s="529"/>
      <c r="U150" s="529"/>
      <c r="V150" s="529"/>
      <c r="W150" s="529"/>
      <c r="X150" s="529"/>
      <c r="Y150" s="529"/>
      <c r="Z150" s="529"/>
      <c r="AA150" s="529"/>
      <c r="AB150" s="529"/>
      <c r="AC150" s="529"/>
      <c r="AD150" s="529"/>
      <c r="AE150" s="529"/>
      <c r="AF150" s="529"/>
      <c r="AG150" s="556"/>
      <c r="AH150" s="528"/>
    </row>
    <row r="151">
      <c r="A151" s="564"/>
      <c r="B151" s="565"/>
      <c r="C151" s="565"/>
      <c r="D151" s="565"/>
      <c r="E151" s="565"/>
      <c r="F151" s="565"/>
      <c r="G151" s="565"/>
      <c r="H151" s="565"/>
      <c r="I151" s="565"/>
      <c r="J151" s="565"/>
      <c r="K151" s="565"/>
      <c r="L151" s="565"/>
      <c r="M151" s="565"/>
      <c r="N151" s="529"/>
      <c r="O151" s="529"/>
      <c r="P151" s="529"/>
      <c r="Q151" s="529"/>
      <c r="R151" s="529"/>
      <c r="S151" s="529"/>
      <c r="T151" s="529"/>
      <c r="U151" s="529"/>
      <c r="V151" s="529"/>
      <c r="W151" s="529"/>
      <c r="X151" s="529"/>
      <c r="Y151" s="529"/>
      <c r="Z151" s="529"/>
      <c r="AA151" s="529"/>
      <c r="AB151" s="529"/>
      <c r="AC151" s="529"/>
      <c r="AD151" s="529"/>
      <c r="AE151" s="529"/>
      <c r="AF151" s="529"/>
      <c r="AG151" s="556"/>
      <c r="AH151" s="528"/>
    </row>
    <row r="152">
      <c r="A152" s="564"/>
      <c r="B152" s="565"/>
      <c r="C152" s="565"/>
      <c r="D152" s="565"/>
      <c r="E152" s="565"/>
      <c r="F152" s="565"/>
      <c r="G152" s="565"/>
      <c r="H152" s="565"/>
      <c r="I152" s="565"/>
      <c r="J152" s="565"/>
      <c r="K152" s="565"/>
      <c r="L152" s="565"/>
      <c r="M152" s="565"/>
      <c r="N152" s="529"/>
      <c r="O152" s="529"/>
      <c r="P152" s="529"/>
      <c r="Q152" s="529"/>
      <c r="R152" s="529"/>
      <c r="S152" s="529"/>
      <c r="T152" s="529"/>
      <c r="U152" s="529"/>
      <c r="V152" s="529"/>
      <c r="W152" s="529"/>
      <c r="X152" s="529"/>
      <c r="Y152" s="529"/>
      <c r="Z152" s="529"/>
      <c r="AA152" s="529"/>
      <c r="AB152" s="529"/>
      <c r="AC152" s="529"/>
      <c r="AD152" s="529"/>
      <c r="AE152" s="529"/>
      <c r="AF152" s="529"/>
      <c r="AG152" s="556"/>
      <c r="AH152" s="528"/>
    </row>
    <row r="153">
      <c r="A153" s="564"/>
      <c r="B153" s="565"/>
      <c r="C153" s="565"/>
      <c r="D153" s="565"/>
      <c r="E153" s="565"/>
      <c r="F153" s="565"/>
      <c r="G153" s="565"/>
      <c r="H153" s="565"/>
      <c r="I153" s="565"/>
      <c r="J153" s="565"/>
      <c r="K153" s="565"/>
      <c r="L153" s="565"/>
      <c r="M153" s="565"/>
      <c r="N153" s="529"/>
      <c r="O153" s="529"/>
      <c r="P153" s="529"/>
      <c r="Q153" s="529"/>
      <c r="R153" s="529"/>
      <c r="S153" s="529"/>
      <c r="T153" s="529"/>
      <c r="U153" s="529"/>
      <c r="V153" s="529"/>
      <c r="W153" s="529"/>
      <c r="X153" s="529"/>
      <c r="Y153" s="529"/>
      <c r="Z153" s="529"/>
      <c r="AA153" s="529"/>
      <c r="AB153" s="529"/>
      <c r="AC153" s="529"/>
      <c r="AD153" s="529"/>
      <c r="AE153" s="529"/>
      <c r="AF153" s="529"/>
      <c r="AG153" s="556"/>
      <c r="AH153" s="528"/>
    </row>
    <row r="154">
      <c r="A154" s="564"/>
      <c r="B154" s="565"/>
      <c r="C154" s="565"/>
      <c r="D154" s="565"/>
      <c r="E154" s="565"/>
      <c r="F154" s="565"/>
      <c r="G154" s="565"/>
      <c r="H154" s="565"/>
      <c r="I154" s="565"/>
      <c r="J154" s="565"/>
      <c r="K154" s="565"/>
      <c r="L154" s="565"/>
      <c r="M154" s="565"/>
      <c r="N154" s="529"/>
      <c r="O154" s="529"/>
      <c r="P154" s="529"/>
      <c r="Q154" s="529"/>
      <c r="R154" s="529"/>
      <c r="S154" s="529"/>
      <c r="T154" s="529"/>
      <c r="U154" s="529"/>
      <c r="V154" s="529"/>
      <c r="W154" s="529"/>
      <c r="X154" s="529"/>
      <c r="Y154" s="529"/>
      <c r="Z154" s="529"/>
      <c r="AA154" s="529"/>
      <c r="AB154" s="529"/>
      <c r="AC154" s="529"/>
      <c r="AD154" s="529"/>
      <c r="AE154" s="529"/>
      <c r="AF154" s="529"/>
      <c r="AG154" s="556"/>
      <c r="AH154" s="528"/>
    </row>
    <row r="155">
      <c r="A155" s="564"/>
      <c r="B155" s="565"/>
      <c r="C155" s="565"/>
      <c r="D155" s="565"/>
      <c r="E155" s="565"/>
      <c r="F155" s="565"/>
      <c r="G155" s="565"/>
      <c r="H155" s="565"/>
      <c r="I155" s="565"/>
      <c r="J155" s="565"/>
      <c r="K155" s="565"/>
      <c r="L155" s="565"/>
      <c r="M155" s="565"/>
      <c r="N155" s="529"/>
      <c r="O155" s="529"/>
      <c r="P155" s="529"/>
      <c r="Q155" s="529"/>
      <c r="R155" s="529"/>
      <c r="S155" s="529"/>
      <c r="T155" s="529"/>
      <c r="U155" s="529"/>
      <c r="V155" s="529"/>
      <c r="W155" s="529"/>
      <c r="X155" s="529"/>
      <c r="Y155" s="529"/>
      <c r="Z155" s="529"/>
      <c r="AA155" s="529"/>
      <c r="AB155" s="529"/>
      <c r="AC155" s="529"/>
      <c r="AD155" s="529"/>
      <c r="AE155" s="529"/>
      <c r="AF155" s="529"/>
      <c r="AG155" s="556"/>
      <c r="AH155" s="528"/>
    </row>
    <row r="156">
      <c r="A156" s="564"/>
      <c r="B156" s="565"/>
      <c r="C156" s="565"/>
      <c r="D156" s="565"/>
      <c r="E156" s="565"/>
      <c r="F156" s="565"/>
      <c r="G156" s="565"/>
      <c r="H156" s="565"/>
      <c r="I156" s="565"/>
      <c r="J156" s="565"/>
      <c r="K156" s="565"/>
      <c r="L156" s="565"/>
      <c r="M156" s="565"/>
      <c r="N156" s="529"/>
      <c r="O156" s="529"/>
      <c r="P156" s="529"/>
      <c r="Q156" s="529"/>
      <c r="R156" s="529"/>
      <c r="S156" s="529"/>
      <c r="T156" s="529"/>
      <c r="U156" s="529"/>
      <c r="V156" s="529"/>
      <c r="W156" s="529"/>
      <c r="X156" s="529"/>
      <c r="Y156" s="529"/>
      <c r="Z156" s="529"/>
      <c r="AA156" s="529"/>
      <c r="AB156" s="529"/>
      <c r="AC156" s="529"/>
      <c r="AD156" s="529"/>
      <c r="AE156" s="529"/>
      <c r="AF156" s="529"/>
      <c r="AG156" s="556"/>
      <c r="AH156" s="528"/>
    </row>
    <row r="157">
      <c r="A157" s="564"/>
      <c r="B157" s="565"/>
      <c r="C157" s="565"/>
      <c r="D157" s="565"/>
      <c r="E157" s="565"/>
      <c r="F157" s="565"/>
      <c r="G157" s="565"/>
      <c r="H157" s="565"/>
      <c r="I157" s="565"/>
      <c r="J157" s="565"/>
      <c r="K157" s="565"/>
      <c r="L157" s="565"/>
      <c r="M157" s="565"/>
      <c r="N157" s="529"/>
      <c r="O157" s="529"/>
      <c r="P157" s="529"/>
      <c r="Q157" s="529"/>
      <c r="R157" s="529"/>
      <c r="S157" s="529"/>
      <c r="T157" s="529"/>
      <c r="U157" s="529"/>
      <c r="V157" s="529"/>
      <c r="W157" s="529"/>
      <c r="X157" s="529"/>
      <c r="Y157" s="529"/>
      <c r="Z157" s="529"/>
      <c r="AA157" s="529"/>
      <c r="AB157" s="529"/>
      <c r="AC157" s="529"/>
      <c r="AD157" s="529"/>
      <c r="AE157" s="529"/>
      <c r="AF157" s="529"/>
      <c r="AG157" s="556"/>
      <c r="AH157" s="528"/>
    </row>
    <row r="158">
      <c r="A158" s="564"/>
      <c r="B158" s="565"/>
      <c r="C158" s="565"/>
      <c r="D158" s="565"/>
      <c r="E158" s="565"/>
      <c r="F158" s="565"/>
      <c r="G158" s="565"/>
      <c r="H158" s="565"/>
      <c r="I158" s="565"/>
      <c r="J158" s="565"/>
      <c r="K158" s="565"/>
      <c r="L158" s="565"/>
      <c r="M158" s="565"/>
      <c r="N158" s="529"/>
      <c r="O158" s="529"/>
      <c r="P158" s="529"/>
      <c r="Q158" s="529"/>
      <c r="R158" s="529"/>
      <c r="S158" s="529"/>
      <c r="T158" s="529"/>
      <c r="U158" s="529"/>
      <c r="V158" s="529"/>
      <c r="W158" s="529"/>
      <c r="X158" s="529"/>
      <c r="Y158" s="529"/>
      <c r="Z158" s="529"/>
      <c r="AA158" s="529"/>
      <c r="AB158" s="529"/>
      <c r="AC158" s="529"/>
      <c r="AD158" s="529"/>
      <c r="AE158" s="529"/>
      <c r="AF158" s="529"/>
      <c r="AG158" s="556"/>
      <c r="AH158" s="528"/>
    </row>
    <row r="159">
      <c r="A159" s="564"/>
      <c r="B159" s="565"/>
      <c r="C159" s="565"/>
      <c r="D159" s="565"/>
      <c r="E159" s="565"/>
      <c r="F159" s="565"/>
      <c r="G159" s="565"/>
      <c r="H159" s="565"/>
      <c r="I159" s="565"/>
      <c r="J159" s="565"/>
      <c r="K159" s="565"/>
      <c r="L159" s="565"/>
      <c r="M159" s="565"/>
      <c r="N159" s="529"/>
      <c r="O159" s="529"/>
      <c r="P159" s="529"/>
      <c r="Q159" s="529"/>
      <c r="R159" s="529"/>
      <c r="S159" s="529"/>
      <c r="T159" s="529"/>
      <c r="U159" s="529"/>
      <c r="V159" s="529"/>
      <c r="W159" s="529"/>
      <c r="X159" s="529"/>
      <c r="Y159" s="529"/>
      <c r="Z159" s="529"/>
      <c r="AA159" s="529"/>
      <c r="AB159" s="529"/>
      <c r="AC159" s="529"/>
      <c r="AD159" s="529"/>
      <c r="AE159" s="529"/>
      <c r="AF159" s="529"/>
      <c r="AG159" s="556"/>
      <c r="AH159" s="528"/>
    </row>
    <row r="160">
      <c r="A160" s="564"/>
      <c r="B160" s="565"/>
      <c r="C160" s="565"/>
      <c r="D160" s="565"/>
      <c r="E160" s="565"/>
      <c r="F160" s="565"/>
      <c r="G160" s="565"/>
      <c r="H160" s="565"/>
      <c r="I160" s="565"/>
      <c r="J160" s="565"/>
      <c r="K160" s="565"/>
      <c r="L160" s="565"/>
      <c r="M160" s="565"/>
      <c r="N160" s="529"/>
      <c r="O160" s="529"/>
      <c r="P160" s="529"/>
      <c r="Q160" s="529"/>
      <c r="R160" s="529"/>
      <c r="S160" s="529"/>
      <c r="T160" s="529"/>
      <c r="U160" s="529"/>
      <c r="V160" s="529"/>
      <c r="W160" s="529"/>
      <c r="X160" s="529"/>
      <c r="Y160" s="529"/>
      <c r="Z160" s="529"/>
      <c r="AA160" s="529"/>
      <c r="AB160" s="529"/>
      <c r="AC160" s="529"/>
      <c r="AD160" s="529"/>
      <c r="AE160" s="529"/>
      <c r="AF160" s="529"/>
      <c r="AG160" s="556"/>
      <c r="AH160" s="528"/>
    </row>
    <row r="161">
      <c r="A161" s="564"/>
      <c r="B161" s="565"/>
      <c r="C161" s="565"/>
      <c r="D161" s="565"/>
      <c r="E161" s="565"/>
      <c r="F161" s="565"/>
      <c r="G161" s="565"/>
      <c r="H161" s="565"/>
      <c r="I161" s="565"/>
      <c r="J161" s="565"/>
      <c r="K161" s="565"/>
      <c r="L161" s="565"/>
      <c r="M161" s="565"/>
      <c r="N161" s="529"/>
      <c r="O161" s="529"/>
      <c r="P161" s="529"/>
      <c r="Q161" s="529"/>
      <c r="R161" s="529"/>
      <c r="S161" s="529"/>
      <c r="T161" s="529"/>
      <c r="U161" s="529"/>
      <c r="V161" s="529"/>
      <c r="W161" s="529"/>
      <c r="X161" s="529"/>
      <c r="Y161" s="529"/>
      <c r="Z161" s="529"/>
      <c r="AA161" s="529"/>
      <c r="AB161" s="529"/>
      <c r="AC161" s="529"/>
      <c r="AD161" s="529"/>
      <c r="AE161" s="529"/>
      <c r="AF161" s="529"/>
      <c r="AG161" s="556"/>
      <c r="AH161" s="528"/>
    </row>
    <row r="162">
      <c r="A162" s="564"/>
      <c r="B162" s="565"/>
      <c r="C162" s="565"/>
      <c r="D162" s="565"/>
      <c r="E162" s="565"/>
      <c r="F162" s="565"/>
      <c r="G162" s="565"/>
      <c r="H162" s="565"/>
      <c r="I162" s="565"/>
      <c r="J162" s="565"/>
      <c r="K162" s="565"/>
      <c r="L162" s="565"/>
      <c r="M162" s="565"/>
      <c r="N162" s="529"/>
      <c r="O162" s="529"/>
      <c r="P162" s="529"/>
      <c r="Q162" s="529"/>
      <c r="R162" s="529"/>
      <c r="S162" s="529"/>
      <c r="T162" s="529"/>
      <c r="U162" s="529"/>
      <c r="V162" s="529"/>
      <c r="W162" s="529"/>
      <c r="X162" s="529"/>
      <c r="Y162" s="529"/>
      <c r="Z162" s="529"/>
      <c r="AA162" s="529"/>
      <c r="AB162" s="529"/>
      <c r="AC162" s="529"/>
      <c r="AD162" s="529"/>
      <c r="AE162" s="529"/>
      <c r="AF162" s="529"/>
      <c r="AG162" s="556"/>
      <c r="AH162" s="528"/>
    </row>
    <row r="163">
      <c r="A163" s="564"/>
      <c r="B163" s="565"/>
      <c r="C163" s="565"/>
      <c r="D163" s="565"/>
      <c r="E163" s="565"/>
      <c r="F163" s="565"/>
      <c r="G163" s="565"/>
      <c r="H163" s="565"/>
      <c r="I163" s="565"/>
      <c r="J163" s="565"/>
      <c r="K163" s="565"/>
      <c r="L163" s="565"/>
      <c r="M163" s="565"/>
      <c r="N163" s="529"/>
      <c r="O163" s="529"/>
      <c r="P163" s="529"/>
      <c r="Q163" s="529"/>
      <c r="R163" s="529"/>
      <c r="S163" s="529"/>
      <c r="T163" s="529"/>
      <c r="U163" s="529"/>
      <c r="V163" s="529"/>
      <c r="W163" s="529"/>
      <c r="X163" s="529"/>
      <c r="Y163" s="529"/>
      <c r="Z163" s="529"/>
      <c r="AA163" s="529"/>
      <c r="AB163" s="529"/>
      <c r="AC163" s="529"/>
      <c r="AD163" s="529"/>
      <c r="AE163" s="529"/>
      <c r="AF163" s="529"/>
      <c r="AG163" s="556"/>
      <c r="AH163" s="528"/>
    </row>
    <row r="164">
      <c r="A164" s="564"/>
      <c r="B164" s="565"/>
      <c r="C164" s="565"/>
      <c r="D164" s="565"/>
      <c r="E164" s="565"/>
      <c r="F164" s="565"/>
      <c r="G164" s="565"/>
      <c r="H164" s="565"/>
      <c r="I164" s="565"/>
      <c r="J164" s="565"/>
      <c r="K164" s="565"/>
      <c r="L164" s="565"/>
      <c r="M164" s="565"/>
      <c r="N164" s="529"/>
      <c r="O164" s="529"/>
      <c r="P164" s="529"/>
      <c r="Q164" s="529"/>
      <c r="R164" s="529"/>
      <c r="S164" s="529"/>
      <c r="T164" s="529"/>
      <c r="U164" s="529"/>
      <c r="V164" s="529"/>
      <c r="W164" s="529"/>
      <c r="X164" s="529"/>
      <c r="Y164" s="529"/>
      <c r="Z164" s="529"/>
      <c r="AA164" s="529"/>
      <c r="AB164" s="529"/>
      <c r="AC164" s="529"/>
      <c r="AD164" s="529"/>
      <c r="AE164" s="529"/>
      <c r="AF164" s="529"/>
      <c r="AG164" s="556"/>
      <c r="AH164" s="528"/>
    </row>
    <row r="165">
      <c r="A165" s="564"/>
      <c r="B165" s="565"/>
      <c r="C165" s="565"/>
      <c r="D165" s="565"/>
      <c r="E165" s="565"/>
      <c r="F165" s="565"/>
      <c r="G165" s="565"/>
      <c r="H165" s="565"/>
      <c r="I165" s="565"/>
      <c r="J165" s="565"/>
      <c r="K165" s="565"/>
      <c r="L165" s="565"/>
      <c r="M165" s="565"/>
      <c r="N165" s="529"/>
      <c r="O165" s="529"/>
      <c r="P165" s="529"/>
      <c r="Q165" s="529"/>
      <c r="R165" s="529"/>
      <c r="S165" s="529"/>
      <c r="T165" s="529"/>
      <c r="U165" s="529"/>
      <c r="V165" s="529"/>
      <c r="W165" s="529"/>
      <c r="X165" s="529"/>
      <c r="Y165" s="529"/>
      <c r="Z165" s="529"/>
      <c r="AA165" s="529"/>
      <c r="AB165" s="529"/>
      <c r="AC165" s="529"/>
      <c r="AD165" s="529"/>
      <c r="AE165" s="529"/>
      <c r="AF165" s="529"/>
      <c r="AG165" s="556"/>
      <c r="AH165" s="528"/>
    </row>
    <row r="166">
      <c r="A166" s="564"/>
      <c r="B166" s="565"/>
      <c r="C166" s="565"/>
      <c r="D166" s="565"/>
      <c r="E166" s="565"/>
      <c r="F166" s="565"/>
      <c r="G166" s="565"/>
      <c r="H166" s="565"/>
      <c r="I166" s="565"/>
      <c r="J166" s="565"/>
      <c r="K166" s="565"/>
      <c r="L166" s="565"/>
      <c r="M166" s="565"/>
      <c r="N166" s="529"/>
      <c r="O166" s="529"/>
      <c r="P166" s="529"/>
      <c r="Q166" s="529"/>
      <c r="R166" s="529"/>
      <c r="S166" s="529"/>
      <c r="T166" s="529"/>
      <c r="U166" s="529"/>
      <c r="V166" s="529"/>
      <c r="W166" s="529"/>
      <c r="X166" s="529"/>
      <c r="Y166" s="529"/>
      <c r="Z166" s="529"/>
      <c r="AA166" s="529"/>
      <c r="AB166" s="529"/>
      <c r="AC166" s="529"/>
      <c r="AD166" s="529"/>
      <c r="AE166" s="529"/>
      <c r="AF166" s="529"/>
      <c r="AG166" s="556"/>
      <c r="AH166" s="528"/>
    </row>
    <row r="167">
      <c r="A167" s="564"/>
      <c r="B167" s="565"/>
      <c r="C167" s="565"/>
      <c r="D167" s="565"/>
      <c r="E167" s="565"/>
      <c r="F167" s="565"/>
      <c r="G167" s="565"/>
      <c r="H167" s="565"/>
      <c r="I167" s="565"/>
      <c r="J167" s="565"/>
      <c r="K167" s="565"/>
      <c r="L167" s="565"/>
      <c r="M167" s="565"/>
      <c r="N167" s="529"/>
      <c r="O167" s="529"/>
      <c r="P167" s="529"/>
      <c r="Q167" s="529"/>
      <c r="R167" s="529"/>
      <c r="S167" s="529"/>
      <c r="T167" s="529"/>
      <c r="U167" s="529"/>
      <c r="V167" s="529"/>
      <c r="W167" s="529"/>
      <c r="X167" s="529"/>
      <c r="Y167" s="529"/>
      <c r="Z167" s="529"/>
      <c r="AA167" s="529"/>
      <c r="AB167" s="529"/>
      <c r="AC167" s="529"/>
      <c r="AD167" s="529"/>
      <c r="AE167" s="529"/>
      <c r="AF167" s="529"/>
      <c r="AG167" s="556"/>
      <c r="AH167" s="528"/>
    </row>
    <row r="168">
      <c r="A168" s="564"/>
      <c r="B168" s="565"/>
      <c r="C168" s="565"/>
      <c r="D168" s="565"/>
      <c r="E168" s="565"/>
      <c r="F168" s="565"/>
      <c r="G168" s="565"/>
      <c r="H168" s="565"/>
      <c r="I168" s="565"/>
      <c r="J168" s="565"/>
      <c r="K168" s="565"/>
      <c r="L168" s="565"/>
      <c r="M168" s="565"/>
      <c r="N168" s="529"/>
      <c r="O168" s="529"/>
      <c r="P168" s="529"/>
      <c r="Q168" s="529"/>
      <c r="R168" s="529"/>
      <c r="S168" s="529"/>
      <c r="T168" s="529"/>
      <c r="U168" s="529"/>
      <c r="V168" s="529"/>
      <c r="W168" s="529"/>
      <c r="X168" s="529"/>
      <c r="Y168" s="529"/>
      <c r="Z168" s="529"/>
      <c r="AA168" s="529"/>
      <c r="AB168" s="529"/>
      <c r="AC168" s="529"/>
      <c r="AD168" s="529"/>
      <c r="AE168" s="529"/>
      <c r="AF168" s="529"/>
      <c r="AG168" s="556"/>
      <c r="AH168" s="528"/>
    </row>
    <row r="169">
      <c r="A169" s="564"/>
      <c r="B169" s="565"/>
      <c r="C169" s="565"/>
      <c r="D169" s="565"/>
      <c r="E169" s="565"/>
      <c r="F169" s="565"/>
      <c r="G169" s="565"/>
      <c r="H169" s="565"/>
      <c r="I169" s="565"/>
      <c r="J169" s="565"/>
      <c r="K169" s="565"/>
      <c r="L169" s="565"/>
      <c r="M169" s="565"/>
      <c r="N169" s="529"/>
      <c r="O169" s="529"/>
      <c r="P169" s="529"/>
      <c r="Q169" s="529"/>
      <c r="R169" s="529"/>
      <c r="S169" s="529"/>
      <c r="T169" s="529"/>
      <c r="U169" s="529"/>
      <c r="V169" s="529"/>
      <c r="W169" s="529"/>
      <c r="X169" s="529"/>
      <c r="Y169" s="529"/>
      <c r="Z169" s="529"/>
      <c r="AA169" s="529"/>
      <c r="AB169" s="529"/>
      <c r="AC169" s="529"/>
      <c r="AD169" s="529"/>
      <c r="AE169" s="529"/>
      <c r="AF169" s="529"/>
      <c r="AG169" s="556"/>
      <c r="AH169" s="528"/>
    </row>
    <row r="170">
      <c r="A170" s="564"/>
      <c r="B170" s="565"/>
      <c r="C170" s="565"/>
      <c r="D170" s="565"/>
      <c r="E170" s="565"/>
      <c r="F170" s="565"/>
      <c r="G170" s="565"/>
      <c r="H170" s="565"/>
      <c r="I170" s="565"/>
      <c r="J170" s="565"/>
      <c r="K170" s="565"/>
      <c r="L170" s="565"/>
      <c r="M170" s="565"/>
      <c r="N170" s="529"/>
      <c r="O170" s="529"/>
      <c r="P170" s="529"/>
      <c r="Q170" s="529"/>
      <c r="R170" s="529"/>
      <c r="S170" s="529"/>
      <c r="T170" s="529"/>
      <c r="U170" s="529"/>
      <c r="V170" s="529"/>
      <c r="W170" s="529"/>
      <c r="X170" s="529"/>
      <c r="Y170" s="529"/>
      <c r="Z170" s="529"/>
      <c r="AA170" s="529"/>
      <c r="AB170" s="529"/>
      <c r="AC170" s="529"/>
      <c r="AD170" s="529"/>
      <c r="AE170" s="529"/>
      <c r="AF170" s="529"/>
      <c r="AG170" s="556"/>
      <c r="AH170" s="528"/>
    </row>
    <row r="171">
      <c r="A171" s="564"/>
      <c r="B171" s="565"/>
      <c r="C171" s="565"/>
      <c r="D171" s="565"/>
      <c r="E171" s="565"/>
      <c r="F171" s="565"/>
      <c r="G171" s="565"/>
      <c r="H171" s="565"/>
      <c r="I171" s="565"/>
      <c r="J171" s="565"/>
      <c r="K171" s="565"/>
      <c r="L171" s="565"/>
      <c r="M171" s="565"/>
      <c r="N171" s="529"/>
      <c r="O171" s="529"/>
      <c r="P171" s="529"/>
      <c r="Q171" s="529"/>
      <c r="R171" s="529"/>
      <c r="S171" s="529"/>
      <c r="T171" s="529"/>
      <c r="U171" s="529"/>
      <c r="V171" s="529"/>
      <c r="W171" s="529"/>
      <c r="X171" s="529"/>
      <c r="Y171" s="529"/>
      <c r="Z171" s="529"/>
      <c r="AA171" s="529"/>
      <c r="AB171" s="529"/>
      <c r="AC171" s="529"/>
      <c r="AD171" s="529"/>
      <c r="AE171" s="529"/>
      <c r="AF171" s="529"/>
      <c r="AG171" s="556"/>
      <c r="AH171" s="528"/>
    </row>
    <row r="172">
      <c r="A172" s="564"/>
      <c r="B172" s="565"/>
      <c r="C172" s="565"/>
      <c r="D172" s="565"/>
      <c r="E172" s="565"/>
      <c r="F172" s="565"/>
      <c r="G172" s="565"/>
      <c r="H172" s="565"/>
      <c r="I172" s="565"/>
      <c r="J172" s="565"/>
      <c r="K172" s="565"/>
      <c r="L172" s="565"/>
      <c r="M172" s="565"/>
      <c r="N172" s="529"/>
      <c r="O172" s="529"/>
      <c r="P172" s="529"/>
      <c r="Q172" s="529"/>
      <c r="R172" s="529"/>
      <c r="S172" s="529"/>
      <c r="T172" s="529"/>
      <c r="U172" s="529"/>
      <c r="V172" s="529"/>
      <c r="W172" s="529"/>
      <c r="X172" s="529"/>
      <c r="Y172" s="529"/>
      <c r="Z172" s="529"/>
      <c r="AA172" s="529"/>
      <c r="AB172" s="529"/>
      <c r="AC172" s="529"/>
      <c r="AD172" s="529"/>
      <c r="AE172" s="529"/>
      <c r="AF172" s="529"/>
      <c r="AG172" s="556"/>
      <c r="AH172" s="528"/>
    </row>
    <row r="173">
      <c r="A173" s="564"/>
      <c r="B173" s="565"/>
      <c r="C173" s="565"/>
      <c r="D173" s="565"/>
      <c r="E173" s="565"/>
      <c r="F173" s="565"/>
      <c r="G173" s="565"/>
      <c r="H173" s="565"/>
      <c r="I173" s="565"/>
      <c r="J173" s="565"/>
      <c r="K173" s="565"/>
      <c r="L173" s="565"/>
      <c r="M173" s="565"/>
      <c r="N173" s="529"/>
      <c r="O173" s="529"/>
      <c r="P173" s="529"/>
      <c r="Q173" s="529"/>
      <c r="R173" s="529"/>
      <c r="S173" s="529"/>
      <c r="T173" s="529"/>
      <c r="U173" s="529"/>
      <c r="V173" s="529"/>
      <c r="W173" s="529"/>
      <c r="X173" s="529"/>
      <c r="Y173" s="529"/>
      <c r="Z173" s="529"/>
      <c r="AA173" s="529"/>
      <c r="AB173" s="529"/>
      <c r="AC173" s="529"/>
      <c r="AD173" s="529"/>
      <c r="AE173" s="529"/>
      <c r="AF173" s="529"/>
      <c r="AG173" s="556"/>
      <c r="AH173" s="528"/>
    </row>
    <row r="174">
      <c r="A174" s="564"/>
      <c r="B174" s="565"/>
      <c r="C174" s="565"/>
      <c r="D174" s="565"/>
      <c r="E174" s="565"/>
      <c r="F174" s="565"/>
      <c r="G174" s="565"/>
      <c r="H174" s="565"/>
      <c r="I174" s="565"/>
      <c r="J174" s="565"/>
      <c r="K174" s="565"/>
      <c r="L174" s="565"/>
      <c r="M174" s="565"/>
      <c r="N174" s="529"/>
      <c r="O174" s="529"/>
      <c r="P174" s="529"/>
      <c r="Q174" s="529"/>
      <c r="R174" s="529"/>
      <c r="S174" s="529"/>
      <c r="T174" s="529"/>
      <c r="U174" s="529"/>
      <c r="V174" s="529"/>
      <c r="W174" s="529"/>
      <c r="X174" s="529"/>
      <c r="Y174" s="529"/>
      <c r="Z174" s="529"/>
      <c r="AA174" s="529"/>
      <c r="AB174" s="529"/>
      <c r="AC174" s="529"/>
      <c r="AD174" s="529"/>
      <c r="AE174" s="529"/>
      <c r="AF174" s="529"/>
      <c r="AG174" s="556"/>
      <c r="AH174" s="528"/>
    </row>
    <row r="175">
      <c r="A175" s="564"/>
      <c r="B175" s="565"/>
      <c r="C175" s="565"/>
      <c r="D175" s="565"/>
      <c r="E175" s="565"/>
      <c r="F175" s="565"/>
      <c r="G175" s="565"/>
      <c r="H175" s="565"/>
      <c r="I175" s="565"/>
      <c r="J175" s="565"/>
      <c r="K175" s="565"/>
      <c r="L175" s="565"/>
      <c r="M175" s="565"/>
      <c r="N175" s="529"/>
      <c r="O175" s="529"/>
      <c r="P175" s="529"/>
      <c r="Q175" s="529"/>
      <c r="R175" s="529"/>
      <c r="S175" s="529"/>
      <c r="T175" s="529"/>
      <c r="U175" s="529"/>
      <c r="V175" s="529"/>
      <c r="W175" s="529"/>
      <c r="X175" s="529"/>
      <c r="Y175" s="529"/>
      <c r="Z175" s="529"/>
      <c r="AA175" s="529"/>
      <c r="AB175" s="529"/>
      <c r="AC175" s="529"/>
      <c r="AD175" s="529"/>
      <c r="AE175" s="529"/>
      <c r="AF175" s="529"/>
      <c r="AG175" s="556"/>
      <c r="AH175" s="528"/>
    </row>
    <row r="176">
      <c r="A176" s="564"/>
      <c r="B176" s="565"/>
      <c r="C176" s="565"/>
      <c r="D176" s="565"/>
      <c r="E176" s="565"/>
      <c r="F176" s="565"/>
      <c r="G176" s="565"/>
      <c r="H176" s="565"/>
      <c r="I176" s="565"/>
      <c r="J176" s="565"/>
      <c r="K176" s="565"/>
      <c r="L176" s="565"/>
      <c r="M176" s="565"/>
      <c r="N176" s="529"/>
      <c r="O176" s="529"/>
      <c r="P176" s="529"/>
      <c r="Q176" s="529"/>
      <c r="R176" s="529"/>
      <c r="S176" s="529"/>
      <c r="T176" s="529"/>
      <c r="U176" s="529"/>
      <c r="V176" s="529"/>
      <c r="W176" s="529"/>
      <c r="X176" s="529"/>
      <c r="Y176" s="529"/>
      <c r="Z176" s="529"/>
      <c r="AA176" s="529"/>
      <c r="AB176" s="529"/>
      <c r="AC176" s="529"/>
      <c r="AD176" s="529"/>
      <c r="AE176" s="529"/>
      <c r="AF176" s="529"/>
      <c r="AG176" s="556"/>
      <c r="AH176" s="528"/>
    </row>
    <row r="177">
      <c r="A177" s="564"/>
      <c r="B177" s="565"/>
      <c r="C177" s="565"/>
      <c r="D177" s="565"/>
      <c r="E177" s="565"/>
      <c r="F177" s="565"/>
      <c r="G177" s="565"/>
      <c r="H177" s="565"/>
      <c r="I177" s="565"/>
      <c r="J177" s="565"/>
      <c r="K177" s="565"/>
      <c r="L177" s="565"/>
      <c r="M177" s="565"/>
      <c r="N177" s="529"/>
      <c r="O177" s="529"/>
      <c r="P177" s="529"/>
      <c r="Q177" s="529"/>
      <c r="R177" s="529"/>
      <c r="S177" s="529"/>
      <c r="T177" s="529"/>
      <c r="U177" s="529"/>
      <c r="V177" s="529"/>
      <c r="W177" s="529"/>
      <c r="X177" s="529"/>
      <c r="Y177" s="529"/>
      <c r="Z177" s="529"/>
      <c r="AA177" s="529"/>
      <c r="AB177" s="529"/>
      <c r="AC177" s="529"/>
      <c r="AD177" s="529"/>
      <c r="AE177" s="529"/>
      <c r="AF177" s="529"/>
      <c r="AG177" s="556"/>
      <c r="AH177" s="528"/>
    </row>
    <row r="178">
      <c r="A178" s="564"/>
      <c r="B178" s="565"/>
      <c r="C178" s="565"/>
      <c r="D178" s="565"/>
      <c r="E178" s="565"/>
      <c r="F178" s="565"/>
      <c r="G178" s="565"/>
      <c r="H178" s="565"/>
      <c r="I178" s="565"/>
      <c r="J178" s="565"/>
      <c r="K178" s="565"/>
      <c r="L178" s="565"/>
      <c r="M178" s="565"/>
      <c r="N178" s="529"/>
      <c r="O178" s="529"/>
      <c r="P178" s="529"/>
      <c r="Q178" s="529"/>
      <c r="R178" s="529"/>
      <c r="S178" s="529"/>
      <c r="T178" s="529"/>
      <c r="U178" s="529"/>
      <c r="V178" s="529"/>
      <c r="W178" s="529"/>
      <c r="X178" s="529"/>
      <c r="Y178" s="529"/>
      <c r="Z178" s="529"/>
      <c r="AA178" s="529"/>
      <c r="AB178" s="529"/>
      <c r="AC178" s="529"/>
      <c r="AD178" s="529"/>
      <c r="AE178" s="529"/>
      <c r="AF178" s="529"/>
      <c r="AG178" s="556"/>
      <c r="AH178" s="528"/>
    </row>
    <row r="179">
      <c r="A179" s="564"/>
      <c r="B179" s="565"/>
      <c r="C179" s="565"/>
      <c r="D179" s="565"/>
      <c r="E179" s="565"/>
      <c r="F179" s="565"/>
      <c r="G179" s="565"/>
      <c r="H179" s="565"/>
      <c r="I179" s="565"/>
      <c r="J179" s="565"/>
      <c r="K179" s="565"/>
      <c r="L179" s="565"/>
      <c r="M179" s="565"/>
      <c r="N179" s="529"/>
      <c r="O179" s="529"/>
      <c r="P179" s="529"/>
      <c r="Q179" s="529"/>
      <c r="R179" s="529"/>
      <c r="S179" s="529"/>
      <c r="T179" s="529"/>
      <c r="U179" s="529"/>
      <c r="V179" s="529"/>
      <c r="W179" s="529"/>
      <c r="X179" s="529"/>
      <c r="Y179" s="529"/>
      <c r="Z179" s="529"/>
      <c r="AA179" s="529"/>
      <c r="AB179" s="529"/>
      <c r="AC179" s="529"/>
      <c r="AD179" s="529"/>
      <c r="AE179" s="529"/>
      <c r="AF179" s="529"/>
      <c r="AG179" s="556"/>
      <c r="AH179" s="528"/>
    </row>
    <row r="180">
      <c r="A180" s="564"/>
      <c r="B180" s="565"/>
      <c r="C180" s="565"/>
      <c r="D180" s="565"/>
      <c r="E180" s="565"/>
      <c r="F180" s="565"/>
      <c r="G180" s="565"/>
      <c r="H180" s="565"/>
      <c r="I180" s="565"/>
      <c r="J180" s="565"/>
      <c r="K180" s="565"/>
      <c r="L180" s="565"/>
      <c r="M180" s="565"/>
      <c r="N180" s="529"/>
      <c r="O180" s="529"/>
      <c r="P180" s="529"/>
      <c r="Q180" s="529"/>
      <c r="R180" s="529"/>
      <c r="S180" s="529"/>
      <c r="T180" s="529"/>
      <c r="U180" s="529"/>
      <c r="V180" s="529"/>
      <c r="W180" s="529"/>
      <c r="X180" s="529"/>
      <c r="Y180" s="529"/>
      <c r="Z180" s="529"/>
      <c r="AA180" s="529"/>
      <c r="AB180" s="529"/>
      <c r="AC180" s="529"/>
      <c r="AD180" s="529"/>
      <c r="AE180" s="529"/>
      <c r="AF180" s="529"/>
      <c r="AG180" s="556"/>
      <c r="AH180" s="528"/>
    </row>
    <row r="181">
      <c r="A181" s="564"/>
      <c r="B181" s="565"/>
      <c r="C181" s="565"/>
      <c r="D181" s="565"/>
      <c r="E181" s="565"/>
      <c r="F181" s="565"/>
      <c r="G181" s="565"/>
      <c r="H181" s="565"/>
      <c r="I181" s="565"/>
      <c r="J181" s="565"/>
      <c r="K181" s="565"/>
      <c r="L181" s="565"/>
      <c r="M181" s="565"/>
      <c r="N181" s="529"/>
      <c r="O181" s="529"/>
      <c r="P181" s="529"/>
      <c r="Q181" s="529"/>
      <c r="R181" s="529"/>
      <c r="S181" s="529"/>
      <c r="T181" s="529"/>
      <c r="U181" s="529"/>
      <c r="V181" s="529"/>
      <c r="W181" s="529"/>
      <c r="X181" s="529"/>
      <c r="Y181" s="529"/>
      <c r="Z181" s="529"/>
      <c r="AA181" s="529"/>
      <c r="AB181" s="529"/>
      <c r="AC181" s="529"/>
      <c r="AD181" s="529"/>
      <c r="AE181" s="529"/>
      <c r="AF181" s="529"/>
      <c r="AG181" s="556"/>
      <c r="AH181" s="528"/>
    </row>
    <row r="182">
      <c r="A182" s="564"/>
      <c r="B182" s="565"/>
      <c r="C182" s="565"/>
      <c r="D182" s="565"/>
      <c r="E182" s="565"/>
      <c r="F182" s="565"/>
      <c r="G182" s="565"/>
      <c r="H182" s="565"/>
      <c r="I182" s="565"/>
      <c r="J182" s="565"/>
      <c r="K182" s="565"/>
      <c r="L182" s="565"/>
      <c r="M182" s="565"/>
      <c r="N182" s="529"/>
      <c r="O182" s="529"/>
      <c r="P182" s="529"/>
      <c r="Q182" s="529"/>
      <c r="R182" s="529"/>
      <c r="S182" s="529"/>
      <c r="T182" s="529"/>
      <c r="U182" s="529"/>
      <c r="V182" s="529"/>
      <c r="W182" s="529"/>
      <c r="X182" s="529"/>
      <c r="Y182" s="529"/>
      <c r="Z182" s="529"/>
      <c r="AA182" s="529"/>
      <c r="AB182" s="529"/>
      <c r="AC182" s="529"/>
      <c r="AD182" s="529"/>
      <c r="AE182" s="529"/>
      <c r="AF182" s="529"/>
      <c r="AG182" s="556"/>
      <c r="AH182" s="528"/>
    </row>
    <row r="183">
      <c r="A183" s="564"/>
      <c r="B183" s="565"/>
      <c r="C183" s="565"/>
      <c r="D183" s="565"/>
      <c r="E183" s="565"/>
      <c r="F183" s="565"/>
      <c r="G183" s="565"/>
      <c r="H183" s="565"/>
      <c r="I183" s="565"/>
      <c r="J183" s="565"/>
      <c r="K183" s="565"/>
      <c r="L183" s="565"/>
      <c r="M183" s="565"/>
      <c r="N183" s="529"/>
      <c r="O183" s="529"/>
      <c r="P183" s="529"/>
      <c r="Q183" s="529"/>
      <c r="R183" s="529"/>
      <c r="S183" s="529"/>
      <c r="T183" s="529"/>
      <c r="U183" s="529"/>
      <c r="V183" s="529"/>
      <c r="W183" s="529"/>
      <c r="X183" s="529"/>
      <c r="Y183" s="529"/>
      <c r="Z183" s="529"/>
      <c r="AA183" s="529"/>
      <c r="AB183" s="529"/>
      <c r="AC183" s="529"/>
      <c r="AD183" s="529"/>
      <c r="AE183" s="529"/>
      <c r="AF183" s="529"/>
      <c r="AG183" s="556"/>
      <c r="AH183" s="528"/>
    </row>
    <row r="184">
      <c r="A184" s="564"/>
      <c r="B184" s="565"/>
      <c r="C184" s="565"/>
      <c r="D184" s="565"/>
      <c r="E184" s="565"/>
      <c r="F184" s="565"/>
      <c r="G184" s="565"/>
      <c r="H184" s="565"/>
      <c r="I184" s="565"/>
      <c r="J184" s="565"/>
      <c r="K184" s="565"/>
      <c r="L184" s="565"/>
      <c r="M184" s="565"/>
      <c r="N184" s="529"/>
      <c r="O184" s="529"/>
      <c r="P184" s="529"/>
      <c r="Q184" s="529"/>
      <c r="R184" s="529"/>
      <c r="S184" s="529"/>
      <c r="T184" s="529"/>
      <c r="U184" s="529"/>
      <c r="V184" s="529"/>
      <c r="W184" s="529"/>
      <c r="X184" s="529"/>
      <c r="Y184" s="529"/>
      <c r="Z184" s="529"/>
      <c r="AA184" s="529"/>
      <c r="AB184" s="529"/>
      <c r="AC184" s="529"/>
      <c r="AD184" s="529"/>
      <c r="AE184" s="529"/>
      <c r="AF184" s="529"/>
      <c r="AG184" s="556"/>
      <c r="AH184" s="528"/>
    </row>
    <row r="185">
      <c r="A185" s="564"/>
      <c r="B185" s="565"/>
      <c r="C185" s="565"/>
      <c r="D185" s="565"/>
      <c r="E185" s="565"/>
      <c r="F185" s="565"/>
      <c r="G185" s="565"/>
      <c r="H185" s="565"/>
      <c r="I185" s="565"/>
      <c r="J185" s="565"/>
      <c r="K185" s="565"/>
      <c r="L185" s="565"/>
      <c r="M185" s="565"/>
      <c r="N185" s="529"/>
      <c r="O185" s="529"/>
      <c r="P185" s="529"/>
      <c r="Q185" s="529"/>
      <c r="R185" s="529"/>
      <c r="S185" s="529"/>
      <c r="T185" s="529"/>
      <c r="U185" s="529"/>
      <c r="V185" s="529"/>
      <c r="W185" s="529"/>
      <c r="X185" s="529"/>
      <c r="Y185" s="529"/>
      <c r="Z185" s="529"/>
      <c r="AA185" s="529"/>
      <c r="AB185" s="529"/>
      <c r="AC185" s="529"/>
      <c r="AD185" s="529"/>
      <c r="AE185" s="529"/>
      <c r="AF185" s="529"/>
      <c r="AG185" s="556"/>
      <c r="AH185" s="528"/>
    </row>
    <row r="186">
      <c r="A186" s="564"/>
      <c r="B186" s="565"/>
      <c r="C186" s="565"/>
      <c r="D186" s="565"/>
      <c r="E186" s="565"/>
      <c r="F186" s="565"/>
      <c r="G186" s="565"/>
      <c r="H186" s="565"/>
      <c r="I186" s="565"/>
      <c r="J186" s="565"/>
      <c r="K186" s="565"/>
      <c r="L186" s="565"/>
      <c r="M186" s="565"/>
      <c r="N186" s="529"/>
      <c r="O186" s="529"/>
      <c r="P186" s="529"/>
      <c r="Q186" s="529"/>
      <c r="R186" s="529"/>
      <c r="S186" s="529"/>
      <c r="T186" s="529"/>
      <c r="U186" s="529"/>
      <c r="V186" s="529"/>
      <c r="W186" s="529"/>
      <c r="X186" s="529"/>
      <c r="Y186" s="529"/>
      <c r="Z186" s="529"/>
      <c r="AA186" s="529"/>
      <c r="AB186" s="529"/>
      <c r="AC186" s="529"/>
      <c r="AD186" s="529"/>
      <c r="AE186" s="529"/>
      <c r="AF186" s="529"/>
      <c r="AG186" s="556"/>
      <c r="AH186" s="528"/>
    </row>
    <row r="187">
      <c r="A187" s="564"/>
      <c r="B187" s="565"/>
      <c r="C187" s="565"/>
      <c r="D187" s="565"/>
      <c r="E187" s="565"/>
      <c r="F187" s="565"/>
      <c r="G187" s="565"/>
      <c r="H187" s="565"/>
      <c r="I187" s="565"/>
      <c r="J187" s="565"/>
      <c r="K187" s="565"/>
      <c r="L187" s="565"/>
      <c r="M187" s="565"/>
      <c r="N187" s="529"/>
      <c r="O187" s="529"/>
      <c r="P187" s="529"/>
      <c r="Q187" s="529"/>
      <c r="R187" s="529"/>
      <c r="S187" s="529"/>
      <c r="T187" s="529"/>
      <c r="U187" s="529"/>
      <c r="V187" s="529"/>
      <c r="W187" s="529"/>
      <c r="X187" s="529"/>
      <c r="Y187" s="529"/>
      <c r="Z187" s="529"/>
      <c r="AA187" s="529"/>
      <c r="AB187" s="529"/>
      <c r="AC187" s="529"/>
      <c r="AD187" s="529"/>
      <c r="AE187" s="529"/>
      <c r="AF187" s="529"/>
      <c r="AG187" s="556"/>
      <c r="AH187" s="528"/>
    </row>
    <row r="188">
      <c r="A188" s="564"/>
      <c r="B188" s="565"/>
      <c r="C188" s="565"/>
      <c r="D188" s="565"/>
      <c r="E188" s="565"/>
      <c r="F188" s="565"/>
      <c r="G188" s="565"/>
      <c r="H188" s="565"/>
      <c r="I188" s="565"/>
      <c r="J188" s="565"/>
      <c r="K188" s="565"/>
      <c r="L188" s="565"/>
      <c r="M188" s="565"/>
      <c r="N188" s="529"/>
      <c r="O188" s="529"/>
      <c r="P188" s="529"/>
      <c r="Q188" s="529"/>
      <c r="R188" s="529"/>
      <c r="S188" s="529"/>
      <c r="T188" s="529"/>
      <c r="U188" s="529"/>
      <c r="V188" s="529"/>
      <c r="W188" s="529"/>
      <c r="X188" s="529"/>
      <c r="Y188" s="529"/>
      <c r="Z188" s="529"/>
      <c r="AA188" s="529"/>
      <c r="AB188" s="529"/>
      <c r="AC188" s="529"/>
      <c r="AD188" s="529"/>
      <c r="AE188" s="529"/>
      <c r="AF188" s="529"/>
      <c r="AG188" s="556"/>
      <c r="AH188" s="528"/>
    </row>
    <row r="189">
      <c r="A189" s="564"/>
      <c r="B189" s="565"/>
      <c r="C189" s="565"/>
      <c r="D189" s="565"/>
      <c r="E189" s="565"/>
      <c r="F189" s="565"/>
      <c r="G189" s="565"/>
      <c r="H189" s="565"/>
      <c r="I189" s="565"/>
      <c r="J189" s="565"/>
      <c r="K189" s="565"/>
      <c r="L189" s="565"/>
      <c r="M189" s="565"/>
      <c r="N189" s="529"/>
      <c r="O189" s="529"/>
      <c r="P189" s="529"/>
      <c r="Q189" s="529"/>
      <c r="R189" s="529"/>
      <c r="S189" s="529"/>
      <c r="T189" s="529"/>
      <c r="U189" s="529"/>
      <c r="V189" s="529"/>
      <c r="W189" s="529"/>
      <c r="X189" s="529"/>
      <c r="Y189" s="529"/>
      <c r="Z189" s="529"/>
      <c r="AA189" s="529"/>
      <c r="AB189" s="529"/>
      <c r="AC189" s="529"/>
      <c r="AD189" s="529"/>
      <c r="AE189" s="529"/>
      <c r="AF189" s="529"/>
      <c r="AG189" s="556"/>
      <c r="AH189" s="528"/>
    </row>
    <row r="190">
      <c r="A190" s="564"/>
      <c r="B190" s="565"/>
      <c r="C190" s="565"/>
      <c r="D190" s="565"/>
      <c r="E190" s="565"/>
      <c r="F190" s="565"/>
      <c r="G190" s="565"/>
      <c r="H190" s="565"/>
      <c r="I190" s="565"/>
      <c r="J190" s="565"/>
      <c r="K190" s="565"/>
      <c r="L190" s="565"/>
      <c r="M190" s="565"/>
      <c r="N190" s="529"/>
      <c r="O190" s="529"/>
      <c r="P190" s="529"/>
      <c r="Q190" s="529"/>
      <c r="R190" s="529"/>
      <c r="S190" s="529"/>
      <c r="T190" s="529"/>
      <c r="U190" s="529"/>
      <c r="V190" s="529"/>
      <c r="W190" s="529"/>
      <c r="X190" s="529"/>
      <c r="Y190" s="529"/>
      <c r="Z190" s="529"/>
      <c r="AA190" s="529"/>
      <c r="AB190" s="529"/>
      <c r="AC190" s="529"/>
      <c r="AD190" s="529"/>
      <c r="AE190" s="529"/>
      <c r="AF190" s="529"/>
      <c r="AG190" s="556"/>
      <c r="AH190" s="528"/>
    </row>
    <row r="191">
      <c r="A191" s="564"/>
      <c r="B191" s="565"/>
      <c r="C191" s="565"/>
      <c r="D191" s="565"/>
      <c r="E191" s="565"/>
      <c r="F191" s="565"/>
      <c r="G191" s="565"/>
      <c r="H191" s="565"/>
      <c r="I191" s="565"/>
      <c r="J191" s="565"/>
      <c r="K191" s="565"/>
      <c r="L191" s="565"/>
      <c r="M191" s="565"/>
      <c r="N191" s="529"/>
      <c r="O191" s="529"/>
      <c r="P191" s="529"/>
      <c r="Q191" s="529"/>
      <c r="R191" s="529"/>
      <c r="S191" s="529"/>
      <c r="T191" s="529"/>
      <c r="U191" s="529"/>
      <c r="V191" s="529"/>
      <c r="W191" s="529"/>
      <c r="X191" s="529"/>
      <c r="Y191" s="529"/>
      <c r="Z191" s="529"/>
      <c r="AA191" s="529"/>
      <c r="AB191" s="529"/>
      <c r="AC191" s="529"/>
      <c r="AD191" s="529"/>
      <c r="AE191" s="529"/>
      <c r="AF191" s="529"/>
      <c r="AG191" s="556"/>
      <c r="AH191" s="528"/>
    </row>
    <row r="192">
      <c r="A192" s="564"/>
      <c r="B192" s="565"/>
      <c r="C192" s="565"/>
      <c r="D192" s="565"/>
      <c r="E192" s="565"/>
      <c r="F192" s="565"/>
      <c r="G192" s="565"/>
      <c r="H192" s="565"/>
      <c r="I192" s="565"/>
      <c r="J192" s="565"/>
      <c r="K192" s="565"/>
      <c r="L192" s="565"/>
      <c r="M192" s="565"/>
      <c r="N192" s="529"/>
      <c r="O192" s="529"/>
      <c r="P192" s="529"/>
      <c r="Q192" s="529"/>
      <c r="R192" s="529"/>
      <c r="S192" s="529"/>
      <c r="T192" s="529"/>
      <c r="U192" s="529"/>
      <c r="V192" s="529"/>
      <c r="W192" s="529"/>
      <c r="X192" s="529"/>
      <c r="Y192" s="529"/>
      <c r="Z192" s="529"/>
      <c r="AA192" s="529"/>
      <c r="AB192" s="529"/>
      <c r="AC192" s="529"/>
      <c r="AD192" s="529"/>
      <c r="AE192" s="529"/>
      <c r="AF192" s="529"/>
      <c r="AG192" s="556"/>
      <c r="AH192" s="528"/>
    </row>
    <row r="193">
      <c r="A193" s="564"/>
      <c r="B193" s="565"/>
      <c r="C193" s="565"/>
      <c r="D193" s="565"/>
      <c r="E193" s="565"/>
      <c r="F193" s="565"/>
      <c r="G193" s="565"/>
      <c r="H193" s="565"/>
      <c r="I193" s="565"/>
      <c r="J193" s="565"/>
      <c r="K193" s="565"/>
      <c r="L193" s="565"/>
      <c r="M193" s="565"/>
      <c r="N193" s="529"/>
      <c r="O193" s="529"/>
      <c r="P193" s="529"/>
      <c r="Q193" s="529"/>
      <c r="R193" s="529"/>
      <c r="S193" s="529"/>
      <c r="T193" s="529"/>
      <c r="U193" s="529"/>
      <c r="V193" s="529"/>
      <c r="W193" s="529"/>
      <c r="X193" s="529"/>
      <c r="Y193" s="529"/>
      <c r="Z193" s="529"/>
      <c r="AA193" s="529"/>
      <c r="AB193" s="529"/>
      <c r="AC193" s="529"/>
      <c r="AD193" s="529"/>
      <c r="AE193" s="529"/>
      <c r="AF193" s="529"/>
      <c r="AG193" s="556"/>
      <c r="AH193" s="528"/>
    </row>
    <row r="194">
      <c r="A194" s="564"/>
      <c r="B194" s="565"/>
      <c r="C194" s="565"/>
      <c r="D194" s="565"/>
      <c r="E194" s="565"/>
      <c r="F194" s="565"/>
      <c r="G194" s="565"/>
      <c r="H194" s="565"/>
      <c r="I194" s="565"/>
      <c r="J194" s="565"/>
      <c r="K194" s="565"/>
      <c r="L194" s="565"/>
      <c r="M194" s="565"/>
      <c r="N194" s="529"/>
      <c r="O194" s="529"/>
      <c r="P194" s="529"/>
      <c r="Q194" s="529"/>
      <c r="R194" s="529"/>
      <c r="S194" s="529"/>
      <c r="T194" s="529"/>
      <c r="U194" s="529"/>
      <c r="V194" s="529"/>
      <c r="W194" s="529"/>
      <c r="X194" s="529"/>
      <c r="Y194" s="529"/>
      <c r="Z194" s="529"/>
      <c r="AA194" s="529"/>
      <c r="AB194" s="529"/>
      <c r="AC194" s="529"/>
      <c r="AD194" s="529"/>
      <c r="AE194" s="529"/>
      <c r="AF194" s="529"/>
      <c r="AG194" s="556"/>
      <c r="AH194" s="528"/>
    </row>
    <row r="195">
      <c r="A195" s="564"/>
      <c r="B195" s="565"/>
      <c r="C195" s="565"/>
      <c r="D195" s="565"/>
      <c r="E195" s="565"/>
      <c r="F195" s="565"/>
      <c r="G195" s="565"/>
      <c r="H195" s="565"/>
      <c r="I195" s="565"/>
      <c r="J195" s="565"/>
      <c r="K195" s="565"/>
      <c r="L195" s="565"/>
      <c r="M195" s="565"/>
      <c r="N195" s="529"/>
      <c r="O195" s="529"/>
      <c r="P195" s="529"/>
      <c r="Q195" s="529"/>
      <c r="R195" s="529"/>
      <c r="S195" s="529"/>
      <c r="T195" s="529"/>
      <c r="U195" s="529"/>
      <c r="V195" s="529"/>
      <c r="W195" s="529"/>
      <c r="X195" s="529"/>
      <c r="Y195" s="529"/>
      <c r="Z195" s="529"/>
      <c r="AA195" s="529"/>
      <c r="AB195" s="529"/>
      <c r="AC195" s="529"/>
      <c r="AD195" s="529"/>
      <c r="AE195" s="529"/>
      <c r="AF195" s="529"/>
      <c r="AG195" s="556"/>
      <c r="AH195" s="528"/>
    </row>
    <row r="196">
      <c r="A196" s="564"/>
      <c r="B196" s="565"/>
      <c r="C196" s="565"/>
      <c r="D196" s="565"/>
      <c r="E196" s="565"/>
      <c r="F196" s="565"/>
      <c r="G196" s="565"/>
      <c r="H196" s="565"/>
      <c r="I196" s="565"/>
      <c r="J196" s="565"/>
      <c r="K196" s="565"/>
      <c r="L196" s="565"/>
      <c r="M196" s="565"/>
      <c r="N196" s="529"/>
      <c r="O196" s="529"/>
      <c r="P196" s="529"/>
      <c r="Q196" s="529"/>
      <c r="R196" s="529"/>
      <c r="S196" s="529"/>
      <c r="T196" s="529"/>
      <c r="U196" s="529"/>
      <c r="V196" s="529"/>
      <c r="W196" s="529"/>
      <c r="X196" s="529"/>
      <c r="Y196" s="529"/>
      <c r="Z196" s="529"/>
      <c r="AA196" s="529"/>
      <c r="AB196" s="529"/>
      <c r="AC196" s="529"/>
      <c r="AD196" s="529"/>
      <c r="AE196" s="529"/>
      <c r="AF196" s="529"/>
      <c r="AG196" s="556"/>
      <c r="AH196" s="528"/>
    </row>
    <row r="197">
      <c r="A197" s="564"/>
      <c r="B197" s="565"/>
      <c r="C197" s="565"/>
      <c r="D197" s="565"/>
      <c r="E197" s="565"/>
      <c r="F197" s="565"/>
      <c r="G197" s="565"/>
      <c r="H197" s="565"/>
      <c r="I197" s="565"/>
      <c r="J197" s="565"/>
      <c r="K197" s="565"/>
      <c r="L197" s="565"/>
      <c r="M197" s="565"/>
      <c r="N197" s="529"/>
      <c r="O197" s="529"/>
      <c r="P197" s="529"/>
      <c r="Q197" s="529"/>
      <c r="R197" s="529"/>
      <c r="S197" s="529"/>
      <c r="T197" s="529"/>
      <c r="U197" s="529"/>
      <c r="V197" s="529"/>
      <c r="W197" s="529"/>
      <c r="X197" s="529"/>
      <c r="Y197" s="529"/>
      <c r="Z197" s="529"/>
      <c r="AA197" s="529"/>
      <c r="AB197" s="529"/>
      <c r="AC197" s="529"/>
      <c r="AD197" s="529"/>
      <c r="AE197" s="529"/>
      <c r="AF197" s="529"/>
      <c r="AG197" s="556"/>
      <c r="AH197" s="528"/>
    </row>
    <row r="198">
      <c r="A198" s="564"/>
      <c r="B198" s="565"/>
      <c r="C198" s="565"/>
      <c r="D198" s="565"/>
      <c r="E198" s="565"/>
      <c r="F198" s="565"/>
      <c r="G198" s="565"/>
      <c r="H198" s="565"/>
      <c r="I198" s="565"/>
      <c r="J198" s="565"/>
      <c r="K198" s="565"/>
      <c r="L198" s="565"/>
      <c r="M198" s="565"/>
      <c r="N198" s="529"/>
      <c r="O198" s="529"/>
      <c r="P198" s="529"/>
      <c r="Q198" s="529"/>
      <c r="R198" s="529"/>
      <c r="S198" s="529"/>
      <c r="T198" s="529"/>
      <c r="U198" s="529"/>
      <c r="V198" s="529"/>
      <c r="W198" s="529"/>
      <c r="X198" s="529"/>
      <c r="Y198" s="529"/>
      <c r="Z198" s="529"/>
      <c r="AA198" s="529"/>
      <c r="AB198" s="529"/>
      <c r="AC198" s="529"/>
      <c r="AD198" s="529"/>
      <c r="AE198" s="529"/>
      <c r="AF198" s="529"/>
      <c r="AG198" s="556"/>
      <c r="AH198" s="528"/>
    </row>
    <row r="199">
      <c r="A199" s="564"/>
      <c r="B199" s="565"/>
      <c r="C199" s="565"/>
      <c r="D199" s="565"/>
      <c r="E199" s="565"/>
      <c r="F199" s="565"/>
      <c r="G199" s="565"/>
      <c r="H199" s="565"/>
      <c r="I199" s="565"/>
      <c r="J199" s="565"/>
      <c r="K199" s="565"/>
      <c r="L199" s="565"/>
      <c r="M199" s="565"/>
      <c r="N199" s="529"/>
      <c r="O199" s="529"/>
      <c r="P199" s="529"/>
      <c r="Q199" s="529"/>
      <c r="R199" s="529"/>
      <c r="S199" s="529"/>
      <c r="T199" s="529"/>
      <c r="U199" s="529"/>
      <c r="V199" s="529"/>
      <c r="W199" s="529"/>
      <c r="X199" s="529"/>
      <c r="Y199" s="529"/>
      <c r="Z199" s="529"/>
      <c r="AA199" s="529"/>
      <c r="AB199" s="529"/>
      <c r="AC199" s="529"/>
      <c r="AD199" s="529"/>
      <c r="AE199" s="529"/>
      <c r="AF199" s="529"/>
      <c r="AG199" s="556"/>
      <c r="AH199" s="528"/>
    </row>
    <row r="200">
      <c r="A200" s="564"/>
      <c r="B200" s="565"/>
      <c r="C200" s="565"/>
      <c r="D200" s="565"/>
      <c r="E200" s="565"/>
      <c r="F200" s="565"/>
      <c r="G200" s="565"/>
      <c r="H200" s="565"/>
      <c r="I200" s="565"/>
      <c r="J200" s="565"/>
      <c r="K200" s="565"/>
      <c r="L200" s="565"/>
      <c r="M200" s="565"/>
      <c r="N200" s="529"/>
      <c r="O200" s="529"/>
      <c r="P200" s="529"/>
      <c r="Q200" s="529"/>
      <c r="R200" s="529"/>
      <c r="S200" s="529"/>
      <c r="T200" s="529"/>
      <c r="U200" s="529"/>
      <c r="V200" s="529"/>
      <c r="W200" s="529"/>
      <c r="X200" s="529"/>
      <c r="Y200" s="529"/>
      <c r="Z200" s="529"/>
      <c r="AA200" s="529"/>
      <c r="AB200" s="529"/>
      <c r="AC200" s="529"/>
      <c r="AD200" s="529"/>
      <c r="AE200" s="529"/>
      <c r="AF200" s="529"/>
      <c r="AG200" s="556"/>
      <c r="AH200" s="528"/>
    </row>
    <row r="201">
      <c r="A201" s="564"/>
      <c r="B201" s="565"/>
      <c r="C201" s="565"/>
      <c r="D201" s="565"/>
      <c r="E201" s="565"/>
      <c r="F201" s="565"/>
      <c r="G201" s="565"/>
      <c r="H201" s="565"/>
      <c r="I201" s="565"/>
      <c r="J201" s="565"/>
      <c r="K201" s="565"/>
      <c r="L201" s="565"/>
      <c r="M201" s="565"/>
      <c r="N201" s="529"/>
      <c r="O201" s="529"/>
      <c r="P201" s="529"/>
      <c r="Q201" s="529"/>
      <c r="R201" s="529"/>
      <c r="S201" s="529"/>
      <c r="T201" s="529"/>
      <c r="U201" s="529"/>
      <c r="V201" s="529"/>
      <c r="W201" s="529"/>
      <c r="X201" s="529"/>
      <c r="Y201" s="529"/>
      <c r="Z201" s="529"/>
      <c r="AA201" s="529"/>
      <c r="AB201" s="529"/>
      <c r="AC201" s="529"/>
      <c r="AD201" s="529"/>
      <c r="AE201" s="529"/>
      <c r="AF201" s="529"/>
      <c r="AG201" s="556"/>
      <c r="AH201" s="528"/>
    </row>
    <row r="202">
      <c r="A202" s="564"/>
      <c r="B202" s="565"/>
      <c r="C202" s="565"/>
      <c r="D202" s="565"/>
      <c r="E202" s="565"/>
      <c r="F202" s="565"/>
      <c r="G202" s="565"/>
      <c r="H202" s="565"/>
      <c r="I202" s="565"/>
      <c r="J202" s="565"/>
      <c r="K202" s="565"/>
      <c r="L202" s="565"/>
      <c r="M202" s="565"/>
      <c r="N202" s="529"/>
      <c r="O202" s="529"/>
      <c r="P202" s="529"/>
      <c r="Q202" s="529"/>
      <c r="R202" s="529"/>
      <c r="S202" s="529"/>
      <c r="T202" s="529"/>
      <c r="U202" s="529"/>
      <c r="V202" s="529"/>
      <c r="W202" s="529"/>
      <c r="X202" s="529"/>
      <c r="Y202" s="529"/>
      <c r="Z202" s="529"/>
      <c r="AA202" s="529"/>
      <c r="AB202" s="529"/>
      <c r="AC202" s="529"/>
      <c r="AD202" s="529"/>
      <c r="AE202" s="529"/>
      <c r="AF202" s="529"/>
      <c r="AG202" s="556"/>
      <c r="AH202" s="528"/>
    </row>
    <row r="203">
      <c r="A203" s="564"/>
      <c r="B203" s="565"/>
      <c r="C203" s="565"/>
      <c r="D203" s="565"/>
      <c r="E203" s="565"/>
      <c r="F203" s="565"/>
      <c r="G203" s="565"/>
      <c r="H203" s="565"/>
      <c r="I203" s="565"/>
      <c r="J203" s="565"/>
      <c r="K203" s="565"/>
      <c r="L203" s="565"/>
      <c r="M203" s="565"/>
      <c r="N203" s="529"/>
      <c r="O203" s="529"/>
      <c r="P203" s="529"/>
      <c r="Q203" s="529"/>
      <c r="R203" s="529"/>
      <c r="S203" s="529"/>
      <c r="T203" s="529"/>
      <c r="U203" s="529"/>
      <c r="V203" s="529"/>
      <c r="W203" s="529"/>
      <c r="X203" s="529"/>
      <c r="Y203" s="529"/>
      <c r="Z203" s="529"/>
      <c r="AA203" s="529"/>
      <c r="AB203" s="529"/>
      <c r="AC203" s="529"/>
      <c r="AD203" s="529"/>
      <c r="AE203" s="529"/>
      <c r="AF203" s="529"/>
      <c r="AG203" s="556"/>
      <c r="AH203" s="528"/>
    </row>
    <row r="204">
      <c r="A204" s="564"/>
      <c r="B204" s="565"/>
      <c r="C204" s="565"/>
      <c r="D204" s="565"/>
      <c r="E204" s="565"/>
      <c r="F204" s="565"/>
      <c r="G204" s="565"/>
      <c r="H204" s="565"/>
      <c r="I204" s="565"/>
      <c r="J204" s="565"/>
      <c r="K204" s="565"/>
      <c r="L204" s="565"/>
      <c r="M204" s="565"/>
      <c r="N204" s="529"/>
      <c r="O204" s="529"/>
      <c r="P204" s="529"/>
      <c r="Q204" s="529"/>
      <c r="R204" s="529"/>
      <c r="S204" s="529"/>
      <c r="T204" s="529"/>
      <c r="U204" s="529"/>
      <c r="V204" s="529"/>
      <c r="W204" s="529"/>
      <c r="X204" s="529"/>
      <c r="Y204" s="529"/>
      <c r="Z204" s="529"/>
      <c r="AA204" s="529"/>
      <c r="AB204" s="529"/>
      <c r="AC204" s="529"/>
      <c r="AD204" s="529"/>
      <c r="AE204" s="529"/>
      <c r="AF204" s="529"/>
      <c r="AG204" s="556"/>
      <c r="AH204" s="528"/>
    </row>
    <row r="205">
      <c r="A205" s="564"/>
      <c r="B205" s="565"/>
      <c r="C205" s="565"/>
      <c r="D205" s="565"/>
      <c r="E205" s="565"/>
      <c r="F205" s="565"/>
      <c r="G205" s="565"/>
      <c r="H205" s="565"/>
      <c r="I205" s="565"/>
      <c r="J205" s="565"/>
      <c r="K205" s="565"/>
      <c r="L205" s="565"/>
      <c r="M205" s="565"/>
      <c r="N205" s="529"/>
      <c r="O205" s="529"/>
      <c r="P205" s="529"/>
      <c r="Q205" s="529"/>
      <c r="R205" s="529"/>
      <c r="S205" s="529"/>
      <c r="T205" s="529"/>
      <c r="U205" s="529"/>
      <c r="V205" s="529"/>
      <c r="W205" s="529"/>
      <c r="X205" s="529"/>
      <c r="Y205" s="529"/>
      <c r="Z205" s="529"/>
      <c r="AA205" s="529"/>
      <c r="AB205" s="529"/>
      <c r="AC205" s="529"/>
      <c r="AD205" s="529"/>
      <c r="AE205" s="529"/>
      <c r="AF205" s="529"/>
      <c r="AG205" s="556"/>
      <c r="AH205" s="528"/>
    </row>
    <row r="206">
      <c r="A206" s="564"/>
      <c r="B206" s="565"/>
      <c r="C206" s="565"/>
      <c r="D206" s="565"/>
      <c r="E206" s="565"/>
      <c r="F206" s="565"/>
      <c r="G206" s="565"/>
      <c r="H206" s="565"/>
      <c r="I206" s="565"/>
      <c r="J206" s="565"/>
      <c r="K206" s="565"/>
      <c r="L206" s="565"/>
      <c r="M206" s="565"/>
      <c r="N206" s="529"/>
      <c r="O206" s="529"/>
      <c r="P206" s="529"/>
      <c r="Q206" s="529"/>
      <c r="R206" s="529"/>
      <c r="S206" s="529"/>
      <c r="T206" s="529"/>
      <c r="U206" s="529"/>
      <c r="V206" s="529"/>
      <c r="W206" s="529"/>
      <c r="X206" s="529"/>
      <c r="Y206" s="529"/>
      <c r="Z206" s="529"/>
      <c r="AA206" s="529"/>
      <c r="AB206" s="529"/>
      <c r="AC206" s="529"/>
      <c r="AD206" s="529"/>
      <c r="AE206" s="529"/>
      <c r="AF206" s="529"/>
      <c r="AG206" s="556"/>
      <c r="AH206" s="528"/>
    </row>
    <row r="207">
      <c r="A207" s="564"/>
      <c r="B207" s="565"/>
      <c r="C207" s="565"/>
      <c r="D207" s="565"/>
      <c r="E207" s="565"/>
      <c r="F207" s="565"/>
      <c r="G207" s="565"/>
      <c r="H207" s="565"/>
      <c r="I207" s="565"/>
      <c r="J207" s="565"/>
      <c r="K207" s="565"/>
      <c r="L207" s="565"/>
      <c r="M207" s="565"/>
      <c r="N207" s="529"/>
      <c r="O207" s="529"/>
      <c r="P207" s="529"/>
      <c r="Q207" s="529"/>
      <c r="R207" s="529"/>
      <c r="S207" s="529"/>
      <c r="T207" s="529"/>
      <c r="U207" s="529"/>
      <c r="V207" s="529"/>
      <c r="W207" s="529"/>
      <c r="X207" s="529"/>
      <c r="Y207" s="529"/>
      <c r="Z207" s="529"/>
      <c r="AA207" s="529"/>
      <c r="AB207" s="529"/>
      <c r="AC207" s="529"/>
      <c r="AD207" s="529"/>
      <c r="AE207" s="529"/>
      <c r="AF207" s="529"/>
      <c r="AG207" s="556"/>
      <c r="AH207" s="528"/>
    </row>
    <row r="208">
      <c r="A208" s="564"/>
      <c r="B208" s="565"/>
      <c r="C208" s="565"/>
      <c r="D208" s="565"/>
      <c r="E208" s="565"/>
      <c r="F208" s="565"/>
      <c r="G208" s="565"/>
      <c r="H208" s="565"/>
      <c r="I208" s="565"/>
      <c r="J208" s="565"/>
      <c r="K208" s="565"/>
      <c r="L208" s="565"/>
      <c r="M208" s="565"/>
      <c r="N208" s="529"/>
      <c r="O208" s="529"/>
      <c r="P208" s="529"/>
      <c r="Q208" s="529"/>
      <c r="R208" s="529"/>
      <c r="S208" s="529"/>
      <c r="T208" s="529"/>
      <c r="U208" s="529"/>
      <c r="V208" s="529"/>
      <c r="W208" s="529"/>
      <c r="X208" s="529"/>
      <c r="Y208" s="529"/>
      <c r="Z208" s="529"/>
      <c r="AA208" s="529"/>
      <c r="AB208" s="529"/>
      <c r="AC208" s="529"/>
      <c r="AD208" s="529"/>
      <c r="AE208" s="529"/>
      <c r="AF208" s="529"/>
      <c r="AG208" s="556"/>
      <c r="AH208" s="528"/>
    </row>
    <row r="209">
      <c r="A209" s="564"/>
      <c r="B209" s="565"/>
      <c r="C209" s="565"/>
      <c r="D209" s="565"/>
      <c r="E209" s="565"/>
      <c r="F209" s="565"/>
      <c r="G209" s="565"/>
      <c r="H209" s="565"/>
      <c r="I209" s="565"/>
      <c r="J209" s="565"/>
      <c r="K209" s="565"/>
      <c r="L209" s="565"/>
      <c r="M209" s="565"/>
      <c r="N209" s="529"/>
      <c r="O209" s="529"/>
      <c r="P209" s="529"/>
      <c r="Q209" s="529"/>
      <c r="R209" s="529"/>
      <c r="S209" s="529"/>
      <c r="T209" s="529"/>
      <c r="U209" s="529"/>
      <c r="V209" s="529"/>
      <c r="W209" s="529"/>
      <c r="X209" s="529"/>
      <c r="Y209" s="529"/>
      <c r="Z209" s="529"/>
      <c r="AA209" s="529"/>
      <c r="AB209" s="529"/>
      <c r="AC209" s="529"/>
      <c r="AD209" s="529"/>
      <c r="AE209" s="529"/>
      <c r="AF209" s="529"/>
      <c r="AG209" s="556"/>
      <c r="AH209" s="528"/>
    </row>
    <row r="210">
      <c r="A210" s="564"/>
      <c r="B210" s="565"/>
      <c r="C210" s="565"/>
      <c r="D210" s="565"/>
      <c r="E210" s="565"/>
      <c r="F210" s="565"/>
      <c r="G210" s="565"/>
      <c r="H210" s="565"/>
      <c r="I210" s="565"/>
      <c r="J210" s="565"/>
      <c r="K210" s="565"/>
      <c r="L210" s="565"/>
      <c r="M210" s="565"/>
      <c r="N210" s="529"/>
      <c r="O210" s="529"/>
      <c r="P210" s="529"/>
      <c r="Q210" s="529"/>
      <c r="R210" s="529"/>
      <c r="S210" s="529"/>
      <c r="T210" s="529"/>
      <c r="U210" s="529"/>
      <c r="V210" s="529"/>
      <c r="W210" s="529"/>
      <c r="X210" s="529"/>
      <c r="Y210" s="529"/>
      <c r="Z210" s="529"/>
      <c r="AA210" s="529"/>
      <c r="AB210" s="529"/>
      <c r="AC210" s="529"/>
      <c r="AD210" s="529"/>
      <c r="AE210" s="529"/>
      <c r="AF210" s="529"/>
      <c r="AG210" s="556"/>
      <c r="AH210" s="528"/>
    </row>
    <row r="211">
      <c r="A211" s="564"/>
      <c r="B211" s="565"/>
      <c r="C211" s="565"/>
      <c r="D211" s="565"/>
      <c r="E211" s="565"/>
      <c r="F211" s="565"/>
      <c r="G211" s="565"/>
      <c r="H211" s="565"/>
      <c r="I211" s="565"/>
      <c r="J211" s="565"/>
      <c r="K211" s="565"/>
      <c r="L211" s="565"/>
      <c r="M211" s="565"/>
      <c r="N211" s="529"/>
      <c r="O211" s="529"/>
      <c r="P211" s="529"/>
      <c r="Q211" s="529"/>
      <c r="R211" s="529"/>
      <c r="S211" s="529"/>
      <c r="T211" s="529"/>
      <c r="U211" s="529"/>
      <c r="V211" s="529"/>
      <c r="W211" s="529"/>
      <c r="X211" s="529"/>
      <c r="Y211" s="529"/>
      <c r="Z211" s="529"/>
      <c r="AA211" s="529"/>
      <c r="AB211" s="529"/>
      <c r="AC211" s="529"/>
      <c r="AD211" s="529"/>
      <c r="AE211" s="529"/>
      <c r="AF211" s="529"/>
      <c r="AG211" s="556"/>
      <c r="AH211" s="528"/>
    </row>
    <row r="212">
      <c r="A212" s="564"/>
      <c r="B212" s="565"/>
      <c r="C212" s="565"/>
      <c r="D212" s="565"/>
      <c r="E212" s="565"/>
      <c r="F212" s="565"/>
      <c r="G212" s="565"/>
      <c r="H212" s="565"/>
      <c r="I212" s="565"/>
      <c r="J212" s="565"/>
      <c r="K212" s="565"/>
      <c r="L212" s="565"/>
      <c r="M212" s="565"/>
      <c r="N212" s="529"/>
      <c r="O212" s="529"/>
      <c r="P212" s="529"/>
      <c r="Q212" s="529"/>
      <c r="R212" s="529"/>
      <c r="S212" s="529"/>
      <c r="T212" s="529"/>
      <c r="U212" s="529"/>
      <c r="V212" s="529"/>
      <c r="W212" s="529"/>
      <c r="X212" s="529"/>
      <c r="Y212" s="529"/>
      <c r="Z212" s="529"/>
      <c r="AA212" s="529"/>
      <c r="AB212" s="529"/>
      <c r="AC212" s="529"/>
      <c r="AD212" s="529"/>
      <c r="AE212" s="529"/>
      <c r="AF212" s="529"/>
      <c r="AG212" s="556"/>
      <c r="AH212" s="528"/>
    </row>
    <row r="213">
      <c r="A213" s="564"/>
      <c r="B213" s="565"/>
      <c r="C213" s="565"/>
      <c r="D213" s="565"/>
      <c r="E213" s="565"/>
      <c r="F213" s="565"/>
      <c r="G213" s="565"/>
      <c r="H213" s="565"/>
      <c r="I213" s="565"/>
      <c r="J213" s="565"/>
      <c r="K213" s="565"/>
      <c r="L213" s="565"/>
      <c r="M213" s="565"/>
      <c r="N213" s="529"/>
      <c r="O213" s="529"/>
      <c r="P213" s="529"/>
      <c r="Q213" s="529"/>
      <c r="R213" s="529"/>
      <c r="S213" s="529"/>
      <c r="T213" s="529"/>
      <c r="U213" s="529"/>
      <c r="V213" s="529"/>
      <c r="W213" s="529"/>
      <c r="X213" s="529"/>
      <c r="Y213" s="529"/>
      <c r="Z213" s="529"/>
      <c r="AA213" s="529"/>
      <c r="AB213" s="529"/>
      <c r="AC213" s="529"/>
      <c r="AD213" s="529"/>
      <c r="AE213" s="529"/>
      <c r="AF213" s="529"/>
      <c r="AG213" s="556"/>
      <c r="AH213" s="528"/>
    </row>
    <row r="214">
      <c r="A214" s="564"/>
      <c r="B214" s="565"/>
      <c r="C214" s="565"/>
      <c r="D214" s="565"/>
      <c r="E214" s="565"/>
      <c r="F214" s="565"/>
      <c r="G214" s="565"/>
      <c r="H214" s="565"/>
      <c r="I214" s="565"/>
      <c r="J214" s="565"/>
      <c r="K214" s="565"/>
      <c r="L214" s="565"/>
      <c r="M214" s="565"/>
      <c r="N214" s="529"/>
      <c r="O214" s="529"/>
      <c r="P214" s="529"/>
      <c r="Q214" s="529"/>
      <c r="R214" s="529"/>
      <c r="S214" s="529"/>
      <c r="T214" s="529"/>
      <c r="U214" s="529"/>
      <c r="V214" s="529"/>
      <c r="W214" s="529"/>
      <c r="X214" s="529"/>
      <c r="Y214" s="529"/>
      <c r="Z214" s="529"/>
      <c r="AA214" s="529"/>
      <c r="AB214" s="529"/>
      <c r="AC214" s="529"/>
      <c r="AD214" s="529"/>
      <c r="AE214" s="529"/>
      <c r="AF214" s="529"/>
      <c r="AG214" s="556"/>
      <c r="AH214" s="528"/>
    </row>
    <row r="215">
      <c r="A215" s="564"/>
      <c r="B215" s="565"/>
      <c r="C215" s="565"/>
      <c r="D215" s="565"/>
      <c r="E215" s="565"/>
      <c r="F215" s="565"/>
      <c r="G215" s="565"/>
      <c r="H215" s="565"/>
      <c r="I215" s="565"/>
      <c r="J215" s="565"/>
      <c r="K215" s="565"/>
      <c r="L215" s="565"/>
      <c r="M215" s="565"/>
      <c r="N215" s="529"/>
      <c r="O215" s="529"/>
      <c r="P215" s="529"/>
      <c r="Q215" s="529"/>
      <c r="R215" s="529"/>
      <c r="S215" s="529"/>
      <c r="T215" s="529"/>
      <c r="U215" s="529"/>
      <c r="V215" s="529"/>
      <c r="W215" s="529"/>
      <c r="X215" s="529"/>
      <c r="Y215" s="529"/>
      <c r="Z215" s="529"/>
      <c r="AA215" s="529"/>
      <c r="AB215" s="529"/>
      <c r="AC215" s="529"/>
      <c r="AD215" s="529"/>
      <c r="AE215" s="529"/>
      <c r="AF215" s="529"/>
      <c r="AG215" s="556"/>
      <c r="AH215" s="528"/>
    </row>
    <row r="216">
      <c r="A216" s="564"/>
      <c r="B216" s="565"/>
      <c r="C216" s="565"/>
      <c r="D216" s="565"/>
      <c r="E216" s="565"/>
      <c r="F216" s="565"/>
      <c r="G216" s="565"/>
      <c r="H216" s="565"/>
      <c r="I216" s="565"/>
      <c r="J216" s="565"/>
      <c r="K216" s="565"/>
      <c r="L216" s="565"/>
      <c r="M216" s="565"/>
      <c r="N216" s="529"/>
      <c r="O216" s="529"/>
      <c r="P216" s="529"/>
      <c r="Q216" s="529"/>
      <c r="R216" s="529"/>
      <c r="S216" s="529"/>
      <c r="T216" s="529"/>
      <c r="U216" s="529"/>
      <c r="V216" s="529"/>
      <c r="W216" s="529"/>
      <c r="X216" s="529"/>
      <c r="Y216" s="529"/>
      <c r="Z216" s="529"/>
      <c r="AA216" s="529"/>
      <c r="AB216" s="529"/>
      <c r="AC216" s="529"/>
      <c r="AD216" s="529"/>
      <c r="AE216" s="529"/>
      <c r="AF216" s="529"/>
      <c r="AG216" s="556"/>
      <c r="AH216" s="528"/>
    </row>
    <row r="217">
      <c r="A217" s="564"/>
      <c r="B217" s="565"/>
      <c r="C217" s="565"/>
      <c r="D217" s="565"/>
      <c r="E217" s="565"/>
      <c r="F217" s="565"/>
      <c r="G217" s="565"/>
      <c r="H217" s="565"/>
      <c r="I217" s="565"/>
      <c r="J217" s="565"/>
      <c r="K217" s="565"/>
      <c r="L217" s="565"/>
      <c r="M217" s="565"/>
      <c r="N217" s="529"/>
      <c r="O217" s="529"/>
      <c r="P217" s="529"/>
      <c r="Q217" s="529"/>
      <c r="R217" s="529"/>
      <c r="S217" s="529"/>
      <c r="T217" s="529"/>
      <c r="U217" s="529"/>
      <c r="V217" s="529"/>
      <c r="W217" s="529"/>
      <c r="X217" s="529"/>
      <c r="Y217" s="529"/>
      <c r="Z217" s="529"/>
      <c r="AA217" s="529"/>
      <c r="AB217" s="529"/>
      <c r="AC217" s="529"/>
      <c r="AD217" s="529"/>
      <c r="AE217" s="529"/>
      <c r="AF217" s="529"/>
      <c r="AG217" s="556"/>
      <c r="AH217" s="528"/>
    </row>
    <row r="218">
      <c r="A218" s="564"/>
      <c r="B218" s="565"/>
      <c r="C218" s="565"/>
      <c r="D218" s="565"/>
      <c r="E218" s="565"/>
      <c r="F218" s="565"/>
      <c r="G218" s="565"/>
      <c r="H218" s="565"/>
      <c r="I218" s="565"/>
      <c r="J218" s="565"/>
      <c r="K218" s="565"/>
      <c r="L218" s="565"/>
      <c r="M218" s="565"/>
      <c r="N218" s="529"/>
      <c r="O218" s="529"/>
      <c r="P218" s="529"/>
      <c r="Q218" s="529"/>
      <c r="R218" s="529"/>
      <c r="S218" s="529"/>
      <c r="T218" s="529"/>
      <c r="U218" s="529"/>
      <c r="V218" s="529"/>
      <c r="W218" s="529"/>
      <c r="X218" s="529"/>
      <c r="Y218" s="529"/>
      <c r="Z218" s="529"/>
      <c r="AA218" s="529"/>
      <c r="AB218" s="529"/>
      <c r="AC218" s="529"/>
      <c r="AD218" s="529"/>
      <c r="AE218" s="529"/>
      <c r="AF218" s="529"/>
      <c r="AG218" s="556"/>
      <c r="AH218" s="528"/>
    </row>
    <row r="219">
      <c r="A219" s="564"/>
      <c r="B219" s="565"/>
      <c r="C219" s="565"/>
      <c r="D219" s="565"/>
      <c r="E219" s="565"/>
      <c r="F219" s="565"/>
      <c r="G219" s="565"/>
      <c r="H219" s="565"/>
      <c r="I219" s="565"/>
      <c r="J219" s="565"/>
      <c r="K219" s="565"/>
      <c r="L219" s="565"/>
      <c r="M219" s="565"/>
      <c r="N219" s="529"/>
      <c r="O219" s="529"/>
      <c r="P219" s="529"/>
      <c r="Q219" s="529"/>
      <c r="R219" s="529"/>
      <c r="S219" s="529"/>
      <c r="T219" s="529"/>
      <c r="U219" s="529"/>
      <c r="V219" s="529"/>
      <c r="W219" s="529"/>
      <c r="X219" s="529"/>
      <c r="Y219" s="529"/>
      <c r="Z219" s="529"/>
      <c r="AA219" s="529"/>
      <c r="AB219" s="529"/>
      <c r="AC219" s="529"/>
      <c r="AD219" s="529"/>
      <c r="AE219" s="529"/>
      <c r="AF219" s="529"/>
      <c r="AG219" s="556"/>
      <c r="AH219" s="528"/>
    </row>
    <row r="220">
      <c r="A220" s="564"/>
      <c r="B220" s="565"/>
      <c r="C220" s="565"/>
      <c r="D220" s="565"/>
      <c r="E220" s="565"/>
      <c r="F220" s="565"/>
      <c r="G220" s="565"/>
      <c r="H220" s="565"/>
      <c r="I220" s="565"/>
      <c r="J220" s="565"/>
      <c r="K220" s="565"/>
      <c r="L220" s="565"/>
      <c r="M220" s="565"/>
      <c r="N220" s="529"/>
      <c r="O220" s="529"/>
      <c r="P220" s="529"/>
      <c r="Q220" s="529"/>
      <c r="R220" s="529"/>
      <c r="S220" s="529"/>
      <c r="T220" s="529"/>
      <c r="U220" s="529"/>
      <c r="V220" s="529"/>
      <c r="W220" s="529"/>
      <c r="X220" s="529"/>
      <c r="Y220" s="529"/>
      <c r="Z220" s="529"/>
      <c r="AA220" s="529"/>
      <c r="AB220" s="529"/>
      <c r="AC220" s="529"/>
      <c r="AD220" s="529"/>
      <c r="AE220" s="529"/>
      <c r="AF220" s="529"/>
      <c r="AG220" s="556"/>
      <c r="AH220" s="528"/>
    </row>
    <row r="221">
      <c r="A221" s="564"/>
      <c r="B221" s="565"/>
      <c r="C221" s="565"/>
      <c r="D221" s="565"/>
      <c r="E221" s="565"/>
      <c r="F221" s="565"/>
      <c r="G221" s="565"/>
      <c r="H221" s="565"/>
      <c r="I221" s="565"/>
      <c r="J221" s="565"/>
      <c r="K221" s="565"/>
      <c r="L221" s="565"/>
      <c r="M221" s="565"/>
      <c r="N221" s="529"/>
      <c r="O221" s="529"/>
      <c r="P221" s="529"/>
      <c r="Q221" s="529"/>
      <c r="R221" s="529"/>
      <c r="S221" s="529"/>
      <c r="T221" s="529"/>
      <c r="U221" s="529"/>
      <c r="V221" s="529"/>
      <c r="W221" s="529"/>
      <c r="X221" s="529"/>
      <c r="Y221" s="529"/>
      <c r="Z221" s="529"/>
      <c r="AA221" s="529"/>
      <c r="AB221" s="529"/>
      <c r="AC221" s="529"/>
      <c r="AD221" s="529"/>
      <c r="AE221" s="529"/>
      <c r="AF221" s="529"/>
      <c r="AG221" s="556"/>
      <c r="AH221" s="528"/>
    </row>
    <row r="222">
      <c r="A222" s="564"/>
      <c r="B222" s="565"/>
      <c r="C222" s="565"/>
      <c r="D222" s="565"/>
      <c r="E222" s="565"/>
      <c r="F222" s="565"/>
      <c r="G222" s="565"/>
      <c r="H222" s="565"/>
      <c r="I222" s="565"/>
      <c r="J222" s="565"/>
      <c r="K222" s="565"/>
      <c r="L222" s="565"/>
      <c r="M222" s="565"/>
      <c r="N222" s="529"/>
      <c r="O222" s="529"/>
      <c r="P222" s="529"/>
      <c r="Q222" s="529"/>
      <c r="R222" s="529"/>
      <c r="S222" s="529"/>
      <c r="T222" s="529"/>
      <c r="U222" s="529"/>
      <c r="V222" s="529"/>
      <c r="W222" s="529"/>
      <c r="X222" s="529"/>
      <c r="Y222" s="529"/>
      <c r="Z222" s="529"/>
      <c r="AA222" s="529"/>
      <c r="AB222" s="529"/>
      <c r="AC222" s="529"/>
      <c r="AD222" s="529"/>
      <c r="AE222" s="529"/>
      <c r="AF222" s="529"/>
      <c r="AG222" s="556"/>
      <c r="AH222" s="528"/>
    </row>
    <row r="223">
      <c r="A223" s="564"/>
      <c r="B223" s="565"/>
      <c r="C223" s="565"/>
      <c r="D223" s="565"/>
      <c r="E223" s="565"/>
      <c r="F223" s="565"/>
      <c r="G223" s="565"/>
      <c r="H223" s="565"/>
      <c r="I223" s="565"/>
      <c r="J223" s="565"/>
      <c r="K223" s="565"/>
      <c r="L223" s="565"/>
      <c r="M223" s="565"/>
      <c r="N223" s="529"/>
      <c r="O223" s="529"/>
      <c r="P223" s="529"/>
      <c r="Q223" s="529"/>
      <c r="R223" s="529"/>
      <c r="S223" s="529"/>
      <c r="T223" s="529"/>
      <c r="U223" s="529"/>
      <c r="V223" s="529"/>
      <c r="W223" s="529"/>
      <c r="X223" s="529"/>
      <c r="Y223" s="529"/>
      <c r="Z223" s="529"/>
      <c r="AA223" s="529"/>
      <c r="AB223" s="529"/>
      <c r="AC223" s="529"/>
      <c r="AD223" s="529"/>
      <c r="AE223" s="529"/>
      <c r="AF223" s="529"/>
      <c r="AG223" s="556"/>
      <c r="AH223" s="528"/>
    </row>
    <row r="224">
      <c r="A224" s="564"/>
      <c r="B224" s="565"/>
      <c r="C224" s="565"/>
      <c r="D224" s="565"/>
      <c r="E224" s="565"/>
      <c r="F224" s="565"/>
      <c r="G224" s="565"/>
      <c r="H224" s="565"/>
      <c r="I224" s="565"/>
      <c r="J224" s="565"/>
      <c r="K224" s="565"/>
      <c r="L224" s="565"/>
      <c r="M224" s="565"/>
      <c r="N224" s="529"/>
      <c r="O224" s="529"/>
      <c r="P224" s="529"/>
      <c r="Q224" s="529"/>
      <c r="R224" s="529"/>
      <c r="S224" s="529"/>
      <c r="T224" s="529"/>
      <c r="U224" s="529"/>
      <c r="V224" s="529"/>
      <c r="W224" s="529"/>
      <c r="X224" s="529"/>
      <c r="Y224" s="529"/>
      <c r="Z224" s="529"/>
      <c r="AA224" s="529"/>
      <c r="AB224" s="529"/>
      <c r="AC224" s="529"/>
      <c r="AD224" s="529"/>
      <c r="AE224" s="529"/>
      <c r="AF224" s="529"/>
      <c r="AG224" s="556"/>
      <c r="AH224" s="528"/>
    </row>
    <row r="225">
      <c r="A225" s="564"/>
      <c r="B225" s="565"/>
      <c r="C225" s="565"/>
      <c r="D225" s="565"/>
      <c r="E225" s="565"/>
      <c r="F225" s="565"/>
      <c r="G225" s="565"/>
      <c r="H225" s="565"/>
      <c r="I225" s="565"/>
      <c r="J225" s="565"/>
      <c r="K225" s="565"/>
      <c r="L225" s="565"/>
      <c r="M225" s="565"/>
      <c r="N225" s="529"/>
      <c r="O225" s="529"/>
      <c r="P225" s="529"/>
      <c r="Q225" s="529"/>
      <c r="R225" s="529"/>
      <c r="S225" s="529"/>
      <c r="T225" s="529"/>
      <c r="U225" s="529"/>
      <c r="V225" s="529"/>
      <c r="W225" s="529"/>
      <c r="X225" s="529"/>
      <c r="Y225" s="529"/>
      <c r="Z225" s="529"/>
      <c r="AA225" s="529"/>
      <c r="AB225" s="529"/>
      <c r="AC225" s="529"/>
      <c r="AD225" s="529"/>
      <c r="AE225" s="529"/>
      <c r="AF225" s="529"/>
      <c r="AG225" s="556"/>
      <c r="AH225" s="528"/>
    </row>
    <row r="226">
      <c r="A226" s="564"/>
      <c r="B226" s="565"/>
      <c r="C226" s="565"/>
      <c r="D226" s="565"/>
      <c r="E226" s="565"/>
      <c r="F226" s="565"/>
      <c r="G226" s="565"/>
      <c r="H226" s="565"/>
      <c r="I226" s="565"/>
      <c r="J226" s="565"/>
      <c r="K226" s="565"/>
      <c r="L226" s="565"/>
      <c r="M226" s="565"/>
      <c r="N226" s="529"/>
      <c r="O226" s="529"/>
      <c r="P226" s="529"/>
      <c r="Q226" s="529"/>
      <c r="R226" s="529"/>
      <c r="S226" s="529"/>
      <c r="T226" s="529"/>
      <c r="U226" s="529"/>
      <c r="V226" s="529"/>
      <c r="W226" s="529"/>
      <c r="X226" s="529"/>
      <c r="Y226" s="529"/>
      <c r="Z226" s="529"/>
      <c r="AA226" s="529"/>
      <c r="AB226" s="529"/>
      <c r="AC226" s="529"/>
      <c r="AD226" s="529"/>
      <c r="AE226" s="529"/>
      <c r="AF226" s="529"/>
      <c r="AG226" s="556"/>
      <c r="AH226" s="528"/>
    </row>
    <row r="227">
      <c r="A227" s="564"/>
      <c r="B227" s="565"/>
      <c r="C227" s="565"/>
      <c r="D227" s="565"/>
      <c r="E227" s="565"/>
      <c r="F227" s="565"/>
      <c r="G227" s="565"/>
      <c r="H227" s="565"/>
      <c r="I227" s="565"/>
      <c r="J227" s="565"/>
      <c r="K227" s="565"/>
      <c r="L227" s="565"/>
      <c r="M227" s="565"/>
      <c r="N227" s="529"/>
      <c r="O227" s="529"/>
      <c r="P227" s="529"/>
      <c r="Q227" s="529"/>
      <c r="R227" s="529"/>
      <c r="S227" s="529"/>
      <c r="T227" s="529"/>
      <c r="U227" s="529"/>
      <c r="V227" s="529"/>
      <c r="W227" s="529"/>
      <c r="X227" s="529"/>
      <c r="Y227" s="529"/>
      <c r="Z227" s="529"/>
      <c r="AA227" s="529"/>
      <c r="AB227" s="529"/>
      <c r="AC227" s="529"/>
      <c r="AD227" s="529"/>
      <c r="AE227" s="529"/>
      <c r="AF227" s="529"/>
      <c r="AG227" s="556"/>
      <c r="AH227" s="528"/>
    </row>
    <row r="228">
      <c r="A228" s="564"/>
      <c r="B228" s="565"/>
      <c r="C228" s="565"/>
      <c r="D228" s="565"/>
      <c r="E228" s="565"/>
      <c r="F228" s="565"/>
      <c r="G228" s="565"/>
      <c r="H228" s="565"/>
      <c r="I228" s="565"/>
      <c r="J228" s="565"/>
      <c r="K228" s="565"/>
      <c r="L228" s="565"/>
      <c r="M228" s="565"/>
      <c r="N228" s="529"/>
      <c r="O228" s="529"/>
      <c r="P228" s="529"/>
      <c r="Q228" s="529"/>
      <c r="R228" s="529"/>
      <c r="S228" s="529"/>
      <c r="T228" s="529"/>
      <c r="U228" s="529"/>
      <c r="V228" s="529"/>
      <c r="W228" s="529"/>
      <c r="X228" s="529"/>
      <c r="Y228" s="529"/>
      <c r="Z228" s="529"/>
      <c r="AA228" s="529"/>
      <c r="AB228" s="529"/>
      <c r="AC228" s="529"/>
      <c r="AD228" s="529"/>
      <c r="AE228" s="529"/>
      <c r="AF228" s="529"/>
      <c r="AG228" s="556"/>
      <c r="AH228" s="528"/>
    </row>
    <row r="229">
      <c r="A229" s="564"/>
      <c r="B229" s="565"/>
      <c r="C229" s="565"/>
      <c r="D229" s="565"/>
      <c r="E229" s="565"/>
      <c r="F229" s="565"/>
      <c r="G229" s="565"/>
      <c r="H229" s="565"/>
      <c r="I229" s="565"/>
      <c r="J229" s="565"/>
      <c r="K229" s="565"/>
      <c r="L229" s="565"/>
      <c r="M229" s="565"/>
      <c r="N229" s="529"/>
      <c r="O229" s="529"/>
      <c r="P229" s="529"/>
      <c r="Q229" s="529"/>
      <c r="R229" s="529"/>
      <c r="S229" s="529"/>
      <c r="T229" s="529"/>
      <c r="U229" s="529"/>
      <c r="V229" s="529"/>
      <c r="W229" s="529"/>
      <c r="X229" s="529"/>
      <c r="Y229" s="529"/>
      <c r="Z229" s="529"/>
      <c r="AA229" s="529"/>
      <c r="AB229" s="529"/>
      <c r="AC229" s="529"/>
      <c r="AD229" s="529"/>
      <c r="AE229" s="529"/>
      <c r="AF229" s="529"/>
      <c r="AG229" s="556"/>
      <c r="AH229" s="528"/>
    </row>
    <row r="230">
      <c r="A230" s="564"/>
      <c r="B230" s="565"/>
      <c r="C230" s="565"/>
      <c r="D230" s="565"/>
      <c r="E230" s="565"/>
      <c r="F230" s="565"/>
      <c r="G230" s="565"/>
      <c r="H230" s="565"/>
      <c r="I230" s="565"/>
      <c r="J230" s="565"/>
      <c r="K230" s="565"/>
      <c r="L230" s="565"/>
      <c r="M230" s="565"/>
      <c r="N230" s="529"/>
      <c r="O230" s="529"/>
      <c r="P230" s="529"/>
      <c r="Q230" s="529"/>
      <c r="R230" s="529"/>
      <c r="S230" s="529"/>
      <c r="T230" s="529"/>
      <c r="U230" s="529"/>
      <c r="V230" s="529"/>
      <c r="W230" s="529"/>
      <c r="X230" s="529"/>
      <c r="Y230" s="529"/>
      <c r="Z230" s="529"/>
      <c r="AA230" s="529"/>
      <c r="AB230" s="529"/>
      <c r="AC230" s="529"/>
      <c r="AD230" s="529"/>
      <c r="AE230" s="529"/>
      <c r="AF230" s="529"/>
      <c r="AG230" s="556"/>
      <c r="AH230" s="528"/>
    </row>
    <row r="231">
      <c r="A231" s="564"/>
      <c r="B231" s="565"/>
      <c r="C231" s="565"/>
      <c r="D231" s="565"/>
      <c r="E231" s="565"/>
      <c r="F231" s="565"/>
      <c r="G231" s="565"/>
      <c r="H231" s="565"/>
      <c r="I231" s="565"/>
      <c r="J231" s="565"/>
      <c r="K231" s="565"/>
      <c r="L231" s="565"/>
      <c r="M231" s="565"/>
      <c r="N231" s="529"/>
      <c r="O231" s="529"/>
      <c r="P231" s="529"/>
      <c r="Q231" s="529"/>
      <c r="R231" s="529"/>
      <c r="S231" s="529"/>
      <c r="T231" s="529"/>
      <c r="U231" s="529"/>
      <c r="V231" s="529"/>
      <c r="W231" s="529"/>
      <c r="X231" s="529"/>
      <c r="Y231" s="529"/>
      <c r="Z231" s="529"/>
      <c r="AA231" s="529"/>
      <c r="AB231" s="529"/>
      <c r="AC231" s="529"/>
      <c r="AD231" s="529"/>
      <c r="AE231" s="529"/>
      <c r="AF231" s="529"/>
      <c r="AG231" s="556"/>
      <c r="AH231" s="528"/>
    </row>
    <row r="232">
      <c r="A232" s="564"/>
      <c r="B232" s="565"/>
      <c r="C232" s="565"/>
      <c r="D232" s="565"/>
      <c r="E232" s="565"/>
      <c r="F232" s="565"/>
      <c r="G232" s="565"/>
      <c r="H232" s="565"/>
      <c r="I232" s="565"/>
      <c r="J232" s="565"/>
      <c r="K232" s="565"/>
      <c r="L232" s="565"/>
      <c r="M232" s="565"/>
      <c r="N232" s="529"/>
      <c r="O232" s="529"/>
      <c r="P232" s="529"/>
      <c r="Q232" s="529"/>
      <c r="R232" s="529"/>
      <c r="S232" s="529"/>
      <c r="T232" s="529"/>
      <c r="U232" s="529"/>
      <c r="V232" s="529"/>
      <c r="W232" s="529"/>
      <c r="X232" s="529"/>
      <c r="Y232" s="529"/>
      <c r="Z232" s="529"/>
      <c r="AA232" s="529"/>
      <c r="AB232" s="529"/>
      <c r="AC232" s="529"/>
      <c r="AD232" s="529"/>
      <c r="AE232" s="529"/>
      <c r="AF232" s="529"/>
      <c r="AG232" s="556"/>
      <c r="AH232" s="528"/>
    </row>
    <row r="233">
      <c r="A233" s="564"/>
      <c r="B233" s="565"/>
      <c r="C233" s="565"/>
      <c r="D233" s="565"/>
      <c r="E233" s="565"/>
      <c r="F233" s="565"/>
      <c r="G233" s="565"/>
      <c r="H233" s="565"/>
      <c r="I233" s="565"/>
      <c r="J233" s="565"/>
      <c r="K233" s="565"/>
      <c r="L233" s="565"/>
      <c r="M233" s="565"/>
      <c r="N233" s="529"/>
      <c r="O233" s="529"/>
      <c r="P233" s="529"/>
      <c r="Q233" s="529"/>
      <c r="R233" s="529"/>
      <c r="S233" s="529"/>
      <c r="T233" s="529"/>
      <c r="U233" s="529"/>
      <c r="V233" s="529"/>
      <c r="W233" s="529"/>
      <c r="X233" s="529"/>
      <c r="Y233" s="529"/>
      <c r="Z233" s="529"/>
      <c r="AA233" s="529"/>
      <c r="AB233" s="529"/>
      <c r="AC233" s="529"/>
      <c r="AD233" s="529"/>
      <c r="AE233" s="529"/>
      <c r="AF233" s="529"/>
      <c r="AG233" s="556"/>
      <c r="AH233" s="528"/>
    </row>
    <row r="234">
      <c r="A234" s="564"/>
      <c r="B234" s="565"/>
      <c r="C234" s="565"/>
      <c r="D234" s="565"/>
      <c r="E234" s="565"/>
      <c r="F234" s="565"/>
      <c r="G234" s="565"/>
      <c r="H234" s="565"/>
      <c r="I234" s="565"/>
      <c r="J234" s="565"/>
      <c r="K234" s="565"/>
      <c r="L234" s="565"/>
      <c r="M234" s="565"/>
      <c r="N234" s="529"/>
      <c r="O234" s="529"/>
      <c r="P234" s="529"/>
      <c r="Q234" s="529"/>
      <c r="R234" s="529"/>
      <c r="S234" s="529"/>
      <c r="T234" s="529"/>
      <c r="U234" s="529"/>
      <c r="V234" s="529"/>
      <c r="W234" s="529"/>
      <c r="X234" s="529"/>
      <c r="Y234" s="529"/>
      <c r="Z234" s="529"/>
      <c r="AA234" s="529"/>
      <c r="AB234" s="529"/>
      <c r="AC234" s="529"/>
      <c r="AD234" s="529"/>
      <c r="AE234" s="529"/>
      <c r="AF234" s="529"/>
      <c r="AG234" s="556"/>
      <c r="AH234" s="528"/>
    </row>
    <row r="235">
      <c r="A235" s="564"/>
      <c r="B235" s="565"/>
      <c r="C235" s="565"/>
      <c r="D235" s="565"/>
      <c r="E235" s="565"/>
      <c r="F235" s="565"/>
      <c r="G235" s="565"/>
      <c r="H235" s="565"/>
      <c r="I235" s="565"/>
      <c r="J235" s="565"/>
      <c r="K235" s="565"/>
      <c r="L235" s="565"/>
      <c r="M235" s="565"/>
      <c r="N235" s="529"/>
      <c r="O235" s="529"/>
      <c r="P235" s="529"/>
      <c r="Q235" s="529"/>
      <c r="R235" s="529"/>
      <c r="S235" s="529"/>
      <c r="T235" s="529"/>
      <c r="U235" s="529"/>
      <c r="V235" s="529"/>
      <c r="W235" s="529"/>
      <c r="X235" s="529"/>
      <c r="Y235" s="529"/>
      <c r="Z235" s="529"/>
      <c r="AA235" s="529"/>
      <c r="AB235" s="529"/>
      <c r="AC235" s="529"/>
      <c r="AD235" s="529"/>
      <c r="AE235" s="529"/>
      <c r="AF235" s="529"/>
      <c r="AG235" s="556"/>
      <c r="AH235" s="528"/>
    </row>
    <row r="236">
      <c r="A236" s="564"/>
      <c r="B236" s="565"/>
      <c r="C236" s="565"/>
      <c r="D236" s="565"/>
      <c r="E236" s="565"/>
      <c r="F236" s="565"/>
      <c r="G236" s="565"/>
      <c r="H236" s="565"/>
      <c r="I236" s="565"/>
      <c r="J236" s="565"/>
      <c r="K236" s="565"/>
      <c r="L236" s="565"/>
      <c r="M236" s="565"/>
      <c r="N236" s="529"/>
      <c r="O236" s="529"/>
      <c r="P236" s="529"/>
      <c r="Q236" s="529"/>
      <c r="R236" s="529"/>
      <c r="S236" s="529"/>
      <c r="T236" s="529"/>
      <c r="U236" s="529"/>
      <c r="V236" s="529"/>
      <c r="W236" s="529"/>
      <c r="X236" s="529"/>
      <c r="Y236" s="529"/>
      <c r="Z236" s="529"/>
      <c r="AA236" s="529"/>
      <c r="AB236" s="529"/>
      <c r="AC236" s="529"/>
      <c r="AD236" s="529"/>
      <c r="AE236" s="529"/>
      <c r="AF236" s="529"/>
      <c r="AG236" s="556"/>
      <c r="AH236" s="528"/>
    </row>
    <row r="237">
      <c r="A237" s="564"/>
      <c r="B237" s="565"/>
      <c r="C237" s="565"/>
      <c r="D237" s="565"/>
      <c r="E237" s="565"/>
      <c r="F237" s="565"/>
      <c r="G237" s="565"/>
      <c r="H237" s="565"/>
      <c r="I237" s="565"/>
      <c r="J237" s="565"/>
      <c r="K237" s="565"/>
      <c r="L237" s="565"/>
      <c r="M237" s="565"/>
      <c r="N237" s="529"/>
      <c r="O237" s="529"/>
      <c r="P237" s="529"/>
      <c r="Q237" s="529"/>
      <c r="R237" s="529"/>
      <c r="S237" s="529"/>
      <c r="T237" s="529"/>
      <c r="U237" s="529"/>
      <c r="V237" s="529"/>
      <c r="W237" s="529"/>
      <c r="X237" s="529"/>
      <c r="Y237" s="529"/>
      <c r="Z237" s="529"/>
      <c r="AA237" s="529"/>
      <c r="AB237" s="529"/>
      <c r="AC237" s="529"/>
      <c r="AD237" s="529"/>
      <c r="AE237" s="529"/>
      <c r="AF237" s="529"/>
      <c r="AG237" s="556"/>
      <c r="AH237" s="528"/>
    </row>
    <row r="238">
      <c r="A238" s="564"/>
      <c r="B238" s="565"/>
      <c r="C238" s="565"/>
      <c r="D238" s="565"/>
      <c r="E238" s="565"/>
      <c r="F238" s="565"/>
      <c r="G238" s="565"/>
      <c r="H238" s="565"/>
      <c r="I238" s="565"/>
      <c r="J238" s="565"/>
      <c r="K238" s="565"/>
      <c r="L238" s="565"/>
      <c r="M238" s="565"/>
      <c r="N238" s="529"/>
      <c r="O238" s="529"/>
      <c r="P238" s="529"/>
      <c r="Q238" s="529"/>
      <c r="R238" s="529"/>
      <c r="S238" s="529"/>
      <c r="T238" s="529"/>
      <c r="U238" s="529"/>
      <c r="V238" s="529"/>
      <c r="W238" s="529"/>
      <c r="X238" s="529"/>
      <c r="Y238" s="529"/>
      <c r="Z238" s="529"/>
      <c r="AA238" s="529"/>
      <c r="AB238" s="529"/>
      <c r="AC238" s="529"/>
      <c r="AD238" s="529"/>
      <c r="AE238" s="529"/>
      <c r="AF238" s="529"/>
      <c r="AG238" s="556"/>
      <c r="AH238" s="528"/>
    </row>
    <row r="239">
      <c r="A239" s="564"/>
      <c r="B239" s="565"/>
      <c r="C239" s="565"/>
      <c r="D239" s="565"/>
      <c r="E239" s="565"/>
      <c r="F239" s="565"/>
      <c r="G239" s="565"/>
      <c r="H239" s="565"/>
      <c r="I239" s="565"/>
      <c r="J239" s="565"/>
      <c r="K239" s="565"/>
      <c r="L239" s="565"/>
      <c r="M239" s="565"/>
      <c r="N239" s="529"/>
      <c r="O239" s="529"/>
      <c r="P239" s="529"/>
      <c r="Q239" s="529"/>
      <c r="R239" s="529"/>
      <c r="S239" s="529"/>
      <c r="T239" s="529"/>
      <c r="U239" s="529"/>
      <c r="V239" s="529"/>
      <c r="W239" s="529"/>
      <c r="X239" s="529"/>
      <c r="Y239" s="529"/>
      <c r="Z239" s="529"/>
      <c r="AA239" s="529"/>
      <c r="AB239" s="529"/>
      <c r="AC239" s="529"/>
      <c r="AD239" s="529"/>
      <c r="AE239" s="529"/>
      <c r="AF239" s="529"/>
      <c r="AG239" s="556"/>
      <c r="AH239" s="528"/>
    </row>
    <row r="240">
      <c r="A240" s="564"/>
      <c r="B240" s="565"/>
      <c r="C240" s="565"/>
      <c r="D240" s="565"/>
      <c r="E240" s="565"/>
      <c r="F240" s="565"/>
      <c r="G240" s="565"/>
      <c r="H240" s="565"/>
      <c r="I240" s="565"/>
      <c r="J240" s="565"/>
      <c r="K240" s="565"/>
      <c r="L240" s="565"/>
      <c r="M240" s="565"/>
      <c r="N240" s="529"/>
      <c r="O240" s="529"/>
      <c r="P240" s="529"/>
      <c r="Q240" s="529"/>
      <c r="R240" s="529"/>
      <c r="S240" s="529"/>
      <c r="T240" s="529"/>
      <c r="U240" s="529"/>
      <c r="V240" s="529"/>
      <c r="W240" s="529"/>
      <c r="X240" s="529"/>
      <c r="Y240" s="529"/>
      <c r="Z240" s="529"/>
      <c r="AA240" s="529"/>
      <c r="AB240" s="529"/>
      <c r="AC240" s="529"/>
      <c r="AD240" s="529"/>
      <c r="AE240" s="529"/>
      <c r="AF240" s="529"/>
      <c r="AG240" s="556"/>
      <c r="AH240" s="528"/>
    </row>
    <row r="241">
      <c r="A241" s="564"/>
      <c r="B241" s="565"/>
      <c r="C241" s="565"/>
      <c r="D241" s="565"/>
      <c r="E241" s="565"/>
      <c r="F241" s="565"/>
      <c r="G241" s="565"/>
      <c r="H241" s="565"/>
      <c r="I241" s="565"/>
      <c r="J241" s="565"/>
      <c r="K241" s="565"/>
      <c r="L241" s="565"/>
      <c r="M241" s="565"/>
      <c r="N241" s="529"/>
      <c r="O241" s="529"/>
      <c r="P241" s="529"/>
      <c r="Q241" s="529"/>
      <c r="R241" s="529"/>
      <c r="S241" s="529"/>
      <c r="T241" s="529"/>
      <c r="U241" s="529"/>
      <c r="V241" s="529"/>
      <c r="W241" s="529"/>
      <c r="X241" s="529"/>
      <c r="Y241" s="529"/>
      <c r="Z241" s="529"/>
      <c r="AA241" s="529"/>
      <c r="AB241" s="529"/>
      <c r="AC241" s="529"/>
      <c r="AD241" s="529"/>
      <c r="AE241" s="529"/>
      <c r="AF241" s="529"/>
      <c r="AG241" s="556"/>
      <c r="AH241" s="528"/>
    </row>
    <row r="242">
      <c r="A242" s="564"/>
      <c r="B242" s="565"/>
      <c r="C242" s="565"/>
      <c r="D242" s="565"/>
      <c r="E242" s="565"/>
      <c r="F242" s="565"/>
      <c r="G242" s="565"/>
      <c r="H242" s="565"/>
      <c r="I242" s="565"/>
      <c r="J242" s="565"/>
      <c r="K242" s="565"/>
      <c r="L242" s="565"/>
      <c r="M242" s="565"/>
      <c r="N242" s="529"/>
      <c r="O242" s="529"/>
      <c r="P242" s="529"/>
      <c r="Q242" s="529"/>
      <c r="R242" s="529"/>
      <c r="S242" s="529"/>
      <c r="T242" s="529"/>
      <c r="U242" s="529"/>
      <c r="V242" s="529"/>
      <c r="W242" s="529"/>
      <c r="X242" s="529"/>
      <c r="Y242" s="529"/>
      <c r="Z242" s="529"/>
      <c r="AA242" s="529"/>
      <c r="AB242" s="529"/>
      <c r="AC242" s="529"/>
      <c r="AD242" s="529"/>
      <c r="AE242" s="529"/>
      <c r="AF242" s="529"/>
      <c r="AG242" s="556"/>
      <c r="AH242" s="528"/>
    </row>
    <row r="243">
      <c r="A243" s="564"/>
      <c r="B243" s="565"/>
      <c r="C243" s="565"/>
      <c r="D243" s="565"/>
      <c r="E243" s="565"/>
      <c r="F243" s="565"/>
      <c r="G243" s="565"/>
      <c r="H243" s="565"/>
      <c r="I243" s="565"/>
      <c r="J243" s="565"/>
      <c r="K243" s="565"/>
      <c r="L243" s="565"/>
      <c r="M243" s="565"/>
      <c r="N243" s="529"/>
      <c r="O243" s="529"/>
      <c r="P243" s="529"/>
      <c r="Q243" s="529"/>
      <c r="R243" s="529"/>
      <c r="S243" s="529"/>
      <c r="T243" s="529"/>
      <c r="U243" s="529"/>
      <c r="V243" s="529"/>
      <c r="W243" s="529"/>
      <c r="X243" s="529"/>
      <c r="Y243" s="529"/>
      <c r="Z243" s="529"/>
      <c r="AA243" s="529"/>
      <c r="AB243" s="529"/>
      <c r="AC243" s="529"/>
      <c r="AD243" s="529"/>
      <c r="AE243" s="529"/>
      <c r="AF243" s="529"/>
      <c r="AG243" s="556"/>
      <c r="AH243" s="528"/>
    </row>
    <row r="244">
      <c r="A244" s="564"/>
      <c r="B244" s="565"/>
      <c r="C244" s="565"/>
      <c r="D244" s="565"/>
      <c r="E244" s="565"/>
      <c r="F244" s="565"/>
      <c r="G244" s="565"/>
      <c r="H244" s="565"/>
      <c r="I244" s="565"/>
      <c r="J244" s="565"/>
      <c r="K244" s="565"/>
      <c r="L244" s="565"/>
      <c r="M244" s="565"/>
      <c r="N244" s="529"/>
      <c r="O244" s="529"/>
      <c r="P244" s="529"/>
      <c r="Q244" s="529"/>
      <c r="R244" s="529"/>
      <c r="S244" s="529"/>
      <c r="T244" s="529"/>
      <c r="U244" s="529"/>
      <c r="V244" s="529"/>
      <c r="W244" s="529"/>
      <c r="X244" s="529"/>
      <c r="Y244" s="529"/>
      <c r="Z244" s="529"/>
      <c r="AA244" s="529"/>
      <c r="AB244" s="529"/>
      <c r="AC244" s="529"/>
      <c r="AD244" s="529"/>
      <c r="AE244" s="529"/>
      <c r="AF244" s="529"/>
      <c r="AG244" s="556"/>
      <c r="AH244" s="528"/>
    </row>
    <row r="245">
      <c r="A245" s="564"/>
      <c r="B245" s="565"/>
      <c r="C245" s="565"/>
      <c r="D245" s="565"/>
      <c r="E245" s="565"/>
      <c r="F245" s="565"/>
      <c r="G245" s="565"/>
      <c r="H245" s="565"/>
      <c r="I245" s="565"/>
      <c r="J245" s="565"/>
      <c r="K245" s="565"/>
      <c r="L245" s="565"/>
      <c r="M245" s="565"/>
      <c r="N245" s="529"/>
      <c r="O245" s="529"/>
      <c r="P245" s="529"/>
      <c r="Q245" s="529"/>
      <c r="R245" s="529"/>
      <c r="S245" s="529"/>
      <c r="T245" s="529"/>
      <c r="U245" s="529"/>
      <c r="V245" s="529"/>
      <c r="W245" s="529"/>
      <c r="X245" s="529"/>
      <c r="Y245" s="529"/>
      <c r="Z245" s="529"/>
      <c r="AA245" s="529"/>
      <c r="AB245" s="529"/>
      <c r="AC245" s="529"/>
      <c r="AD245" s="529"/>
      <c r="AE245" s="529"/>
      <c r="AF245" s="529"/>
      <c r="AG245" s="556"/>
      <c r="AH245" s="528"/>
    </row>
    <row r="246">
      <c r="A246" s="564"/>
      <c r="B246" s="565"/>
      <c r="C246" s="565"/>
      <c r="D246" s="565"/>
      <c r="E246" s="565"/>
      <c r="F246" s="565"/>
      <c r="G246" s="565"/>
      <c r="H246" s="565"/>
      <c r="I246" s="565"/>
      <c r="J246" s="565"/>
      <c r="K246" s="565"/>
      <c r="L246" s="565"/>
      <c r="M246" s="565"/>
      <c r="N246" s="529"/>
      <c r="O246" s="529"/>
      <c r="P246" s="529"/>
      <c r="Q246" s="529"/>
      <c r="R246" s="529"/>
      <c r="S246" s="529"/>
      <c r="T246" s="529"/>
      <c r="U246" s="529"/>
      <c r="V246" s="529"/>
      <c r="W246" s="529"/>
      <c r="X246" s="529"/>
      <c r="Y246" s="529"/>
      <c r="Z246" s="529"/>
      <c r="AA246" s="529"/>
      <c r="AB246" s="529"/>
      <c r="AC246" s="529"/>
      <c r="AD246" s="529"/>
      <c r="AE246" s="529"/>
      <c r="AF246" s="529"/>
      <c r="AG246" s="556"/>
      <c r="AH246" s="528"/>
    </row>
    <row r="247">
      <c r="A247" s="564"/>
      <c r="B247" s="565"/>
      <c r="C247" s="565"/>
      <c r="D247" s="565"/>
      <c r="E247" s="565"/>
      <c r="F247" s="565"/>
      <c r="G247" s="565"/>
      <c r="H247" s="565"/>
      <c r="I247" s="565"/>
      <c r="J247" s="565"/>
      <c r="K247" s="565"/>
      <c r="L247" s="565"/>
      <c r="M247" s="565"/>
      <c r="N247" s="529"/>
      <c r="O247" s="529"/>
      <c r="P247" s="529"/>
      <c r="Q247" s="529"/>
      <c r="R247" s="529"/>
      <c r="S247" s="529"/>
      <c r="T247" s="529"/>
      <c r="U247" s="529"/>
      <c r="V247" s="529"/>
      <c r="W247" s="529"/>
      <c r="X247" s="529"/>
      <c r="Y247" s="529"/>
      <c r="Z247" s="529"/>
      <c r="AA247" s="529"/>
      <c r="AB247" s="529"/>
      <c r="AC247" s="529"/>
      <c r="AD247" s="529"/>
      <c r="AE247" s="529"/>
      <c r="AF247" s="529"/>
      <c r="AG247" s="556"/>
      <c r="AH247" s="528"/>
    </row>
    <row r="248">
      <c r="A248" s="564"/>
      <c r="B248" s="565"/>
      <c r="C248" s="565"/>
      <c r="D248" s="565"/>
      <c r="E248" s="565"/>
      <c r="F248" s="565"/>
      <c r="G248" s="565"/>
      <c r="H248" s="565"/>
      <c r="I248" s="565"/>
      <c r="J248" s="565"/>
      <c r="K248" s="565"/>
      <c r="L248" s="565"/>
      <c r="M248" s="565"/>
      <c r="N248" s="529"/>
      <c r="O248" s="529"/>
      <c r="P248" s="529"/>
      <c r="Q248" s="529"/>
      <c r="R248" s="529"/>
      <c r="S248" s="529"/>
      <c r="T248" s="529"/>
      <c r="U248" s="529"/>
      <c r="V248" s="529"/>
      <c r="W248" s="529"/>
      <c r="X248" s="529"/>
      <c r="Y248" s="529"/>
      <c r="Z248" s="529"/>
      <c r="AA248" s="529"/>
      <c r="AB248" s="529"/>
      <c r="AC248" s="529"/>
      <c r="AD248" s="529"/>
      <c r="AE248" s="529"/>
      <c r="AF248" s="529"/>
      <c r="AG248" s="556"/>
      <c r="AH248" s="528"/>
    </row>
    <row r="249">
      <c r="A249" s="564"/>
      <c r="B249" s="565"/>
      <c r="C249" s="565"/>
      <c r="D249" s="565"/>
      <c r="E249" s="565"/>
      <c r="F249" s="565"/>
      <c r="G249" s="565"/>
      <c r="H249" s="565"/>
      <c r="I249" s="565"/>
      <c r="J249" s="565"/>
      <c r="K249" s="565"/>
      <c r="L249" s="565"/>
      <c r="M249" s="565"/>
      <c r="N249" s="529"/>
      <c r="O249" s="529"/>
      <c r="P249" s="529"/>
      <c r="Q249" s="529"/>
      <c r="R249" s="529"/>
      <c r="S249" s="529"/>
      <c r="T249" s="529"/>
      <c r="U249" s="529"/>
      <c r="V249" s="529"/>
      <c r="W249" s="529"/>
      <c r="X249" s="529"/>
      <c r="Y249" s="529"/>
      <c r="Z249" s="529"/>
      <c r="AA249" s="529"/>
      <c r="AB249" s="529"/>
      <c r="AC249" s="529"/>
      <c r="AD249" s="529"/>
      <c r="AE249" s="529"/>
      <c r="AF249" s="529"/>
      <c r="AG249" s="556"/>
      <c r="AH249" s="528"/>
    </row>
    <row r="250">
      <c r="A250" s="564"/>
      <c r="B250" s="565"/>
      <c r="C250" s="565"/>
      <c r="D250" s="565"/>
      <c r="E250" s="565"/>
      <c r="F250" s="565"/>
      <c r="G250" s="565"/>
      <c r="H250" s="565"/>
      <c r="I250" s="565"/>
      <c r="J250" s="565"/>
      <c r="K250" s="565"/>
      <c r="L250" s="565"/>
      <c r="M250" s="565"/>
      <c r="N250" s="529"/>
      <c r="O250" s="529"/>
      <c r="P250" s="529"/>
      <c r="Q250" s="529"/>
      <c r="R250" s="529"/>
      <c r="S250" s="529"/>
      <c r="T250" s="529"/>
      <c r="U250" s="529"/>
      <c r="V250" s="529"/>
      <c r="W250" s="529"/>
      <c r="X250" s="529"/>
      <c r="Y250" s="529"/>
      <c r="Z250" s="529"/>
      <c r="AA250" s="529"/>
      <c r="AB250" s="529"/>
      <c r="AC250" s="529"/>
      <c r="AD250" s="529"/>
      <c r="AE250" s="529"/>
      <c r="AF250" s="529"/>
      <c r="AG250" s="556"/>
      <c r="AH250" s="528"/>
    </row>
    <row r="251">
      <c r="A251" s="564"/>
      <c r="B251" s="565"/>
      <c r="C251" s="565"/>
      <c r="D251" s="565"/>
      <c r="E251" s="565"/>
      <c r="F251" s="565"/>
      <c r="G251" s="565"/>
      <c r="H251" s="565"/>
      <c r="I251" s="565"/>
      <c r="J251" s="565"/>
      <c r="K251" s="565"/>
      <c r="L251" s="565"/>
      <c r="M251" s="565"/>
      <c r="N251" s="529"/>
      <c r="O251" s="529"/>
      <c r="P251" s="529"/>
      <c r="Q251" s="529"/>
      <c r="R251" s="529"/>
      <c r="S251" s="529"/>
      <c r="T251" s="529"/>
      <c r="U251" s="529"/>
      <c r="V251" s="529"/>
      <c r="W251" s="529"/>
      <c r="X251" s="529"/>
      <c r="Y251" s="529"/>
      <c r="Z251" s="529"/>
      <c r="AA251" s="529"/>
      <c r="AB251" s="529"/>
      <c r="AC251" s="529"/>
      <c r="AD251" s="529"/>
      <c r="AE251" s="529"/>
      <c r="AF251" s="529"/>
      <c r="AG251" s="556"/>
      <c r="AH251" s="528"/>
    </row>
    <row r="252">
      <c r="A252" s="564"/>
      <c r="B252" s="565"/>
      <c r="C252" s="565"/>
      <c r="D252" s="565"/>
      <c r="E252" s="565"/>
      <c r="F252" s="565"/>
      <c r="G252" s="565"/>
      <c r="H252" s="565"/>
      <c r="I252" s="565"/>
      <c r="J252" s="565"/>
      <c r="K252" s="565"/>
      <c r="L252" s="565"/>
      <c r="M252" s="565"/>
      <c r="N252" s="529"/>
      <c r="O252" s="529"/>
      <c r="P252" s="529"/>
      <c r="Q252" s="529"/>
      <c r="R252" s="529"/>
      <c r="S252" s="529"/>
      <c r="T252" s="529"/>
      <c r="U252" s="529"/>
      <c r="V252" s="529"/>
      <c r="W252" s="529"/>
      <c r="X252" s="529"/>
      <c r="Y252" s="529"/>
      <c r="Z252" s="529"/>
      <c r="AA252" s="529"/>
      <c r="AB252" s="529"/>
      <c r="AC252" s="529"/>
      <c r="AD252" s="529"/>
      <c r="AE252" s="529"/>
      <c r="AF252" s="529"/>
      <c r="AG252" s="556"/>
      <c r="AH252" s="528"/>
    </row>
    <row r="253">
      <c r="A253" s="564"/>
      <c r="B253" s="565"/>
      <c r="C253" s="565"/>
      <c r="D253" s="565"/>
      <c r="E253" s="565"/>
      <c r="F253" s="565"/>
      <c r="G253" s="565"/>
      <c r="H253" s="565"/>
      <c r="I253" s="565"/>
      <c r="J253" s="565"/>
      <c r="K253" s="565"/>
      <c r="L253" s="565"/>
      <c r="M253" s="565"/>
      <c r="N253" s="529"/>
      <c r="O253" s="529"/>
      <c r="P253" s="529"/>
      <c r="Q253" s="529"/>
      <c r="R253" s="529"/>
      <c r="S253" s="529"/>
      <c r="T253" s="529"/>
      <c r="U253" s="529"/>
      <c r="V253" s="529"/>
      <c r="W253" s="529"/>
      <c r="X253" s="529"/>
      <c r="Y253" s="529"/>
      <c r="Z253" s="529"/>
      <c r="AA253" s="529"/>
      <c r="AB253" s="529"/>
      <c r="AC253" s="529"/>
      <c r="AD253" s="529"/>
      <c r="AE253" s="529"/>
      <c r="AF253" s="529"/>
      <c r="AG253" s="556"/>
      <c r="AH253" s="528"/>
    </row>
    <row r="254">
      <c r="A254" s="564"/>
      <c r="B254" s="565"/>
      <c r="C254" s="565"/>
      <c r="D254" s="565"/>
      <c r="E254" s="565"/>
      <c r="F254" s="565"/>
      <c r="G254" s="565"/>
      <c r="H254" s="565"/>
      <c r="I254" s="565"/>
      <c r="J254" s="565"/>
      <c r="K254" s="565"/>
      <c r="L254" s="565"/>
      <c r="M254" s="565"/>
      <c r="N254" s="529"/>
      <c r="O254" s="529"/>
      <c r="P254" s="529"/>
      <c r="Q254" s="529"/>
      <c r="R254" s="529"/>
      <c r="S254" s="529"/>
      <c r="T254" s="529"/>
      <c r="U254" s="529"/>
      <c r="V254" s="529"/>
      <c r="W254" s="529"/>
      <c r="X254" s="529"/>
      <c r="Y254" s="529"/>
      <c r="Z254" s="529"/>
      <c r="AA254" s="529"/>
      <c r="AB254" s="529"/>
      <c r="AC254" s="529"/>
      <c r="AD254" s="529"/>
      <c r="AE254" s="529"/>
      <c r="AF254" s="529"/>
      <c r="AG254" s="556"/>
      <c r="AH254" s="528"/>
    </row>
    <row r="255">
      <c r="A255" s="564"/>
      <c r="B255" s="565"/>
      <c r="C255" s="565"/>
      <c r="D255" s="565"/>
      <c r="E255" s="565"/>
      <c r="F255" s="565"/>
      <c r="G255" s="565"/>
      <c r="H255" s="565"/>
      <c r="I255" s="565"/>
      <c r="J255" s="565"/>
      <c r="K255" s="565"/>
      <c r="L255" s="565"/>
      <c r="M255" s="565"/>
      <c r="N255" s="529"/>
      <c r="O255" s="529"/>
      <c r="P255" s="529"/>
      <c r="Q255" s="529"/>
      <c r="R255" s="529"/>
      <c r="S255" s="529"/>
      <c r="T255" s="529"/>
      <c r="U255" s="529"/>
      <c r="V255" s="529"/>
      <c r="W255" s="529"/>
      <c r="X255" s="529"/>
      <c r="Y255" s="529"/>
      <c r="Z255" s="529"/>
      <c r="AA255" s="529"/>
      <c r="AB255" s="529"/>
      <c r="AC255" s="529"/>
      <c r="AD255" s="529"/>
      <c r="AE255" s="529"/>
      <c r="AF255" s="529"/>
      <c r="AG255" s="556"/>
      <c r="AH255" s="528"/>
    </row>
    <row r="256">
      <c r="A256" s="564"/>
      <c r="B256" s="565"/>
      <c r="C256" s="565"/>
      <c r="D256" s="565"/>
      <c r="E256" s="565"/>
      <c r="F256" s="565"/>
      <c r="G256" s="565"/>
      <c r="H256" s="565"/>
      <c r="I256" s="565"/>
      <c r="J256" s="565"/>
      <c r="K256" s="565"/>
      <c r="L256" s="565"/>
      <c r="M256" s="565"/>
      <c r="N256" s="529"/>
      <c r="O256" s="529"/>
      <c r="P256" s="529"/>
      <c r="Q256" s="529"/>
      <c r="R256" s="529"/>
      <c r="S256" s="529"/>
      <c r="T256" s="529"/>
      <c r="U256" s="529"/>
      <c r="V256" s="529"/>
      <c r="W256" s="529"/>
      <c r="X256" s="529"/>
      <c r="Y256" s="529"/>
      <c r="Z256" s="529"/>
      <c r="AA256" s="529"/>
      <c r="AB256" s="529"/>
      <c r="AC256" s="529"/>
      <c r="AD256" s="529"/>
      <c r="AE256" s="529"/>
      <c r="AF256" s="529"/>
      <c r="AG256" s="556"/>
      <c r="AH256" s="528"/>
    </row>
    <row r="257">
      <c r="A257" s="564"/>
      <c r="B257" s="565"/>
      <c r="C257" s="565"/>
      <c r="D257" s="565"/>
      <c r="E257" s="565"/>
      <c r="F257" s="565"/>
      <c r="G257" s="565"/>
      <c r="H257" s="565"/>
      <c r="I257" s="565"/>
      <c r="J257" s="565"/>
      <c r="K257" s="565"/>
      <c r="L257" s="565"/>
      <c r="M257" s="565"/>
      <c r="N257" s="529"/>
      <c r="O257" s="529"/>
      <c r="P257" s="529"/>
      <c r="Q257" s="529"/>
      <c r="R257" s="529"/>
      <c r="S257" s="529"/>
      <c r="T257" s="529"/>
      <c r="U257" s="529"/>
      <c r="V257" s="529"/>
      <c r="W257" s="529"/>
      <c r="X257" s="529"/>
      <c r="Y257" s="529"/>
      <c r="Z257" s="529"/>
      <c r="AA257" s="529"/>
      <c r="AB257" s="529"/>
      <c r="AC257" s="529"/>
      <c r="AD257" s="529"/>
      <c r="AE257" s="529"/>
      <c r="AF257" s="529"/>
      <c r="AG257" s="556"/>
      <c r="AH257" s="528"/>
    </row>
    <row r="258">
      <c r="A258" s="564"/>
      <c r="B258" s="565"/>
      <c r="C258" s="565"/>
      <c r="D258" s="565"/>
      <c r="E258" s="565"/>
      <c r="F258" s="565"/>
      <c r="G258" s="565"/>
      <c r="H258" s="565"/>
      <c r="I258" s="565"/>
      <c r="J258" s="565"/>
      <c r="K258" s="565"/>
      <c r="L258" s="565"/>
      <c r="M258" s="565"/>
      <c r="N258" s="529"/>
      <c r="O258" s="529"/>
      <c r="P258" s="529"/>
      <c r="Q258" s="529"/>
      <c r="R258" s="529"/>
      <c r="S258" s="529"/>
      <c r="T258" s="529"/>
      <c r="U258" s="529"/>
      <c r="V258" s="529"/>
      <c r="W258" s="529"/>
      <c r="X258" s="529"/>
      <c r="Y258" s="529"/>
      <c r="Z258" s="529"/>
      <c r="AA258" s="529"/>
      <c r="AB258" s="529"/>
      <c r="AC258" s="529"/>
      <c r="AD258" s="529"/>
      <c r="AE258" s="529"/>
      <c r="AF258" s="529"/>
      <c r="AG258" s="556"/>
      <c r="AH258" s="528"/>
    </row>
    <row r="259">
      <c r="A259" s="564"/>
      <c r="B259" s="565"/>
      <c r="C259" s="565"/>
      <c r="D259" s="565"/>
      <c r="E259" s="565"/>
      <c r="F259" s="565"/>
      <c r="G259" s="565"/>
      <c r="H259" s="565"/>
      <c r="I259" s="565"/>
      <c r="J259" s="565"/>
      <c r="K259" s="565"/>
      <c r="L259" s="565"/>
      <c r="M259" s="565"/>
      <c r="N259" s="529"/>
      <c r="O259" s="529"/>
      <c r="P259" s="529"/>
      <c r="Q259" s="529"/>
      <c r="R259" s="529"/>
      <c r="S259" s="529"/>
      <c r="T259" s="529"/>
      <c r="U259" s="529"/>
      <c r="V259" s="529"/>
      <c r="W259" s="529"/>
      <c r="X259" s="529"/>
      <c r="Y259" s="529"/>
      <c r="Z259" s="529"/>
      <c r="AA259" s="529"/>
      <c r="AB259" s="529"/>
      <c r="AC259" s="529"/>
      <c r="AD259" s="529"/>
      <c r="AE259" s="529"/>
      <c r="AF259" s="529"/>
      <c r="AG259" s="556"/>
      <c r="AH259" s="528"/>
    </row>
    <row r="260">
      <c r="A260" s="564"/>
      <c r="B260" s="565"/>
      <c r="C260" s="565"/>
      <c r="D260" s="565"/>
      <c r="E260" s="565"/>
      <c r="F260" s="565"/>
      <c r="G260" s="565"/>
      <c r="H260" s="565"/>
      <c r="I260" s="565"/>
      <c r="J260" s="565"/>
      <c r="K260" s="565"/>
      <c r="L260" s="565"/>
      <c r="M260" s="565"/>
      <c r="N260" s="529"/>
      <c r="O260" s="529"/>
      <c r="P260" s="529"/>
      <c r="Q260" s="529"/>
      <c r="R260" s="529"/>
      <c r="S260" s="529"/>
      <c r="T260" s="529"/>
      <c r="U260" s="529"/>
      <c r="V260" s="529"/>
      <c r="W260" s="529"/>
      <c r="X260" s="529"/>
      <c r="Y260" s="529"/>
      <c r="Z260" s="529"/>
      <c r="AA260" s="529"/>
      <c r="AB260" s="529"/>
      <c r="AC260" s="529"/>
      <c r="AD260" s="529"/>
      <c r="AE260" s="529"/>
      <c r="AF260" s="529"/>
      <c r="AG260" s="556"/>
      <c r="AH260" s="528"/>
    </row>
    <row r="261">
      <c r="A261" s="564"/>
      <c r="B261" s="565"/>
      <c r="C261" s="565"/>
      <c r="D261" s="565"/>
      <c r="E261" s="565"/>
      <c r="F261" s="565"/>
      <c r="G261" s="565"/>
      <c r="H261" s="565"/>
      <c r="I261" s="565"/>
      <c r="J261" s="565"/>
      <c r="K261" s="565"/>
      <c r="L261" s="565"/>
      <c r="M261" s="565"/>
      <c r="N261" s="529"/>
      <c r="O261" s="529"/>
      <c r="P261" s="529"/>
      <c r="Q261" s="529"/>
      <c r="R261" s="529"/>
      <c r="S261" s="529"/>
      <c r="T261" s="529"/>
      <c r="U261" s="529"/>
      <c r="V261" s="529"/>
      <c r="W261" s="529"/>
      <c r="X261" s="529"/>
      <c r="Y261" s="529"/>
      <c r="Z261" s="529"/>
      <c r="AA261" s="529"/>
      <c r="AB261" s="529"/>
      <c r="AC261" s="529"/>
      <c r="AD261" s="529"/>
      <c r="AE261" s="529"/>
      <c r="AF261" s="529"/>
      <c r="AG261" s="556"/>
      <c r="AH261" s="528"/>
    </row>
    <row r="262">
      <c r="A262" s="564"/>
      <c r="B262" s="565"/>
      <c r="C262" s="565"/>
      <c r="D262" s="565"/>
      <c r="E262" s="565"/>
      <c r="F262" s="565"/>
      <c r="G262" s="565"/>
      <c r="H262" s="565"/>
      <c r="I262" s="565"/>
      <c r="J262" s="565"/>
      <c r="K262" s="565"/>
      <c r="L262" s="565"/>
      <c r="M262" s="565"/>
      <c r="N262" s="529"/>
      <c r="O262" s="529"/>
      <c r="P262" s="529"/>
      <c r="Q262" s="529"/>
      <c r="R262" s="529"/>
      <c r="S262" s="529"/>
      <c r="T262" s="529"/>
      <c r="U262" s="529"/>
      <c r="V262" s="529"/>
      <c r="W262" s="529"/>
      <c r="X262" s="529"/>
      <c r="Y262" s="529"/>
      <c r="Z262" s="529"/>
      <c r="AA262" s="529"/>
      <c r="AB262" s="529"/>
      <c r="AC262" s="529"/>
      <c r="AD262" s="529"/>
      <c r="AE262" s="529"/>
      <c r="AF262" s="529"/>
      <c r="AG262" s="556"/>
      <c r="AH262" s="528"/>
    </row>
    <row r="263">
      <c r="A263" s="564"/>
      <c r="B263" s="565"/>
      <c r="C263" s="565"/>
      <c r="D263" s="565"/>
      <c r="E263" s="565"/>
      <c r="F263" s="565"/>
      <c r="G263" s="565"/>
      <c r="H263" s="565"/>
      <c r="I263" s="565"/>
      <c r="J263" s="565"/>
      <c r="K263" s="565"/>
      <c r="L263" s="565"/>
      <c r="M263" s="565"/>
      <c r="N263" s="529"/>
      <c r="O263" s="529"/>
      <c r="P263" s="529"/>
      <c r="Q263" s="529"/>
      <c r="R263" s="529"/>
      <c r="S263" s="529"/>
      <c r="T263" s="529"/>
      <c r="U263" s="529"/>
      <c r="V263" s="529"/>
      <c r="W263" s="529"/>
      <c r="X263" s="529"/>
      <c r="Y263" s="529"/>
      <c r="Z263" s="529"/>
      <c r="AA263" s="529"/>
      <c r="AB263" s="529"/>
      <c r="AC263" s="529"/>
      <c r="AD263" s="529"/>
      <c r="AE263" s="529"/>
      <c r="AF263" s="529"/>
      <c r="AG263" s="556"/>
      <c r="AH263" s="528"/>
    </row>
    <row r="264">
      <c r="A264" s="564"/>
      <c r="B264" s="565"/>
      <c r="C264" s="565"/>
      <c r="D264" s="565"/>
      <c r="E264" s="565"/>
      <c r="F264" s="565"/>
      <c r="G264" s="565"/>
      <c r="H264" s="565"/>
      <c r="I264" s="565"/>
      <c r="J264" s="565"/>
      <c r="K264" s="565"/>
      <c r="L264" s="565"/>
      <c r="M264" s="565"/>
      <c r="N264" s="529"/>
      <c r="O264" s="529"/>
      <c r="P264" s="529"/>
      <c r="Q264" s="529"/>
      <c r="R264" s="529"/>
      <c r="S264" s="529"/>
      <c r="T264" s="529"/>
      <c r="U264" s="529"/>
      <c r="V264" s="529"/>
      <c r="W264" s="529"/>
      <c r="X264" s="529"/>
      <c r="Y264" s="529"/>
      <c r="Z264" s="529"/>
      <c r="AA264" s="529"/>
      <c r="AB264" s="529"/>
      <c r="AC264" s="529"/>
      <c r="AD264" s="529"/>
      <c r="AE264" s="529"/>
      <c r="AF264" s="529"/>
      <c r="AG264" s="556"/>
      <c r="AH264" s="528"/>
    </row>
    <row r="265">
      <c r="A265" s="564"/>
      <c r="B265" s="565"/>
      <c r="C265" s="565"/>
      <c r="D265" s="565"/>
      <c r="E265" s="565"/>
      <c r="F265" s="565"/>
      <c r="G265" s="565"/>
      <c r="H265" s="565"/>
      <c r="I265" s="565"/>
      <c r="J265" s="565"/>
      <c r="K265" s="565"/>
      <c r="L265" s="565"/>
      <c r="M265" s="565"/>
      <c r="N265" s="529"/>
      <c r="O265" s="529"/>
      <c r="P265" s="529"/>
      <c r="Q265" s="529"/>
      <c r="R265" s="529"/>
      <c r="S265" s="529"/>
      <c r="T265" s="529"/>
      <c r="U265" s="529"/>
      <c r="V265" s="529"/>
      <c r="W265" s="529"/>
      <c r="X265" s="529"/>
      <c r="Y265" s="529"/>
      <c r="Z265" s="529"/>
      <c r="AA265" s="529"/>
      <c r="AB265" s="529"/>
      <c r="AC265" s="529"/>
      <c r="AD265" s="529"/>
      <c r="AE265" s="529"/>
      <c r="AF265" s="529"/>
      <c r="AG265" s="556"/>
      <c r="AH265" s="528"/>
    </row>
    <row r="266">
      <c r="A266" s="564"/>
      <c r="B266" s="565"/>
      <c r="C266" s="565"/>
      <c r="D266" s="565"/>
      <c r="E266" s="565"/>
      <c r="F266" s="565"/>
      <c r="G266" s="565"/>
      <c r="H266" s="565"/>
      <c r="I266" s="565"/>
      <c r="J266" s="565"/>
      <c r="K266" s="565"/>
      <c r="L266" s="565"/>
      <c r="M266" s="565"/>
      <c r="N266" s="529"/>
      <c r="O266" s="529"/>
      <c r="P266" s="529"/>
      <c r="Q266" s="529"/>
      <c r="R266" s="529"/>
      <c r="S266" s="529"/>
      <c r="T266" s="529"/>
      <c r="U266" s="529"/>
      <c r="V266" s="529"/>
      <c r="W266" s="529"/>
      <c r="X266" s="529"/>
      <c r="Y266" s="529"/>
      <c r="Z266" s="529"/>
      <c r="AA266" s="529"/>
      <c r="AB266" s="529"/>
      <c r="AC266" s="529"/>
      <c r="AD266" s="529"/>
      <c r="AE266" s="529"/>
      <c r="AF266" s="529"/>
      <c r="AG266" s="556"/>
      <c r="AH266" s="528"/>
    </row>
    <row r="267">
      <c r="A267" s="564"/>
      <c r="B267" s="565"/>
      <c r="C267" s="565"/>
      <c r="D267" s="565"/>
      <c r="E267" s="565"/>
      <c r="F267" s="565"/>
      <c r="G267" s="565"/>
      <c r="H267" s="565"/>
      <c r="I267" s="565"/>
      <c r="J267" s="565"/>
      <c r="K267" s="565"/>
      <c r="L267" s="565"/>
      <c r="M267" s="565"/>
      <c r="N267" s="529"/>
      <c r="O267" s="529"/>
      <c r="P267" s="529"/>
      <c r="Q267" s="529"/>
      <c r="R267" s="529"/>
      <c r="S267" s="529"/>
      <c r="T267" s="529"/>
      <c r="U267" s="529"/>
      <c r="V267" s="529"/>
      <c r="W267" s="529"/>
      <c r="X267" s="529"/>
      <c r="Y267" s="529"/>
      <c r="Z267" s="529"/>
      <c r="AA267" s="529"/>
      <c r="AB267" s="529"/>
      <c r="AC267" s="529"/>
      <c r="AD267" s="529"/>
      <c r="AE267" s="529"/>
      <c r="AF267" s="529"/>
      <c r="AG267" s="556"/>
      <c r="AH267" s="528"/>
    </row>
    <row r="268">
      <c r="A268" s="564"/>
      <c r="B268" s="565"/>
      <c r="C268" s="565"/>
      <c r="D268" s="565"/>
      <c r="E268" s="565"/>
      <c r="F268" s="565"/>
      <c r="G268" s="565"/>
      <c r="H268" s="565"/>
      <c r="I268" s="565"/>
      <c r="J268" s="565"/>
      <c r="K268" s="565"/>
      <c r="L268" s="565"/>
      <c r="M268" s="565"/>
      <c r="N268" s="529"/>
      <c r="O268" s="529"/>
      <c r="P268" s="529"/>
      <c r="Q268" s="529"/>
      <c r="R268" s="529"/>
      <c r="S268" s="529"/>
      <c r="T268" s="529"/>
      <c r="U268" s="529"/>
      <c r="V268" s="529"/>
      <c r="W268" s="529"/>
      <c r="X268" s="529"/>
      <c r="Y268" s="529"/>
      <c r="Z268" s="529"/>
      <c r="AA268" s="529"/>
      <c r="AB268" s="529"/>
      <c r="AC268" s="529"/>
      <c r="AD268" s="529"/>
      <c r="AE268" s="529"/>
      <c r="AF268" s="529"/>
      <c r="AG268" s="556"/>
      <c r="AH268" s="528"/>
    </row>
    <row r="269">
      <c r="A269" s="564"/>
      <c r="B269" s="565"/>
      <c r="C269" s="565"/>
      <c r="D269" s="565"/>
      <c r="E269" s="565"/>
      <c r="F269" s="565"/>
      <c r="G269" s="565"/>
      <c r="H269" s="565"/>
      <c r="I269" s="565"/>
      <c r="J269" s="565"/>
      <c r="K269" s="565"/>
      <c r="L269" s="565"/>
      <c r="M269" s="565"/>
      <c r="N269" s="529"/>
      <c r="O269" s="529"/>
      <c r="P269" s="529"/>
      <c r="Q269" s="529"/>
      <c r="R269" s="529"/>
      <c r="S269" s="529"/>
      <c r="T269" s="529"/>
      <c r="U269" s="529"/>
      <c r="V269" s="529"/>
      <c r="W269" s="529"/>
      <c r="X269" s="529"/>
      <c r="Y269" s="529"/>
      <c r="Z269" s="529"/>
      <c r="AA269" s="529"/>
      <c r="AB269" s="529"/>
      <c r="AC269" s="529"/>
      <c r="AD269" s="529"/>
      <c r="AE269" s="529"/>
      <c r="AF269" s="529"/>
      <c r="AG269" s="556"/>
      <c r="AH269" s="528"/>
    </row>
    <row r="270">
      <c r="A270" s="564"/>
      <c r="B270" s="565"/>
      <c r="C270" s="565"/>
      <c r="D270" s="565"/>
      <c r="E270" s="565"/>
      <c r="F270" s="565"/>
      <c r="G270" s="565"/>
      <c r="H270" s="565"/>
      <c r="I270" s="565"/>
      <c r="J270" s="565"/>
      <c r="K270" s="565"/>
      <c r="L270" s="565"/>
      <c r="M270" s="565"/>
      <c r="N270" s="529"/>
      <c r="O270" s="529"/>
      <c r="P270" s="529"/>
      <c r="Q270" s="529"/>
      <c r="R270" s="529"/>
      <c r="S270" s="529"/>
      <c r="T270" s="529"/>
      <c r="U270" s="529"/>
      <c r="V270" s="529"/>
      <c r="W270" s="529"/>
      <c r="X270" s="529"/>
      <c r="Y270" s="529"/>
      <c r="Z270" s="529"/>
      <c r="AA270" s="529"/>
      <c r="AB270" s="529"/>
      <c r="AC270" s="529"/>
      <c r="AD270" s="529"/>
      <c r="AE270" s="529"/>
      <c r="AF270" s="529"/>
      <c r="AG270" s="556"/>
      <c r="AH270" s="528"/>
    </row>
    <row r="271">
      <c r="A271" s="564"/>
      <c r="B271" s="565"/>
      <c r="C271" s="565"/>
      <c r="D271" s="565"/>
      <c r="E271" s="565"/>
      <c r="F271" s="565"/>
      <c r="G271" s="565"/>
      <c r="H271" s="565"/>
      <c r="I271" s="565"/>
      <c r="J271" s="565"/>
      <c r="K271" s="565"/>
      <c r="L271" s="565"/>
      <c r="M271" s="565"/>
      <c r="N271" s="529"/>
      <c r="O271" s="529"/>
      <c r="P271" s="529"/>
      <c r="Q271" s="529"/>
      <c r="R271" s="529"/>
      <c r="S271" s="529"/>
      <c r="T271" s="529"/>
      <c r="U271" s="529"/>
      <c r="V271" s="529"/>
      <c r="W271" s="529"/>
      <c r="X271" s="529"/>
      <c r="Y271" s="529"/>
      <c r="Z271" s="529"/>
      <c r="AA271" s="529"/>
      <c r="AB271" s="529"/>
      <c r="AC271" s="529"/>
      <c r="AD271" s="529"/>
      <c r="AE271" s="529"/>
      <c r="AF271" s="529"/>
      <c r="AG271" s="556"/>
      <c r="AH271" s="528"/>
    </row>
    <row r="272">
      <c r="A272" s="564"/>
      <c r="B272" s="565"/>
      <c r="C272" s="565"/>
      <c r="D272" s="565"/>
      <c r="E272" s="565"/>
      <c r="F272" s="565"/>
      <c r="G272" s="565"/>
      <c r="H272" s="565"/>
      <c r="I272" s="565"/>
      <c r="J272" s="565"/>
      <c r="K272" s="565"/>
      <c r="L272" s="565"/>
      <c r="M272" s="565"/>
      <c r="N272" s="529"/>
      <c r="O272" s="529"/>
      <c r="P272" s="529"/>
      <c r="Q272" s="529"/>
      <c r="R272" s="529"/>
      <c r="S272" s="529"/>
      <c r="T272" s="529"/>
      <c r="U272" s="529"/>
      <c r="V272" s="529"/>
      <c r="W272" s="529"/>
      <c r="X272" s="529"/>
      <c r="Y272" s="529"/>
      <c r="Z272" s="529"/>
      <c r="AA272" s="529"/>
      <c r="AB272" s="529"/>
      <c r="AC272" s="529"/>
      <c r="AD272" s="529"/>
      <c r="AE272" s="529"/>
      <c r="AF272" s="529"/>
      <c r="AG272" s="556"/>
      <c r="AH272" s="528"/>
    </row>
    <row r="273">
      <c r="A273" s="564"/>
      <c r="B273" s="565"/>
      <c r="C273" s="565"/>
      <c r="D273" s="565"/>
      <c r="E273" s="565"/>
      <c r="F273" s="565"/>
      <c r="G273" s="565"/>
      <c r="H273" s="565"/>
      <c r="I273" s="565"/>
      <c r="J273" s="565"/>
      <c r="K273" s="565"/>
      <c r="L273" s="565"/>
      <c r="M273" s="565"/>
      <c r="N273" s="529"/>
      <c r="O273" s="529"/>
      <c r="P273" s="529"/>
      <c r="Q273" s="529"/>
      <c r="R273" s="529"/>
      <c r="S273" s="529"/>
      <c r="T273" s="529"/>
      <c r="U273" s="529"/>
      <c r="V273" s="529"/>
      <c r="W273" s="529"/>
      <c r="X273" s="529"/>
      <c r="Y273" s="529"/>
      <c r="Z273" s="529"/>
      <c r="AA273" s="529"/>
      <c r="AB273" s="529"/>
      <c r="AC273" s="529"/>
      <c r="AD273" s="529"/>
      <c r="AE273" s="529"/>
      <c r="AF273" s="529"/>
      <c r="AG273" s="556"/>
      <c r="AH273" s="528"/>
    </row>
    <row r="274">
      <c r="A274" s="564"/>
      <c r="B274" s="565"/>
      <c r="C274" s="565"/>
      <c r="D274" s="565"/>
      <c r="E274" s="565"/>
      <c r="F274" s="565"/>
      <c r="G274" s="565"/>
      <c r="H274" s="565"/>
      <c r="I274" s="565"/>
      <c r="J274" s="565"/>
      <c r="K274" s="565"/>
      <c r="L274" s="565"/>
      <c r="M274" s="565"/>
      <c r="N274" s="529"/>
      <c r="O274" s="529"/>
      <c r="P274" s="529"/>
      <c r="Q274" s="529"/>
      <c r="R274" s="529"/>
      <c r="S274" s="529"/>
      <c r="T274" s="529"/>
      <c r="U274" s="529"/>
      <c r="V274" s="529"/>
      <c r="W274" s="529"/>
      <c r="X274" s="529"/>
      <c r="Y274" s="529"/>
      <c r="Z274" s="529"/>
      <c r="AA274" s="529"/>
      <c r="AB274" s="529"/>
      <c r="AC274" s="529"/>
      <c r="AD274" s="529"/>
      <c r="AE274" s="529"/>
      <c r="AF274" s="529"/>
      <c r="AG274" s="556"/>
      <c r="AH274" s="528"/>
    </row>
    <row r="275">
      <c r="A275" s="564"/>
      <c r="B275" s="565"/>
      <c r="C275" s="565"/>
      <c r="D275" s="565"/>
      <c r="E275" s="565"/>
      <c r="F275" s="565"/>
      <c r="G275" s="565"/>
      <c r="H275" s="565"/>
      <c r="I275" s="565"/>
      <c r="J275" s="565"/>
      <c r="K275" s="565"/>
      <c r="L275" s="565"/>
      <c r="M275" s="565"/>
      <c r="N275" s="529"/>
      <c r="O275" s="529"/>
      <c r="P275" s="529"/>
      <c r="Q275" s="529"/>
      <c r="R275" s="529"/>
      <c r="S275" s="529"/>
      <c r="T275" s="529"/>
      <c r="U275" s="529"/>
      <c r="V275" s="529"/>
      <c r="W275" s="529"/>
      <c r="X275" s="529"/>
      <c r="Y275" s="529"/>
      <c r="Z275" s="529"/>
      <c r="AA275" s="529"/>
      <c r="AB275" s="529"/>
      <c r="AC275" s="529"/>
      <c r="AD275" s="529"/>
      <c r="AE275" s="529"/>
      <c r="AF275" s="529"/>
      <c r="AG275" s="556"/>
      <c r="AH275" s="528"/>
    </row>
    <row r="276">
      <c r="A276" s="564"/>
      <c r="B276" s="565"/>
      <c r="C276" s="565"/>
      <c r="D276" s="565"/>
      <c r="E276" s="565"/>
      <c r="F276" s="565"/>
      <c r="G276" s="565"/>
      <c r="H276" s="565"/>
      <c r="I276" s="565"/>
      <c r="J276" s="565"/>
      <c r="K276" s="565"/>
      <c r="L276" s="565"/>
      <c r="M276" s="565"/>
      <c r="N276" s="529"/>
      <c r="O276" s="529"/>
      <c r="P276" s="529"/>
      <c r="Q276" s="529"/>
      <c r="R276" s="529"/>
      <c r="S276" s="529"/>
      <c r="T276" s="529"/>
      <c r="U276" s="529"/>
      <c r="V276" s="529"/>
      <c r="W276" s="529"/>
      <c r="X276" s="529"/>
      <c r="Y276" s="529"/>
      <c r="Z276" s="529"/>
      <c r="AA276" s="529"/>
      <c r="AB276" s="529"/>
      <c r="AC276" s="529"/>
      <c r="AD276" s="529"/>
      <c r="AE276" s="529"/>
      <c r="AF276" s="529"/>
      <c r="AG276" s="556"/>
      <c r="AH276" s="528"/>
    </row>
    <row r="277">
      <c r="A277" s="564"/>
      <c r="B277" s="565"/>
      <c r="C277" s="565"/>
      <c r="D277" s="565"/>
      <c r="E277" s="565"/>
      <c r="F277" s="565"/>
      <c r="G277" s="565"/>
      <c r="H277" s="565"/>
      <c r="I277" s="565"/>
      <c r="J277" s="565"/>
      <c r="K277" s="565"/>
      <c r="L277" s="565"/>
      <c r="M277" s="565"/>
      <c r="N277" s="529"/>
      <c r="O277" s="529"/>
      <c r="P277" s="529"/>
      <c r="Q277" s="529"/>
      <c r="R277" s="529"/>
      <c r="S277" s="529"/>
      <c r="T277" s="529"/>
      <c r="U277" s="529"/>
      <c r="V277" s="529"/>
      <c r="W277" s="529"/>
      <c r="X277" s="529"/>
      <c r="Y277" s="529"/>
      <c r="Z277" s="529"/>
      <c r="AA277" s="529"/>
      <c r="AB277" s="529"/>
      <c r="AC277" s="529"/>
      <c r="AD277" s="529"/>
      <c r="AE277" s="529"/>
      <c r="AF277" s="529"/>
      <c r="AG277" s="556"/>
      <c r="AH277" s="528"/>
    </row>
    <row r="278">
      <c r="A278" s="564"/>
      <c r="B278" s="565"/>
      <c r="C278" s="565"/>
      <c r="D278" s="565"/>
      <c r="E278" s="565"/>
      <c r="F278" s="565"/>
      <c r="G278" s="565"/>
      <c r="H278" s="565"/>
      <c r="I278" s="565"/>
      <c r="J278" s="565"/>
      <c r="K278" s="565"/>
      <c r="L278" s="565"/>
      <c r="M278" s="565"/>
      <c r="N278" s="529"/>
      <c r="O278" s="529"/>
      <c r="P278" s="529"/>
      <c r="Q278" s="529"/>
      <c r="R278" s="529"/>
      <c r="S278" s="529"/>
      <c r="T278" s="529"/>
      <c r="U278" s="529"/>
      <c r="V278" s="529"/>
      <c r="W278" s="529"/>
      <c r="X278" s="529"/>
      <c r="Y278" s="529"/>
      <c r="Z278" s="529"/>
      <c r="AA278" s="529"/>
      <c r="AB278" s="529"/>
      <c r="AC278" s="529"/>
      <c r="AD278" s="529"/>
      <c r="AE278" s="529"/>
      <c r="AF278" s="529"/>
      <c r="AG278" s="556"/>
      <c r="AH278" s="528"/>
    </row>
    <row r="279">
      <c r="A279" s="564"/>
      <c r="B279" s="565"/>
      <c r="C279" s="565"/>
      <c r="D279" s="565"/>
      <c r="E279" s="565"/>
      <c r="F279" s="565"/>
      <c r="G279" s="565"/>
      <c r="H279" s="565"/>
      <c r="I279" s="565"/>
      <c r="J279" s="565"/>
      <c r="K279" s="565"/>
      <c r="L279" s="565"/>
      <c r="M279" s="565"/>
      <c r="N279" s="529"/>
      <c r="O279" s="529"/>
      <c r="P279" s="529"/>
      <c r="Q279" s="529"/>
      <c r="R279" s="529"/>
      <c r="S279" s="529"/>
      <c r="T279" s="529"/>
      <c r="U279" s="529"/>
      <c r="V279" s="529"/>
      <c r="W279" s="529"/>
      <c r="X279" s="529"/>
      <c r="Y279" s="529"/>
      <c r="Z279" s="529"/>
      <c r="AA279" s="529"/>
      <c r="AB279" s="529"/>
      <c r="AC279" s="529"/>
      <c r="AD279" s="529"/>
      <c r="AE279" s="529"/>
      <c r="AF279" s="529"/>
      <c r="AG279" s="556"/>
      <c r="AH279" s="528"/>
    </row>
    <row r="280">
      <c r="A280" s="564"/>
      <c r="B280" s="565"/>
      <c r="C280" s="565"/>
      <c r="D280" s="565"/>
      <c r="E280" s="565"/>
      <c r="F280" s="565"/>
      <c r="G280" s="565"/>
      <c r="H280" s="565"/>
      <c r="I280" s="565"/>
      <c r="J280" s="565"/>
      <c r="K280" s="565"/>
      <c r="L280" s="565"/>
      <c r="M280" s="565"/>
      <c r="N280" s="529"/>
      <c r="O280" s="529"/>
      <c r="P280" s="529"/>
      <c r="Q280" s="529"/>
      <c r="R280" s="529"/>
      <c r="S280" s="529"/>
      <c r="T280" s="529"/>
      <c r="U280" s="529"/>
      <c r="V280" s="529"/>
      <c r="W280" s="529"/>
      <c r="X280" s="529"/>
      <c r="Y280" s="529"/>
      <c r="Z280" s="529"/>
      <c r="AA280" s="529"/>
      <c r="AB280" s="529"/>
      <c r="AC280" s="529"/>
      <c r="AD280" s="529"/>
      <c r="AE280" s="529"/>
      <c r="AF280" s="529"/>
      <c r="AG280" s="556"/>
      <c r="AH280" s="528"/>
    </row>
    <row r="281">
      <c r="A281" s="564"/>
      <c r="B281" s="565"/>
      <c r="C281" s="565"/>
      <c r="D281" s="565"/>
      <c r="E281" s="565"/>
      <c r="F281" s="565"/>
      <c r="G281" s="565"/>
      <c r="H281" s="565"/>
      <c r="I281" s="565"/>
      <c r="J281" s="565"/>
      <c r="K281" s="565"/>
      <c r="L281" s="565"/>
      <c r="M281" s="565"/>
      <c r="N281" s="529"/>
      <c r="O281" s="529"/>
      <c r="P281" s="529"/>
      <c r="Q281" s="529"/>
      <c r="R281" s="529"/>
      <c r="S281" s="529"/>
      <c r="T281" s="529"/>
      <c r="U281" s="529"/>
      <c r="V281" s="529"/>
      <c r="W281" s="529"/>
      <c r="X281" s="529"/>
      <c r="Y281" s="529"/>
      <c r="Z281" s="529"/>
      <c r="AA281" s="529"/>
      <c r="AB281" s="529"/>
      <c r="AC281" s="529"/>
      <c r="AD281" s="529"/>
      <c r="AE281" s="529"/>
      <c r="AF281" s="529"/>
      <c r="AG281" s="556"/>
      <c r="AH281" s="528"/>
    </row>
    <row r="282">
      <c r="A282" s="564"/>
      <c r="B282" s="565"/>
      <c r="C282" s="565"/>
      <c r="D282" s="565"/>
      <c r="E282" s="565"/>
      <c r="F282" s="565"/>
      <c r="G282" s="565"/>
      <c r="H282" s="565"/>
      <c r="I282" s="565"/>
      <c r="J282" s="565"/>
      <c r="K282" s="565"/>
      <c r="L282" s="565"/>
      <c r="M282" s="565"/>
      <c r="N282" s="529"/>
      <c r="O282" s="529"/>
      <c r="P282" s="529"/>
      <c r="Q282" s="529"/>
      <c r="R282" s="529"/>
      <c r="S282" s="529"/>
      <c r="T282" s="529"/>
      <c r="U282" s="529"/>
      <c r="V282" s="529"/>
      <c r="W282" s="529"/>
      <c r="X282" s="529"/>
      <c r="Y282" s="529"/>
      <c r="Z282" s="529"/>
      <c r="AA282" s="529"/>
      <c r="AB282" s="529"/>
      <c r="AC282" s="529"/>
      <c r="AD282" s="529"/>
      <c r="AE282" s="529"/>
      <c r="AF282" s="529"/>
      <c r="AG282" s="556"/>
      <c r="AH282" s="528"/>
    </row>
    <row r="283">
      <c r="A283" s="564"/>
      <c r="B283" s="565"/>
      <c r="C283" s="565"/>
      <c r="D283" s="565"/>
      <c r="E283" s="565"/>
      <c r="F283" s="565"/>
      <c r="G283" s="565"/>
      <c r="H283" s="565"/>
      <c r="I283" s="565"/>
      <c r="J283" s="565"/>
      <c r="K283" s="565"/>
      <c r="L283" s="565"/>
      <c r="M283" s="565"/>
      <c r="N283" s="529"/>
      <c r="O283" s="529"/>
      <c r="P283" s="529"/>
      <c r="Q283" s="529"/>
      <c r="R283" s="529"/>
      <c r="S283" s="529"/>
      <c r="T283" s="529"/>
      <c r="U283" s="529"/>
      <c r="V283" s="529"/>
      <c r="W283" s="529"/>
      <c r="X283" s="529"/>
      <c r="Y283" s="529"/>
      <c r="Z283" s="529"/>
      <c r="AA283" s="529"/>
      <c r="AB283" s="529"/>
      <c r="AC283" s="529"/>
      <c r="AD283" s="529"/>
      <c r="AE283" s="529"/>
      <c r="AF283" s="529"/>
      <c r="AG283" s="556"/>
      <c r="AH283" s="528"/>
    </row>
    <row r="284">
      <c r="A284" s="564"/>
      <c r="B284" s="565"/>
      <c r="C284" s="565"/>
      <c r="D284" s="565"/>
      <c r="E284" s="565"/>
      <c r="F284" s="565"/>
      <c r="G284" s="565"/>
      <c r="H284" s="565"/>
      <c r="I284" s="565"/>
      <c r="J284" s="565"/>
      <c r="K284" s="565"/>
      <c r="L284" s="565"/>
      <c r="M284" s="565"/>
      <c r="N284" s="529"/>
      <c r="O284" s="529"/>
      <c r="P284" s="529"/>
      <c r="Q284" s="529"/>
      <c r="R284" s="529"/>
      <c r="S284" s="529"/>
      <c r="T284" s="529"/>
      <c r="U284" s="529"/>
      <c r="V284" s="529"/>
      <c r="W284" s="529"/>
      <c r="X284" s="529"/>
      <c r="Y284" s="529"/>
      <c r="Z284" s="529"/>
      <c r="AA284" s="529"/>
      <c r="AB284" s="529"/>
      <c r="AC284" s="529"/>
      <c r="AD284" s="529"/>
      <c r="AE284" s="529"/>
      <c r="AF284" s="529"/>
      <c r="AG284" s="556"/>
      <c r="AH284" s="528"/>
    </row>
    <row r="285">
      <c r="A285" s="564"/>
      <c r="B285" s="565"/>
      <c r="C285" s="565"/>
      <c r="D285" s="565"/>
      <c r="E285" s="565"/>
      <c r="F285" s="565"/>
      <c r="G285" s="565"/>
      <c r="H285" s="565"/>
      <c r="I285" s="565"/>
      <c r="J285" s="565"/>
      <c r="K285" s="565"/>
      <c r="L285" s="565"/>
      <c r="M285" s="565"/>
      <c r="N285" s="529"/>
      <c r="O285" s="529"/>
      <c r="P285" s="529"/>
      <c r="Q285" s="529"/>
      <c r="R285" s="529"/>
      <c r="S285" s="529"/>
      <c r="T285" s="529"/>
      <c r="U285" s="529"/>
      <c r="V285" s="529"/>
      <c r="W285" s="529"/>
      <c r="X285" s="529"/>
      <c r="Y285" s="529"/>
      <c r="Z285" s="529"/>
      <c r="AA285" s="529"/>
      <c r="AB285" s="529"/>
      <c r="AC285" s="529"/>
      <c r="AD285" s="529"/>
      <c r="AE285" s="529"/>
      <c r="AF285" s="529"/>
      <c r="AG285" s="556"/>
      <c r="AH285" s="528"/>
    </row>
    <row r="286">
      <c r="A286" s="564"/>
      <c r="B286" s="565"/>
      <c r="C286" s="565"/>
      <c r="D286" s="565"/>
      <c r="E286" s="565"/>
      <c r="F286" s="565"/>
      <c r="G286" s="565"/>
      <c r="H286" s="565"/>
      <c r="I286" s="565"/>
      <c r="J286" s="565"/>
      <c r="K286" s="565"/>
      <c r="L286" s="565"/>
      <c r="M286" s="565"/>
      <c r="N286" s="529"/>
      <c r="O286" s="529"/>
      <c r="P286" s="529"/>
      <c r="Q286" s="529"/>
      <c r="R286" s="529"/>
      <c r="S286" s="529"/>
      <c r="T286" s="529"/>
      <c r="U286" s="529"/>
      <c r="V286" s="529"/>
      <c r="W286" s="529"/>
      <c r="X286" s="529"/>
      <c r="Y286" s="529"/>
      <c r="Z286" s="529"/>
      <c r="AA286" s="529"/>
      <c r="AB286" s="529"/>
      <c r="AC286" s="529"/>
      <c r="AD286" s="529"/>
      <c r="AE286" s="529"/>
      <c r="AF286" s="529"/>
      <c r="AG286" s="556"/>
      <c r="AH286" s="528"/>
    </row>
    <row r="287">
      <c r="A287" s="564"/>
      <c r="B287" s="565"/>
      <c r="C287" s="565"/>
      <c r="D287" s="565"/>
      <c r="E287" s="565"/>
      <c r="F287" s="565"/>
      <c r="G287" s="565"/>
      <c r="H287" s="565"/>
      <c r="I287" s="565"/>
      <c r="J287" s="565"/>
      <c r="K287" s="565"/>
      <c r="L287" s="565"/>
      <c r="M287" s="565"/>
      <c r="N287" s="529"/>
      <c r="O287" s="529"/>
      <c r="P287" s="529"/>
      <c r="Q287" s="529"/>
      <c r="R287" s="529"/>
      <c r="S287" s="529"/>
      <c r="T287" s="529"/>
      <c r="U287" s="529"/>
      <c r="V287" s="529"/>
      <c r="W287" s="529"/>
      <c r="X287" s="529"/>
      <c r="Y287" s="529"/>
      <c r="Z287" s="529"/>
      <c r="AA287" s="529"/>
      <c r="AB287" s="529"/>
      <c r="AC287" s="529"/>
      <c r="AD287" s="529"/>
      <c r="AE287" s="529"/>
      <c r="AF287" s="529"/>
      <c r="AG287" s="556"/>
      <c r="AH287" s="528"/>
    </row>
    <row r="288">
      <c r="A288" s="564"/>
      <c r="B288" s="565"/>
      <c r="C288" s="565"/>
      <c r="D288" s="565"/>
      <c r="E288" s="565"/>
      <c r="F288" s="565"/>
      <c r="G288" s="565"/>
      <c r="H288" s="565"/>
      <c r="I288" s="565"/>
      <c r="J288" s="565"/>
      <c r="K288" s="565"/>
      <c r="L288" s="565"/>
      <c r="M288" s="565"/>
      <c r="N288" s="529"/>
      <c r="O288" s="529"/>
      <c r="P288" s="529"/>
      <c r="Q288" s="529"/>
      <c r="R288" s="529"/>
      <c r="S288" s="529"/>
      <c r="T288" s="529"/>
      <c r="U288" s="529"/>
      <c r="V288" s="529"/>
      <c r="W288" s="529"/>
      <c r="X288" s="529"/>
      <c r="Y288" s="529"/>
      <c r="Z288" s="529"/>
      <c r="AA288" s="529"/>
      <c r="AB288" s="529"/>
      <c r="AC288" s="529"/>
      <c r="AD288" s="529"/>
      <c r="AE288" s="529"/>
      <c r="AF288" s="529"/>
      <c r="AG288" s="556"/>
      <c r="AH288" s="528"/>
    </row>
    <row r="289">
      <c r="A289" s="564"/>
      <c r="B289" s="565"/>
      <c r="C289" s="565"/>
      <c r="D289" s="565"/>
      <c r="E289" s="565"/>
      <c r="F289" s="565"/>
      <c r="G289" s="565"/>
      <c r="H289" s="565"/>
      <c r="I289" s="565"/>
      <c r="J289" s="565"/>
      <c r="K289" s="565"/>
      <c r="L289" s="565"/>
      <c r="M289" s="565"/>
      <c r="N289" s="529"/>
      <c r="O289" s="529"/>
      <c r="P289" s="529"/>
      <c r="Q289" s="529"/>
      <c r="R289" s="529"/>
      <c r="S289" s="529"/>
      <c r="T289" s="529"/>
      <c r="U289" s="529"/>
      <c r="V289" s="529"/>
      <c r="W289" s="529"/>
      <c r="X289" s="529"/>
      <c r="Y289" s="529"/>
      <c r="Z289" s="529"/>
      <c r="AA289" s="529"/>
      <c r="AB289" s="529"/>
      <c r="AC289" s="529"/>
      <c r="AD289" s="529"/>
      <c r="AE289" s="529"/>
      <c r="AF289" s="529"/>
      <c r="AG289" s="556"/>
      <c r="AH289" s="528"/>
    </row>
    <row r="290">
      <c r="A290" s="564"/>
      <c r="B290" s="565"/>
      <c r="C290" s="565"/>
      <c r="D290" s="565"/>
      <c r="E290" s="565"/>
      <c r="F290" s="565"/>
      <c r="G290" s="565"/>
      <c r="H290" s="565"/>
      <c r="I290" s="565"/>
      <c r="J290" s="565"/>
      <c r="K290" s="565"/>
      <c r="L290" s="565"/>
      <c r="M290" s="565"/>
      <c r="N290" s="529"/>
      <c r="O290" s="529"/>
      <c r="P290" s="529"/>
      <c r="Q290" s="529"/>
      <c r="R290" s="529"/>
      <c r="S290" s="529"/>
      <c r="T290" s="529"/>
      <c r="U290" s="529"/>
      <c r="V290" s="529"/>
      <c r="W290" s="529"/>
      <c r="X290" s="529"/>
      <c r="Y290" s="529"/>
      <c r="Z290" s="529"/>
      <c r="AA290" s="529"/>
      <c r="AB290" s="529"/>
      <c r="AC290" s="529"/>
      <c r="AD290" s="529"/>
      <c r="AE290" s="529"/>
      <c r="AF290" s="529"/>
      <c r="AG290" s="556"/>
      <c r="AH290" s="528"/>
    </row>
    <row r="291">
      <c r="A291" s="564"/>
      <c r="B291" s="565"/>
      <c r="C291" s="565"/>
      <c r="D291" s="565"/>
      <c r="E291" s="565"/>
      <c r="F291" s="565"/>
      <c r="G291" s="565"/>
      <c r="H291" s="565"/>
      <c r="I291" s="565"/>
      <c r="J291" s="565"/>
      <c r="K291" s="565"/>
      <c r="L291" s="565"/>
      <c r="M291" s="565"/>
      <c r="N291" s="529"/>
      <c r="O291" s="529"/>
      <c r="P291" s="529"/>
      <c r="Q291" s="529"/>
      <c r="R291" s="529"/>
      <c r="S291" s="529"/>
      <c r="T291" s="529"/>
      <c r="U291" s="529"/>
      <c r="V291" s="529"/>
      <c r="W291" s="529"/>
      <c r="X291" s="529"/>
      <c r="Y291" s="529"/>
      <c r="Z291" s="529"/>
      <c r="AA291" s="529"/>
      <c r="AB291" s="529"/>
      <c r="AC291" s="529"/>
      <c r="AD291" s="529"/>
      <c r="AE291" s="529"/>
      <c r="AF291" s="529"/>
      <c r="AG291" s="556"/>
      <c r="AH291" s="528"/>
    </row>
    <row r="292">
      <c r="A292" s="564"/>
      <c r="B292" s="565"/>
      <c r="C292" s="565"/>
      <c r="D292" s="565"/>
      <c r="E292" s="565"/>
      <c r="F292" s="565"/>
      <c r="G292" s="565"/>
      <c r="H292" s="565"/>
      <c r="I292" s="565"/>
      <c r="J292" s="565"/>
      <c r="K292" s="565"/>
      <c r="L292" s="565"/>
      <c r="M292" s="565"/>
      <c r="N292" s="529"/>
      <c r="O292" s="529"/>
      <c r="P292" s="529"/>
      <c r="Q292" s="529"/>
      <c r="R292" s="529"/>
      <c r="S292" s="529"/>
      <c r="T292" s="529"/>
      <c r="U292" s="529"/>
      <c r="V292" s="529"/>
      <c r="W292" s="529"/>
      <c r="X292" s="529"/>
      <c r="Y292" s="529"/>
      <c r="Z292" s="529"/>
      <c r="AA292" s="529"/>
      <c r="AB292" s="529"/>
      <c r="AC292" s="529"/>
      <c r="AD292" s="529"/>
      <c r="AE292" s="529"/>
      <c r="AF292" s="529"/>
      <c r="AG292" s="556"/>
      <c r="AH292" s="528"/>
    </row>
    <row r="293">
      <c r="A293" s="564"/>
      <c r="B293" s="565"/>
      <c r="C293" s="565"/>
      <c r="D293" s="565"/>
      <c r="E293" s="565"/>
      <c r="F293" s="565"/>
      <c r="G293" s="565"/>
      <c r="H293" s="565"/>
      <c r="I293" s="565"/>
      <c r="J293" s="565"/>
      <c r="K293" s="565"/>
      <c r="L293" s="565"/>
      <c r="M293" s="565"/>
      <c r="N293" s="529"/>
      <c r="O293" s="529"/>
      <c r="P293" s="529"/>
      <c r="Q293" s="529"/>
      <c r="R293" s="529"/>
      <c r="S293" s="529"/>
      <c r="T293" s="529"/>
      <c r="U293" s="529"/>
      <c r="V293" s="529"/>
      <c r="W293" s="529"/>
      <c r="X293" s="529"/>
      <c r="Y293" s="529"/>
      <c r="Z293" s="529"/>
      <c r="AA293" s="529"/>
      <c r="AB293" s="529"/>
      <c r="AC293" s="529"/>
      <c r="AD293" s="529"/>
      <c r="AE293" s="529"/>
      <c r="AF293" s="529"/>
      <c r="AG293" s="556"/>
      <c r="AH293" s="528"/>
    </row>
    <row r="294">
      <c r="A294" s="564"/>
      <c r="B294" s="565"/>
      <c r="C294" s="565"/>
      <c r="D294" s="565"/>
      <c r="E294" s="565"/>
      <c r="F294" s="565"/>
      <c r="G294" s="565"/>
      <c r="H294" s="565"/>
      <c r="I294" s="565"/>
      <c r="J294" s="565"/>
      <c r="K294" s="565"/>
      <c r="L294" s="565"/>
      <c r="M294" s="565"/>
      <c r="N294" s="529"/>
      <c r="O294" s="529"/>
      <c r="P294" s="529"/>
      <c r="Q294" s="529"/>
      <c r="R294" s="529"/>
      <c r="S294" s="529"/>
      <c r="T294" s="529"/>
      <c r="U294" s="529"/>
      <c r="V294" s="529"/>
      <c r="W294" s="529"/>
      <c r="X294" s="529"/>
      <c r="Y294" s="529"/>
      <c r="Z294" s="529"/>
      <c r="AA294" s="529"/>
      <c r="AB294" s="529"/>
      <c r="AC294" s="529"/>
      <c r="AD294" s="529"/>
      <c r="AE294" s="529"/>
      <c r="AF294" s="529"/>
      <c r="AG294" s="556"/>
      <c r="AH294" s="528"/>
    </row>
    <row r="295">
      <c r="A295" s="564"/>
      <c r="B295" s="565"/>
      <c r="C295" s="565"/>
      <c r="D295" s="565"/>
      <c r="E295" s="565"/>
      <c r="F295" s="565"/>
      <c r="G295" s="565"/>
      <c r="H295" s="565"/>
      <c r="I295" s="565"/>
      <c r="J295" s="565"/>
      <c r="K295" s="565"/>
      <c r="L295" s="565"/>
      <c r="M295" s="565"/>
      <c r="N295" s="529"/>
      <c r="O295" s="529"/>
      <c r="P295" s="529"/>
      <c r="Q295" s="529"/>
      <c r="R295" s="529"/>
      <c r="S295" s="529"/>
      <c r="T295" s="529"/>
      <c r="U295" s="529"/>
      <c r="V295" s="529"/>
      <c r="W295" s="529"/>
      <c r="X295" s="529"/>
      <c r="Y295" s="529"/>
      <c r="Z295" s="529"/>
      <c r="AA295" s="529"/>
      <c r="AB295" s="529"/>
      <c r="AC295" s="529"/>
      <c r="AD295" s="529"/>
      <c r="AE295" s="529"/>
      <c r="AF295" s="529"/>
      <c r="AG295" s="556"/>
      <c r="AH295" s="528"/>
    </row>
    <row r="296">
      <c r="A296" s="564"/>
      <c r="B296" s="565"/>
      <c r="C296" s="565"/>
      <c r="D296" s="565"/>
      <c r="E296" s="565"/>
      <c r="F296" s="565"/>
      <c r="G296" s="565"/>
      <c r="H296" s="565"/>
      <c r="I296" s="565"/>
      <c r="J296" s="565"/>
      <c r="K296" s="565"/>
      <c r="L296" s="565"/>
      <c r="M296" s="565"/>
      <c r="N296" s="529"/>
      <c r="O296" s="529"/>
      <c r="P296" s="529"/>
      <c r="Q296" s="529"/>
      <c r="R296" s="529"/>
      <c r="S296" s="529"/>
      <c r="T296" s="529"/>
      <c r="U296" s="529"/>
      <c r="V296" s="529"/>
      <c r="W296" s="529"/>
      <c r="X296" s="529"/>
      <c r="Y296" s="529"/>
      <c r="Z296" s="529"/>
      <c r="AA296" s="529"/>
      <c r="AB296" s="529"/>
      <c r="AC296" s="529"/>
      <c r="AD296" s="529"/>
      <c r="AE296" s="529"/>
      <c r="AF296" s="529"/>
      <c r="AG296" s="556"/>
      <c r="AH296" s="528"/>
    </row>
    <row r="297">
      <c r="A297" s="564"/>
      <c r="B297" s="565"/>
      <c r="C297" s="565"/>
      <c r="D297" s="565"/>
      <c r="E297" s="565"/>
      <c r="F297" s="565"/>
      <c r="G297" s="565"/>
      <c r="H297" s="565"/>
      <c r="I297" s="565"/>
      <c r="J297" s="565"/>
      <c r="K297" s="565"/>
      <c r="L297" s="565"/>
      <c r="M297" s="565"/>
      <c r="N297" s="529"/>
      <c r="O297" s="529"/>
      <c r="P297" s="529"/>
      <c r="Q297" s="529"/>
      <c r="R297" s="529"/>
      <c r="S297" s="529"/>
      <c r="T297" s="529"/>
      <c r="U297" s="529"/>
      <c r="V297" s="529"/>
      <c r="W297" s="529"/>
      <c r="X297" s="529"/>
      <c r="Y297" s="529"/>
      <c r="Z297" s="529"/>
      <c r="AA297" s="529"/>
      <c r="AB297" s="529"/>
      <c r="AC297" s="529"/>
      <c r="AD297" s="529"/>
      <c r="AE297" s="529"/>
      <c r="AF297" s="529"/>
      <c r="AG297" s="556"/>
      <c r="AH297" s="528"/>
    </row>
    <row r="298">
      <c r="A298" s="564"/>
      <c r="B298" s="565"/>
      <c r="C298" s="565"/>
      <c r="D298" s="565"/>
      <c r="E298" s="565"/>
      <c r="F298" s="565"/>
      <c r="G298" s="565"/>
      <c r="H298" s="565"/>
      <c r="I298" s="565"/>
      <c r="J298" s="565"/>
      <c r="K298" s="565"/>
      <c r="L298" s="565"/>
      <c r="M298" s="565"/>
      <c r="N298" s="529"/>
      <c r="O298" s="529"/>
      <c r="P298" s="529"/>
      <c r="Q298" s="529"/>
      <c r="R298" s="529"/>
      <c r="S298" s="529"/>
      <c r="T298" s="529"/>
      <c r="U298" s="529"/>
      <c r="V298" s="529"/>
      <c r="W298" s="529"/>
      <c r="X298" s="529"/>
      <c r="Y298" s="529"/>
      <c r="Z298" s="529"/>
      <c r="AA298" s="529"/>
      <c r="AB298" s="529"/>
      <c r="AC298" s="529"/>
      <c r="AD298" s="529"/>
      <c r="AE298" s="529"/>
      <c r="AF298" s="529"/>
      <c r="AG298" s="556"/>
      <c r="AH298" s="528"/>
    </row>
    <row r="299">
      <c r="A299" s="564"/>
      <c r="B299" s="565"/>
      <c r="C299" s="565"/>
      <c r="D299" s="565"/>
      <c r="E299" s="565"/>
      <c r="F299" s="565"/>
      <c r="G299" s="565"/>
      <c r="H299" s="565"/>
      <c r="I299" s="565"/>
      <c r="J299" s="565"/>
      <c r="K299" s="565"/>
      <c r="L299" s="565"/>
      <c r="M299" s="565"/>
      <c r="N299" s="529"/>
      <c r="O299" s="529"/>
      <c r="P299" s="529"/>
      <c r="Q299" s="529"/>
      <c r="R299" s="529"/>
      <c r="S299" s="529"/>
      <c r="T299" s="529"/>
      <c r="U299" s="529"/>
      <c r="V299" s="529"/>
      <c r="W299" s="529"/>
      <c r="X299" s="529"/>
      <c r="Y299" s="529"/>
      <c r="Z299" s="529"/>
      <c r="AA299" s="529"/>
      <c r="AB299" s="529"/>
      <c r="AC299" s="529"/>
      <c r="AD299" s="529"/>
      <c r="AE299" s="529"/>
      <c r="AF299" s="529"/>
      <c r="AG299" s="556"/>
      <c r="AH299" s="528"/>
    </row>
    <row r="300">
      <c r="A300" s="564"/>
      <c r="B300" s="565"/>
      <c r="C300" s="565"/>
      <c r="D300" s="565"/>
      <c r="E300" s="565"/>
      <c r="F300" s="565"/>
      <c r="G300" s="565"/>
      <c r="H300" s="565"/>
      <c r="I300" s="565"/>
      <c r="J300" s="565"/>
      <c r="K300" s="565"/>
      <c r="L300" s="565"/>
      <c r="M300" s="565"/>
      <c r="N300" s="529"/>
      <c r="O300" s="529"/>
      <c r="P300" s="529"/>
      <c r="Q300" s="529"/>
      <c r="R300" s="529"/>
      <c r="S300" s="529"/>
      <c r="T300" s="529"/>
      <c r="U300" s="529"/>
      <c r="V300" s="529"/>
      <c r="W300" s="529"/>
      <c r="X300" s="529"/>
      <c r="Y300" s="529"/>
      <c r="Z300" s="529"/>
      <c r="AA300" s="529"/>
      <c r="AB300" s="529"/>
      <c r="AC300" s="529"/>
      <c r="AD300" s="529"/>
      <c r="AE300" s="529"/>
      <c r="AF300" s="529"/>
      <c r="AG300" s="556"/>
      <c r="AH300" s="528"/>
    </row>
    <row r="301">
      <c r="A301" s="564"/>
      <c r="B301" s="565"/>
      <c r="C301" s="565"/>
      <c r="D301" s="565"/>
      <c r="E301" s="565"/>
      <c r="F301" s="565"/>
      <c r="G301" s="565"/>
      <c r="H301" s="565"/>
      <c r="I301" s="565"/>
      <c r="J301" s="565"/>
      <c r="K301" s="565"/>
      <c r="L301" s="565"/>
      <c r="M301" s="565"/>
      <c r="N301" s="529"/>
      <c r="O301" s="529"/>
      <c r="P301" s="529"/>
      <c r="Q301" s="529"/>
      <c r="R301" s="529"/>
      <c r="S301" s="529"/>
      <c r="T301" s="529"/>
      <c r="U301" s="529"/>
      <c r="V301" s="529"/>
      <c r="W301" s="529"/>
      <c r="X301" s="529"/>
      <c r="Y301" s="529"/>
      <c r="Z301" s="529"/>
      <c r="AA301" s="529"/>
      <c r="AB301" s="529"/>
      <c r="AC301" s="529"/>
      <c r="AD301" s="529"/>
      <c r="AE301" s="529"/>
      <c r="AF301" s="529"/>
      <c r="AG301" s="556"/>
      <c r="AH301" s="528"/>
    </row>
    <row r="302">
      <c r="A302" s="564"/>
      <c r="B302" s="565"/>
      <c r="C302" s="565"/>
      <c r="D302" s="565"/>
      <c r="E302" s="565"/>
      <c r="F302" s="565"/>
      <c r="G302" s="565"/>
      <c r="H302" s="565"/>
      <c r="I302" s="565"/>
      <c r="J302" s="565"/>
      <c r="K302" s="565"/>
      <c r="L302" s="565"/>
      <c r="M302" s="565"/>
      <c r="N302" s="529"/>
      <c r="O302" s="529"/>
      <c r="P302" s="529"/>
      <c r="Q302" s="529"/>
      <c r="R302" s="529"/>
      <c r="S302" s="529"/>
      <c r="T302" s="529"/>
      <c r="U302" s="529"/>
      <c r="V302" s="529"/>
      <c r="W302" s="529"/>
      <c r="X302" s="529"/>
      <c r="Y302" s="529"/>
      <c r="Z302" s="529"/>
      <c r="AA302" s="529"/>
      <c r="AB302" s="529"/>
      <c r="AC302" s="529"/>
      <c r="AD302" s="529"/>
      <c r="AE302" s="529"/>
      <c r="AF302" s="529"/>
      <c r="AG302" s="556"/>
      <c r="AH302" s="528"/>
    </row>
    <row r="303">
      <c r="A303" s="564"/>
      <c r="B303" s="565"/>
      <c r="C303" s="565"/>
      <c r="D303" s="565"/>
      <c r="E303" s="565"/>
      <c r="F303" s="565"/>
      <c r="G303" s="565"/>
      <c r="H303" s="565"/>
      <c r="I303" s="565"/>
      <c r="J303" s="565"/>
      <c r="K303" s="565"/>
      <c r="L303" s="565"/>
      <c r="M303" s="565"/>
      <c r="N303" s="529"/>
      <c r="O303" s="529"/>
      <c r="P303" s="529"/>
      <c r="Q303" s="529"/>
      <c r="R303" s="529"/>
      <c r="S303" s="529"/>
      <c r="T303" s="529"/>
      <c r="U303" s="529"/>
      <c r="V303" s="529"/>
      <c r="W303" s="529"/>
      <c r="X303" s="529"/>
      <c r="Y303" s="529"/>
      <c r="Z303" s="529"/>
      <c r="AA303" s="529"/>
      <c r="AB303" s="529"/>
      <c r="AC303" s="529"/>
      <c r="AD303" s="529"/>
      <c r="AE303" s="529"/>
      <c r="AF303" s="529"/>
      <c r="AG303" s="556"/>
      <c r="AH303" s="528"/>
    </row>
    <row r="304">
      <c r="A304" s="564"/>
      <c r="B304" s="565"/>
      <c r="C304" s="565"/>
      <c r="D304" s="565"/>
      <c r="E304" s="565"/>
      <c r="F304" s="565"/>
      <c r="G304" s="565"/>
      <c r="H304" s="565"/>
      <c r="I304" s="565"/>
      <c r="J304" s="565"/>
      <c r="K304" s="565"/>
      <c r="L304" s="565"/>
      <c r="M304" s="565"/>
      <c r="N304" s="529"/>
      <c r="O304" s="529"/>
      <c r="P304" s="529"/>
      <c r="Q304" s="529"/>
      <c r="R304" s="529"/>
      <c r="S304" s="529"/>
      <c r="T304" s="529"/>
      <c r="U304" s="529"/>
      <c r="V304" s="529"/>
      <c r="W304" s="529"/>
      <c r="X304" s="529"/>
      <c r="Y304" s="529"/>
      <c r="Z304" s="529"/>
      <c r="AA304" s="529"/>
      <c r="AB304" s="529"/>
      <c r="AC304" s="529"/>
      <c r="AD304" s="529"/>
      <c r="AE304" s="529"/>
      <c r="AF304" s="529"/>
      <c r="AG304" s="556"/>
      <c r="AH304" s="528"/>
    </row>
    <row r="305">
      <c r="A305" s="564"/>
      <c r="B305" s="565"/>
      <c r="C305" s="565"/>
      <c r="D305" s="565"/>
      <c r="E305" s="565"/>
      <c r="F305" s="565"/>
      <c r="G305" s="565"/>
      <c r="H305" s="565"/>
      <c r="I305" s="565"/>
      <c r="J305" s="565"/>
      <c r="K305" s="565"/>
      <c r="L305" s="565"/>
      <c r="M305" s="565"/>
      <c r="N305" s="529"/>
      <c r="O305" s="529"/>
      <c r="P305" s="529"/>
      <c r="Q305" s="529"/>
      <c r="R305" s="529"/>
      <c r="S305" s="529"/>
      <c r="T305" s="529"/>
      <c r="U305" s="529"/>
      <c r="V305" s="529"/>
      <c r="W305" s="529"/>
      <c r="X305" s="529"/>
      <c r="Y305" s="529"/>
      <c r="Z305" s="529"/>
      <c r="AA305" s="529"/>
      <c r="AB305" s="529"/>
      <c r="AC305" s="529"/>
      <c r="AD305" s="529"/>
      <c r="AE305" s="529"/>
      <c r="AF305" s="529"/>
      <c r="AG305" s="556"/>
      <c r="AH305" s="528"/>
    </row>
    <row r="306">
      <c r="A306" s="564"/>
      <c r="B306" s="565"/>
      <c r="C306" s="565"/>
      <c r="D306" s="565"/>
      <c r="E306" s="565"/>
      <c r="F306" s="565"/>
      <c r="G306" s="565"/>
      <c r="H306" s="565"/>
      <c r="I306" s="565"/>
      <c r="J306" s="565"/>
      <c r="K306" s="565"/>
      <c r="L306" s="565"/>
      <c r="M306" s="565"/>
      <c r="N306" s="529"/>
      <c r="O306" s="529"/>
      <c r="P306" s="529"/>
      <c r="Q306" s="529"/>
      <c r="R306" s="529"/>
      <c r="S306" s="529"/>
      <c r="T306" s="529"/>
      <c r="U306" s="529"/>
      <c r="V306" s="529"/>
      <c r="W306" s="529"/>
      <c r="X306" s="529"/>
      <c r="Y306" s="529"/>
      <c r="Z306" s="529"/>
      <c r="AA306" s="529"/>
      <c r="AB306" s="529"/>
      <c r="AC306" s="529"/>
      <c r="AD306" s="529"/>
      <c r="AE306" s="529"/>
      <c r="AF306" s="529"/>
      <c r="AG306" s="556"/>
      <c r="AH306" s="528"/>
    </row>
    <row r="307">
      <c r="A307" s="564"/>
      <c r="B307" s="565"/>
      <c r="C307" s="565"/>
      <c r="D307" s="565"/>
      <c r="E307" s="565"/>
      <c r="F307" s="565"/>
      <c r="G307" s="565"/>
      <c r="H307" s="565"/>
      <c r="I307" s="565"/>
      <c r="J307" s="565"/>
      <c r="K307" s="565"/>
      <c r="L307" s="565"/>
      <c r="M307" s="565"/>
      <c r="N307" s="529"/>
      <c r="O307" s="529"/>
      <c r="P307" s="529"/>
      <c r="Q307" s="529"/>
      <c r="R307" s="529"/>
      <c r="S307" s="529"/>
      <c r="T307" s="529"/>
      <c r="U307" s="529"/>
      <c r="V307" s="529"/>
      <c r="W307" s="529"/>
      <c r="X307" s="529"/>
      <c r="Y307" s="529"/>
      <c r="Z307" s="529"/>
      <c r="AA307" s="529"/>
      <c r="AB307" s="529"/>
      <c r="AC307" s="529"/>
      <c r="AD307" s="529"/>
      <c r="AE307" s="529"/>
      <c r="AF307" s="529"/>
      <c r="AG307" s="556"/>
      <c r="AH307" s="528"/>
    </row>
    <row r="308">
      <c r="A308" s="564"/>
      <c r="B308" s="565"/>
      <c r="C308" s="565"/>
      <c r="D308" s="565"/>
      <c r="E308" s="565"/>
      <c r="F308" s="565"/>
      <c r="G308" s="565"/>
      <c r="H308" s="565"/>
      <c r="I308" s="565"/>
      <c r="J308" s="565"/>
      <c r="K308" s="565"/>
      <c r="L308" s="565"/>
      <c r="M308" s="565"/>
      <c r="N308" s="529"/>
      <c r="O308" s="529"/>
      <c r="P308" s="529"/>
      <c r="Q308" s="529"/>
      <c r="R308" s="529"/>
      <c r="S308" s="529"/>
      <c r="T308" s="529"/>
      <c r="U308" s="529"/>
      <c r="V308" s="529"/>
      <c r="W308" s="529"/>
      <c r="X308" s="529"/>
      <c r="Y308" s="529"/>
      <c r="Z308" s="529"/>
      <c r="AA308" s="529"/>
      <c r="AB308" s="529"/>
      <c r="AC308" s="529"/>
      <c r="AD308" s="529"/>
      <c r="AE308" s="529"/>
      <c r="AF308" s="529"/>
      <c r="AG308" s="556"/>
      <c r="AH308" s="528"/>
    </row>
    <row r="309">
      <c r="A309" s="564"/>
      <c r="B309" s="565"/>
      <c r="C309" s="565"/>
      <c r="D309" s="565"/>
      <c r="E309" s="565"/>
      <c r="F309" s="565"/>
      <c r="G309" s="565"/>
      <c r="H309" s="565"/>
      <c r="I309" s="565"/>
      <c r="J309" s="565"/>
      <c r="K309" s="565"/>
      <c r="L309" s="565"/>
      <c r="M309" s="565"/>
      <c r="N309" s="529"/>
      <c r="O309" s="529"/>
      <c r="P309" s="529"/>
      <c r="Q309" s="529"/>
      <c r="R309" s="529"/>
      <c r="S309" s="529"/>
      <c r="T309" s="529"/>
      <c r="U309" s="529"/>
      <c r="V309" s="529"/>
      <c r="W309" s="529"/>
      <c r="X309" s="529"/>
      <c r="Y309" s="529"/>
      <c r="Z309" s="529"/>
      <c r="AA309" s="529"/>
      <c r="AB309" s="529"/>
      <c r="AC309" s="529"/>
      <c r="AD309" s="529"/>
      <c r="AE309" s="529"/>
      <c r="AF309" s="529"/>
      <c r="AG309" s="556"/>
      <c r="AH309" s="528"/>
    </row>
    <row r="310">
      <c r="A310" s="564"/>
      <c r="B310" s="565"/>
      <c r="C310" s="565"/>
      <c r="D310" s="565"/>
      <c r="E310" s="565"/>
      <c r="F310" s="565"/>
      <c r="G310" s="565"/>
      <c r="H310" s="565"/>
      <c r="I310" s="565"/>
      <c r="J310" s="565"/>
      <c r="K310" s="565"/>
      <c r="L310" s="565"/>
      <c r="M310" s="565"/>
      <c r="N310" s="529"/>
      <c r="O310" s="529"/>
      <c r="P310" s="529"/>
      <c r="Q310" s="529"/>
      <c r="R310" s="529"/>
      <c r="S310" s="529"/>
      <c r="T310" s="529"/>
      <c r="U310" s="529"/>
      <c r="V310" s="529"/>
      <c r="W310" s="529"/>
      <c r="X310" s="529"/>
      <c r="Y310" s="529"/>
      <c r="Z310" s="529"/>
      <c r="AA310" s="529"/>
      <c r="AB310" s="529"/>
      <c r="AC310" s="529"/>
      <c r="AD310" s="529"/>
      <c r="AE310" s="529"/>
      <c r="AF310" s="529"/>
      <c r="AG310" s="556"/>
      <c r="AH310" s="528"/>
    </row>
    <row r="311">
      <c r="A311" s="564"/>
      <c r="B311" s="565"/>
      <c r="C311" s="565"/>
      <c r="D311" s="565"/>
      <c r="E311" s="565"/>
      <c r="F311" s="565"/>
      <c r="G311" s="565"/>
      <c r="H311" s="565"/>
      <c r="I311" s="565"/>
      <c r="J311" s="565"/>
      <c r="K311" s="565"/>
      <c r="L311" s="565"/>
      <c r="M311" s="565"/>
      <c r="N311" s="529"/>
      <c r="O311" s="529"/>
      <c r="P311" s="529"/>
      <c r="Q311" s="529"/>
      <c r="R311" s="529"/>
      <c r="S311" s="529"/>
      <c r="T311" s="529"/>
      <c r="U311" s="529"/>
      <c r="V311" s="529"/>
      <c r="W311" s="529"/>
      <c r="X311" s="529"/>
      <c r="Y311" s="529"/>
      <c r="Z311" s="529"/>
      <c r="AA311" s="529"/>
      <c r="AB311" s="529"/>
      <c r="AC311" s="529"/>
      <c r="AD311" s="529"/>
      <c r="AE311" s="529"/>
      <c r="AF311" s="529"/>
      <c r="AG311" s="556"/>
      <c r="AH311" s="528"/>
    </row>
    <row r="312">
      <c r="A312" s="564"/>
      <c r="B312" s="565"/>
      <c r="C312" s="565"/>
      <c r="D312" s="565"/>
      <c r="E312" s="565"/>
      <c r="F312" s="565"/>
      <c r="G312" s="565"/>
      <c r="H312" s="565"/>
      <c r="I312" s="565"/>
      <c r="J312" s="565"/>
      <c r="K312" s="565"/>
      <c r="L312" s="565"/>
      <c r="M312" s="565"/>
      <c r="N312" s="529"/>
      <c r="O312" s="529"/>
      <c r="P312" s="529"/>
      <c r="Q312" s="529"/>
      <c r="R312" s="529"/>
      <c r="S312" s="529"/>
      <c r="T312" s="529"/>
      <c r="U312" s="529"/>
      <c r="V312" s="529"/>
      <c r="W312" s="529"/>
      <c r="X312" s="529"/>
      <c r="Y312" s="529"/>
      <c r="Z312" s="529"/>
      <c r="AA312" s="529"/>
      <c r="AB312" s="529"/>
      <c r="AC312" s="529"/>
      <c r="AD312" s="529"/>
      <c r="AE312" s="529"/>
      <c r="AF312" s="529"/>
      <c r="AG312" s="556"/>
      <c r="AH312" s="528"/>
    </row>
    <row r="313">
      <c r="A313" s="564"/>
      <c r="B313" s="565"/>
      <c r="C313" s="565"/>
      <c r="D313" s="565"/>
      <c r="E313" s="565"/>
      <c r="F313" s="565"/>
      <c r="G313" s="565"/>
      <c r="H313" s="565"/>
      <c r="I313" s="565"/>
      <c r="J313" s="565"/>
      <c r="K313" s="565"/>
      <c r="L313" s="565"/>
      <c r="M313" s="565"/>
      <c r="N313" s="529"/>
      <c r="O313" s="529"/>
      <c r="P313" s="529"/>
      <c r="Q313" s="529"/>
      <c r="R313" s="529"/>
      <c r="S313" s="529"/>
      <c r="T313" s="529"/>
      <c r="U313" s="529"/>
      <c r="V313" s="529"/>
      <c r="W313" s="529"/>
      <c r="X313" s="529"/>
      <c r="Y313" s="529"/>
      <c r="Z313" s="529"/>
      <c r="AA313" s="529"/>
      <c r="AB313" s="529"/>
      <c r="AC313" s="529"/>
      <c r="AD313" s="529"/>
      <c r="AE313" s="529"/>
      <c r="AF313" s="529"/>
      <c r="AG313" s="556"/>
      <c r="AH313" s="528"/>
    </row>
    <row r="314">
      <c r="A314" s="564"/>
      <c r="B314" s="565"/>
      <c r="C314" s="565"/>
      <c r="D314" s="565"/>
      <c r="E314" s="565"/>
      <c r="F314" s="565"/>
      <c r="G314" s="565"/>
      <c r="H314" s="565"/>
      <c r="I314" s="565"/>
      <c r="J314" s="565"/>
      <c r="K314" s="565"/>
      <c r="L314" s="565"/>
      <c r="M314" s="565"/>
      <c r="N314" s="529"/>
      <c r="O314" s="529"/>
      <c r="P314" s="529"/>
      <c r="Q314" s="529"/>
      <c r="R314" s="529"/>
      <c r="S314" s="529"/>
      <c r="T314" s="529"/>
      <c r="U314" s="529"/>
      <c r="V314" s="529"/>
      <c r="W314" s="529"/>
      <c r="X314" s="529"/>
      <c r="Y314" s="529"/>
      <c r="Z314" s="529"/>
      <c r="AA314" s="529"/>
      <c r="AB314" s="529"/>
      <c r="AC314" s="529"/>
      <c r="AD314" s="529"/>
      <c r="AE314" s="529"/>
      <c r="AF314" s="529"/>
      <c r="AG314" s="556"/>
      <c r="AH314" s="528"/>
    </row>
    <row r="315">
      <c r="A315" s="564"/>
      <c r="B315" s="565"/>
      <c r="C315" s="565"/>
      <c r="D315" s="565"/>
      <c r="E315" s="565"/>
      <c r="F315" s="565"/>
      <c r="G315" s="565"/>
      <c r="H315" s="565"/>
      <c r="I315" s="565"/>
      <c r="J315" s="565"/>
      <c r="K315" s="565"/>
      <c r="L315" s="565"/>
      <c r="M315" s="565"/>
      <c r="N315" s="529"/>
      <c r="O315" s="529"/>
      <c r="P315" s="529"/>
      <c r="Q315" s="529"/>
      <c r="R315" s="529"/>
      <c r="S315" s="529"/>
      <c r="T315" s="529"/>
      <c r="U315" s="529"/>
      <c r="V315" s="529"/>
      <c r="W315" s="529"/>
      <c r="X315" s="529"/>
      <c r="Y315" s="529"/>
      <c r="Z315" s="529"/>
      <c r="AA315" s="529"/>
      <c r="AB315" s="529"/>
      <c r="AC315" s="529"/>
      <c r="AD315" s="529"/>
      <c r="AE315" s="529"/>
      <c r="AF315" s="529"/>
      <c r="AG315" s="556"/>
      <c r="AH315" s="528"/>
    </row>
    <row r="316">
      <c r="A316" s="564"/>
      <c r="B316" s="565"/>
      <c r="C316" s="565"/>
      <c r="D316" s="565"/>
      <c r="E316" s="565"/>
      <c r="F316" s="565"/>
      <c r="G316" s="565"/>
      <c r="H316" s="565"/>
      <c r="I316" s="565"/>
      <c r="J316" s="565"/>
      <c r="K316" s="565"/>
      <c r="L316" s="565"/>
      <c r="M316" s="565"/>
      <c r="N316" s="529"/>
      <c r="O316" s="529"/>
      <c r="P316" s="529"/>
      <c r="Q316" s="529"/>
      <c r="R316" s="529"/>
      <c r="S316" s="529"/>
      <c r="T316" s="529"/>
      <c r="U316" s="529"/>
      <c r="V316" s="529"/>
      <c r="W316" s="529"/>
      <c r="X316" s="529"/>
      <c r="Y316" s="529"/>
      <c r="Z316" s="529"/>
      <c r="AA316" s="529"/>
      <c r="AB316" s="529"/>
      <c r="AC316" s="529"/>
      <c r="AD316" s="529"/>
      <c r="AE316" s="529"/>
      <c r="AF316" s="529"/>
      <c r="AG316" s="556"/>
      <c r="AH316" s="528"/>
    </row>
    <row r="317">
      <c r="A317" s="564"/>
      <c r="B317" s="565"/>
      <c r="C317" s="565"/>
      <c r="D317" s="565"/>
      <c r="E317" s="565"/>
      <c r="F317" s="565"/>
      <c r="G317" s="565"/>
      <c r="H317" s="565"/>
      <c r="I317" s="565"/>
      <c r="J317" s="565"/>
      <c r="K317" s="565"/>
      <c r="L317" s="565"/>
      <c r="M317" s="565"/>
      <c r="N317" s="529"/>
      <c r="O317" s="529"/>
      <c r="P317" s="529"/>
      <c r="Q317" s="529"/>
      <c r="R317" s="529"/>
      <c r="S317" s="529"/>
      <c r="T317" s="529"/>
      <c r="U317" s="529"/>
      <c r="V317" s="529"/>
      <c r="W317" s="529"/>
      <c r="X317" s="529"/>
      <c r="Y317" s="529"/>
      <c r="Z317" s="529"/>
      <c r="AA317" s="529"/>
      <c r="AB317" s="529"/>
      <c r="AC317" s="529"/>
      <c r="AD317" s="529"/>
      <c r="AE317" s="529"/>
      <c r="AF317" s="529"/>
      <c r="AG317" s="556"/>
      <c r="AH317" s="528"/>
    </row>
    <row r="318">
      <c r="A318" s="564"/>
      <c r="B318" s="565"/>
      <c r="C318" s="565"/>
      <c r="D318" s="565"/>
      <c r="E318" s="565"/>
      <c r="F318" s="565"/>
      <c r="G318" s="565"/>
      <c r="H318" s="565"/>
      <c r="I318" s="565"/>
      <c r="J318" s="565"/>
      <c r="K318" s="565"/>
      <c r="L318" s="565"/>
      <c r="M318" s="565"/>
      <c r="N318" s="529"/>
      <c r="O318" s="529"/>
      <c r="P318" s="529"/>
      <c r="Q318" s="529"/>
      <c r="R318" s="529"/>
      <c r="S318" s="529"/>
      <c r="T318" s="529"/>
      <c r="U318" s="529"/>
      <c r="V318" s="529"/>
      <c r="W318" s="529"/>
      <c r="X318" s="529"/>
      <c r="Y318" s="529"/>
      <c r="Z318" s="529"/>
      <c r="AA318" s="529"/>
      <c r="AB318" s="529"/>
      <c r="AC318" s="529"/>
      <c r="AD318" s="529"/>
      <c r="AE318" s="529"/>
      <c r="AF318" s="529"/>
      <c r="AG318" s="556"/>
      <c r="AH318" s="528"/>
    </row>
    <row r="319">
      <c r="A319" s="564"/>
      <c r="B319" s="565"/>
      <c r="C319" s="565"/>
      <c r="D319" s="565"/>
      <c r="E319" s="565"/>
      <c r="F319" s="565"/>
      <c r="G319" s="565"/>
      <c r="H319" s="565"/>
      <c r="I319" s="565"/>
      <c r="J319" s="565"/>
      <c r="K319" s="565"/>
      <c r="L319" s="565"/>
      <c r="M319" s="565"/>
      <c r="N319" s="529"/>
      <c r="O319" s="529"/>
      <c r="P319" s="529"/>
      <c r="Q319" s="529"/>
      <c r="R319" s="529"/>
      <c r="S319" s="529"/>
      <c r="T319" s="529"/>
      <c r="U319" s="529"/>
      <c r="V319" s="529"/>
      <c r="W319" s="529"/>
      <c r="X319" s="529"/>
      <c r="Y319" s="529"/>
      <c r="Z319" s="529"/>
      <c r="AA319" s="529"/>
      <c r="AB319" s="529"/>
      <c r="AC319" s="529"/>
      <c r="AD319" s="529"/>
      <c r="AE319" s="529"/>
      <c r="AF319" s="529"/>
      <c r="AG319" s="556"/>
      <c r="AH319" s="528"/>
    </row>
    <row r="320">
      <c r="A320" s="564"/>
      <c r="B320" s="565"/>
      <c r="C320" s="565"/>
      <c r="D320" s="565"/>
      <c r="E320" s="565"/>
      <c r="F320" s="565"/>
      <c r="G320" s="565"/>
      <c r="H320" s="565"/>
      <c r="I320" s="565"/>
      <c r="J320" s="565"/>
      <c r="K320" s="565"/>
      <c r="L320" s="565"/>
      <c r="M320" s="565"/>
      <c r="N320" s="529"/>
      <c r="O320" s="529"/>
      <c r="P320" s="529"/>
      <c r="Q320" s="529"/>
      <c r="R320" s="529"/>
      <c r="S320" s="529"/>
      <c r="T320" s="529"/>
      <c r="U320" s="529"/>
      <c r="V320" s="529"/>
      <c r="W320" s="529"/>
      <c r="X320" s="529"/>
      <c r="Y320" s="529"/>
      <c r="Z320" s="529"/>
      <c r="AA320" s="529"/>
      <c r="AB320" s="529"/>
      <c r="AC320" s="529"/>
      <c r="AD320" s="529"/>
      <c r="AE320" s="529"/>
      <c r="AF320" s="529"/>
      <c r="AG320" s="556"/>
      <c r="AH320" s="528"/>
    </row>
    <row r="321">
      <c r="A321" s="564"/>
      <c r="B321" s="565"/>
      <c r="C321" s="565"/>
      <c r="D321" s="565"/>
      <c r="E321" s="565"/>
      <c r="F321" s="565"/>
      <c r="G321" s="565"/>
      <c r="H321" s="565"/>
      <c r="I321" s="565"/>
      <c r="J321" s="565"/>
      <c r="K321" s="565"/>
      <c r="L321" s="565"/>
      <c r="M321" s="565"/>
      <c r="N321" s="529"/>
      <c r="O321" s="529"/>
      <c r="P321" s="529"/>
      <c r="Q321" s="529"/>
      <c r="R321" s="529"/>
      <c r="S321" s="529"/>
      <c r="T321" s="529"/>
      <c r="U321" s="529"/>
      <c r="V321" s="529"/>
      <c r="W321" s="529"/>
      <c r="X321" s="529"/>
      <c r="Y321" s="529"/>
      <c r="Z321" s="529"/>
      <c r="AA321" s="529"/>
      <c r="AB321" s="529"/>
      <c r="AC321" s="529"/>
      <c r="AD321" s="529"/>
      <c r="AE321" s="529"/>
      <c r="AF321" s="529"/>
      <c r="AG321" s="556"/>
      <c r="AH321" s="528"/>
    </row>
    <row r="322">
      <c r="A322" s="564"/>
      <c r="B322" s="565"/>
      <c r="C322" s="565"/>
      <c r="D322" s="565"/>
      <c r="E322" s="565"/>
      <c r="F322" s="565"/>
      <c r="G322" s="565"/>
      <c r="H322" s="565"/>
      <c r="I322" s="565"/>
      <c r="J322" s="565"/>
      <c r="K322" s="565"/>
      <c r="L322" s="565"/>
      <c r="M322" s="565"/>
      <c r="N322" s="529"/>
      <c r="O322" s="529"/>
      <c r="P322" s="529"/>
      <c r="Q322" s="529"/>
      <c r="R322" s="529"/>
      <c r="S322" s="529"/>
      <c r="T322" s="529"/>
      <c r="U322" s="529"/>
      <c r="V322" s="529"/>
      <c r="W322" s="529"/>
      <c r="X322" s="529"/>
      <c r="Y322" s="529"/>
      <c r="Z322" s="529"/>
      <c r="AA322" s="529"/>
      <c r="AB322" s="529"/>
      <c r="AC322" s="529"/>
      <c r="AD322" s="529"/>
      <c r="AE322" s="529"/>
      <c r="AF322" s="529"/>
      <c r="AG322" s="556"/>
      <c r="AH322" s="528"/>
    </row>
    <row r="323">
      <c r="A323" s="564"/>
      <c r="B323" s="565"/>
      <c r="C323" s="565"/>
      <c r="D323" s="565"/>
      <c r="E323" s="565"/>
      <c r="F323" s="565"/>
      <c r="G323" s="565"/>
      <c r="H323" s="565"/>
      <c r="I323" s="565"/>
      <c r="J323" s="565"/>
      <c r="K323" s="565"/>
      <c r="L323" s="565"/>
      <c r="M323" s="565"/>
      <c r="N323" s="529"/>
      <c r="O323" s="529"/>
      <c r="P323" s="529"/>
      <c r="Q323" s="529"/>
      <c r="R323" s="529"/>
      <c r="S323" s="529"/>
      <c r="T323" s="529"/>
      <c r="U323" s="529"/>
      <c r="V323" s="529"/>
      <c r="W323" s="529"/>
      <c r="X323" s="529"/>
      <c r="Y323" s="529"/>
      <c r="Z323" s="529"/>
      <c r="AA323" s="529"/>
      <c r="AB323" s="529"/>
      <c r="AC323" s="529"/>
      <c r="AD323" s="529"/>
      <c r="AE323" s="529"/>
      <c r="AF323" s="529"/>
      <c r="AG323" s="556"/>
      <c r="AH323" s="528"/>
    </row>
    <row r="324">
      <c r="A324" s="564"/>
      <c r="B324" s="565"/>
      <c r="C324" s="565"/>
      <c r="D324" s="565"/>
      <c r="E324" s="565"/>
      <c r="F324" s="565"/>
      <c r="G324" s="565"/>
      <c r="H324" s="565"/>
      <c r="I324" s="565"/>
      <c r="J324" s="565"/>
      <c r="K324" s="565"/>
      <c r="L324" s="565"/>
      <c r="M324" s="565"/>
      <c r="N324" s="529"/>
      <c r="O324" s="529"/>
      <c r="P324" s="529"/>
      <c r="Q324" s="529"/>
      <c r="R324" s="529"/>
      <c r="S324" s="529"/>
      <c r="T324" s="529"/>
      <c r="U324" s="529"/>
      <c r="V324" s="529"/>
      <c r="W324" s="529"/>
      <c r="X324" s="529"/>
      <c r="Y324" s="529"/>
      <c r="Z324" s="529"/>
      <c r="AA324" s="529"/>
      <c r="AB324" s="529"/>
      <c r="AC324" s="529"/>
      <c r="AD324" s="529"/>
      <c r="AE324" s="529"/>
      <c r="AF324" s="529"/>
      <c r="AG324" s="556"/>
      <c r="AH324" s="528"/>
    </row>
    <row r="325">
      <c r="A325" s="564"/>
      <c r="B325" s="565"/>
      <c r="C325" s="565"/>
      <c r="D325" s="565"/>
      <c r="E325" s="565"/>
      <c r="F325" s="565"/>
      <c r="G325" s="565"/>
      <c r="H325" s="565"/>
      <c r="I325" s="565"/>
      <c r="J325" s="565"/>
      <c r="K325" s="565"/>
      <c r="L325" s="565"/>
      <c r="M325" s="565"/>
      <c r="N325" s="529"/>
      <c r="O325" s="529"/>
      <c r="P325" s="529"/>
      <c r="Q325" s="529"/>
      <c r="R325" s="529"/>
      <c r="S325" s="529"/>
      <c r="T325" s="529"/>
      <c r="U325" s="529"/>
      <c r="V325" s="529"/>
      <c r="W325" s="529"/>
      <c r="X325" s="529"/>
      <c r="Y325" s="529"/>
      <c r="Z325" s="529"/>
      <c r="AA325" s="529"/>
      <c r="AB325" s="529"/>
      <c r="AC325" s="529"/>
      <c r="AD325" s="529"/>
      <c r="AE325" s="529"/>
      <c r="AF325" s="529"/>
      <c r="AG325" s="556"/>
      <c r="AH325" s="528"/>
    </row>
    <row r="326">
      <c r="A326" s="564"/>
      <c r="B326" s="565"/>
      <c r="C326" s="565"/>
      <c r="D326" s="565"/>
      <c r="E326" s="565"/>
      <c r="F326" s="565"/>
      <c r="G326" s="565"/>
      <c r="H326" s="565"/>
      <c r="I326" s="565"/>
      <c r="J326" s="565"/>
      <c r="K326" s="565"/>
      <c r="L326" s="565"/>
      <c r="M326" s="565"/>
      <c r="N326" s="529"/>
      <c r="O326" s="529"/>
      <c r="P326" s="529"/>
      <c r="Q326" s="529"/>
      <c r="R326" s="529"/>
      <c r="S326" s="529"/>
      <c r="T326" s="529"/>
      <c r="U326" s="529"/>
      <c r="V326" s="529"/>
      <c r="W326" s="529"/>
      <c r="X326" s="529"/>
      <c r="Y326" s="529"/>
      <c r="Z326" s="529"/>
      <c r="AA326" s="529"/>
      <c r="AB326" s="529"/>
      <c r="AC326" s="529"/>
      <c r="AD326" s="529"/>
      <c r="AE326" s="529"/>
      <c r="AF326" s="529"/>
      <c r="AG326" s="556"/>
      <c r="AH326" s="528"/>
    </row>
    <row r="327">
      <c r="A327" s="564"/>
      <c r="B327" s="565"/>
      <c r="C327" s="565"/>
      <c r="D327" s="565"/>
      <c r="E327" s="565"/>
      <c r="F327" s="565"/>
      <c r="G327" s="565"/>
      <c r="H327" s="565"/>
      <c r="I327" s="565"/>
      <c r="J327" s="565"/>
      <c r="K327" s="565"/>
      <c r="L327" s="565"/>
      <c r="M327" s="565"/>
      <c r="N327" s="529"/>
      <c r="O327" s="529"/>
      <c r="P327" s="529"/>
      <c r="Q327" s="529"/>
      <c r="R327" s="529"/>
      <c r="S327" s="529"/>
      <c r="T327" s="529"/>
      <c r="U327" s="529"/>
      <c r="V327" s="529"/>
      <c r="W327" s="529"/>
      <c r="X327" s="529"/>
      <c r="Y327" s="529"/>
      <c r="Z327" s="529"/>
      <c r="AA327" s="529"/>
      <c r="AB327" s="529"/>
      <c r="AC327" s="529"/>
      <c r="AD327" s="529"/>
      <c r="AE327" s="529"/>
      <c r="AF327" s="529"/>
      <c r="AG327" s="556"/>
      <c r="AH327" s="528"/>
    </row>
    <row r="328">
      <c r="A328" s="564"/>
      <c r="B328" s="565"/>
      <c r="C328" s="565"/>
      <c r="D328" s="565"/>
      <c r="E328" s="565"/>
      <c r="F328" s="565"/>
      <c r="G328" s="565"/>
      <c r="H328" s="565"/>
      <c r="I328" s="565"/>
      <c r="J328" s="565"/>
      <c r="K328" s="565"/>
      <c r="L328" s="565"/>
      <c r="M328" s="565"/>
      <c r="N328" s="529"/>
      <c r="O328" s="529"/>
      <c r="P328" s="529"/>
      <c r="Q328" s="529"/>
      <c r="R328" s="529"/>
      <c r="S328" s="529"/>
      <c r="T328" s="529"/>
      <c r="U328" s="529"/>
      <c r="V328" s="529"/>
      <c r="W328" s="529"/>
      <c r="X328" s="529"/>
      <c r="Y328" s="529"/>
      <c r="Z328" s="529"/>
      <c r="AA328" s="529"/>
      <c r="AB328" s="529"/>
      <c r="AC328" s="529"/>
      <c r="AD328" s="529"/>
      <c r="AE328" s="529"/>
      <c r="AF328" s="529"/>
      <c r="AG328" s="556"/>
      <c r="AH328" s="528"/>
    </row>
    <row r="329">
      <c r="A329" s="564"/>
      <c r="B329" s="565"/>
      <c r="C329" s="565"/>
      <c r="D329" s="565"/>
      <c r="E329" s="565"/>
      <c r="F329" s="565"/>
      <c r="G329" s="565"/>
      <c r="H329" s="565"/>
      <c r="I329" s="565"/>
      <c r="J329" s="565"/>
      <c r="K329" s="565"/>
      <c r="L329" s="565"/>
      <c r="M329" s="565"/>
      <c r="N329" s="529"/>
      <c r="O329" s="529"/>
      <c r="P329" s="529"/>
      <c r="Q329" s="529"/>
      <c r="R329" s="529"/>
      <c r="S329" s="529"/>
      <c r="T329" s="529"/>
      <c r="U329" s="529"/>
      <c r="V329" s="529"/>
      <c r="W329" s="529"/>
      <c r="X329" s="529"/>
      <c r="Y329" s="529"/>
      <c r="Z329" s="529"/>
      <c r="AA329" s="529"/>
      <c r="AB329" s="529"/>
      <c r="AC329" s="529"/>
      <c r="AD329" s="529"/>
      <c r="AE329" s="529"/>
      <c r="AF329" s="529"/>
      <c r="AG329" s="556"/>
      <c r="AH329" s="528"/>
    </row>
    <row r="330">
      <c r="A330" s="564"/>
      <c r="B330" s="565"/>
      <c r="C330" s="565"/>
      <c r="D330" s="565"/>
      <c r="E330" s="565"/>
      <c r="F330" s="565"/>
      <c r="G330" s="565"/>
      <c r="H330" s="565"/>
      <c r="I330" s="565"/>
      <c r="J330" s="565"/>
      <c r="K330" s="565"/>
      <c r="L330" s="565"/>
      <c r="M330" s="565"/>
      <c r="N330" s="529"/>
      <c r="O330" s="529"/>
      <c r="P330" s="529"/>
      <c r="Q330" s="529"/>
      <c r="R330" s="529"/>
      <c r="S330" s="529"/>
      <c r="T330" s="529"/>
      <c r="U330" s="529"/>
      <c r="V330" s="529"/>
      <c r="W330" s="529"/>
      <c r="X330" s="529"/>
      <c r="Y330" s="529"/>
      <c r="Z330" s="529"/>
      <c r="AA330" s="529"/>
      <c r="AB330" s="529"/>
      <c r="AC330" s="529"/>
      <c r="AD330" s="529"/>
      <c r="AE330" s="529"/>
      <c r="AF330" s="529"/>
      <c r="AG330" s="556"/>
      <c r="AH330" s="528"/>
    </row>
    <row r="331">
      <c r="A331" s="564"/>
      <c r="B331" s="565"/>
      <c r="C331" s="565"/>
      <c r="D331" s="565"/>
      <c r="E331" s="565"/>
      <c r="F331" s="565"/>
      <c r="G331" s="565"/>
      <c r="H331" s="565"/>
      <c r="I331" s="565"/>
      <c r="J331" s="565"/>
      <c r="K331" s="565"/>
      <c r="L331" s="565"/>
      <c r="M331" s="565"/>
      <c r="N331" s="529"/>
      <c r="O331" s="529"/>
      <c r="P331" s="529"/>
      <c r="Q331" s="529"/>
      <c r="R331" s="529"/>
      <c r="S331" s="529"/>
      <c r="T331" s="529"/>
      <c r="U331" s="529"/>
      <c r="V331" s="529"/>
      <c r="W331" s="529"/>
      <c r="X331" s="529"/>
      <c r="Y331" s="529"/>
      <c r="Z331" s="529"/>
      <c r="AA331" s="529"/>
      <c r="AB331" s="529"/>
      <c r="AC331" s="529"/>
      <c r="AD331" s="529"/>
      <c r="AE331" s="529"/>
      <c r="AF331" s="529"/>
      <c r="AG331" s="556"/>
      <c r="AH331" s="528"/>
    </row>
    <row r="332">
      <c r="A332" s="564"/>
      <c r="B332" s="565"/>
      <c r="C332" s="565"/>
      <c r="D332" s="565"/>
      <c r="E332" s="565"/>
      <c r="F332" s="565"/>
      <c r="G332" s="565"/>
      <c r="H332" s="565"/>
      <c r="I332" s="565"/>
      <c r="J332" s="565"/>
      <c r="K332" s="565"/>
      <c r="L332" s="565"/>
      <c r="M332" s="565"/>
      <c r="N332" s="529"/>
      <c r="O332" s="529"/>
      <c r="P332" s="529"/>
      <c r="Q332" s="529"/>
      <c r="R332" s="529"/>
      <c r="S332" s="529"/>
      <c r="T332" s="529"/>
      <c r="U332" s="529"/>
      <c r="V332" s="529"/>
      <c r="W332" s="529"/>
      <c r="X332" s="529"/>
      <c r="Y332" s="529"/>
      <c r="Z332" s="529"/>
      <c r="AA332" s="529"/>
      <c r="AB332" s="529"/>
      <c r="AC332" s="529"/>
      <c r="AD332" s="529"/>
      <c r="AE332" s="529"/>
      <c r="AF332" s="529"/>
      <c r="AG332" s="556"/>
      <c r="AH332" s="528"/>
    </row>
    <row r="333">
      <c r="A333" s="564"/>
      <c r="B333" s="565"/>
      <c r="C333" s="565"/>
      <c r="D333" s="565"/>
      <c r="E333" s="565"/>
      <c r="F333" s="565"/>
      <c r="G333" s="565"/>
      <c r="H333" s="565"/>
      <c r="I333" s="565"/>
      <c r="J333" s="565"/>
      <c r="K333" s="565"/>
      <c r="L333" s="565"/>
      <c r="M333" s="565"/>
      <c r="N333" s="529"/>
      <c r="O333" s="529"/>
      <c r="P333" s="529"/>
      <c r="Q333" s="529"/>
      <c r="R333" s="529"/>
      <c r="S333" s="529"/>
      <c r="T333" s="529"/>
      <c r="U333" s="529"/>
      <c r="V333" s="529"/>
      <c r="W333" s="529"/>
      <c r="X333" s="529"/>
      <c r="Y333" s="529"/>
      <c r="Z333" s="529"/>
      <c r="AA333" s="529"/>
      <c r="AB333" s="529"/>
      <c r="AC333" s="529"/>
      <c r="AD333" s="529"/>
      <c r="AE333" s="529"/>
      <c r="AF333" s="529"/>
      <c r="AG333" s="556"/>
      <c r="AH333" s="528"/>
    </row>
    <row r="334">
      <c r="A334" s="564"/>
      <c r="B334" s="565"/>
      <c r="C334" s="565"/>
      <c r="D334" s="565"/>
      <c r="E334" s="565"/>
      <c r="F334" s="565"/>
      <c r="G334" s="565"/>
      <c r="H334" s="565"/>
      <c r="I334" s="565"/>
      <c r="J334" s="565"/>
      <c r="K334" s="565"/>
      <c r="L334" s="565"/>
      <c r="M334" s="565"/>
      <c r="N334" s="529"/>
      <c r="O334" s="529"/>
      <c r="P334" s="529"/>
      <c r="Q334" s="529"/>
      <c r="R334" s="529"/>
      <c r="S334" s="529"/>
      <c r="T334" s="529"/>
      <c r="U334" s="529"/>
      <c r="V334" s="529"/>
      <c r="W334" s="529"/>
      <c r="X334" s="529"/>
      <c r="Y334" s="529"/>
      <c r="Z334" s="529"/>
      <c r="AA334" s="529"/>
      <c r="AB334" s="529"/>
      <c r="AC334" s="529"/>
      <c r="AD334" s="529"/>
      <c r="AE334" s="529"/>
      <c r="AF334" s="529"/>
      <c r="AG334" s="556"/>
      <c r="AH334" s="528"/>
    </row>
    <row r="335">
      <c r="A335" s="564"/>
      <c r="B335" s="565"/>
      <c r="C335" s="565"/>
      <c r="D335" s="565"/>
      <c r="E335" s="565"/>
      <c r="F335" s="565"/>
      <c r="G335" s="565"/>
      <c r="H335" s="565"/>
      <c r="I335" s="565"/>
      <c r="J335" s="565"/>
      <c r="K335" s="565"/>
      <c r="L335" s="565"/>
      <c r="M335" s="565"/>
      <c r="N335" s="529"/>
      <c r="O335" s="529"/>
      <c r="P335" s="529"/>
      <c r="Q335" s="529"/>
      <c r="R335" s="529"/>
      <c r="S335" s="529"/>
      <c r="T335" s="529"/>
      <c r="U335" s="529"/>
      <c r="V335" s="529"/>
      <c r="W335" s="529"/>
      <c r="X335" s="529"/>
      <c r="Y335" s="529"/>
      <c r="Z335" s="529"/>
      <c r="AA335" s="529"/>
      <c r="AB335" s="529"/>
      <c r="AC335" s="529"/>
      <c r="AD335" s="529"/>
      <c r="AE335" s="529"/>
      <c r="AF335" s="529"/>
      <c r="AG335" s="556"/>
      <c r="AH335" s="528"/>
    </row>
    <row r="336">
      <c r="A336" s="564"/>
      <c r="B336" s="565"/>
      <c r="C336" s="565"/>
      <c r="D336" s="565"/>
      <c r="E336" s="565"/>
      <c r="F336" s="565"/>
      <c r="G336" s="565"/>
      <c r="H336" s="565"/>
      <c r="I336" s="565"/>
      <c r="J336" s="565"/>
      <c r="K336" s="565"/>
      <c r="L336" s="565"/>
      <c r="M336" s="565"/>
      <c r="N336" s="529"/>
      <c r="O336" s="529"/>
      <c r="P336" s="529"/>
      <c r="Q336" s="529"/>
      <c r="R336" s="529"/>
      <c r="S336" s="529"/>
      <c r="T336" s="529"/>
      <c r="U336" s="529"/>
      <c r="V336" s="529"/>
      <c r="W336" s="529"/>
      <c r="X336" s="529"/>
      <c r="Y336" s="529"/>
      <c r="Z336" s="529"/>
      <c r="AA336" s="529"/>
      <c r="AB336" s="529"/>
      <c r="AC336" s="529"/>
      <c r="AD336" s="529"/>
      <c r="AE336" s="529"/>
      <c r="AF336" s="529"/>
      <c r="AG336" s="556"/>
      <c r="AH336" s="528"/>
    </row>
    <row r="337">
      <c r="A337" s="564"/>
      <c r="B337" s="565"/>
      <c r="C337" s="565"/>
      <c r="D337" s="565"/>
      <c r="E337" s="565"/>
      <c r="F337" s="565"/>
      <c r="G337" s="565"/>
      <c r="H337" s="565"/>
      <c r="I337" s="565"/>
      <c r="J337" s="565"/>
      <c r="K337" s="565"/>
      <c r="L337" s="565"/>
      <c r="M337" s="565"/>
      <c r="N337" s="529"/>
      <c r="O337" s="529"/>
      <c r="P337" s="529"/>
      <c r="Q337" s="529"/>
      <c r="R337" s="529"/>
      <c r="S337" s="529"/>
      <c r="T337" s="529"/>
      <c r="U337" s="529"/>
      <c r="V337" s="529"/>
      <c r="W337" s="529"/>
      <c r="X337" s="529"/>
      <c r="Y337" s="529"/>
      <c r="Z337" s="529"/>
      <c r="AA337" s="529"/>
      <c r="AB337" s="529"/>
      <c r="AC337" s="529"/>
      <c r="AD337" s="529"/>
      <c r="AE337" s="529"/>
      <c r="AF337" s="529"/>
      <c r="AG337" s="556"/>
      <c r="AH337" s="528"/>
    </row>
    <row r="338">
      <c r="A338" s="564"/>
      <c r="B338" s="565"/>
      <c r="C338" s="565"/>
      <c r="D338" s="565"/>
      <c r="E338" s="565"/>
      <c r="F338" s="565"/>
      <c r="G338" s="565"/>
      <c r="H338" s="565"/>
      <c r="I338" s="565"/>
      <c r="J338" s="565"/>
      <c r="K338" s="565"/>
      <c r="L338" s="565"/>
      <c r="M338" s="565"/>
      <c r="N338" s="529"/>
      <c r="O338" s="529"/>
      <c r="P338" s="529"/>
      <c r="Q338" s="529"/>
      <c r="R338" s="529"/>
      <c r="S338" s="529"/>
      <c r="T338" s="529"/>
      <c r="U338" s="529"/>
      <c r="V338" s="529"/>
      <c r="W338" s="529"/>
      <c r="X338" s="529"/>
      <c r="Y338" s="529"/>
      <c r="Z338" s="529"/>
      <c r="AA338" s="529"/>
      <c r="AB338" s="529"/>
      <c r="AC338" s="529"/>
      <c r="AD338" s="529"/>
      <c r="AE338" s="529"/>
      <c r="AF338" s="529"/>
      <c r="AG338" s="556"/>
      <c r="AH338" s="528"/>
    </row>
    <row r="339">
      <c r="A339" s="564"/>
      <c r="B339" s="565"/>
      <c r="C339" s="565"/>
      <c r="D339" s="565"/>
      <c r="E339" s="565"/>
      <c r="F339" s="565"/>
      <c r="G339" s="565"/>
      <c r="H339" s="565"/>
      <c r="I339" s="565"/>
      <c r="J339" s="565"/>
      <c r="K339" s="565"/>
      <c r="L339" s="565"/>
      <c r="M339" s="565"/>
      <c r="N339" s="529"/>
      <c r="O339" s="529"/>
      <c r="P339" s="529"/>
      <c r="Q339" s="529"/>
      <c r="R339" s="529"/>
      <c r="S339" s="529"/>
      <c r="T339" s="529"/>
      <c r="U339" s="529"/>
      <c r="V339" s="529"/>
      <c r="W339" s="529"/>
      <c r="X339" s="529"/>
      <c r="Y339" s="529"/>
      <c r="Z339" s="529"/>
      <c r="AA339" s="529"/>
      <c r="AB339" s="529"/>
      <c r="AC339" s="529"/>
      <c r="AD339" s="529"/>
      <c r="AE339" s="529"/>
      <c r="AF339" s="529"/>
      <c r="AG339" s="556"/>
      <c r="AH339" s="528"/>
    </row>
    <row r="340">
      <c r="A340" s="564"/>
      <c r="B340" s="565"/>
      <c r="C340" s="565"/>
      <c r="D340" s="565"/>
      <c r="E340" s="565"/>
      <c r="F340" s="565"/>
      <c r="G340" s="565"/>
      <c r="H340" s="565"/>
      <c r="I340" s="565"/>
      <c r="J340" s="565"/>
      <c r="K340" s="565"/>
      <c r="L340" s="565"/>
      <c r="M340" s="565"/>
      <c r="N340" s="529"/>
      <c r="O340" s="529"/>
      <c r="P340" s="529"/>
      <c r="Q340" s="529"/>
      <c r="R340" s="529"/>
      <c r="S340" s="529"/>
      <c r="T340" s="529"/>
      <c r="U340" s="529"/>
      <c r="V340" s="529"/>
      <c r="W340" s="529"/>
      <c r="X340" s="529"/>
      <c r="Y340" s="529"/>
      <c r="Z340" s="529"/>
      <c r="AA340" s="529"/>
      <c r="AB340" s="529"/>
      <c r="AC340" s="529"/>
      <c r="AD340" s="529"/>
      <c r="AE340" s="529"/>
      <c r="AF340" s="529"/>
      <c r="AG340" s="556"/>
      <c r="AH340" s="528"/>
    </row>
    <row r="341">
      <c r="A341" s="564"/>
      <c r="B341" s="565"/>
      <c r="C341" s="565"/>
      <c r="D341" s="565"/>
      <c r="E341" s="565"/>
      <c r="F341" s="565"/>
      <c r="G341" s="565"/>
      <c r="H341" s="565"/>
      <c r="I341" s="565"/>
      <c r="J341" s="565"/>
      <c r="K341" s="565"/>
      <c r="L341" s="565"/>
      <c r="M341" s="565"/>
      <c r="N341" s="529"/>
      <c r="O341" s="529"/>
      <c r="P341" s="529"/>
      <c r="Q341" s="529"/>
      <c r="R341" s="529"/>
      <c r="S341" s="529"/>
      <c r="T341" s="529"/>
      <c r="U341" s="529"/>
      <c r="V341" s="529"/>
      <c r="W341" s="529"/>
      <c r="X341" s="529"/>
      <c r="Y341" s="529"/>
      <c r="Z341" s="529"/>
      <c r="AA341" s="529"/>
      <c r="AB341" s="529"/>
      <c r="AC341" s="529"/>
      <c r="AD341" s="529"/>
      <c r="AE341" s="529"/>
      <c r="AF341" s="529"/>
      <c r="AG341" s="556"/>
      <c r="AH341" s="528"/>
    </row>
    <row r="342">
      <c r="A342" s="564"/>
      <c r="B342" s="565"/>
      <c r="C342" s="565"/>
      <c r="D342" s="565"/>
      <c r="E342" s="565"/>
      <c r="F342" s="565"/>
      <c r="G342" s="565"/>
      <c r="H342" s="565"/>
      <c r="I342" s="565"/>
      <c r="J342" s="565"/>
      <c r="K342" s="565"/>
      <c r="L342" s="565"/>
      <c r="M342" s="565"/>
      <c r="N342" s="529"/>
      <c r="O342" s="529"/>
      <c r="P342" s="529"/>
      <c r="Q342" s="529"/>
      <c r="R342" s="529"/>
      <c r="S342" s="529"/>
      <c r="T342" s="529"/>
      <c r="U342" s="529"/>
      <c r="V342" s="529"/>
      <c r="W342" s="529"/>
      <c r="X342" s="529"/>
      <c r="Y342" s="529"/>
      <c r="Z342" s="529"/>
      <c r="AA342" s="529"/>
      <c r="AB342" s="529"/>
      <c r="AC342" s="529"/>
      <c r="AD342" s="529"/>
      <c r="AE342" s="529"/>
      <c r="AF342" s="529"/>
      <c r="AG342" s="556"/>
      <c r="AH342" s="528"/>
    </row>
    <row r="343">
      <c r="A343" s="564"/>
      <c r="B343" s="565"/>
      <c r="C343" s="565"/>
      <c r="D343" s="565"/>
      <c r="E343" s="565"/>
      <c r="F343" s="565"/>
      <c r="G343" s="565"/>
      <c r="H343" s="565"/>
      <c r="I343" s="565"/>
      <c r="J343" s="565"/>
      <c r="K343" s="565"/>
      <c r="L343" s="565"/>
      <c r="M343" s="565"/>
      <c r="N343" s="529"/>
      <c r="O343" s="529"/>
      <c r="P343" s="529"/>
      <c r="Q343" s="529"/>
      <c r="R343" s="529"/>
      <c r="S343" s="529"/>
      <c r="T343" s="529"/>
      <c r="U343" s="529"/>
      <c r="V343" s="529"/>
      <c r="W343" s="529"/>
      <c r="X343" s="529"/>
      <c r="Y343" s="529"/>
      <c r="Z343" s="529"/>
      <c r="AA343" s="529"/>
      <c r="AB343" s="529"/>
      <c r="AC343" s="529"/>
      <c r="AD343" s="529"/>
      <c r="AE343" s="529"/>
      <c r="AF343" s="529"/>
      <c r="AG343" s="556"/>
      <c r="AH343" s="528"/>
    </row>
    <row r="344">
      <c r="A344" s="564"/>
      <c r="B344" s="565"/>
      <c r="C344" s="565"/>
      <c r="D344" s="565"/>
      <c r="E344" s="565"/>
      <c r="F344" s="565"/>
      <c r="G344" s="565"/>
      <c r="H344" s="565"/>
      <c r="I344" s="565"/>
      <c r="J344" s="565"/>
      <c r="K344" s="565"/>
      <c r="L344" s="565"/>
      <c r="M344" s="565"/>
      <c r="N344" s="529"/>
      <c r="O344" s="529"/>
      <c r="P344" s="529"/>
      <c r="Q344" s="529"/>
      <c r="R344" s="529"/>
      <c r="S344" s="529"/>
      <c r="T344" s="529"/>
      <c r="U344" s="529"/>
      <c r="V344" s="529"/>
      <c r="W344" s="529"/>
      <c r="X344" s="529"/>
      <c r="Y344" s="529"/>
      <c r="Z344" s="529"/>
      <c r="AA344" s="529"/>
      <c r="AB344" s="529"/>
      <c r="AC344" s="529"/>
      <c r="AD344" s="529"/>
      <c r="AE344" s="529"/>
      <c r="AF344" s="529"/>
      <c r="AG344" s="556"/>
      <c r="AH344" s="528"/>
    </row>
    <row r="345">
      <c r="A345" s="564"/>
      <c r="B345" s="565"/>
      <c r="C345" s="565"/>
      <c r="D345" s="565"/>
      <c r="E345" s="565"/>
      <c r="F345" s="565"/>
      <c r="G345" s="565"/>
      <c r="H345" s="565"/>
      <c r="I345" s="565"/>
      <c r="J345" s="565"/>
      <c r="K345" s="565"/>
      <c r="L345" s="565"/>
      <c r="M345" s="565"/>
      <c r="N345" s="529"/>
      <c r="O345" s="529"/>
      <c r="P345" s="529"/>
      <c r="Q345" s="529"/>
      <c r="R345" s="529"/>
      <c r="S345" s="529"/>
      <c r="T345" s="529"/>
      <c r="U345" s="529"/>
      <c r="V345" s="529"/>
      <c r="W345" s="529"/>
      <c r="X345" s="529"/>
      <c r="Y345" s="529"/>
      <c r="Z345" s="529"/>
      <c r="AA345" s="529"/>
      <c r="AB345" s="529"/>
      <c r="AC345" s="529"/>
      <c r="AD345" s="529"/>
      <c r="AE345" s="529"/>
      <c r="AF345" s="529"/>
      <c r="AG345" s="556"/>
      <c r="AH345" s="528"/>
    </row>
    <row r="346">
      <c r="A346" s="564"/>
      <c r="B346" s="565"/>
      <c r="C346" s="565"/>
      <c r="D346" s="565"/>
      <c r="E346" s="565"/>
      <c r="F346" s="565"/>
      <c r="G346" s="565"/>
      <c r="H346" s="565"/>
      <c r="I346" s="565"/>
      <c r="J346" s="565"/>
      <c r="K346" s="565"/>
      <c r="L346" s="565"/>
      <c r="M346" s="565"/>
      <c r="N346" s="529"/>
      <c r="O346" s="529"/>
      <c r="P346" s="529"/>
      <c r="Q346" s="529"/>
      <c r="R346" s="529"/>
      <c r="S346" s="529"/>
      <c r="T346" s="529"/>
      <c r="U346" s="529"/>
      <c r="V346" s="529"/>
      <c r="W346" s="529"/>
      <c r="X346" s="529"/>
      <c r="Y346" s="529"/>
      <c r="Z346" s="529"/>
      <c r="AA346" s="529"/>
      <c r="AB346" s="529"/>
      <c r="AC346" s="529"/>
      <c r="AD346" s="529"/>
      <c r="AE346" s="529"/>
      <c r="AF346" s="529"/>
      <c r="AG346" s="556"/>
      <c r="AH346" s="528"/>
    </row>
    <row r="347">
      <c r="A347" s="564"/>
      <c r="B347" s="565"/>
      <c r="C347" s="565"/>
      <c r="D347" s="565"/>
      <c r="E347" s="565"/>
      <c r="F347" s="565"/>
      <c r="G347" s="565"/>
      <c r="H347" s="565"/>
      <c r="I347" s="565"/>
      <c r="J347" s="565"/>
      <c r="K347" s="565"/>
      <c r="L347" s="565"/>
      <c r="M347" s="565"/>
      <c r="N347" s="529"/>
      <c r="O347" s="529"/>
      <c r="P347" s="529"/>
      <c r="Q347" s="529"/>
      <c r="R347" s="529"/>
      <c r="S347" s="529"/>
      <c r="T347" s="529"/>
      <c r="U347" s="529"/>
      <c r="V347" s="529"/>
      <c r="W347" s="529"/>
      <c r="X347" s="529"/>
      <c r="Y347" s="529"/>
      <c r="Z347" s="529"/>
      <c r="AA347" s="529"/>
      <c r="AB347" s="529"/>
      <c r="AC347" s="529"/>
      <c r="AD347" s="529"/>
      <c r="AE347" s="529"/>
      <c r="AF347" s="529"/>
      <c r="AG347" s="556"/>
      <c r="AH347" s="528"/>
    </row>
    <row r="348">
      <c r="A348" s="564"/>
      <c r="B348" s="565"/>
      <c r="C348" s="565"/>
      <c r="D348" s="565"/>
      <c r="E348" s="565"/>
      <c r="F348" s="565"/>
      <c r="G348" s="565"/>
      <c r="H348" s="565"/>
      <c r="I348" s="565"/>
      <c r="J348" s="565"/>
      <c r="K348" s="565"/>
      <c r="L348" s="565"/>
      <c r="M348" s="565"/>
      <c r="N348" s="529"/>
      <c r="O348" s="529"/>
      <c r="P348" s="529"/>
      <c r="Q348" s="529"/>
      <c r="R348" s="529"/>
      <c r="S348" s="529"/>
      <c r="T348" s="529"/>
      <c r="U348" s="529"/>
      <c r="V348" s="529"/>
      <c r="W348" s="529"/>
      <c r="X348" s="529"/>
      <c r="Y348" s="529"/>
      <c r="Z348" s="529"/>
      <c r="AA348" s="529"/>
      <c r="AB348" s="529"/>
      <c r="AC348" s="529"/>
      <c r="AD348" s="529"/>
      <c r="AE348" s="529"/>
      <c r="AF348" s="529"/>
      <c r="AG348" s="556"/>
      <c r="AH348" s="528"/>
    </row>
    <row r="349">
      <c r="A349" s="564"/>
      <c r="B349" s="565"/>
      <c r="C349" s="565"/>
      <c r="D349" s="565"/>
      <c r="E349" s="565"/>
      <c r="F349" s="565"/>
      <c r="G349" s="565"/>
      <c r="H349" s="565"/>
      <c r="I349" s="565"/>
      <c r="J349" s="565"/>
      <c r="K349" s="565"/>
      <c r="L349" s="565"/>
      <c r="M349" s="565"/>
      <c r="N349" s="529"/>
      <c r="O349" s="529"/>
      <c r="P349" s="529"/>
      <c r="Q349" s="529"/>
      <c r="R349" s="529"/>
      <c r="S349" s="529"/>
      <c r="T349" s="529"/>
      <c r="U349" s="529"/>
      <c r="V349" s="529"/>
      <c r="W349" s="529"/>
      <c r="X349" s="529"/>
      <c r="Y349" s="529"/>
      <c r="Z349" s="529"/>
      <c r="AA349" s="529"/>
      <c r="AB349" s="529"/>
      <c r="AC349" s="529"/>
      <c r="AD349" s="529"/>
      <c r="AE349" s="529"/>
      <c r="AF349" s="529"/>
      <c r="AG349" s="556"/>
      <c r="AH349" s="528"/>
    </row>
    <row r="350">
      <c r="A350" s="564"/>
      <c r="B350" s="565"/>
      <c r="C350" s="565"/>
      <c r="D350" s="565"/>
      <c r="E350" s="565"/>
      <c r="F350" s="565"/>
      <c r="G350" s="565"/>
      <c r="H350" s="565"/>
      <c r="I350" s="565"/>
      <c r="J350" s="565"/>
      <c r="K350" s="565"/>
      <c r="L350" s="565"/>
      <c r="M350" s="565"/>
      <c r="N350" s="529"/>
      <c r="O350" s="529"/>
      <c r="P350" s="529"/>
      <c r="Q350" s="529"/>
      <c r="R350" s="529"/>
      <c r="S350" s="529"/>
      <c r="T350" s="529"/>
      <c r="U350" s="529"/>
      <c r="V350" s="529"/>
      <c r="W350" s="529"/>
      <c r="X350" s="529"/>
      <c r="Y350" s="529"/>
      <c r="Z350" s="529"/>
      <c r="AA350" s="529"/>
      <c r="AB350" s="529"/>
      <c r="AC350" s="529"/>
      <c r="AD350" s="529"/>
      <c r="AE350" s="529"/>
      <c r="AF350" s="529"/>
      <c r="AG350" s="556"/>
      <c r="AH350" s="528"/>
    </row>
    <row r="351">
      <c r="A351" s="564"/>
      <c r="B351" s="565"/>
      <c r="C351" s="565"/>
      <c r="D351" s="565"/>
      <c r="E351" s="565"/>
      <c r="F351" s="565"/>
      <c r="G351" s="565"/>
      <c r="H351" s="565"/>
      <c r="I351" s="565"/>
      <c r="J351" s="565"/>
      <c r="K351" s="565"/>
      <c r="L351" s="565"/>
      <c r="M351" s="565"/>
      <c r="N351" s="529"/>
      <c r="O351" s="529"/>
      <c r="P351" s="529"/>
      <c r="Q351" s="529"/>
      <c r="R351" s="529"/>
      <c r="S351" s="529"/>
      <c r="T351" s="529"/>
      <c r="U351" s="529"/>
      <c r="V351" s="529"/>
      <c r="W351" s="529"/>
      <c r="X351" s="529"/>
      <c r="Y351" s="529"/>
      <c r="Z351" s="529"/>
      <c r="AA351" s="529"/>
      <c r="AB351" s="529"/>
      <c r="AC351" s="529"/>
      <c r="AD351" s="529"/>
      <c r="AE351" s="529"/>
      <c r="AF351" s="529"/>
      <c r="AG351" s="556"/>
      <c r="AH351" s="528"/>
    </row>
    <row r="352">
      <c r="A352" s="564"/>
      <c r="B352" s="565"/>
      <c r="C352" s="565"/>
      <c r="D352" s="565"/>
      <c r="E352" s="565"/>
      <c r="F352" s="565"/>
      <c r="G352" s="565"/>
      <c r="H352" s="565"/>
      <c r="I352" s="565"/>
      <c r="J352" s="565"/>
      <c r="K352" s="565"/>
      <c r="L352" s="565"/>
      <c r="M352" s="565"/>
      <c r="N352" s="529"/>
      <c r="O352" s="529"/>
      <c r="P352" s="529"/>
      <c r="Q352" s="529"/>
      <c r="R352" s="529"/>
      <c r="S352" s="529"/>
      <c r="T352" s="529"/>
      <c r="U352" s="529"/>
      <c r="V352" s="529"/>
      <c r="W352" s="529"/>
      <c r="X352" s="529"/>
      <c r="Y352" s="529"/>
      <c r="Z352" s="529"/>
      <c r="AA352" s="529"/>
      <c r="AB352" s="529"/>
      <c r="AC352" s="529"/>
      <c r="AD352" s="529"/>
      <c r="AE352" s="529"/>
      <c r="AF352" s="529"/>
      <c r="AG352" s="556"/>
      <c r="AH352" s="528"/>
    </row>
    <row r="353">
      <c r="A353" s="564"/>
      <c r="B353" s="565"/>
      <c r="C353" s="565"/>
      <c r="D353" s="565"/>
      <c r="E353" s="565"/>
      <c r="F353" s="565"/>
      <c r="G353" s="565"/>
      <c r="H353" s="565"/>
      <c r="I353" s="565"/>
      <c r="J353" s="565"/>
      <c r="K353" s="565"/>
      <c r="L353" s="565"/>
      <c r="M353" s="565"/>
      <c r="N353" s="529"/>
      <c r="O353" s="529"/>
      <c r="P353" s="529"/>
      <c r="Q353" s="529"/>
      <c r="R353" s="529"/>
      <c r="S353" s="529"/>
      <c r="T353" s="529"/>
      <c r="U353" s="529"/>
      <c r="V353" s="529"/>
      <c r="W353" s="529"/>
      <c r="X353" s="529"/>
      <c r="Y353" s="529"/>
      <c r="Z353" s="529"/>
      <c r="AA353" s="529"/>
      <c r="AB353" s="529"/>
      <c r="AC353" s="529"/>
      <c r="AD353" s="529"/>
      <c r="AE353" s="529"/>
      <c r="AF353" s="529"/>
      <c r="AG353" s="556"/>
      <c r="AH353" s="528"/>
    </row>
    <row r="354">
      <c r="A354" s="564"/>
      <c r="B354" s="565"/>
      <c r="C354" s="565"/>
      <c r="D354" s="565"/>
      <c r="E354" s="565"/>
      <c r="F354" s="565"/>
      <c r="G354" s="565"/>
      <c r="H354" s="565"/>
      <c r="I354" s="565"/>
      <c r="J354" s="565"/>
      <c r="K354" s="565"/>
      <c r="L354" s="565"/>
      <c r="M354" s="565"/>
      <c r="N354" s="529"/>
      <c r="O354" s="529"/>
      <c r="P354" s="529"/>
      <c r="Q354" s="529"/>
      <c r="R354" s="529"/>
      <c r="S354" s="529"/>
      <c r="T354" s="529"/>
      <c r="U354" s="529"/>
      <c r="V354" s="529"/>
      <c r="W354" s="529"/>
      <c r="X354" s="529"/>
      <c r="Y354" s="529"/>
      <c r="Z354" s="529"/>
      <c r="AA354" s="529"/>
      <c r="AB354" s="529"/>
      <c r="AC354" s="529"/>
      <c r="AD354" s="529"/>
      <c r="AE354" s="529"/>
      <c r="AF354" s="529"/>
      <c r="AG354" s="556"/>
      <c r="AH354" s="528"/>
    </row>
    <row r="355">
      <c r="A355" s="564"/>
      <c r="B355" s="565"/>
      <c r="C355" s="565"/>
      <c r="D355" s="565"/>
      <c r="E355" s="565"/>
      <c r="F355" s="565"/>
      <c r="G355" s="565"/>
      <c r="H355" s="565"/>
      <c r="I355" s="565"/>
      <c r="J355" s="565"/>
      <c r="K355" s="565"/>
      <c r="L355" s="565"/>
      <c r="M355" s="565"/>
      <c r="N355" s="529"/>
      <c r="O355" s="529"/>
      <c r="P355" s="529"/>
      <c r="Q355" s="529"/>
      <c r="R355" s="529"/>
      <c r="S355" s="529"/>
      <c r="T355" s="529"/>
      <c r="U355" s="529"/>
      <c r="V355" s="529"/>
      <c r="W355" s="529"/>
      <c r="X355" s="529"/>
      <c r="Y355" s="529"/>
      <c r="Z355" s="529"/>
      <c r="AA355" s="529"/>
      <c r="AB355" s="529"/>
      <c r="AC355" s="529"/>
      <c r="AD355" s="529"/>
      <c r="AE355" s="529"/>
      <c r="AF355" s="529"/>
      <c r="AG355" s="556"/>
      <c r="AH355" s="528"/>
    </row>
    <row r="356">
      <c r="A356" s="564"/>
      <c r="B356" s="565"/>
      <c r="C356" s="565"/>
      <c r="D356" s="565"/>
      <c r="E356" s="565"/>
      <c r="F356" s="565"/>
      <c r="G356" s="565"/>
      <c r="H356" s="565"/>
      <c r="I356" s="565"/>
      <c r="J356" s="565"/>
      <c r="K356" s="565"/>
      <c r="L356" s="565"/>
      <c r="M356" s="565"/>
      <c r="N356" s="529"/>
      <c r="O356" s="529"/>
      <c r="P356" s="529"/>
      <c r="Q356" s="529"/>
      <c r="R356" s="529"/>
      <c r="S356" s="529"/>
      <c r="T356" s="529"/>
      <c r="U356" s="529"/>
      <c r="V356" s="529"/>
      <c r="W356" s="529"/>
      <c r="X356" s="529"/>
      <c r="Y356" s="529"/>
      <c r="Z356" s="529"/>
      <c r="AA356" s="529"/>
      <c r="AB356" s="529"/>
      <c r="AC356" s="529"/>
      <c r="AD356" s="529"/>
      <c r="AE356" s="529"/>
      <c r="AF356" s="529"/>
      <c r="AG356" s="556"/>
      <c r="AH356" s="528"/>
    </row>
    <row r="357">
      <c r="A357" s="564"/>
      <c r="B357" s="565"/>
      <c r="C357" s="565"/>
      <c r="D357" s="565"/>
      <c r="E357" s="565"/>
      <c r="F357" s="565"/>
      <c r="G357" s="565"/>
      <c r="H357" s="565"/>
      <c r="I357" s="565"/>
      <c r="J357" s="565"/>
      <c r="K357" s="565"/>
      <c r="L357" s="565"/>
      <c r="M357" s="565"/>
      <c r="N357" s="529"/>
      <c r="O357" s="529"/>
      <c r="P357" s="529"/>
      <c r="Q357" s="529"/>
      <c r="R357" s="529"/>
      <c r="S357" s="529"/>
      <c r="T357" s="529"/>
      <c r="U357" s="529"/>
      <c r="V357" s="529"/>
      <c r="W357" s="529"/>
      <c r="X357" s="529"/>
      <c r="Y357" s="529"/>
      <c r="Z357" s="529"/>
      <c r="AA357" s="529"/>
      <c r="AB357" s="529"/>
      <c r="AC357" s="529"/>
      <c r="AD357" s="529"/>
      <c r="AE357" s="529"/>
      <c r="AF357" s="529"/>
      <c r="AG357" s="556"/>
      <c r="AH357" s="528"/>
    </row>
    <row r="358">
      <c r="A358" s="564"/>
      <c r="B358" s="565"/>
      <c r="C358" s="565"/>
      <c r="D358" s="565"/>
      <c r="E358" s="565"/>
      <c r="F358" s="565"/>
      <c r="G358" s="565"/>
      <c r="H358" s="565"/>
      <c r="I358" s="565"/>
      <c r="J358" s="565"/>
      <c r="K358" s="565"/>
      <c r="L358" s="565"/>
      <c r="M358" s="565"/>
      <c r="N358" s="529"/>
      <c r="O358" s="529"/>
      <c r="P358" s="529"/>
      <c r="Q358" s="529"/>
      <c r="R358" s="529"/>
      <c r="S358" s="529"/>
      <c r="T358" s="529"/>
      <c r="U358" s="529"/>
      <c r="V358" s="529"/>
      <c r="W358" s="529"/>
      <c r="X358" s="529"/>
      <c r="Y358" s="529"/>
      <c r="Z358" s="529"/>
      <c r="AA358" s="529"/>
      <c r="AB358" s="529"/>
      <c r="AC358" s="529"/>
      <c r="AD358" s="529"/>
      <c r="AE358" s="529"/>
      <c r="AF358" s="529"/>
      <c r="AG358" s="556"/>
      <c r="AH358" s="528"/>
    </row>
    <row r="359">
      <c r="A359" s="564"/>
      <c r="B359" s="565"/>
      <c r="C359" s="565"/>
      <c r="D359" s="565"/>
      <c r="E359" s="565"/>
      <c r="F359" s="565"/>
      <c r="G359" s="565"/>
      <c r="H359" s="565"/>
      <c r="I359" s="565"/>
      <c r="J359" s="565"/>
      <c r="K359" s="565"/>
      <c r="L359" s="565"/>
      <c r="M359" s="565"/>
      <c r="N359" s="529"/>
      <c r="O359" s="529"/>
      <c r="P359" s="529"/>
      <c r="Q359" s="529"/>
      <c r="R359" s="529"/>
      <c r="S359" s="529"/>
      <c r="T359" s="529"/>
      <c r="U359" s="529"/>
      <c r="V359" s="529"/>
      <c r="W359" s="529"/>
      <c r="X359" s="529"/>
      <c r="Y359" s="529"/>
      <c r="Z359" s="529"/>
      <c r="AA359" s="529"/>
      <c r="AB359" s="529"/>
      <c r="AC359" s="529"/>
      <c r="AD359" s="529"/>
      <c r="AE359" s="529"/>
      <c r="AF359" s="529"/>
      <c r="AG359" s="556"/>
      <c r="AH359" s="528"/>
    </row>
    <row r="360">
      <c r="A360" s="564"/>
      <c r="B360" s="565"/>
      <c r="C360" s="565"/>
      <c r="D360" s="565"/>
      <c r="E360" s="565"/>
      <c r="F360" s="565"/>
      <c r="G360" s="565"/>
      <c r="H360" s="565"/>
      <c r="I360" s="565"/>
      <c r="J360" s="565"/>
      <c r="K360" s="565"/>
      <c r="L360" s="565"/>
      <c r="M360" s="565"/>
      <c r="N360" s="529"/>
      <c r="O360" s="529"/>
      <c r="P360" s="529"/>
      <c r="Q360" s="529"/>
      <c r="R360" s="529"/>
      <c r="S360" s="529"/>
      <c r="T360" s="529"/>
      <c r="U360" s="529"/>
      <c r="V360" s="529"/>
      <c r="W360" s="529"/>
      <c r="X360" s="529"/>
      <c r="Y360" s="529"/>
      <c r="Z360" s="529"/>
      <c r="AA360" s="529"/>
      <c r="AB360" s="529"/>
      <c r="AC360" s="529"/>
      <c r="AD360" s="529"/>
      <c r="AE360" s="529"/>
      <c r="AF360" s="529"/>
      <c r="AG360" s="556"/>
      <c r="AH360" s="528"/>
    </row>
    <row r="361">
      <c r="A361" s="564"/>
      <c r="B361" s="565"/>
      <c r="C361" s="565"/>
      <c r="D361" s="565"/>
      <c r="E361" s="565"/>
      <c r="F361" s="565"/>
      <c r="G361" s="565"/>
      <c r="H361" s="565"/>
      <c r="I361" s="565"/>
      <c r="J361" s="565"/>
      <c r="K361" s="565"/>
      <c r="L361" s="565"/>
      <c r="M361" s="565"/>
      <c r="N361" s="529"/>
      <c r="O361" s="529"/>
      <c r="P361" s="529"/>
      <c r="Q361" s="529"/>
      <c r="R361" s="529"/>
      <c r="S361" s="529"/>
      <c r="T361" s="529"/>
      <c r="U361" s="529"/>
      <c r="V361" s="529"/>
      <c r="W361" s="529"/>
      <c r="X361" s="529"/>
      <c r="Y361" s="529"/>
      <c r="Z361" s="529"/>
      <c r="AA361" s="529"/>
      <c r="AB361" s="529"/>
      <c r="AC361" s="529"/>
      <c r="AD361" s="529"/>
      <c r="AE361" s="529"/>
      <c r="AF361" s="529"/>
      <c r="AG361" s="556"/>
      <c r="AH361" s="528"/>
    </row>
    <row r="362">
      <c r="A362" s="564"/>
      <c r="B362" s="565"/>
      <c r="C362" s="565"/>
      <c r="D362" s="565"/>
      <c r="E362" s="565"/>
      <c r="F362" s="565"/>
      <c r="G362" s="565"/>
      <c r="H362" s="565"/>
      <c r="I362" s="565"/>
      <c r="J362" s="565"/>
      <c r="K362" s="565"/>
      <c r="L362" s="565"/>
      <c r="M362" s="565"/>
      <c r="N362" s="529"/>
      <c r="O362" s="529"/>
      <c r="P362" s="529"/>
      <c r="Q362" s="529"/>
      <c r="R362" s="529"/>
      <c r="S362" s="529"/>
      <c r="T362" s="529"/>
      <c r="U362" s="529"/>
      <c r="V362" s="529"/>
      <c r="W362" s="529"/>
      <c r="X362" s="529"/>
      <c r="Y362" s="529"/>
      <c r="Z362" s="529"/>
      <c r="AA362" s="529"/>
      <c r="AB362" s="529"/>
      <c r="AC362" s="529"/>
      <c r="AD362" s="529"/>
      <c r="AE362" s="529"/>
      <c r="AF362" s="529"/>
      <c r="AG362" s="556"/>
      <c r="AH362" s="528"/>
    </row>
    <row r="363">
      <c r="A363" s="564"/>
      <c r="B363" s="565"/>
      <c r="C363" s="565"/>
      <c r="D363" s="565"/>
      <c r="E363" s="565"/>
      <c r="F363" s="565"/>
      <c r="G363" s="565"/>
      <c r="H363" s="565"/>
      <c r="I363" s="565"/>
      <c r="J363" s="565"/>
      <c r="K363" s="565"/>
      <c r="L363" s="565"/>
      <c r="M363" s="565"/>
      <c r="N363" s="529"/>
      <c r="O363" s="529"/>
      <c r="P363" s="529"/>
      <c r="Q363" s="529"/>
      <c r="R363" s="529"/>
      <c r="S363" s="529"/>
      <c r="T363" s="529"/>
      <c r="U363" s="529"/>
      <c r="V363" s="529"/>
      <c r="W363" s="529"/>
      <c r="X363" s="529"/>
      <c r="Y363" s="529"/>
      <c r="Z363" s="529"/>
      <c r="AA363" s="529"/>
      <c r="AB363" s="529"/>
      <c r="AC363" s="529"/>
      <c r="AD363" s="529"/>
      <c r="AE363" s="529"/>
      <c r="AF363" s="529"/>
      <c r="AG363" s="556"/>
      <c r="AH363" s="528"/>
    </row>
    <row r="364">
      <c r="A364" s="564"/>
      <c r="B364" s="565"/>
      <c r="C364" s="565"/>
      <c r="D364" s="565"/>
      <c r="E364" s="565"/>
      <c r="F364" s="565"/>
      <c r="G364" s="565"/>
      <c r="H364" s="565"/>
      <c r="I364" s="565"/>
      <c r="J364" s="565"/>
      <c r="K364" s="565"/>
      <c r="L364" s="565"/>
      <c r="M364" s="565"/>
      <c r="N364" s="529"/>
      <c r="O364" s="529"/>
      <c r="P364" s="529"/>
      <c r="Q364" s="529"/>
      <c r="R364" s="529"/>
      <c r="S364" s="529"/>
      <c r="T364" s="529"/>
      <c r="U364" s="529"/>
      <c r="V364" s="529"/>
      <c r="W364" s="529"/>
      <c r="X364" s="529"/>
      <c r="Y364" s="529"/>
      <c r="Z364" s="529"/>
      <c r="AA364" s="529"/>
      <c r="AB364" s="529"/>
      <c r="AC364" s="529"/>
      <c r="AD364" s="529"/>
      <c r="AE364" s="529"/>
      <c r="AF364" s="529"/>
      <c r="AG364" s="556"/>
      <c r="AH364" s="528"/>
    </row>
    <row r="365">
      <c r="A365" s="564"/>
      <c r="B365" s="565"/>
      <c r="C365" s="565"/>
      <c r="D365" s="565"/>
      <c r="E365" s="565"/>
      <c r="F365" s="565"/>
      <c r="G365" s="565"/>
      <c r="H365" s="565"/>
      <c r="I365" s="565"/>
      <c r="J365" s="565"/>
      <c r="K365" s="565"/>
      <c r="L365" s="565"/>
      <c r="M365" s="565"/>
      <c r="N365" s="529"/>
      <c r="O365" s="529"/>
      <c r="P365" s="529"/>
      <c r="Q365" s="529"/>
      <c r="R365" s="529"/>
      <c r="S365" s="529"/>
      <c r="T365" s="529"/>
      <c r="U365" s="529"/>
      <c r="V365" s="529"/>
      <c r="W365" s="529"/>
      <c r="X365" s="529"/>
      <c r="Y365" s="529"/>
      <c r="Z365" s="529"/>
      <c r="AA365" s="529"/>
      <c r="AB365" s="529"/>
      <c r="AC365" s="529"/>
      <c r="AD365" s="529"/>
      <c r="AE365" s="529"/>
      <c r="AF365" s="529"/>
      <c r="AG365" s="556"/>
      <c r="AH365" s="528"/>
    </row>
    <row r="366">
      <c r="A366" s="564"/>
      <c r="B366" s="565"/>
      <c r="C366" s="565"/>
      <c r="D366" s="565"/>
      <c r="E366" s="565"/>
      <c r="F366" s="565"/>
      <c r="G366" s="565"/>
      <c r="H366" s="565"/>
      <c r="I366" s="565"/>
      <c r="J366" s="565"/>
      <c r="K366" s="565"/>
      <c r="L366" s="565"/>
      <c r="M366" s="565"/>
      <c r="N366" s="529"/>
      <c r="O366" s="529"/>
      <c r="P366" s="529"/>
      <c r="Q366" s="529"/>
      <c r="R366" s="529"/>
      <c r="S366" s="529"/>
      <c r="T366" s="529"/>
      <c r="U366" s="529"/>
      <c r="V366" s="529"/>
      <c r="W366" s="529"/>
      <c r="X366" s="529"/>
      <c r="Y366" s="529"/>
      <c r="Z366" s="529"/>
      <c r="AA366" s="529"/>
      <c r="AB366" s="529"/>
      <c r="AC366" s="529"/>
      <c r="AD366" s="529"/>
      <c r="AE366" s="529"/>
      <c r="AF366" s="529"/>
      <c r="AG366" s="556"/>
      <c r="AH366" s="528"/>
    </row>
    <row r="367">
      <c r="A367" s="564"/>
      <c r="B367" s="565"/>
      <c r="C367" s="565"/>
      <c r="D367" s="565"/>
      <c r="E367" s="565"/>
      <c r="F367" s="565"/>
      <c r="G367" s="565"/>
      <c r="H367" s="565"/>
      <c r="I367" s="565"/>
      <c r="J367" s="565"/>
      <c r="K367" s="565"/>
      <c r="L367" s="565"/>
      <c r="M367" s="565"/>
      <c r="N367" s="529"/>
      <c r="O367" s="529"/>
      <c r="P367" s="529"/>
      <c r="Q367" s="529"/>
      <c r="R367" s="529"/>
      <c r="S367" s="529"/>
      <c r="T367" s="529"/>
      <c r="U367" s="529"/>
      <c r="V367" s="529"/>
      <c r="W367" s="529"/>
      <c r="X367" s="529"/>
      <c r="Y367" s="529"/>
      <c r="Z367" s="529"/>
      <c r="AA367" s="529"/>
      <c r="AB367" s="529"/>
      <c r="AC367" s="529"/>
      <c r="AD367" s="529"/>
      <c r="AE367" s="529"/>
      <c r="AF367" s="529"/>
      <c r="AG367" s="556"/>
      <c r="AH367" s="528"/>
    </row>
    <row r="368">
      <c r="A368" s="564"/>
      <c r="B368" s="565"/>
      <c r="C368" s="565"/>
      <c r="D368" s="565"/>
      <c r="E368" s="565"/>
      <c r="F368" s="565"/>
      <c r="G368" s="565"/>
      <c r="H368" s="565"/>
      <c r="I368" s="565"/>
      <c r="J368" s="565"/>
      <c r="K368" s="565"/>
      <c r="L368" s="565"/>
      <c r="M368" s="565"/>
      <c r="N368" s="529"/>
      <c r="O368" s="529"/>
      <c r="P368" s="529"/>
      <c r="Q368" s="529"/>
      <c r="R368" s="529"/>
      <c r="S368" s="529"/>
      <c r="T368" s="529"/>
      <c r="U368" s="529"/>
      <c r="V368" s="529"/>
      <c r="W368" s="529"/>
      <c r="X368" s="529"/>
      <c r="Y368" s="529"/>
      <c r="Z368" s="529"/>
      <c r="AA368" s="529"/>
      <c r="AB368" s="529"/>
      <c r="AC368" s="529"/>
      <c r="AD368" s="529"/>
      <c r="AE368" s="529"/>
      <c r="AF368" s="529"/>
      <c r="AG368" s="556"/>
      <c r="AH368" s="528"/>
    </row>
    <row r="369">
      <c r="A369" s="564"/>
      <c r="B369" s="565"/>
      <c r="C369" s="565"/>
      <c r="D369" s="565"/>
      <c r="E369" s="565"/>
      <c r="F369" s="565"/>
      <c r="G369" s="565"/>
      <c r="H369" s="565"/>
      <c r="I369" s="565"/>
      <c r="J369" s="565"/>
      <c r="K369" s="565"/>
      <c r="L369" s="565"/>
      <c r="M369" s="565"/>
      <c r="N369" s="529"/>
      <c r="O369" s="529"/>
      <c r="P369" s="529"/>
      <c r="Q369" s="529"/>
      <c r="R369" s="529"/>
      <c r="S369" s="529"/>
      <c r="T369" s="529"/>
      <c r="U369" s="529"/>
      <c r="V369" s="529"/>
      <c r="W369" s="529"/>
      <c r="X369" s="529"/>
      <c r="Y369" s="529"/>
      <c r="Z369" s="529"/>
      <c r="AA369" s="529"/>
      <c r="AB369" s="529"/>
      <c r="AC369" s="529"/>
      <c r="AD369" s="529"/>
      <c r="AE369" s="529"/>
      <c r="AF369" s="529"/>
      <c r="AG369" s="556"/>
      <c r="AH369" s="528"/>
    </row>
    <row r="370">
      <c r="A370" s="564"/>
      <c r="B370" s="565"/>
      <c r="C370" s="565"/>
      <c r="D370" s="565"/>
      <c r="E370" s="565"/>
      <c r="F370" s="565"/>
      <c r="G370" s="565"/>
      <c r="H370" s="565"/>
      <c r="I370" s="565"/>
      <c r="J370" s="565"/>
      <c r="K370" s="565"/>
      <c r="L370" s="565"/>
      <c r="M370" s="565"/>
      <c r="N370" s="529"/>
      <c r="O370" s="529"/>
      <c r="P370" s="529"/>
      <c r="Q370" s="529"/>
      <c r="R370" s="529"/>
      <c r="S370" s="529"/>
      <c r="T370" s="529"/>
      <c r="U370" s="529"/>
      <c r="V370" s="529"/>
      <c r="W370" s="529"/>
      <c r="X370" s="529"/>
      <c r="Y370" s="529"/>
      <c r="Z370" s="529"/>
      <c r="AA370" s="529"/>
      <c r="AB370" s="529"/>
      <c r="AC370" s="529"/>
      <c r="AD370" s="529"/>
      <c r="AE370" s="529"/>
      <c r="AF370" s="529"/>
      <c r="AG370" s="556"/>
      <c r="AH370" s="528"/>
    </row>
    <row r="371">
      <c r="A371" s="564"/>
      <c r="B371" s="565"/>
      <c r="C371" s="565"/>
      <c r="D371" s="565"/>
      <c r="E371" s="565"/>
      <c r="F371" s="565"/>
      <c r="G371" s="565"/>
      <c r="H371" s="565"/>
      <c r="I371" s="565"/>
      <c r="J371" s="565"/>
      <c r="K371" s="565"/>
      <c r="L371" s="565"/>
      <c r="M371" s="565"/>
      <c r="N371" s="529"/>
      <c r="O371" s="529"/>
      <c r="P371" s="529"/>
      <c r="Q371" s="529"/>
      <c r="R371" s="529"/>
      <c r="S371" s="529"/>
      <c r="T371" s="529"/>
      <c r="U371" s="529"/>
      <c r="V371" s="529"/>
      <c r="W371" s="529"/>
      <c r="X371" s="529"/>
      <c r="Y371" s="529"/>
      <c r="Z371" s="529"/>
      <c r="AA371" s="529"/>
      <c r="AB371" s="529"/>
      <c r="AC371" s="529"/>
      <c r="AD371" s="529"/>
      <c r="AE371" s="529"/>
      <c r="AF371" s="529"/>
      <c r="AG371" s="556"/>
      <c r="AH371" s="528"/>
    </row>
    <row r="372">
      <c r="A372" s="564"/>
      <c r="B372" s="565"/>
      <c r="C372" s="565"/>
      <c r="D372" s="565"/>
      <c r="E372" s="565"/>
      <c r="F372" s="565"/>
      <c r="G372" s="565"/>
      <c r="H372" s="565"/>
      <c r="I372" s="565"/>
      <c r="J372" s="565"/>
      <c r="K372" s="565"/>
      <c r="L372" s="565"/>
      <c r="M372" s="565"/>
      <c r="N372" s="529"/>
      <c r="O372" s="529"/>
      <c r="P372" s="529"/>
      <c r="Q372" s="529"/>
      <c r="R372" s="529"/>
      <c r="S372" s="529"/>
      <c r="T372" s="529"/>
      <c r="U372" s="529"/>
      <c r="V372" s="529"/>
      <c r="W372" s="529"/>
      <c r="X372" s="529"/>
      <c r="Y372" s="529"/>
      <c r="Z372" s="529"/>
      <c r="AA372" s="529"/>
      <c r="AB372" s="529"/>
      <c r="AC372" s="529"/>
      <c r="AD372" s="529"/>
      <c r="AE372" s="529"/>
      <c r="AF372" s="529"/>
      <c r="AG372" s="556"/>
      <c r="AH372" s="528"/>
    </row>
    <row r="373">
      <c r="A373" s="564"/>
      <c r="B373" s="565"/>
      <c r="C373" s="565"/>
      <c r="D373" s="565"/>
      <c r="E373" s="565"/>
      <c r="F373" s="565"/>
      <c r="G373" s="565"/>
      <c r="H373" s="565"/>
      <c r="I373" s="565"/>
      <c r="J373" s="565"/>
      <c r="K373" s="565"/>
      <c r="L373" s="565"/>
      <c r="M373" s="565"/>
      <c r="N373" s="529"/>
      <c r="O373" s="529"/>
      <c r="P373" s="529"/>
      <c r="Q373" s="529"/>
      <c r="R373" s="529"/>
      <c r="S373" s="529"/>
      <c r="T373" s="529"/>
      <c r="U373" s="529"/>
      <c r="V373" s="529"/>
      <c r="W373" s="529"/>
      <c r="X373" s="529"/>
      <c r="Y373" s="529"/>
      <c r="Z373" s="529"/>
      <c r="AA373" s="529"/>
      <c r="AB373" s="529"/>
      <c r="AC373" s="529"/>
      <c r="AD373" s="529"/>
      <c r="AE373" s="529"/>
      <c r="AF373" s="529"/>
      <c r="AG373" s="556"/>
      <c r="AH373" s="528"/>
    </row>
    <row r="374">
      <c r="A374" s="564"/>
      <c r="B374" s="565"/>
      <c r="C374" s="565"/>
      <c r="D374" s="565"/>
      <c r="E374" s="565"/>
      <c r="F374" s="565"/>
      <c r="G374" s="565"/>
      <c r="H374" s="565"/>
      <c r="I374" s="565"/>
      <c r="J374" s="565"/>
      <c r="K374" s="565"/>
      <c r="L374" s="565"/>
      <c r="M374" s="565"/>
      <c r="N374" s="529"/>
      <c r="O374" s="529"/>
      <c r="P374" s="529"/>
      <c r="Q374" s="529"/>
      <c r="R374" s="529"/>
      <c r="S374" s="529"/>
      <c r="T374" s="529"/>
      <c r="U374" s="529"/>
      <c r="V374" s="529"/>
      <c r="W374" s="529"/>
      <c r="X374" s="529"/>
      <c r="Y374" s="529"/>
      <c r="Z374" s="529"/>
      <c r="AA374" s="529"/>
      <c r="AB374" s="529"/>
      <c r="AC374" s="529"/>
      <c r="AD374" s="529"/>
      <c r="AE374" s="529"/>
      <c r="AF374" s="529"/>
      <c r="AG374" s="556"/>
      <c r="AH374" s="528"/>
    </row>
    <row r="375">
      <c r="A375" s="564"/>
      <c r="B375" s="565"/>
      <c r="C375" s="565"/>
      <c r="D375" s="565"/>
      <c r="E375" s="565"/>
      <c r="F375" s="565"/>
      <c r="G375" s="565"/>
      <c r="H375" s="565"/>
      <c r="I375" s="565"/>
      <c r="J375" s="565"/>
      <c r="K375" s="565"/>
      <c r="L375" s="565"/>
      <c r="M375" s="565"/>
      <c r="N375" s="529"/>
      <c r="O375" s="529"/>
      <c r="P375" s="529"/>
      <c r="Q375" s="529"/>
      <c r="R375" s="529"/>
      <c r="S375" s="529"/>
      <c r="T375" s="529"/>
      <c r="U375" s="529"/>
      <c r="V375" s="529"/>
      <c r="W375" s="529"/>
      <c r="X375" s="529"/>
      <c r="Y375" s="529"/>
      <c r="Z375" s="529"/>
      <c r="AA375" s="529"/>
      <c r="AB375" s="529"/>
      <c r="AC375" s="529"/>
      <c r="AD375" s="529"/>
      <c r="AE375" s="529"/>
      <c r="AF375" s="529"/>
      <c r="AG375" s="556"/>
      <c r="AH375" s="528"/>
    </row>
    <row r="376">
      <c r="A376" s="564"/>
      <c r="B376" s="565"/>
      <c r="C376" s="565"/>
      <c r="D376" s="565"/>
      <c r="E376" s="565"/>
      <c r="F376" s="565"/>
      <c r="G376" s="565"/>
      <c r="H376" s="565"/>
      <c r="I376" s="565"/>
      <c r="J376" s="565"/>
      <c r="K376" s="565"/>
      <c r="L376" s="565"/>
      <c r="M376" s="565"/>
      <c r="N376" s="529"/>
      <c r="O376" s="529"/>
      <c r="P376" s="529"/>
      <c r="Q376" s="529"/>
      <c r="R376" s="529"/>
      <c r="S376" s="529"/>
      <c r="T376" s="529"/>
      <c r="U376" s="529"/>
      <c r="V376" s="529"/>
      <c r="W376" s="529"/>
      <c r="X376" s="529"/>
      <c r="Y376" s="529"/>
      <c r="Z376" s="529"/>
      <c r="AA376" s="529"/>
      <c r="AB376" s="529"/>
      <c r="AC376" s="529"/>
      <c r="AD376" s="529"/>
      <c r="AE376" s="529"/>
      <c r="AF376" s="529"/>
      <c r="AG376" s="556"/>
      <c r="AH376" s="528"/>
    </row>
    <row r="377">
      <c r="A377" s="564"/>
      <c r="B377" s="565"/>
      <c r="C377" s="565"/>
      <c r="D377" s="565"/>
      <c r="E377" s="565"/>
      <c r="F377" s="565"/>
      <c r="G377" s="565"/>
      <c r="H377" s="565"/>
      <c r="I377" s="565"/>
      <c r="J377" s="565"/>
      <c r="K377" s="565"/>
      <c r="L377" s="565"/>
      <c r="M377" s="565"/>
      <c r="N377" s="529"/>
      <c r="O377" s="529"/>
      <c r="P377" s="529"/>
      <c r="Q377" s="529"/>
      <c r="R377" s="529"/>
      <c r="S377" s="529"/>
      <c r="T377" s="529"/>
      <c r="U377" s="529"/>
      <c r="V377" s="529"/>
      <c r="W377" s="529"/>
      <c r="X377" s="529"/>
      <c r="Y377" s="529"/>
      <c r="Z377" s="529"/>
      <c r="AA377" s="529"/>
      <c r="AB377" s="529"/>
      <c r="AC377" s="529"/>
      <c r="AD377" s="529"/>
      <c r="AE377" s="529"/>
      <c r="AF377" s="529"/>
      <c r="AG377" s="556"/>
      <c r="AH377" s="528"/>
    </row>
    <row r="378">
      <c r="A378" s="564"/>
      <c r="B378" s="565"/>
      <c r="C378" s="565"/>
      <c r="D378" s="565"/>
      <c r="E378" s="565"/>
      <c r="F378" s="565"/>
      <c r="G378" s="565"/>
      <c r="H378" s="565"/>
      <c r="I378" s="565"/>
      <c r="J378" s="565"/>
      <c r="K378" s="565"/>
      <c r="L378" s="565"/>
      <c r="M378" s="565"/>
      <c r="N378" s="529"/>
      <c r="O378" s="529"/>
      <c r="P378" s="529"/>
      <c r="Q378" s="529"/>
      <c r="R378" s="529"/>
      <c r="S378" s="529"/>
      <c r="T378" s="529"/>
      <c r="U378" s="529"/>
      <c r="V378" s="529"/>
      <c r="W378" s="529"/>
      <c r="X378" s="529"/>
      <c r="Y378" s="529"/>
      <c r="Z378" s="529"/>
      <c r="AA378" s="529"/>
      <c r="AB378" s="529"/>
      <c r="AC378" s="529"/>
      <c r="AD378" s="529"/>
      <c r="AE378" s="529"/>
      <c r="AF378" s="529"/>
      <c r="AG378" s="556"/>
      <c r="AH378" s="528"/>
    </row>
    <row r="379">
      <c r="A379" s="564"/>
      <c r="B379" s="565"/>
      <c r="C379" s="565"/>
      <c r="D379" s="565"/>
      <c r="E379" s="565"/>
      <c r="F379" s="565"/>
      <c r="G379" s="565"/>
      <c r="H379" s="565"/>
      <c r="I379" s="565"/>
      <c r="J379" s="565"/>
      <c r="K379" s="565"/>
      <c r="L379" s="565"/>
      <c r="M379" s="565"/>
      <c r="N379" s="529"/>
      <c r="O379" s="529"/>
      <c r="P379" s="529"/>
      <c r="Q379" s="529"/>
      <c r="R379" s="529"/>
      <c r="S379" s="529"/>
      <c r="T379" s="529"/>
      <c r="U379" s="529"/>
      <c r="V379" s="529"/>
      <c r="W379" s="529"/>
      <c r="X379" s="529"/>
      <c r="Y379" s="529"/>
      <c r="Z379" s="529"/>
      <c r="AA379" s="529"/>
      <c r="AB379" s="529"/>
      <c r="AC379" s="529"/>
      <c r="AD379" s="529"/>
      <c r="AE379" s="529"/>
      <c r="AF379" s="529"/>
      <c r="AG379" s="556"/>
      <c r="AH379" s="528"/>
    </row>
    <row r="380">
      <c r="A380" s="564"/>
      <c r="B380" s="565"/>
      <c r="C380" s="565"/>
      <c r="D380" s="565"/>
      <c r="E380" s="565"/>
      <c r="F380" s="565"/>
      <c r="G380" s="565"/>
      <c r="H380" s="565"/>
      <c r="I380" s="565"/>
      <c r="J380" s="565"/>
      <c r="K380" s="565"/>
      <c r="L380" s="565"/>
      <c r="M380" s="565"/>
      <c r="N380" s="529"/>
      <c r="O380" s="529"/>
      <c r="P380" s="529"/>
      <c r="Q380" s="529"/>
      <c r="R380" s="529"/>
      <c r="S380" s="529"/>
      <c r="T380" s="529"/>
      <c r="U380" s="529"/>
      <c r="V380" s="529"/>
      <c r="W380" s="529"/>
      <c r="X380" s="529"/>
      <c r="Y380" s="529"/>
      <c r="Z380" s="529"/>
      <c r="AA380" s="529"/>
      <c r="AB380" s="529"/>
      <c r="AC380" s="529"/>
      <c r="AD380" s="529"/>
      <c r="AE380" s="529"/>
      <c r="AF380" s="529"/>
      <c r="AG380" s="556"/>
      <c r="AH380" s="528"/>
    </row>
    <row r="381">
      <c r="A381" s="564"/>
      <c r="B381" s="565"/>
      <c r="C381" s="565"/>
      <c r="D381" s="565"/>
      <c r="E381" s="565"/>
      <c r="F381" s="565"/>
      <c r="G381" s="565"/>
      <c r="H381" s="565"/>
      <c r="I381" s="565"/>
      <c r="J381" s="565"/>
      <c r="K381" s="565"/>
      <c r="L381" s="565"/>
      <c r="M381" s="565"/>
      <c r="N381" s="529"/>
      <c r="O381" s="529"/>
      <c r="P381" s="529"/>
      <c r="Q381" s="529"/>
      <c r="R381" s="529"/>
      <c r="S381" s="529"/>
      <c r="T381" s="529"/>
      <c r="U381" s="529"/>
      <c r="V381" s="529"/>
      <c r="W381" s="529"/>
      <c r="X381" s="529"/>
      <c r="Y381" s="529"/>
      <c r="Z381" s="529"/>
      <c r="AA381" s="529"/>
      <c r="AB381" s="529"/>
      <c r="AC381" s="529"/>
      <c r="AD381" s="529"/>
      <c r="AE381" s="529"/>
      <c r="AF381" s="529"/>
      <c r="AG381" s="556"/>
      <c r="AH381" s="528"/>
    </row>
    <row r="382">
      <c r="A382" s="564"/>
      <c r="B382" s="565"/>
      <c r="C382" s="565"/>
      <c r="D382" s="565"/>
      <c r="E382" s="565"/>
      <c r="F382" s="565"/>
      <c r="G382" s="565"/>
      <c r="H382" s="565"/>
      <c r="I382" s="565"/>
      <c r="J382" s="565"/>
      <c r="K382" s="565"/>
      <c r="L382" s="565"/>
      <c r="M382" s="565"/>
      <c r="N382" s="529"/>
      <c r="O382" s="529"/>
      <c r="P382" s="529"/>
      <c r="Q382" s="529"/>
      <c r="R382" s="529"/>
      <c r="S382" s="529"/>
      <c r="T382" s="529"/>
      <c r="U382" s="529"/>
      <c r="V382" s="529"/>
      <c r="W382" s="529"/>
      <c r="X382" s="529"/>
      <c r="Y382" s="529"/>
      <c r="Z382" s="529"/>
      <c r="AA382" s="529"/>
      <c r="AB382" s="529"/>
      <c r="AC382" s="529"/>
      <c r="AD382" s="529"/>
      <c r="AE382" s="529"/>
      <c r="AF382" s="529"/>
      <c r="AG382" s="556"/>
      <c r="AH382" s="528"/>
    </row>
    <row r="383">
      <c r="A383" s="564"/>
      <c r="B383" s="565"/>
      <c r="C383" s="565"/>
      <c r="D383" s="565"/>
      <c r="E383" s="565"/>
      <c r="F383" s="565"/>
      <c r="G383" s="565"/>
      <c r="H383" s="565"/>
      <c r="I383" s="565"/>
      <c r="J383" s="565"/>
      <c r="K383" s="565"/>
      <c r="L383" s="565"/>
      <c r="M383" s="565"/>
      <c r="N383" s="529"/>
      <c r="O383" s="529"/>
      <c r="P383" s="529"/>
      <c r="Q383" s="529"/>
      <c r="R383" s="529"/>
      <c r="S383" s="529"/>
      <c r="T383" s="529"/>
      <c r="U383" s="529"/>
      <c r="V383" s="529"/>
      <c r="W383" s="529"/>
      <c r="X383" s="529"/>
      <c r="Y383" s="529"/>
      <c r="Z383" s="529"/>
      <c r="AA383" s="529"/>
      <c r="AB383" s="529"/>
      <c r="AC383" s="529"/>
      <c r="AD383" s="529"/>
      <c r="AE383" s="529"/>
      <c r="AF383" s="529"/>
      <c r="AG383" s="556"/>
      <c r="AH383" s="528"/>
    </row>
    <row r="384">
      <c r="A384" s="564"/>
      <c r="B384" s="565"/>
      <c r="C384" s="565"/>
      <c r="D384" s="565"/>
      <c r="E384" s="565"/>
      <c r="F384" s="565"/>
      <c r="G384" s="565"/>
      <c r="H384" s="565"/>
      <c r="I384" s="565"/>
      <c r="J384" s="565"/>
      <c r="K384" s="565"/>
      <c r="L384" s="565"/>
      <c r="M384" s="565"/>
      <c r="N384" s="529"/>
      <c r="O384" s="529"/>
      <c r="P384" s="529"/>
      <c r="Q384" s="529"/>
      <c r="R384" s="529"/>
      <c r="S384" s="529"/>
      <c r="T384" s="529"/>
      <c r="U384" s="529"/>
      <c r="V384" s="529"/>
      <c r="W384" s="529"/>
      <c r="X384" s="529"/>
      <c r="Y384" s="529"/>
      <c r="Z384" s="529"/>
      <c r="AA384" s="529"/>
      <c r="AB384" s="529"/>
      <c r="AC384" s="529"/>
      <c r="AD384" s="529"/>
      <c r="AE384" s="529"/>
      <c r="AF384" s="529"/>
      <c r="AG384" s="556"/>
      <c r="AH384" s="528"/>
    </row>
    <row r="385">
      <c r="A385" s="564"/>
      <c r="B385" s="565"/>
      <c r="C385" s="565"/>
      <c r="D385" s="565"/>
      <c r="E385" s="565"/>
      <c r="F385" s="565"/>
      <c r="G385" s="565"/>
      <c r="H385" s="565"/>
      <c r="I385" s="565"/>
      <c r="J385" s="565"/>
      <c r="K385" s="565"/>
      <c r="L385" s="565"/>
      <c r="M385" s="565"/>
      <c r="N385" s="529"/>
      <c r="O385" s="529"/>
      <c r="P385" s="529"/>
      <c r="Q385" s="529"/>
      <c r="R385" s="529"/>
      <c r="S385" s="529"/>
      <c r="T385" s="529"/>
      <c r="U385" s="529"/>
      <c r="V385" s="529"/>
      <c r="W385" s="529"/>
      <c r="X385" s="529"/>
      <c r="Y385" s="529"/>
      <c r="Z385" s="529"/>
      <c r="AA385" s="529"/>
      <c r="AB385" s="529"/>
      <c r="AC385" s="529"/>
      <c r="AD385" s="529"/>
      <c r="AE385" s="529"/>
      <c r="AF385" s="529"/>
      <c r="AG385" s="556"/>
      <c r="AH385" s="528"/>
    </row>
    <row r="386">
      <c r="A386" s="564"/>
      <c r="B386" s="565"/>
      <c r="C386" s="565"/>
      <c r="D386" s="565"/>
      <c r="E386" s="565"/>
      <c r="F386" s="565"/>
      <c r="G386" s="565"/>
      <c r="H386" s="565"/>
      <c r="I386" s="565"/>
      <c r="J386" s="565"/>
      <c r="K386" s="565"/>
      <c r="L386" s="565"/>
      <c r="M386" s="565"/>
      <c r="N386" s="529"/>
      <c r="O386" s="529"/>
      <c r="P386" s="529"/>
      <c r="Q386" s="529"/>
      <c r="R386" s="529"/>
      <c r="S386" s="529"/>
      <c r="T386" s="529"/>
      <c r="U386" s="529"/>
      <c r="V386" s="529"/>
      <c r="W386" s="529"/>
      <c r="X386" s="529"/>
      <c r="Y386" s="529"/>
      <c r="Z386" s="529"/>
      <c r="AA386" s="529"/>
      <c r="AB386" s="529"/>
      <c r="AC386" s="529"/>
      <c r="AD386" s="529"/>
      <c r="AE386" s="529"/>
      <c r="AF386" s="529"/>
      <c r="AG386" s="556"/>
      <c r="AH386" s="528"/>
    </row>
    <row r="387">
      <c r="A387" s="564"/>
      <c r="B387" s="565"/>
      <c r="C387" s="565"/>
      <c r="D387" s="565"/>
      <c r="E387" s="565"/>
      <c r="F387" s="565"/>
      <c r="G387" s="565"/>
      <c r="H387" s="565"/>
      <c r="I387" s="565"/>
      <c r="J387" s="565"/>
      <c r="K387" s="565"/>
      <c r="L387" s="565"/>
      <c r="M387" s="565"/>
      <c r="N387" s="529"/>
      <c r="O387" s="529"/>
      <c r="P387" s="529"/>
      <c r="Q387" s="529"/>
      <c r="R387" s="529"/>
      <c r="S387" s="529"/>
      <c r="T387" s="529"/>
      <c r="U387" s="529"/>
      <c r="V387" s="529"/>
      <c r="W387" s="529"/>
      <c r="X387" s="529"/>
      <c r="Y387" s="529"/>
      <c r="Z387" s="529"/>
      <c r="AA387" s="529"/>
      <c r="AB387" s="529"/>
      <c r="AC387" s="529"/>
      <c r="AD387" s="529"/>
      <c r="AE387" s="529"/>
      <c r="AF387" s="529"/>
      <c r="AG387" s="556"/>
      <c r="AH387" s="528"/>
    </row>
    <row r="388">
      <c r="A388" s="564"/>
      <c r="B388" s="565"/>
      <c r="C388" s="565"/>
      <c r="D388" s="565"/>
      <c r="E388" s="565"/>
      <c r="F388" s="565"/>
      <c r="G388" s="565"/>
      <c r="H388" s="565"/>
      <c r="I388" s="565"/>
      <c r="J388" s="565"/>
      <c r="K388" s="565"/>
      <c r="L388" s="565"/>
      <c r="M388" s="565"/>
      <c r="N388" s="529"/>
      <c r="O388" s="529"/>
      <c r="P388" s="529"/>
      <c r="Q388" s="529"/>
      <c r="R388" s="529"/>
      <c r="S388" s="529"/>
      <c r="T388" s="529"/>
      <c r="U388" s="529"/>
      <c r="V388" s="529"/>
      <c r="W388" s="529"/>
      <c r="X388" s="529"/>
      <c r="Y388" s="529"/>
      <c r="Z388" s="529"/>
      <c r="AA388" s="529"/>
      <c r="AB388" s="529"/>
      <c r="AC388" s="529"/>
      <c r="AD388" s="529"/>
      <c r="AE388" s="529"/>
      <c r="AF388" s="529"/>
      <c r="AG388" s="556"/>
      <c r="AH388" s="528"/>
    </row>
    <row r="389">
      <c r="A389" s="564"/>
      <c r="B389" s="565"/>
      <c r="C389" s="565"/>
      <c r="D389" s="565"/>
      <c r="E389" s="565"/>
      <c r="F389" s="565"/>
      <c r="G389" s="565"/>
      <c r="H389" s="565"/>
      <c r="I389" s="565"/>
      <c r="J389" s="565"/>
      <c r="K389" s="565"/>
      <c r="L389" s="565"/>
      <c r="M389" s="565"/>
      <c r="N389" s="529"/>
      <c r="O389" s="529"/>
      <c r="P389" s="529"/>
      <c r="Q389" s="529"/>
      <c r="R389" s="529"/>
      <c r="S389" s="529"/>
      <c r="T389" s="529"/>
      <c r="U389" s="529"/>
      <c r="V389" s="529"/>
      <c r="W389" s="529"/>
      <c r="X389" s="529"/>
      <c r="Y389" s="529"/>
      <c r="Z389" s="529"/>
      <c r="AA389" s="529"/>
      <c r="AB389" s="529"/>
      <c r="AC389" s="529"/>
      <c r="AD389" s="529"/>
      <c r="AE389" s="529"/>
      <c r="AF389" s="529"/>
      <c r="AG389" s="556"/>
      <c r="AH389" s="528"/>
    </row>
    <row r="390">
      <c r="A390" s="564"/>
      <c r="B390" s="565"/>
      <c r="C390" s="565"/>
      <c r="D390" s="565"/>
      <c r="E390" s="565"/>
      <c r="F390" s="565"/>
      <c r="G390" s="565"/>
      <c r="H390" s="565"/>
      <c r="I390" s="565"/>
      <c r="J390" s="565"/>
      <c r="K390" s="565"/>
      <c r="L390" s="565"/>
      <c r="M390" s="565"/>
      <c r="N390" s="529"/>
      <c r="O390" s="529"/>
      <c r="P390" s="529"/>
      <c r="Q390" s="529"/>
      <c r="R390" s="529"/>
      <c r="S390" s="529"/>
      <c r="T390" s="529"/>
      <c r="U390" s="529"/>
      <c r="V390" s="529"/>
      <c r="W390" s="529"/>
      <c r="X390" s="529"/>
      <c r="Y390" s="529"/>
      <c r="Z390" s="529"/>
      <c r="AA390" s="529"/>
      <c r="AB390" s="529"/>
      <c r="AC390" s="529"/>
      <c r="AD390" s="529"/>
      <c r="AE390" s="529"/>
      <c r="AF390" s="529"/>
      <c r="AG390" s="556"/>
      <c r="AH390" s="528"/>
    </row>
    <row r="391">
      <c r="A391" s="564"/>
      <c r="B391" s="565"/>
      <c r="C391" s="565"/>
      <c r="D391" s="565"/>
      <c r="E391" s="565"/>
      <c r="F391" s="565"/>
      <c r="G391" s="565"/>
      <c r="H391" s="565"/>
      <c r="I391" s="565"/>
      <c r="J391" s="565"/>
      <c r="K391" s="565"/>
      <c r="L391" s="565"/>
      <c r="M391" s="565"/>
      <c r="N391" s="529"/>
      <c r="O391" s="529"/>
      <c r="P391" s="529"/>
      <c r="Q391" s="529"/>
      <c r="R391" s="529"/>
      <c r="S391" s="529"/>
      <c r="T391" s="529"/>
      <c r="U391" s="529"/>
      <c r="V391" s="529"/>
      <c r="W391" s="529"/>
      <c r="X391" s="529"/>
      <c r="Y391" s="529"/>
      <c r="Z391" s="529"/>
      <c r="AA391" s="529"/>
      <c r="AB391" s="529"/>
      <c r="AC391" s="529"/>
      <c r="AD391" s="529"/>
      <c r="AE391" s="529"/>
      <c r="AF391" s="529"/>
      <c r="AG391" s="556"/>
      <c r="AH391" s="528"/>
    </row>
    <row r="392">
      <c r="A392" s="564"/>
      <c r="B392" s="565"/>
      <c r="C392" s="565"/>
      <c r="D392" s="565"/>
      <c r="E392" s="565"/>
      <c r="F392" s="565"/>
      <c r="G392" s="565"/>
      <c r="H392" s="565"/>
      <c r="I392" s="565"/>
      <c r="J392" s="565"/>
      <c r="K392" s="565"/>
      <c r="L392" s="565"/>
      <c r="M392" s="565"/>
      <c r="N392" s="529"/>
      <c r="O392" s="529"/>
      <c r="P392" s="529"/>
      <c r="Q392" s="529"/>
      <c r="R392" s="529"/>
      <c r="S392" s="529"/>
      <c r="T392" s="529"/>
      <c r="U392" s="529"/>
      <c r="V392" s="529"/>
      <c r="W392" s="529"/>
      <c r="X392" s="529"/>
      <c r="Y392" s="529"/>
      <c r="Z392" s="529"/>
      <c r="AA392" s="529"/>
      <c r="AB392" s="529"/>
      <c r="AC392" s="529"/>
      <c r="AD392" s="529"/>
      <c r="AE392" s="529"/>
      <c r="AF392" s="529"/>
      <c r="AG392" s="556"/>
      <c r="AH392" s="528"/>
    </row>
    <row r="393">
      <c r="A393" s="564"/>
      <c r="B393" s="565"/>
      <c r="C393" s="565"/>
      <c r="D393" s="565"/>
      <c r="E393" s="565"/>
      <c r="F393" s="565"/>
      <c r="G393" s="565"/>
      <c r="H393" s="565"/>
      <c r="I393" s="565"/>
      <c r="J393" s="565"/>
      <c r="K393" s="565"/>
      <c r="L393" s="565"/>
      <c r="M393" s="565"/>
      <c r="N393" s="529"/>
      <c r="O393" s="529"/>
      <c r="P393" s="529"/>
      <c r="Q393" s="529"/>
      <c r="R393" s="529"/>
      <c r="S393" s="529"/>
      <c r="T393" s="529"/>
      <c r="U393" s="529"/>
      <c r="V393" s="529"/>
      <c r="W393" s="529"/>
      <c r="X393" s="529"/>
      <c r="Y393" s="529"/>
      <c r="Z393" s="529"/>
      <c r="AA393" s="529"/>
      <c r="AB393" s="529"/>
      <c r="AC393" s="529"/>
      <c r="AD393" s="529"/>
      <c r="AE393" s="529"/>
      <c r="AF393" s="529"/>
      <c r="AG393" s="556"/>
      <c r="AH393" s="528"/>
    </row>
    <row r="394">
      <c r="A394" s="564"/>
      <c r="B394" s="565"/>
      <c r="C394" s="565"/>
      <c r="D394" s="565"/>
      <c r="E394" s="565"/>
      <c r="F394" s="565"/>
      <c r="G394" s="565"/>
      <c r="H394" s="565"/>
      <c r="I394" s="565"/>
      <c r="J394" s="565"/>
      <c r="K394" s="565"/>
      <c r="L394" s="565"/>
      <c r="M394" s="565"/>
      <c r="N394" s="529"/>
      <c r="O394" s="529"/>
      <c r="P394" s="529"/>
      <c r="Q394" s="529"/>
      <c r="R394" s="529"/>
      <c r="S394" s="529"/>
      <c r="T394" s="529"/>
      <c r="U394" s="529"/>
      <c r="V394" s="529"/>
      <c r="W394" s="529"/>
      <c r="X394" s="529"/>
      <c r="Y394" s="529"/>
      <c r="Z394" s="529"/>
      <c r="AA394" s="529"/>
      <c r="AB394" s="529"/>
      <c r="AC394" s="529"/>
      <c r="AD394" s="529"/>
      <c r="AE394" s="529"/>
      <c r="AF394" s="529"/>
      <c r="AG394" s="556"/>
      <c r="AH394" s="528"/>
    </row>
    <row r="395">
      <c r="A395" s="564"/>
      <c r="B395" s="565"/>
      <c r="C395" s="565"/>
      <c r="D395" s="565"/>
      <c r="E395" s="565"/>
      <c r="F395" s="565"/>
      <c r="G395" s="565"/>
      <c r="H395" s="565"/>
      <c r="I395" s="565"/>
      <c r="J395" s="565"/>
      <c r="K395" s="565"/>
      <c r="L395" s="565"/>
      <c r="M395" s="565"/>
      <c r="N395" s="529"/>
      <c r="O395" s="529"/>
      <c r="P395" s="529"/>
      <c r="Q395" s="529"/>
      <c r="R395" s="529"/>
      <c r="S395" s="529"/>
      <c r="T395" s="529"/>
      <c r="U395" s="529"/>
      <c r="V395" s="529"/>
      <c r="W395" s="529"/>
      <c r="X395" s="529"/>
      <c r="Y395" s="529"/>
      <c r="Z395" s="529"/>
      <c r="AA395" s="529"/>
      <c r="AB395" s="529"/>
      <c r="AC395" s="529"/>
      <c r="AD395" s="529"/>
      <c r="AE395" s="529"/>
      <c r="AF395" s="529"/>
      <c r="AG395" s="556"/>
      <c r="AH395" s="528"/>
    </row>
    <row r="396">
      <c r="A396" s="564"/>
      <c r="B396" s="565"/>
      <c r="C396" s="565"/>
      <c r="D396" s="565"/>
      <c r="E396" s="565"/>
      <c r="F396" s="565"/>
      <c r="G396" s="565"/>
      <c r="H396" s="565"/>
      <c r="I396" s="565"/>
      <c r="J396" s="565"/>
      <c r="K396" s="565"/>
      <c r="L396" s="565"/>
      <c r="M396" s="565"/>
      <c r="N396" s="529"/>
      <c r="O396" s="529"/>
      <c r="P396" s="529"/>
      <c r="Q396" s="529"/>
      <c r="R396" s="529"/>
      <c r="S396" s="529"/>
      <c r="T396" s="529"/>
      <c r="U396" s="529"/>
      <c r="V396" s="529"/>
      <c r="W396" s="529"/>
      <c r="X396" s="529"/>
      <c r="Y396" s="529"/>
      <c r="Z396" s="529"/>
      <c r="AA396" s="529"/>
      <c r="AB396" s="529"/>
      <c r="AC396" s="529"/>
      <c r="AD396" s="529"/>
      <c r="AE396" s="529"/>
      <c r="AF396" s="529"/>
      <c r="AG396" s="556"/>
      <c r="AH396" s="528"/>
    </row>
    <row r="397">
      <c r="A397" s="564"/>
      <c r="B397" s="565"/>
      <c r="C397" s="565"/>
      <c r="D397" s="565"/>
      <c r="E397" s="565"/>
      <c r="F397" s="565"/>
      <c r="G397" s="565"/>
      <c r="H397" s="565"/>
      <c r="I397" s="565"/>
      <c r="J397" s="565"/>
      <c r="K397" s="565"/>
      <c r="L397" s="565"/>
      <c r="M397" s="565"/>
      <c r="N397" s="529"/>
      <c r="O397" s="529"/>
      <c r="P397" s="529"/>
      <c r="Q397" s="529"/>
      <c r="R397" s="529"/>
      <c r="S397" s="529"/>
      <c r="T397" s="529"/>
      <c r="U397" s="529"/>
      <c r="V397" s="529"/>
      <c r="W397" s="529"/>
      <c r="X397" s="529"/>
      <c r="Y397" s="529"/>
      <c r="Z397" s="529"/>
      <c r="AA397" s="529"/>
      <c r="AB397" s="529"/>
      <c r="AC397" s="529"/>
      <c r="AD397" s="529"/>
      <c r="AE397" s="529"/>
      <c r="AF397" s="529"/>
      <c r="AG397" s="556"/>
      <c r="AH397" s="528"/>
    </row>
    <row r="398">
      <c r="A398" s="564"/>
      <c r="B398" s="565"/>
      <c r="C398" s="565"/>
      <c r="D398" s="565"/>
      <c r="E398" s="565"/>
      <c r="F398" s="565"/>
      <c r="G398" s="565"/>
      <c r="H398" s="565"/>
      <c r="I398" s="565"/>
      <c r="J398" s="565"/>
      <c r="K398" s="565"/>
      <c r="L398" s="565"/>
      <c r="M398" s="565"/>
      <c r="N398" s="529"/>
      <c r="O398" s="529"/>
      <c r="P398" s="529"/>
      <c r="Q398" s="529"/>
      <c r="R398" s="529"/>
      <c r="S398" s="529"/>
      <c r="T398" s="529"/>
      <c r="U398" s="529"/>
      <c r="V398" s="529"/>
      <c r="W398" s="529"/>
      <c r="X398" s="529"/>
      <c r="Y398" s="529"/>
      <c r="Z398" s="529"/>
      <c r="AA398" s="529"/>
      <c r="AB398" s="529"/>
      <c r="AC398" s="529"/>
      <c r="AD398" s="529"/>
      <c r="AE398" s="529"/>
      <c r="AF398" s="529"/>
      <c r="AG398" s="556"/>
      <c r="AH398" s="528"/>
    </row>
    <row r="399">
      <c r="A399" s="564"/>
      <c r="B399" s="565"/>
      <c r="C399" s="565"/>
      <c r="D399" s="565"/>
      <c r="E399" s="565"/>
      <c r="F399" s="565"/>
      <c r="G399" s="565"/>
      <c r="H399" s="565"/>
      <c r="I399" s="565"/>
      <c r="J399" s="565"/>
      <c r="K399" s="565"/>
      <c r="L399" s="565"/>
      <c r="M399" s="565"/>
      <c r="N399" s="529"/>
      <c r="O399" s="529"/>
      <c r="P399" s="529"/>
      <c r="Q399" s="529"/>
      <c r="R399" s="529"/>
      <c r="S399" s="529"/>
      <c r="T399" s="529"/>
      <c r="U399" s="529"/>
      <c r="V399" s="529"/>
      <c r="W399" s="529"/>
      <c r="X399" s="529"/>
      <c r="Y399" s="529"/>
      <c r="Z399" s="529"/>
      <c r="AA399" s="529"/>
      <c r="AB399" s="529"/>
      <c r="AC399" s="529"/>
      <c r="AD399" s="529"/>
      <c r="AE399" s="529"/>
      <c r="AF399" s="529"/>
      <c r="AG399" s="556"/>
      <c r="AH399" s="528"/>
    </row>
    <row r="400">
      <c r="A400" s="564"/>
      <c r="B400" s="565"/>
      <c r="C400" s="565"/>
      <c r="D400" s="565"/>
      <c r="E400" s="565"/>
      <c r="F400" s="565"/>
      <c r="G400" s="565"/>
      <c r="H400" s="565"/>
      <c r="I400" s="565"/>
      <c r="J400" s="565"/>
      <c r="K400" s="565"/>
      <c r="L400" s="565"/>
      <c r="M400" s="565"/>
      <c r="N400" s="529"/>
      <c r="O400" s="529"/>
      <c r="P400" s="529"/>
      <c r="Q400" s="529"/>
      <c r="R400" s="529"/>
      <c r="S400" s="529"/>
      <c r="T400" s="529"/>
      <c r="U400" s="529"/>
      <c r="V400" s="529"/>
      <c r="W400" s="529"/>
      <c r="X400" s="529"/>
      <c r="Y400" s="529"/>
      <c r="Z400" s="529"/>
      <c r="AA400" s="529"/>
      <c r="AB400" s="529"/>
      <c r="AC400" s="529"/>
      <c r="AD400" s="529"/>
      <c r="AE400" s="529"/>
      <c r="AF400" s="529"/>
      <c r="AG400" s="556"/>
      <c r="AH400" s="528"/>
    </row>
    <row r="401">
      <c r="A401" s="564"/>
      <c r="B401" s="565"/>
      <c r="C401" s="565"/>
      <c r="D401" s="565"/>
      <c r="E401" s="565"/>
      <c r="F401" s="565"/>
      <c r="G401" s="565"/>
      <c r="H401" s="565"/>
      <c r="I401" s="565"/>
      <c r="J401" s="565"/>
      <c r="K401" s="565"/>
      <c r="L401" s="565"/>
      <c r="M401" s="565"/>
      <c r="N401" s="529"/>
      <c r="O401" s="529"/>
      <c r="P401" s="529"/>
      <c r="Q401" s="529"/>
      <c r="R401" s="529"/>
      <c r="S401" s="529"/>
      <c r="T401" s="529"/>
      <c r="U401" s="529"/>
      <c r="V401" s="529"/>
      <c r="W401" s="529"/>
      <c r="X401" s="529"/>
      <c r="Y401" s="529"/>
      <c r="Z401" s="529"/>
      <c r="AA401" s="529"/>
      <c r="AB401" s="529"/>
      <c r="AC401" s="529"/>
      <c r="AD401" s="529"/>
      <c r="AE401" s="529"/>
      <c r="AF401" s="529"/>
      <c r="AG401" s="556"/>
      <c r="AH401" s="528"/>
    </row>
    <row r="402">
      <c r="A402" s="564"/>
      <c r="B402" s="565"/>
      <c r="C402" s="565"/>
      <c r="D402" s="565"/>
      <c r="E402" s="565"/>
      <c r="F402" s="565"/>
      <c r="G402" s="565"/>
      <c r="H402" s="565"/>
      <c r="I402" s="565"/>
      <c r="J402" s="565"/>
      <c r="K402" s="565"/>
      <c r="L402" s="565"/>
      <c r="M402" s="565"/>
      <c r="N402" s="529"/>
      <c r="O402" s="529"/>
      <c r="P402" s="529"/>
      <c r="Q402" s="529"/>
      <c r="R402" s="529"/>
      <c r="S402" s="529"/>
      <c r="T402" s="529"/>
      <c r="U402" s="529"/>
      <c r="V402" s="529"/>
      <c r="W402" s="529"/>
      <c r="X402" s="529"/>
      <c r="Y402" s="529"/>
      <c r="Z402" s="529"/>
      <c r="AA402" s="529"/>
      <c r="AB402" s="529"/>
      <c r="AC402" s="529"/>
      <c r="AD402" s="529"/>
      <c r="AE402" s="529"/>
      <c r="AF402" s="529"/>
      <c r="AG402" s="556"/>
      <c r="AH402" s="528"/>
    </row>
    <row r="403">
      <c r="A403" s="564"/>
      <c r="B403" s="565"/>
      <c r="C403" s="565"/>
      <c r="D403" s="565"/>
      <c r="E403" s="565"/>
      <c r="F403" s="565"/>
      <c r="G403" s="565"/>
      <c r="H403" s="565"/>
      <c r="I403" s="565"/>
      <c r="J403" s="565"/>
      <c r="K403" s="565"/>
      <c r="L403" s="565"/>
      <c r="M403" s="565"/>
      <c r="N403" s="529"/>
      <c r="O403" s="529"/>
      <c r="P403" s="529"/>
      <c r="Q403" s="529"/>
      <c r="R403" s="529"/>
      <c r="S403" s="529"/>
      <c r="T403" s="529"/>
      <c r="U403" s="529"/>
      <c r="V403" s="529"/>
      <c r="W403" s="529"/>
      <c r="X403" s="529"/>
      <c r="Y403" s="529"/>
      <c r="Z403" s="529"/>
      <c r="AA403" s="529"/>
      <c r="AB403" s="529"/>
      <c r="AC403" s="529"/>
      <c r="AD403" s="529"/>
      <c r="AE403" s="529"/>
      <c r="AF403" s="529"/>
      <c r="AG403" s="556"/>
      <c r="AH403" s="528"/>
    </row>
    <row r="404">
      <c r="A404" s="564"/>
      <c r="B404" s="565"/>
      <c r="C404" s="565"/>
      <c r="D404" s="565"/>
      <c r="E404" s="565"/>
      <c r="F404" s="565"/>
      <c r="G404" s="565"/>
      <c r="H404" s="565"/>
      <c r="I404" s="565"/>
      <c r="J404" s="565"/>
      <c r="K404" s="565"/>
      <c r="L404" s="565"/>
      <c r="M404" s="565"/>
      <c r="N404" s="529"/>
      <c r="O404" s="529"/>
      <c r="P404" s="529"/>
      <c r="Q404" s="529"/>
      <c r="R404" s="529"/>
      <c r="S404" s="529"/>
      <c r="T404" s="529"/>
      <c r="U404" s="529"/>
      <c r="V404" s="529"/>
      <c r="W404" s="529"/>
      <c r="X404" s="529"/>
      <c r="Y404" s="529"/>
      <c r="Z404" s="529"/>
      <c r="AA404" s="529"/>
      <c r="AB404" s="529"/>
      <c r="AC404" s="529"/>
      <c r="AD404" s="529"/>
      <c r="AE404" s="529"/>
      <c r="AF404" s="529"/>
      <c r="AG404" s="556"/>
      <c r="AH404" s="528"/>
    </row>
    <row r="405">
      <c r="A405" s="564"/>
      <c r="B405" s="565"/>
      <c r="C405" s="565"/>
      <c r="D405" s="565"/>
      <c r="E405" s="565"/>
      <c r="F405" s="565"/>
      <c r="G405" s="565"/>
      <c r="H405" s="565"/>
      <c r="I405" s="565"/>
      <c r="J405" s="565"/>
      <c r="K405" s="565"/>
      <c r="L405" s="565"/>
      <c r="M405" s="565"/>
      <c r="N405" s="529"/>
      <c r="O405" s="529"/>
      <c r="P405" s="529"/>
      <c r="Q405" s="529"/>
      <c r="R405" s="529"/>
      <c r="S405" s="529"/>
      <c r="T405" s="529"/>
      <c r="U405" s="529"/>
      <c r="V405" s="529"/>
      <c r="W405" s="529"/>
      <c r="X405" s="529"/>
      <c r="Y405" s="529"/>
      <c r="Z405" s="529"/>
      <c r="AA405" s="529"/>
      <c r="AB405" s="529"/>
      <c r="AC405" s="529"/>
      <c r="AD405" s="529"/>
      <c r="AE405" s="529"/>
      <c r="AF405" s="529"/>
      <c r="AG405" s="556"/>
      <c r="AH405" s="528"/>
    </row>
    <row r="406">
      <c r="A406" s="564"/>
      <c r="B406" s="565"/>
      <c r="C406" s="565"/>
      <c r="D406" s="565"/>
      <c r="E406" s="565"/>
      <c r="F406" s="565"/>
      <c r="G406" s="565"/>
      <c r="H406" s="565"/>
      <c r="I406" s="565"/>
      <c r="J406" s="565"/>
      <c r="K406" s="565"/>
      <c r="L406" s="565"/>
      <c r="M406" s="565"/>
      <c r="N406" s="529"/>
      <c r="O406" s="529"/>
      <c r="P406" s="529"/>
      <c r="Q406" s="529"/>
      <c r="R406" s="529"/>
      <c r="S406" s="529"/>
      <c r="T406" s="529"/>
      <c r="U406" s="529"/>
      <c r="V406" s="529"/>
      <c r="W406" s="529"/>
      <c r="X406" s="529"/>
      <c r="Y406" s="529"/>
      <c r="Z406" s="529"/>
      <c r="AA406" s="529"/>
      <c r="AB406" s="529"/>
      <c r="AC406" s="529"/>
      <c r="AD406" s="529"/>
      <c r="AE406" s="529"/>
      <c r="AF406" s="529"/>
      <c r="AG406" s="556"/>
      <c r="AH406" s="528"/>
    </row>
    <row r="407">
      <c r="A407" s="564"/>
      <c r="B407" s="565"/>
      <c r="C407" s="565"/>
      <c r="D407" s="565"/>
      <c r="E407" s="565"/>
      <c r="F407" s="565"/>
      <c r="G407" s="565"/>
      <c r="H407" s="565"/>
      <c r="I407" s="565"/>
      <c r="J407" s="565"/>
      <c r="K407" s="565"/>
      <c r="L407" s="565"/>
      <c r="M407" s="565"/>
      <c r="N407" s="529"/>
      <c r="O407" s="529"/>
      <c r="P407" s="529"/>
      <c r="Q407" s="529"/>
      <c r="R407" s="529"/>
      <c r="S407" s="529"/>
      <c r="T407" s="529"/>
      <c r="U407" s="529"/>
      <c r="V407" s="529"/>
      <c r="W407" s="529"/>
      <c r="X407" s="529"/>
      <c r="Y407" s="529"/>
      <c r="Z407" s="529"/>
      <c r="AA407" s="529"/>
      <c r="AB407" s="529"/>
      <c r="AC407" s="529"/>
      <c r="AD407" s="529"/>
      <c r="AE407" s="529"/>
      <c r="AF407" s="529"/>
      <c r="AG407" s="556"/>
      <c r="AH407" s="528"/>
    </row>
    <row r="408">
      <c r="A408" s="564"/>
      <c r="B408" s="565"/>
      <c r="C408" s="565"/>
      <c r="D408" s="565"/>
      <c r="E408" s="565"/>
      <c r="F408" s="565"/>
      <c r="G408" s="565"/>
      <c r="H408" s="565"/>
      <c r="I408" s="565"/>
      <c r="J408" s="565"/>
      <c r="K408" s="565"/>
      <c r="L408" s="565"/>
      <c r="M408" s="565"/>
      <c r="N408" s="529"/>
      <c r="O408" s="529"/>
      <c r="P408" s="529"/>
      <c r="Q408" s="529"/>
      <c r="R408" s="529"/>
      <c r="S408" s="529"/>
      <c r="T408" s="529"/>
      <c r="U408" s="529"/>
      <c r="V408" s="529"/>
      <c r="W408" s="529"/>
      <c r="X408" s="529"/>
      <c r="Y408" s="529"/>
      <c r="Z408" s="529"/>
      <c r="AA408" s="529"/>
      <c r="AB408" s="529"/>
      <c r="AC408" s="529"/>
      <c r="AD408" s="529"/>
      <c r="AE408" s="529"/>
      <c r="AF408" s="529"/>
      <c r="AG408" s="556"/>
      <c r="AH408" s="528"/>
    </row>
    <row r="409">
      <c r="A409" s="564"/>
      <c r="B409" s="565"/>
      <c r="C409" s="565"/>
      <c r="D409" s="565"/>
      <c r="E409" s="565"/>
      <c r="F409" s="565"/>
      <c r="G409" s="565"/>
      <c r="H409" s="565"/>
      <c r="I409" s="565"/>
      <c r="J409" s="565"/>
      <c r="K409" s="565"/>
      <c r="L409" s="565"/>
      <c r="M409" s="565"/>
      <c r="N409" s="529"/>
      <c r="O409" s="529"/>
      <c r="P409" s="529"/>
      <c r="Q409" s="529"/>
      <c r="R409" s="529"/>
      <c r="S409" s="529"/>
      <c r="T409" s="529"/>
      <c r="U409" s="529"/>
      <c r="V409" s="529"/>
      <c r="W409" s="529"/>
      <c r="X409" s="529"/>
      <c r="Y409" s="529"/>
      <c r="Z409" s="529"/>
      <c r="AA409" s="529"/>
      <c r="AB409" s="529"/>
      <c r="AC409" s="529"/>
      <c r="AD409" s="529"/>
      <c r="AE409" s="529"/>
      <c r="AF409" s="529"/>
      <c r="AG409" s="556"/>
      <c r="AH409" s="528"/>
    </row>
    <row r="410">
      <c r="A410" s="564"/>
      <c r="B410" s="565"/>
      <c r="C410" s="565"/>
      <c r="D410" s="565"/>
      <c r="E410" s="565"/>
      <c r="F410" s="565"/>
      <c r="G410" s="565"/>
      <c r="H410" s="565"/>
      <c r="I410" s="565"/>
      <c r="J410" s="565"/>
      <c r="K410" s="565"/>
      <c r="L410" s="565"/>
      <c r="M410" s="565"/>
      <c r="N410" s="529"/>
      <c r="O410" s="529"/>
      <c r="P410" s="529"/>
      <c r="Q410" s="529"/>
      <c r="R410" s="529"/>
      <c r="S410" s="529"/>
      <c r="T410" s="529"/>
      <c r="U410" s="529"/>
      <c r="V410" s="529"/>
      <c r="W410" s="529"/>
      <c r="X410" s="529"/>
      <c r="Y410" s="529"/>
      <c r="Z410" s="529"/>
      <c r="AA410" s="529"/>
      <c r="AB410" s="529"/>
      <c r="AC410" s="529"/>
      <c r="AD410" s="529"/>
      <c r="AE410" s="529"/>
      <c r="AF410" s="529"/>
      <c r="AG410" s="556"/>
      <c r="AH410" s="528"/>
    </row>
    <row r="411">
      <c r="A411" s="564"/>
      <c r="B411" s="565"/>
      <c r="C411" s="565"/>
      <c r="D411" s="565"/>
      <c r="E411" s="565"/>
      <c r="F411" s="565"/>
      <c r="G411" s="565"/>
      <c r="H411" s="565"/>
      <c r="I411" s="565"/>
      <c r="J411" s="565"/>
      <c r="K411" s="565"/>
      <c r="L411" s="565"/>
      <c r="M411" s="565"/>
      <c r="N411" s="529"/>
      <c r="O411" s="529"/>
      <c r="P411" s="529"/>
      <c r="Q411" s="529"/>
      <c r="R411" s="529"/>
      <c r="S411" s="529"/>
      <c r="T411" s="529"/>
      <c r="U411" s="529"/>
      <c r="V411" s="529"/>
      <c r="W411" s="529"/>
      <c r="X411" s="529"/>
      <c r="Y411" s="529"/>
      <c r="Z411" s="529"/>
      <c r="AA411" s="529"/>
      <c r="AB411" s="529"/>
      <c r="AC411" s="529"/>
      <c r="AD411" s="529"/>
      <c r="AE411" s="529"/>
      <c r="AF411" s="529"/>
      <c r="AG411" s="556"/>
      <c r="AH411" s="528"/>
    </row>
    <row r="412">
      <c r="A412" s="564"/>
      <c r="B412" s="565"/>
      <c r="C412" s="565"/>
      <c r="D412" s="565"/>
      <c r="E412" s="565"/>
      <c r="F412" s="565"/>
      <c r="G412" s="565"/>
      <c r="H412" s="565"/>
      <c r="I412" s="565"/>
      <c r="J412" s="565"/>
      <c r="K412" s="565"/>
      <c r="L412" s="565"/>
      <c r="M412" s="565"/>
      <c r="N412" s="529"/>
      <c r="O412" s="529"/>
      <c r="P412" s="529"/>
      <c r="Q412" s="529"/>
      <c r="R412" s="529"/>
      <c r="S412" s="529"/>
      <c r="T412" s="529"/>
      <c r="U412" s="529"/>
      <c r="V412" s="529"/>
      <c r="W412" s="529"/>
      <c r="X412" s="529"/>
      <c r="Y412" s="529"/>
      <c r="Z412" s="529"/>
      <c r="AA412" s="529"/>
      <c r="AB412" s="529"/>
      <c r="AC412" s="529"/>
      <c r="AD412" s="529"/>
      <c r="AE412" s="529"/>
      <c r="AF412" s="529"/>
      <c r="AG412" s="556"/>
      <c r="AH412" s="528"/>
    </row>
    <row r="413">
      <c r="A413" s="564"/>
      <c r="B413" s="565"/>
      <c r="C413" s="565"/>
      <c r="D413" s="565"/>
      <c r="E413" s="565"/>
      <c r="F413" s="565"/>
      <c r="G413" s="565"/>
      <c r="H413" s="565"/>
      <c r="I413" s="565"/>
      <c r="J413" s="565"/>
      <c r="K413" s="565"/>
      <c r="L413" s="565"/>
      <c r="M413" s="565"/>
      <c r="N413" s="529"/>
      <c r="O413" s="529"/>
      <c r="P413" s="529"/>
      <c r="Q413" s="529"/>
      <c r="R413" s="529"/>
      <c r="S413" s="529"/>
      <c r="T413" s="529"/>
      <c r="U413" s="529"/>
      <c r="V413" s="529"/>
      <c r="W413" s="529"/>
      <c r="X413" s="529"/>
      <c r="Y413" s="529"/>
      <c r="Z413" s="529"/>
      <c r="AA413" s="529"/>
      <c r="AB413" s="529"/>
      <c r="AC413" s="529"/>
      <c r="AD413" s="529"/>
      <c r="AE413" s="529"/>
      <c r="AF413" s="529"/>
      <c r="AG413" s="556"/>
      <c r="AH413" s="528"/>
    </row>
    <row r="414">
      <c r="A414" s="564"/>
      <c r="B414" s="565"/>
      <c r="C414" s="565"/>
      <c r="D414" s="565"/>
      <c r="E414" s="565"/>
      <c r="F414" s="565"/>
      <c r="G414" s="565"/>
      <c r="H414" s="565"/>
      <c r="I414" s="565"/>
      <c r="J414" s="565"/>
      <c r="K414" s="565"/>
      <c r="L414" s="565"/>
      <c r="M414" s="565"/>
      <c r="N414" s="529"/>
      <c r="O414" s="529"/>
      <c r="P414" s="529"/>
      <c r="Q414" s="529"/>
      <c r="R414" s="529"/>
      <c r="S414" s="529"/>
      <c r="T414" s="529"/>
      <c r="U414" s="529"/>
      <c r="V414" s="529"/>
      <c r="W414" s="529"/>
      <c r="X414" s="529"/>
      <c r="Y414" s="529"/>
      <c r="Z414" s="529"/>
      <c r="AA414" s="529"/>
      <c r="AB414" s="529"/>
      <c r="AC414" s="529"/>
      <c r="AD414" s="529"/>
      <c r="AE414" s="529"/>
      <c r="AF414" s="529"/>
      <c r="AG414" s="556"/>
      <c r="AH414" s="528"/>
    </row>
    <row r="415">
      <c r="A415" s="564"/>
      <c r="B415" s="565"/>
      <c r="C415" s="565"/>
      <c r="D415" s="565"/>
      <c r="E415" s="565"/>
      <c r="F415" s="565"/>
      <c r="G415" s="565"/>
      <c r="H415" s="565"/>
      <c r="I415" s="565"/>
      <c r="J415" s="565"/>
      <c r="K415" s="565"/>
      <c r="L415" s="565"/>
      <c r="M415" s="565"/>
      <c r="N415" s="529"/>
      <c r="O415" s="529"/>
      <c r="P415" s="529"/>
      <c r="Q415" s="529"/>
      <c r="R415" s="529"/>
      <c r="S415" s="529"/>
      <c r="T415" s="529"/>
      <c r="U415" s="529"/>
      <c r="V415" s="529"/>
      <c r="W415" s="529"/>
      <c r="X415" s="529"/>
      <c r="Y415" s="529"/>
      <c r="Z415" s="529"/>
      <c r="AA415" s="529"/>
      <c r="AB415" s="529"/>
      <c r="AC415" s="529"/>
      <c r="AD415" s="529"/>
      <c r="AE415" s="529"/>
      <c r="AF415" s="529"/>
      <c r="AG415" s="556"/>
      <c r="AH415" s="528"/>
    </row>
    <row r="416">
      <c r="A416" s="564"/>
      <c r="B416" s="565"/>
      <c r="C416" s="565"/>
      <c r="D416" s="565"/>
      <c r="E416" s="565"/>
      <c r="F416" s="565"/>
      <c r="G416" s="565"/>
      <c r="H416" s="565"/>
      <c r="I416" s="565"/>
      <c r="J416" s="565"/>
      <c r="K416" s="565"/>
      <c r="L416" s="565"/>
      <c r="M416" s="565"/>
      <c r="N416" s="529"/>
      <c r="O416" s="529"/>
      <c r="P416" s="529"/>
      <c r="Q416" s="529"/>
      <c r="R416" s="529"/>
      <c r="S416" s="529"/>
      <c r="T416" s="529"/>
      <c r="U416" s="529"/>
      <c r="V416" s="529"/>
      <c r="W416" s="529"/>
      <c r="X416" s="529"/>
      <c r="Y416" s="529"/>
      <c r="Z416" s="529"/>
      <c r="AA416" s="529"/>
      <c r="AB416" s="529"/>
      <c r="AC416" s="529"/>
      <c r="AD416" s="529"/>
      <c r="AE416" s="529"/>
      <c r="AF416" s="529"/>
      <c r="AG416" s="556"/>
      <c r="AH416" s="528"/>
    </row>
    <row r="417">
      <c r="A417" s="564"/>
      <c r="B417" s="565"/>
      <c r="C417" s="565"/>
      <c r="D417" s="565"/>
      <c r="E417" s="565"/>
      <c r="F417" s="565"/>
      <c r="G417" s="565"/>
      <c r="H417" s="565"/>
      <c r="I417" s="565"/>
      <c r="J417" s="565"/>
      <c r="K417" s="565"/>
      <c r="L417" s="565"/>
      <c r="M417" s="565"/>
      <c r="N417" s="529"/>
      <c r="O417" s="529"/>
      <c r="P417" s="529"/>
      <c r="Q417" s="529"/>
      <c r="R417" s="529"/>
      <c r="S417" s="529"/>
      <c r="T417" s="529"/>
      <c r="U417" s="529"/>
      <c r="V417" s="529"/>
      <c r="W417" s="529"/>
      <c r="X417" s="529"/>
      <c r="Y417" s="529"/>
      <c r="Z417" s="529"/>
      <c r="AA417" s="529"/>
      <c r="AB417" s="529"/>
      <c r="AC417" s="529"/>
      <c r="AD417" s="529"/>
      <c r="AE417" s="529"/>
      <c r="AF417" s="529"/>
      <c r="AG417" s="556"/>
      <c r="AH417" s="528"/>
    </row>
    <row r="418">
      <c r="A418" s="564"/>
      <c r="B418" s="565"/>
      <c r="C418" s="565"/>
      <c r="D418" s="565"/>
      <c r="E418" s="565"/>
      <c r="F418" s="565"/>
      <c r="G418" s="565"/>
      <c r="H418" s="565"/>
      <c r="I418" s="565"/>
      <c r="J418" s="565"/>
      <c r="K418" s="565"/>
      <c r="L418" s="565"/>
      <c r="M418" s="565"/>
      <c r="N418" s="529"/>
      <c r="O418" s="529"/>
      <c r="P418" s="529"/>
      <c r="Q418" s="529"/>
      <c r="R418" s="529"/>
      <c r="S418" s="529"/>
      <c r="T418" s="529"/>
      <c r="U418" s="529"/>
      <c r="V418" s="529"/>
      <c r="W418" s="529"/>
      <c r="X418" s="529"/>
      <c r="Y418" s="529"/>
      <c r="Z418" s="529"/>
      <c r="AA418" s="529"/>
      <c r="AB418" s="529"/>
      <c r="AC418" s="529"/>
      <c r="AD418" s="529"/>
      <c r="AE418" s="529"/>
      <c r="AF418" s="529"/>
      <c r="AG418" s="556"/>
      <c r="AH418" s="528"/>
    </row>
    <row r="419">
      <c r="A419" s="564"/>
      <c r="B419" s="565"/>
      <c r="C419" s="565"/>
      <c r="D419" s="565"/>
      <c r="E419" s="565"/>
      <c r="F419" s="565"/>
      <c r="G419" s="565"/>
      <c r="H419" s="565"/>
      <c r="I419" s="565"/>
      <c r="J419" s="565"/>
      <c r="K419" s="565"/>
      <c r="L419" s="565"/>
      <c r="M419" s="565"/>
      <c r="N419" s="529"/>
      <c r="O419" s="529"/>
      <c r="P419" s="529"/>
      <c r="Q419" s="529"/>
      <c r="R419" s="529"/>
      <c r="S419" s="529"/>
      <c r="T419" s="529"/>
      <c r="U419" s="529"/>
      <c r="V419" s="529"/>
      <c r="W419" s="529"/>
      <c r="X419" s="529"/>
      <c r="Y419" s="529"/>
      <c r="Z419" s="529"/>
      <c r="AA419" s="529"/>
      <c r="AB419" s="529"/>
      <c r="AC419" s="529"/>
      <c r="AD419" s="529"/>
      <c r="AE419" s="529"/>
      <c r="AF419" s="529"/>
      <c r="AG419" s="556"/>
      <c r="AH419" s="528"/>
    </row>
    <row r="420">
      <c r="A420" s="564"/>
      <c r="B420" s="565"/>
      <c r="C420" s="565"/>
      <c r="D420" s="565"/>
      <c r="E420" s="565"/>
      <c r="F420" s="565"/>
      <c r="G420" s="565"/>
      <c r="H420" s="565"/>
      <c r="I420" s="565"/>
      <c r="J420" s="565"/>
      <c r="K420" s="565"/>
      <c r="L420" s="565"/>
      <c r="M420" s="565"/>
      <c r="N420" s="529"/>
      <c r="O420" s="529"/>
      <c r="P420" s="529"/>
      <c r="Q420" s="529"/>
      <c r="R420" s="529"/>
      <c r="S420" s="529"/>
      <c r="T420" s="529"/>
      <c r="U420" s="529"/>
      <c r="V420" s="529"/>
      <c r="W420" s="529"/>
      <c r="X420" s="529"/>
      <c r="Y420" s="529"/>
      <c r="Z420" s="529"/>
      <c r="AA420" s="529"/>
      <c r="AB420" s="529"/>
      <c r="AC420" s="529"/>
      <c r="AD420" s="529"/>
      <c r="AE420" s="529"/>
      <c r="AF420" s="529"/>
      <c r="AG420" s="556"/>
      <c r="AH420" s="528"/>
    </row>
    <row r="421">
      <c r="A421" s="564"/>
      <c r="B421" s="565"/>
      <c r="C421" s="565"/>
      <c r="D421" s="565"/>
      <c r="E421" s="565"/>
      <c r="F421" s="565"/>
      <c r="G421" s="565"/>
      <c r="H421" s="565"/>
      <c r="I421" s="565"/>
      <c r="J421" s="565"/>
      <c r="K421" s="565"/>
      <c r="L421" s="565"/>
      <c r="M421" s="565"/>
      <c r="N421" s="529"/>
      <c r="O421" s="529"/>
      <c r="P421" s="529"/>
      <c r="Q421" s="529"/>
      <c r="R421" s="529"/>
      <c r="S421" s="529"/>
      <c r="T421" s="529"/>
      <c r="U421" s="529"/>
      <c r="V421" s="529"/>
      <c r="W421" s="529"/>
      <c r="X421" s="529"/>
      <c r="Y421" s="529"/>
      <c r="Z421" s="529"/>
      <c r="AA421" s="529"/>
      <c r="AB421" s="529"/>
      <c r="AC421" s="529"/>
      <c r="AD421" s="529"/>
      <c r="AE421" s="529"/>
      <c r="AF421" s="529"/>
      <c r="AG421" s="556"/>
      <c r="AH421" s="528"/>
    </row>
    <row r="422">
      <c r="A422" s="564"/>
      <c r="B422" s="565"/>
      <c r="C422" s="565"/>
      <c r="D422" s="565"/>
      <c r="E422" s="565"/>
      <c r="F422" s="565"/>
      <c r="G422" s="565"/>
      <c r="H422" s="565"/>
      <c r="I422" s="565"/>
      <c r="J422" s="565"/>
      <c r="K422" s="565"/>
      <c r="L422" s="565"/>
      <c r="M422" s="565"/>
      <c r="N422" s="529"/>
      <c r="O422" s="529"/>
      <c r="P422" s="529"/>
      <c r="Q422" s="529"/>
      <c r="R422" s="529"/>
      <c r="S422" s="529"/>
      <c r="T422" s="529"/>
      <c r="U422" s="529"/>
      <c r="V422" s="529"/>
      <c r="W422" s="529"/>
      <c r="X422" s="529"/>
      <c r="Y422" s="529"/>
      <c r="Z422" s="529"/>
      <c r="AA422" s="529"/>
      <c r="AB422" s="529"/>
      <c r="AC422" s="529"/>
      <c r="AD422" s="529"/>
      <c r="AE422" s="529"/>
      <c r="AF422" s="529"/>
      <c r="AG422" s="556"/>
      <c r="AH422" s="528"/>
    </row>
    <row r="423">
      <c r="A423" s="564"/>
      <c r="B423" s="565"/>
      <c r="C423" s="565"/>
      <c r="D423" s="565"/>
      <c r="E423" s="565"/>
      <c r="F423" s="565"/>
      <c r="G423" s="565"/>
      <c r="H423" s="565"/>
      <c r="I423" s="565"/>
      <c r="J423" s="565"/>
      <c r="K423" s="565"/>
      <c r="L423" s="565"/>
      <c r="M423" s="565"/>
      <c r="N423" s="529"/>
      <c r="O423" s="529"/>
      <c r="P423" s="529"/>
      <c r="Q423" s="529"/>
      <c r="R423" s="529"/>
      <c r="S423" s="529"/>
      <c r="T423" s="529"/>
      <c r="U423" s="529"/>
      <c r="V423" s="529"/>
      <c r="W423" s="529"/>
      <c r="X423" s="529"/>
      <c r="Y423" s="529"/>
      <c r="Z423" s="529"/>
      <c r="AA423" s="529"/>
      <c r="AB423" s="529"/>
      <c r="AC423" s="529"/>
      <c r="AD423" s="529"/>
      <c r="AE423" s="529"/>
      <c r="AF423" s="529"/>
      <c r="AG423" s="556"/>
      <c r="AH423" s="528"/>
    </row>
    <row r="424">
      <c r="A424" s="564"/>
      <c r="B424" s="565"/>
      <c r="C424" s="565"/>
      <c r="D424" s="565"/>
      <c r="E424" s="565"/>
      <c r="F424" s="565"/>
      <c r="G424" s="565"/>
      <c r="H424" s="565"/>
      <c r="I424" s="565"/>
      <c r="J424" s="565"/>
      <c r="K424" s="565"/>
      <c r="L424" s="565"/>
      <c r="M424" s="565"/>
      <c r="N424" s="529"/>
      <c r="O424" s="529"/>
      <c r="P424" s="529"/>
      <c r="Q424" s="529"/>
      <c r="R424" s="529"/>
      <c r="S424" s="529"/>
      <c r="T424" s="529"/>
      <c r="U424" s="529"/>
      <c r="V424" s="529"/>
      <c r="W424" s="529"/>
      <c r="X424" s="529"/>
      <c r="Y424" s="529"/>
      <c r="Z424" s="529"/>
      <c r="AA424" s="529"/>
      <c r="AB424" s="529"/>
      <c r="AC424" s="529"/>
      <c r="AD424" s="529"/>
      <c r="AE424" s="529"/>
      <c r="AF424" s="529"/>
      <c r="AG424" s="556"/>
      <c r="AH424" s="528"/>
    </row>
    <row r="425">
      <c r="A425" s="564"/>
      <c r="B425" s="565"/>
      <c r="C425" s="565"/>
      <c r="D425" s="565"/>
      <c r="E425" s="565"/>
      <c r="F425" s="565"/>
      <c r="G425" s="565"/>
      <c r="H425" s="565"/>
      <c r="I425" s="565"/>
      <c r="J425" s="565"/>
      <c r="K425" s="565"/>
      <c r="L425" s="565"/>
      <c r="M425" s="565"/>
      <c r="N425" s="529"/>
      <c r="O425" s="529"/>
      <c r="P425" s="529"/>
      <c r="Q425" s="529"/>
      <c r="R425" s="529"/>
      <c r="S425" s="529"/>
      <c r="T425" s="529"/>
      <c r="U425" s="529"/>
      <c r="V425" s="529"/>
      <c r="W425" s="529"/>
      <c r="X425" s="529"/>
      <c r="Y425" s="529"/>
      <c r="Z425" s="529"/>
      <c r="AA425" s="529"/>
      <c r="AB425" s="529"/>
      <c r="AC425" s="529"/>
      <c r="AD425" s="529"/>
      <c r="AE425" s="529"/>
      <c r="AF425" s="529"/>
      <c r="AG425" s="556"/>
      <c r="AH425" s="528"/>
    </row>
    <row r="426">
      <c r="A426" s="564"/>
      <c r="B426" s="565"/>
      <c r="C426" s="565"/>
      <c r="D426" s="565"/>
      <c r="E426" s="565"/>
      <c r="F426" s="565"/>
      <c r="G426" s="565"/>
      <c r="H426" s="565"/>
      <c r="I426" s="565"/>
      <c r="J426" s="565"/>
      <c r="K426" s="565"/>
      <c r="L426" s="565"/>
      <c r="M426" s="565"/>
      <c r="N426" s="529"/>
      <c r="O426" s="529"/>
      <c r="P426" s="529"/>
      <c r="Q426" s="529"/>
      <c r="R426" s="529"/>
      <c r="S426" s="529"/>
      <c r="T426" s="529"/>
      <c r="U426" s="529"/>
      <c r="V426" s="529"/>
      <c r="W426" s="529"/>
      <c r="X426" s="529"/>
      <c r="Y426" s="529"/>
      <c r="Z426" s="529"/>
      <c r="AA426" s="529"/>
      <c r="AB426" s="529"/>
      <c r="AC426" s="529"/>
      <c r="AD426" s="529"/>
      <c r="AE426" s="529"/>
      <c r="AF426" s="529"/>
      <c r="AG426" s="556"/>
      <c r="AH426" s="528"/>
    </row>
    <row r="427">
      <c r="A427" s="564"/>
      <c r="B427" s="565"/>
      <c r="C427" s="565"/>
      <c r="D427" s="565"/>
      <c r="E427" s="565"/>
      <c r="F427" s="565"/>
      <c r="G427" s="565"/>
      <c r="H427" s="565"/>
      <c r="I427" s="565"/>
      <c r="J427" s="565"/>
      <c r="K427" s="565"/>
      <c r="L427" s="565"/>
      <c r="M427" s="565"/>
      <c r="N427" s="529"/>
      <c r="O427" s="529"/>
      <c r="P427" s="529"/>
      <c r="Q427" s="529"/>
      <c r="R427" s="529"/>
      <c r="S427" s="529"/>
      <c r="T427" s="529"/>
      <c r="U427" s="529"/>
      <c r="V427" s="529"/>
      <c r="W427" s="529"/>
      <c r="X427" s="529"/>
      <c r="Y427" s="529"/>
      <c r="Z427" s="529"/>
      <c r="AA427" s="529"/>
      <c r="AB427" s="529"/>
      <c r="AC427" s="529"/>
      <c r="AD427" s="529"/>
      <c r="AE427" s="529"/>
      <c r="AF427" s="529"/>
      <c r="AG427" s="556"/>
      <c r="AH427" s="528"/>
    </row>
    <row r="428">
      <c r="A428" s="564"/>
      <c r="B428" s="565"/>
      <c r="C428" s="565"/>
      <c r="D428" s="565"/>
      <c r="E428" s="565"/>
      <c r="F428" s="565"/>
      <c r="G428" s="565"/>
      <c r="H428" s="565"/>
      <c r="I428" s="565"/>
      <c r="J428" s="565"/>
      <c r="K428" s="565"/>
      <c r="L428" s="565"/>
      <c r="M428" s="565"/>
      <c r="N428" s="529"/>
      <c r="O428" s="529"/>
      <c r="P428" s="529"/>
      <c r="Q428" s="529"/>
      <c r="R428" s="529"/>
      <c r="S428" s="529"/>
      <c r="T428" s="529"/>
      <c r="U428" s="529"/>
      <c r="V428" s="529"/>
      <c r="W428" s="529"/>
      <c r="X428" s="529"/>
      <c r="Y428" s="529"/>
      <c r="Z428" s="529"/>
      <c r="AA428" s="529"/>
      <c r="AB428" s="529"/>
      <c r="AC428" s="529"/>
      <c r="AD428" s="529"/>
      <c r="AE428" s="529"/>
      <c r="AF428" s="529"/>
      <c r="AG428" s="556"/>
      <c r="AH428" s="528"/>
    </row>
    <row r="429">
      <c r="A429" s="564"/>
      <c r="B429" s="565"/>
      <c r="C429" s="565"/>
      <c r="D429" s="565"/>
      <c r="E429" s="565"/>
      <c r="F429" s="565"/>
      <c r="G429" s="565"/>
      <c r="H429" s="565"/>
      <c r="I429" s="565"/>
      <c r="J429" s="565"/>
      <c r="K429" s="565"/>
      <c r="L429" s="565"/>
      <c r="M429" s="565"/>
      <c r="N429" s="529"/>
      <c r="O429" s="529"/>
      <c r="P429" s="529"/>
      <c r="Q429" s="529"/>
      <c r="R429" s="529"/>
      <c r="S429" s="529"/>
      <c r="T429" s="529"/>
      <c r="U429" s="529"/>
      <c r="V429" s="529"/>
      <c r="W429" s="529"/>
      <c r="X429" s="529"/>
      <c r="Y429" s="529"/>
      <c r="Z429" s="529"/>
      <c r="AA429" s="529"/>
      <c r="AB429" s="529"/>
      <c r="AC429" s="529"/>
      <c r="AD429" s="529"/>
      <c r="AE429" s="529"/>
      <c r="AF429" s="529"/>
      <c r="AG429" s="556"/>
      <c r="AH429" s="528"/>
    </row>
    <row r="430">
      <c r="A430" s="564"/>
      <c r="B430" s="565"/>
      <c r="C430" s="565"/>
      <c r="D430" s="565"/>
      <c r="E430" s="565"/>
      <c r="F430" s="565"/>
      <c r="G430" s="565"/>
      <c r="H430" s="565"/>
      <c r="I430" s="565"/>
      <c r="J430" s="565"/>
      <c r="K430" s="565"/>
      <c r="L430" s="565"/>
      <c r="M430" s="565"/>
      <c r="N430" s="529"/>
      <c r="O430" s="529"/>
      <c r="P430" s="529"/>
      <c r="Q430" s="529"/>
      <c r="R430" s="529"/>
      <c r="S430" s="529"/>
      <c r="T430" s="529"/>
      <c r="U430" s="529"/>
      <c r="V430" s="529"/>
      <c r="W430" s="529"/>
      <c r="X430" s="529"/>
      <c r="Y430" s="529"/>
      <c r="Z430" s="529"/>
      <c r="AA430" s="529"/>
      <c r="AB430" s="529"/>
      <c r="AC430" s="529"/>
      <c r="AD430" s="529"/>
      <c r="AE430" s="529"/>
      <c r="AF430" s="529"/>
      <c r="AG430" s="556"/>
      <c r="AH430" s="528"/>
    </row>
    <row r="431">
      <c r="A431" s="564"/>
      <c r="B431" s="565"/>
      <c r="C431" s="565"/>
      <c r="D431" s="565"/>
      <c r="E431" s="565"/>
      <c r="F431" s="565"/>
      <c r="G431" s="565"/>
      <c r="H431" s="565"/>
      <c r="I431" s="565"/>
      <c r="J431" s="565"/>
      <c r="K431" s="565"/>
      <c r="L431" s="565"/>
      <c r="M431" s="565"/>
      <c r="N431" s="529"/>
      <c r="O431" s="529"/>
      <c r="P431" s="529"/>
      <c r="Q431" s="529"/>
      <c r="R431" s="529"/>
      <c r="S431" s="529"/>
      <c r="T431" s="529"/>
      <c r="U431" s="529"/>
      <c r="V431" s="529"/>
      <c r="W431" s="529"/>
      <c r="X431" s="529"/>
      <c r="Y431" s="529"/>
      <c r="Z431" s="529"/>
      <c r="AA431" s="529"/>
      <c r="AB431" s="529"/>
      <c r="AC431" s="529"/>
      <c r="AD431" s="529"/>
      <c r="AE431" s="529"/>
      <c r="AF431" s="529"/>
      <c r="AG431" s="556"/>
      <c r="AH431" s="528"/>
    </row>
    <row r="432">
      <c r="A432" s="564"/>
      <c r="B432" s="565"/>
      <c r="C432" s="565"/>
      <c r="D432" s="565"/>
      <c r="E432" s="565"/>
      <c r="F432" s="565"/>
      <c r="G432" s="565"/>
      <c r="H432" s="565"/>
      <c r="I432" s="565"/>
      <c r="J432" s="565"/>
      <c r="K432" s="565"/>
      <c r="L432" s="565"/>
      <c r="M432" s="565"/>
      <c r="N432" s="529"/>
      <c r="O432" s="529"/>
      <c r="P432" s="529"/>
      <c r="Q432" s="529"/>
      <c r="R432" s="529"/>
      <c r="S432" s="529"/>
      <c r="T432" s="529"/>
      <c r="U432" s="529"/>
      <c r="V432" s="529"/>
      <c r="W432" s="529"/>
      <c r="X432" s="529"/>
      <c r="Y432" s="529"/>
      <c r="Z432" s="529"/>
      <c r="AA432" s="529"/>
      <c r="AB432" s="529"/>
      <c r="AC432" s="529"/>
      <c r="AD432" s="529"/>
      <c r="AE432" s="529"/>
      <c r="AF432" s="529"/>
      <c r="AG432" s="556"/>
      <c r="AH432" s="528"/>
    </row>
    <row r="433">
      <c r="A433" s="564"/>
      <c r="B433" s="565"/>
      <c r="C433" s="565"/>
      <c r="D433" s="565"/>
      <c r="E433" s="565"/>
      <c r="F433" s="565"/>
      <c r="G433" s="565"/>
      <c r="H433" s="565"/>
      <c r="I433" s="565"/>
      <c r="J433" s="565"/>
      <c r="K433" s="565"/>
      <c r="L433" s="565"/>
      <c r="M433" s="565"/>
      <c r="N433" s="529"/>
      <c r="O433" s="529"/>
      <c r="P433" s="529"/>
      <c r="Q433" s="529"/>
      <c r="R433" s="529"/>
      <c r="S433" s="529"/>
      <c r="T433" s="529"/>
      <c r="U433" s="529"/>
      <c r="V433" s="529"/>
      <c r="W433" s="529"/>
      <c r="X433" s="529"/>
      <c r="Y433" s="529"/>
      <c r="Z433" s="529"/>
      <c r="AA433" s="529"/>
      <c r="AB433" s="529"/>
      <c r="AC433" s="529"/>
      <c r="AD433" s="529"/>
      <c r="AE433" s="529"/>
      <c r="AF433" s="529"/>
      <c r="AG433" s="556"/>
      <c r="AH433" s="528"/>
    </row>
    <row r="434">
      <c r="A434" s="564"/>
      <c r="B434" s="565"/>
      <c r="C434" s="565"/>
      <c r="D434" s="565"/>
      <c r="E434" s="565"/>
      <c r="F434" s="565"/>
      <c r="G434" s="565"/>
      <c r="H434" s="565"/>
      <c r="I434" s="565"/>
      <c r="J434" s="565"/>
      <c r="K434" s="565"/>
      <c r="L434" s="565"/>
      <c r="M434" s="565"/>
      <c r="N434" s="529"/>
      <c r="O434" s="529"/>
      <c r="P434" s="529"/>
      <c r="Q434" s="529"/>
      <c r="R434" s="529"/>
      <c r="S434" s="529"/>
      <c r="T434" s="529"/>
      <c r="U434" s="529"/>
      <c r="V434" s="529"/>
      <c r="W434" s="529"/>
      <c r="X434" s="529"/>
      <c r="Y434" s="529"/>
      <c r="Z434" s="529"/>
      <c r="AA434" s="529"/>
      <c r="AB434" s="529"/>
      <c r="AC434" s="529"/>
      <c r="AD434" s="529"/>
      <c r="AE434" s="529"/>
      <c r="AF434" s="529"/>
      <c r="AG434" s="556"/>
      <c r="AH434" s="528"/>
    </row>
    <row r="435">
      <c r="A435" s="564"/>
      <c r="B435" s="565"/>
      <c r="C435" s="565"/>
      <c r="D435" s="565"/>
      <c r="E435" s="565"/>
      <c r="F435" s="565"/>
      <c r="G435" s="565"/>
      <c r="H435" s="565"/>
      <c r="I435" s="565"/>
      <c r="J435" s="565"/>
      <c r="K435" s="565"/>
      <c r="L435" s="565"/>
      <c r="M435" s="565"/>
      <c r="N435" s="529"/>
      <c r="O435" s="529"/>
      <c r="P435" s="529"/>
      <c r="Q435" s="529"/>
      <c r="R435" s="529"/>
      <c r="S435" s="529"/>
      <c r="T435" s="529"/>
      <c r="U435" s="529"/>
      <c r="V435" s="529"/>
      <c r="W435" s="529"/>
      <c r="X435" s="529"/>
      <c r="Y435" s="529"/>
      <c r="Z435" s="529"/>
      <c r="AA435" s="529"/>
      <c r="AB435" s="529"/>
      <c r="AC435" s="529"/>
      <c r="AD435" s="529"/>
      <c r="AE435" s="529"/>
      <c r="AF435" s="529"/>
      <c r="AG435" s="556"/>
      <c r="AH435" s="528"/>
    </row>
    <row r="436">
      <c r="A436" s="564"/>
      <c r="B436" s="565"/>
      <c r="C436" s="565"/>
      <c r="D436" s="565"/>
      <c r="E436" s="565"/>
      <c r="F436" s="565"/>
      <c r="G436" s="565"/>
      <c r="H436" s="565"/>
      <c r="I436" s="565"/>
      <c r="J436" s="565"/>
      <c r="K436" s="565"/>
      <c r="L436" s="565"/>
      <c r="M436" s="565"/>
      <c r="N436" s="529"/>
      <c r="O436" s="529"/>
      <c r="P436" s="529"/>
      <c r="Q436" s="529"/>
      <c r="R436" s="529"/>
      <c r="S436" s="529"/>
      <c r="T436" s="529"/>
      <c r="U436" s="529"/>
      <c r="V436" s="529"/>
      <c r="W436" s="529"/>
      <c r="X436" s="529"/>
      <c r="Y436" s="529"/>
      <c r="Z436" s="529"/>
      <c r="AA436" s="529"/>
      <c r="AB436" s="529"/>
      <c r="AC436" s="529"/>
      <c r="AD436" s="529"/>
      <c r="AE436" s="529"/>
      <c r="AF436" s="529"/>
      <c r="AG436" s="556"/>
      <c r="AH436" s="528"/>
    </row>
    <row r="437">
      <c r="A437" s="564"/>
      <c r="B437" s="565"/>
      <c r="C437" s="565"/>
      <c r="D437" s="565"/>
      <c r="E437" s="565"/>
      <c r="F437" s="565"/>
      <c r="G437" s="565"/>
      <c r="H437" s="565"/>
      <c r="I437" s="565"/>
      <c r="J437" s="565"/>
      <c r="K437" s="565"/>
      <c r="L437" s="565"/>
      <c r="M437" s="565"/>
      <c r="N437" s="529"/>
      <c r="O437" s="529"/>
      <c r="P437" s="529"/>
      <c r="Q437" s="529"/>
      <c r="R437" s="529"/>
      <c r="S437" s="529"/>
      <c r="T437" s="529"/>
      <c r="U437" s="529"/>
      <c r="V437" s="529"/>
      <c r="W437" s="529"/>
      <c r="X437" s="529"/>
      <c r="Y437" s="529"/>
      <c r="Z437" s="529"/>
      <c r="AA437" s="529"/>
      <c r="AB437" s="529"/>
      <c r="AC437" s="529"/>
      <c r="AD437" s="529"/>
      <c r="AE437" s="529"/>
      <c r="AF437" s="529"/>
      <c r="AG437" s="556"/>
      <c r="AH437" s="528"/>
    </row>
    <row r="438">
      <c r="A438" s="564"/>
      <c r="B438" s="565"/>
      <c r="C438" s="565"/>
      <c r="D438" s="565"/>
      <c r="E438" s="565"/>
      <c r="F438" s="565"/>
      <c r="G438" s="565"/>
      <c r="H438" s="565"/>
      <c r="I438" s="565"/>
      <c r="J438" s="565"/>
      <c r="K438" s="565"/>
      <c r="L438" s="565"/>
      <c r="M438" s="565"/>
      <c r="N438" s="529"/>
      <c r="O438" s="529"/>
      <c r="P438" s="529"/>
      <c r="Q438" s="529"/>
      <c r="R438" s="529"/>
      <c r="S438" s="529"/>
      <c r="T438" s="529"/>
      <c r="U438" s="529"/>
      <c r="V438" s="529"/>
      <c r="W438" s="529"/>
      <c r="X438" s="529"/>
      <c r="Y438" s="529"/>
      <c r="Z438" s="529"/>
      <c r="AA438" s="529"/>
      <c r="AB438" s="529"/>
      <c r="AC438" s="529"/>
      <c r="AD438" s="529"/>
      <c r="AE438" s="529"/>
      <c r="AF438" s="529"/>
      <c r="AG438" s="556"/>
      <c r="AH438" s="528"/>
    </row>
    <row r="439">
      <c r="A439" s="564"/>
      <c r="B439" s="565"/>
      <c r="C439" s="565"/>
      <c r="D439" s="565"/>
      <c r="E439" s="565"/>
      <c r="F439" s="565"/>
      <c r="G439" s="565"/>
      <c r="H439" s="565"/>
      <c r="I439" s="565"/>
      <c r="J439" s="565"/>
      <c r="K439" s="565"/>
      <c r="L439" s="565"/>
      <c r="M439" s="565"/>
      <c r="N439" s="529"/>
      <c r="O439" s="529"/>
      <c r="P439" s="529"/>
      <c r="Q439" s="529"/>
      <c r="R439" s="529"/>
      <c r="S439" s="529"/>
      <c r="T439" s="529"/>
      <c r="U439" s="529"/>
      <c r="V439" s="529"/>
      <c r="W439" s="529"/>
      <c r="X439" s="529"/>
      <c r="Y439" s="529"/>
      <c r="Z439" s="529"/>
      <c r="AA439" s="529"/>
      <c r="AB439" s="529"/>
      <c r="AC439" s="529"/>
      <c r="AD439" s="529"/>
      <c r="AE439" s="529"/>
      <c r="AF439" s="529"/>
      <c r="AG439" s="556"/>
      <c r="AH439" s="528"/>
    </row>
    <row r="440">
      <c r="A440" s="564"/>
      <c r="B440" s="565"/>
      <c r="C440" s="565"/>
      <c r="D440" s="565"/>
      <c r="E440" s="565"/>
      <c r="F440" s="565"/>
      <c r="G440" s="565"/>
      <c r="H440" s="565"/>
      <c r="I440" s="565"/>
      <c r="J440" s="565"/>
      <c r="K440" s="565"/>
      <c r="L440" s="565"/>
      <c r="M440" s="565"/>
      <c r="N440" s="529"/>
      <c r="O440" s="529"/>
      <c r="P440" s="529"/>
      <c r="Q440" s="529"/>
      <c r="R440" s="529"/>
      <c r="S440" s="529"/>
      <c r="T440" s="529"/>
      <c r="U440" s="529"/>
      <c r="V440" s="529"/>
      <c r="W440" s="529"/>
      <c r="X440" s="529"/>
      <c r="Y440" s="529"/>
      <c r="Z440" s="529"/>
      <c r="AA440" s="529"/>
      <c r="AB440" s="529"/>
      <c r="AC440" s="529"/>
      <c r="AD440" s="529"/>
      <c r="AE440" s="529"/>
      <c r="AF440" s="529"/>
      <c r="AG440" s="556"/>
      <c r="AH440" s="528"/>
    </row>
    <row r="441">
      <c r="A441" s="564"/>
      <c r="B441" s="565"/>
      <c r="C441" s="565"/>
      <c r="D441" s="565"/>
      <c r="E441" s="565"/>
      <c r="F441" s="565"/>
      <c r="G441" s="565"/>
      <c r="H441" s="565"/>
      <c r="I441" s="565"/>
      <c r="J441" s="565"/>
      <c r="K441" s="565"/>
      <c r="L441" s="565"/>
      <c r="M441" s="565"/>
      <c r="N441" s="529"/>
      <c r="O441" s="529"/>
      <c r="P441" s="529"/>
      <c r="Q441" s="529"/>
      <c r="R441" s="529"/>
      <c r="S441" s="529"/>
      <c r="T441" s="529"/>
      <c r="U441" s="529"/>
      <c r="V441" s="529"/>
      <c r="W441" s="529"/>
      <c r="X441" s="529"/>
      <c r="Y441" s="529"/>
      <c r="Z441" s="529"/>
      <c r="AA441" s="529"/>
      <c r="AB441" s="529"/>
      <c r="AC441" s="529"/>
      <c r="AD441" s="529"/>
      <c r="AE441" s="529"/>
      <c r="AF441" s="529"/>
      <c r="AG441" s="556"/>
      <c r="AH441" s="528"/>
    </row>
    <row r="442">
      <c r="A442" s="564"/>
      <c r="B442" s="565"/>
      <c r="C442" s="565"/>
      <c r="D442" s="565"/>
      <c r="E442" s="565"/>
      <c r="F442" s="565"/>
      <c r="G442" s="565"/>
      <c r="H442" s="565"/>
      <c r="I442" s="565"/>
      <c r="J442" s="565"/>
      <c r="K442" s="565"/>
      <c r="L442" s="565"/>
      <c r="M442" s="565"/>
      <c r="N442" s="529"/>
      <c r="O442" s="529"/>
      <c r="P442" s="529"/>
      <c r="Q442" s="529"/>
      <c r="R442" s="529"/>
      <c r="S442" s="529"/>
      <c r="T442" s="529"/>
      <c r="U442" s="529"/>
      <c r="V442" s="529"/>
      <c r="W442" s="529"/>
      <c r="X442" s="529"/>
      <c r="Y442" s="529"/>
      <c r="Z442" s="529"/>
      <c r="AA442" s="529"/>
      <c r="AB442" s="529"/>
      <c r="AC442" s="529"/>
      <c r="AD442" s="529"/>
      <c r="AE442" s="529"/>
      <c r="AF442" s="529"/>
      <c r="AG442" s="556"/>
      <c r="AH442" s="528"/>
    </row>
    <row r="443">
      <c r="A443" s="564"/>
      <c r="B443" s="565"/>
      <c r="C443" s="565"/>
      <c r="D443" s="565"/>
      <c r="E443" s="565"/>
      <c r="F443" s="565"/>
      <c r="G443" s="565"/>
      <c r="H443" s="565"/>
      <c r="I443" s="565"/>
      <c r="J443" s="565"/>
      <c r="K443" s="565"/>
      <c r="L443" s="565"/>
      <c r="M443" s="565"/>
      <c r="N443" s="529"/>
      <c r="O443" s="529"/>
      <c r="P443" s="529"/>
      <c r="Q443" s="529"/>
      <c r="R443" s="529"/>
      <c r="S443" s="529"/>
      <c r="T443" s="529"/>
      <c r="U443" s="529"/>
      <c r="V443" s="529"/>
      <c r="W443" s="529"/>
      <c r="X443" s="529"/>
      <c r="Y443" s="529"/>
      <c r="Z443" s="529"/>
      <c r="AA443" s="529"/>
      <c r="AB443" s="529"/>
      <c r="AC443" s="529"/>
      <c r="AD443" s="529"/>
      <c r="AE443" s="529"/>
      <c r="AF443" s="529"/>
      <c r="AG443" s="556"/>
      <c r="AH443" s="528"/>
    </row>
    <row r="444">
      <c r="A444" s="564"/>
      <c r="B444" s="565"/>
      <c r="C444" s="565"/>
      <c r="D444" s="565"/>
      <c r="E444" s="565"/>
      <c r="F444" s="565"/>
      <c r="G444" s="565"/>
      <c r="H444" s="565"/>
      <c r="I444" s="565"/>
      <c r="J444" s="565"/>
      <c r="K444" s="565"/>
      <c r="L444" s="565"/>
      <c r="M444" s="565"/>
      <c r="N444" s="529"/>
      <c r="O444" s="529"/>
      <c r="P444" s="529"/>
      <c r="Q444" s="529"/>
      <c r="R444" s="529"/>
      <c r="S444" s="529"/>
      <c r="T444" s="529"/>
      <c r="U444" s="529"/>
      <c r="V444" s="529"/>
      <c r="W444" s="529"/>
      <c r="X444" s="529"/>
      <c r="Y444" s="529"/>
      <c r="Z444" s="529"/>
      <c r="AA444" s="529"/>
      <c r="AB444" s="529"/>
      <c r="AC444" s="529"/>
      <c r="AD444" s="529"/>
      <c r="AE444" s="529"/>
      <c r="AF444" s="529"/>
      <c r="AG444" s="556"/>
      <c r="AH444" s="528"/>
    </row>
    <row r="445">
      <c r="A445" s="564"/>
      <c r="B445" s="565"/>
      <c r="C445" s="565"/>
      <c r="D445" s="565"/>
      <c r="E445" s="565"/>
      <c r="F445" s="565"/>
      <c r="G445" s="565"/>
      <c r="H445" s="565"/>
      <c r="I445" s="565"/>
      <c r="J445" s="565"/>
      <c r="K445" s="565"/>
      <c r="L445" s="565"/>
      <c r="M445" s="565"/>
      <c r="N445" s="529"/>
      <c r="O445" s="529"/>
      <c r="P445" s="529"/>
      <c r="Q445" s="529"/>
      <c r="R445" s="529"/>
      <c r="S445" s="529"/>
      <c r="T445" s="529"/>
      <c r="U445" s="529"/>
      <c r="V445" s="529"/>
      <c r="W445" s="529"/>
      <c r="X445" s="529"/>
      <c r="Y445" s="529"/>
      <c r="Z445" s="529"/>
      <c r="AA445" s="529"/>
      <c r="AB445" s="529"/>
      <c r="AC445" s="529"/>
      <c r="AD445" s="529"/>
      <c r="AE445" s="529"/>
      <c r="AF445" s="529"/>
      <c r="AG445" s="556"/>
      <c r="AH445" s="528"/>
    </row>
    <row r="446">
      <c r="A446" s="564"/>
      <c r="B446" s="565"/>
      <c r="C446" s="565"/>
      <c r="D446" s="565"/>
      <c r="E446" s="565"/>
      <c r="F446" s="565"/>
      <c r="G446" s="565"/>
      <c r="H446" s="565"/>
      <c r="I446" s="565"/>
      <c r="J446" s="565"/>
      <c r="K446" s="565"/>
      <c r="L446" s="565"/>
      <c r="M446" s="565"/>
      <c r="N446" s="529"/>
      <c r="O446" s="529"/>
      <c r="P446" s="529"/>
      <c r="Q446" s="529"/>
      <c r="R446" s="529"/>
      <c r="S446" s="529"/>
      <c r="T446" s="529"/>
      <c r="U446" s="529"/>
      <c r="V446" s="529"/>
      <c r="W446" s="529"/>
      <c r="X446" s="529"/>
      <c r="Y446" s="529"/>
      <c r="Z446" s="529"/>
      <c r="AA446" s="529"/>
      <c r="AB446" s="529"/>
      <c r="AC446" s="529"/>
      <c r="AD446" s="529"/>
      <c r="AE446" s="529"/>
      <c r="AF446" s="529"/>
      <c r="AG446" s="556"/>
      <c r="AH446" s="528"/>
    </row>
    <row r="447">
      <c r="A447" s="564"/>
      <c r="B447" s="565"/>
      <c r="C447" s="565"/>
      <c r="D447" s="565"/>
      <c r="E447" s="565"/>
      <c r="F447" s="565"/>
      <c r="G447" s="565"/>
      <c r="H447" s="565"/>
      <c r="I447" s="565"/>
      <c r="J447" s="565"/>
      <c r="K447" s="565"/>
      <c r="L447" s="565"/>
      <c r="M447" s="565"/>
      <c r="N447" s="529"/>
      <c r="O447" s="529"/>
      <c r="P447" s="529"/>
      <c r="Q447" s="529"/>
      <c r="R447" s="529"/>
      <c r="S447" s="529"/>
      <c r="T447" s="529"/>
      <c r="U447" s="529"/>
      <c r="V447" s="529"/>
      <c r="W447" s="529"/>
      <c r="X447" s="529"/>
      <c r="Y447" s="529"/>
      <c r="Z447" s="529"/>
      <c r="AA447" s="529"/>
      <c r="AB447" s="529"/>
      <c r="AC447" s="529"/>
      <c r="AD447" s="529"/>
      <c r="AE447" s="529"/>
      <c r="AF447" s="529"/>
      <c r="AG447" s="556"/>
      <c r="AH447" s="528"/>
    </row>
    <row r="448">
      <c r="A448" s="564"/>
      <c r="B448" s="565"/>
      <c r="C448" s="565"/>
      <c r="D448" s="565"/>
      <c r="E448" s="565"/>
      <c r="F448" s="565"/>
      <c r="G448" s="565"/>
      <c r="H448" s="565"/>
      <c r="I448" s="565"/>
      <c r="J448" s="565"/>
      <c r="K448" s="565"/>
      <c r="L448" s="565"/>
      <c r="M448" s="565"/>
      <c r="N448" s="529"/>
      <c r="O448" s="529"/>
      <c r="P448" s="529"/>
      <c r="Q448" s="529"/>
      <c r="R448" s="529"/>
      <c r="S448" s="529"/>
      <c r="T448" s="529"/>
      <c r="U448" s="529"/>
      <c r="V448" s="529"/>
      <c r="W448" s="529"/>
      <c r="X448" s="529"/>
      <c r="Y448" s="529"/>
      <c r="Z448" s="529"/>
      <c r="AA448" s="529"/>
      <c r="AB448" s="529"/>
      <c r="AC448" s="529"/>
      <c r="AD448" s="529"/>
      <c r="AE448" s="529"/>
      <c r="AF448" s="529"/>
      <c r="AG448" s="556"/>
      <c r="AH448" s="528"/>
    </row>
    <row r="449">
      <c r="A449" s="564"/>
      <c r="B449" s="565"/>
      <c r="C449" s="565"/>
      <c r="D449" s="565"/>
      <c r="E449" s="565"/>
      <c r="F449" s="565"/>
      <c r="G449" s="565"/>
      <c r="H449" s="565"/>
      <c r="I449" s="565"/>
      <c r="J449" s="565"/>
      <c r="K449" s="565"/>
      <c r="L449" s="565"/>
      <c r="M449" s="565"/>
      <c r="N449" s="529"/>
      <c r="O449" s="529"/>
      <c r="P449" s="529"/>
      <c r="Q449" s="529"/>
      <c r="R449" s="529"/>
      <c r="S449" s="529"/>
      <c r="T449" s="529"/>
      <c r="U449" s="529"/>
      <c r="V449" s="529"/>
      <c r="W449" s="529"/>
      <c r="X449" s="529"/>
      <c r="Y449" s="529"/>
      <c r="Z449" s="529"/>
      <c r="AA449" s="529"/>
      <c r="AB449" s="529"/>
      <c r="AC449" s="529"/>
      <c r="AD449" s="529"/>
      <c r="AE449" s="529"/>
      <c r="AF449" s="529"/>
      <c r="AG449" s="556"/>
      <c r="AH449" s="528"/>
    </row>
    <row r="450">
      <c r="A450" s="564"/>
      <c r="B450" s="565"/>
      <c r="C450" s="565"/>
      <c r="D450" s="565"/>
      <c r="E450" s="565"/>
      <c r="F450" s="565"/>
      <c r="G450" s="565"/>
      <c r="H450" s="565"/>
      <c r="I450" s="565"/>
      <c r="J450" s="565"/>
      <c r="K450" s="565"/>
      <c r="L450" s="565"/>
      <c r="M450" s="565"/>
      <c r="N450" s="529"/>
      <c r="O450" s="529"/>
      <c r="P450" s="529"/>
      <c r="Q450" s="529"/>
      <c r="R450" s="529"/>
      <c r="S450" s="529"/>
      <c r="T450" s="529"/>
      <c r="U450" s="529"/>
      <c r="V450" s="529"/>
      <c r="W450" s="529"/>
      <c r="X450" s="529"/>
      <c r="Y450" s="529"/>
      <c r="Z450" s="529"/>
      <c r="AA450" s="529"/>
      <c r="AB450" s="529"/>
      <c r="AC450" s="529"/>
      <c r="AD450" s="529"/>
      <c r="AE450" s="529"/>
      <c r="AF450" s="529"/>
      <c r="AG450" s="556"/>
      <c r="AH450" s="528"/>
    </row>
    <row r="451">
      <c r="A451" s="564"/>
      <c r="B451" s="565"/>
      <c r="C451" s="565"/>
      <c r="D451" s="565"/>
      <c r="E451" s="565"/>
      <c r="F451" s="565"/>
      <c r="G451" s="565"/>
      <c r="H451" s="565"/>
      <c r="I451" s="565"/>
      <c r="J451" s="565"/>
      <c r="K451" s="565"/>
      <c r="L451" s="565"/>
      <c r="M451" s="565"/>
      <c r="N451" s="529"/>
      <c r="O451" s="529"/>
      <c r="P451" s="529"/>
      <c r="Q451" s="529"/>
      <c r="R451" s="529"/>
      <c r="S451" s="529"/>
      <c r="T451" s="529"/>
      <c r="U451" s="529"/>
      <c r="V451" s="529"/>
      <c r="W451" s="529"/>
      <c r="X451" s="529"/>
      <c r="Y451" s="529"/>
      <c r="Z451" s="529"/>
      <c r="AA451" s="529"/>
      <c r="AB451" s="529"/>
      <c r="AC451" s="529"/>
      <c r="AD451" s="529"/>
      <c r="AE451" s="529"/>
      <c r="AF451" s="529"/>
      <c r="AG451" s="556"/>
      <c r="AH451" s="528"/>
    </row>
    <row r="452">
      <c r="A452" s="564"/>
      <c r="B452" s="565"/>
      <c r="C452" s="565"/>
      <c r="D452" s="565"/>
      <c r="E452" s="565"/>
      <c r="F452" s="565"/>
      <c r="G452" s="565"/>
      <c r="H452" s="565"/>
      <c r="I452" s="565"/>
      <c r="J452" s="565"/>
      <c r="K452" s="565"/>
      <c r="L452" s="565"/>
      <c r="M452" s="565"/>
      <c r="N452" s="529"/>
      <c r="O452" s="529"/>
      <c r="P452" s="529"/>
      <c r="Q452" s="529"/>
      <c r="R452" s="529"/>
      <c r="S452" s="529"/>
      <c r="T452" s="529"/>
      <c r="U452" s="529"/>
      <c r="V452" s="529"/>
      <c r="W452" s="529"/>
      <c r="X452" s="529"/>
      <c r="Y452" s="529"/>
      <c r="Z452" s="529"/>
      <c r="AA452" s="529"/>
      <c r="AB452" s="529"/>
      <c r="AC452" s="529"/>
      <c r="AD452" s="529"/>
      <c r="AE452" s="529"/>
      <c r="AF452" s="529"/>
      <c r="AG452" s="556"/>
      <c r="AH452" s="528"/>
    </row>
    <row r="453">
      <c r="A453" s="564"/>
      <c r="B453" s="565"/>
      <c r="C453" s="565"/>
      <c r="D453" s="565"/>
      <c r="E453" s="565"/>
      <c r="F453" s="565"/>
      <c r="G453" s="565"/>
      <c r="H453" s="565"/>
      <c r="I453" s="565"/>
      <c r="J453" s="565"/>
      <c r="K453" s="565"/>
      <c r="L453" s="565"/>
      <c r="M453" s="565"/>
      <c r="N453" s="529"/>
      <c r="O453" s="529"/>
      <c r="P453" s="529"/>
      <c r="Q453" s="529"/>
      <c r="R453" s="529"/>
      <c r="S453" s="529"/>
      <c r="T453" s="529"/>
      <c r="U453" s="529"/>
      <c r="V453" s="529"/>
      <c r="W453" s="529"/>
      <c r="X453" s="529"/>
      <c r="Y453" s="529"/>
      <c r="Z453" s="529"/>
      <c r="AA453" s="529"/>
      <c r="AB453" s="529"/>
      <c r="AC453" s="529"/>
      <c r="AD453" s="529"/>
      <c r="AE453" s="529"/>
      <c r="AF453" s="529"/>
      <c r="AG453" s="556"/>
      <c r="AH453" s="528"/>
    </row>
    <row r="454">
      <c r="A454" s="564"/>
      <c r="B454" s="565"/>
      <c r="C454" s="565"/>
      <c r="D454" s="565"/>
      <c r="E454" s="565"/>
      <c r="F454" s="565"/>
      <c r="G454" s="565"/>
      <c r="H454" s="565"/>
      <c r="I454" s="565"/>
      <c r="J454" s="565"/>
      <c r="K454" s="565"/>
      <c r="L454" s="565"/>
      <c r="M454" s="565"/>
      <c r="N454" s="529"/>
      <c r="O454" s="529"/>
      <c r="P454" s="529"/>
      <c r="Q454" s="529"/>
      <c r="R454" s="529"/>
      <c r="S454" s="529"/>
      <c r="T454" s="529"/>
      <c r="U454" s="529"/>
      <c r="V454" s="529"/>
      <c r="W454" s="529"/>
      <c r="X454" s="529"/>
      <c r="Y454" s="529"/>
      <c r="Z454" s="529"/>
      <c r="AA454" s="529"/>
      <c r="AB454" s="529"/>
      <c r="AC454" s="529"/>
      <c r="AD454" s="529"/>
      <c r="AE454" s="529"/>
      <c r="AF454" s="529"/>
      <c r="AG454" s="556"/>
      <c r="AH454" s="528"/>
    </row>
    <row r="455">
      <c r="A455" s="564"/>
      <c r="B455" s="565"/>
      <c r="C455" s="565"/>
      <c r="D455" s="565"/>
      <c r="E455" s="565"/>
      <c r="F455" s="565"/>
      <c r="G455" s="565"/>
      <c r="H455" s="565"/>
      <c r="I455" s="565"/>
      <c r="J455" s="565"/>
      <c r="K455" s="565"/>
      <c r="L455" s="565"/>
      <c r="M455" s="565"/>
      <c r="N455" s="529"/>
      <c r="O455" s="529"/>
      <c r="P455" s="529"/>
      <c r="Q455" s="529"/>
      <c r="R455" s="529"/>
      <c r="S455" s="529"/>
      <c r="T455" s="529"/>
      <c r="U455" s="529"/>
      <c r="V455" s="529"/>
      <c r="W455" s="529"/>
      <c r="X455" s="529"/>
      <c r="Y455" s="529"/>
      <c r="Z455" s="529"/>
      <c r="AA455" s="529"/>
      <c r="AB455" s="529"/>
      <c r="AC455" s="529"/>
      <c r="AD455" s="529"/>
      <c r="AE455" s="529"/>
      <c r="AF455" s="529"/>
      <c r="AG455" s="556"/>
      <c r="AH455" s="528"/>
    </row>
    <row r="456">
      <c r="A456" s="564"/>
      <c r="B456" s="565"/>
      <c r="C456" s="565"/>
      <c r="D456" s="565"/>
      <c r="E456" s="565"/>
      <c r="F456" s="565"/>
      <c r="G456" s="565"/>
      <c r="H456" s="565"/>
      <c r="I456" s="565"/>
      <c r="J456" s="565"/>
      <c r="K456" s="565"/>
      <c r="L456" s="565"/>
      <c r="M456" s="565"/>
      <c r="N456" s="529"/>
      <c r="O456" s="529"/>
      <c r="P456" s="529"/>
      <c r="Q456" s="529"/>
      <c r="R456" s="529"/>
      <c r="S456" s="529"/>
      <c r="T456" s="529"/>
      <c r="U456" s="529"/>
      <c r="V456" s="529"/>
      <c r="W456" s="529"/>
      <c r="X456" s="529"/>
      <c r="Y456" s="529"/>
      <c r="Z456" s="529"/>
      <c r="AA456" s="529"/>
      <c r="AB456" s="529"/>
      <c r="AC456" s="529"/>
      <c r="AD456" s="529"/>
      <c r="AE456" s="529"/>
      <c r="AF456" s="529"/>
      <c r="AG456" s="556"/>
      <c r="AH456" s="528"/>
    </row>
    <row r="457">
      <c r="A457" s="564"/>
      <c r="B457" s="565"/>
      <c r="C457" s="565"/>
      <c r="D457" s="565"/>
      <c r="E457" s="565"/>
      <c r="F457" s="565"/>
      <c r="G457" s="565"/>
      <c r="H457" s="565"/>
      <c r="I457" s="565"/>
      <c r="J457" s="565"/>
      <c r="K457" s="565"/>
      <c r="L457" s="565"/>
      <c r="M457" s="565"/>
      <c r="N457" s="529"/>
      <c r="O457" s="529"/>
      <c r="P457" s="529"/>
      <c r="Q457" s="529"/>
      <c r="R457" s="529"/>
      <c r="S457" s="529"/>
      <c r="T457" s="529"/>
      <c r="U457" s="529"/>
      <c r="V457" s="529"/>
      <c r="W457" s="529"/>
      <c r="X457" s="529"/>
      <c r="Y457" s="529"/>
      <c r="Z457" s="529"/>
      <c r="AA457" s="529"/>
      <c r="AB457" s="529"/>
      <c r="AC457" s="529"/>
      <c r="AD457" s="529"/>
      <c r="AE457" s="529"/>
      <c r="AF457" s="529"/>
      <c r="AG457" s="556"/>
      <c r="AH457" s="528"/>
    </row>
    <row r="458">
      <c r="A458" s="564"/>
      <c r="B458" s="565"/>
      <c r="C458" s="565"/>
      <c r="D458" s="565"/>
      <c r="E458" s="565"/>
      <c r="F458" s="565"/>
      <c r="G458" s="565"/>
      <c r="H458" s="565"/>
      <c r="I458" s="565"/>
      <c r="J458" s="565"/>
      <c r="K458" s="565"/>
      <c r="L458" s="565"/>
      <c r="M458" s="565"/>
      <c r="N458" s="529"/>
      <c r="O458" s="529"/>
      <c r="P458" s="529"/>
      <c r="Q458" s="529"/>
      <c r="R458" s="529"/>
      <c r="S458" s="529"/>
      <c r="T458" s="529"/>
      <c r="U458" s="529"/>
      <c r="V458" s="529"/>
      <c r="W458" s="529"/>
      <c r="X458" s="529"/>
      <c r="Y458" s="529"/>
      <c r="Z458" s="529"/>
      <c r="AA458" s="529"/>
      <c r="AB458" s="529"/>
      <c r="AC458" s="529"/>
      <c r="AD458" s="529"/>
      <c r="AE458" s="529"/>
      <c r="AF458" s="529"/>
      <c r="AG458" s="556"/>
      <c r="AH458" s="528"/>
    </row>
    <row r="459">
      <c r="A459" s="564"/>
      <c r="B459" s="565"/>
      <c r="C459" s="565"/>
      <c r="D459" s="565"/>
      <c r="E459" s="565"/>
      <c r="F459" s="565"/>
      <c r="G459" s="565"/>
      <c r="H459" s="565"/>
      <c r="I459" s="565"/>
      <c r="J459" s="565"/>
      <c r="K459" s="565"/>
      <c r="L459" s="565"/>
      <c r="M459" s="565"/>
      <c r="N459" s="529"/>
      <c r="O459" s="529"/>
      <c r="P459" s="529"/>
      <c r="Q459" s="529"/>
      <c r="R459" s="529"/>
      <c r="S459" s="529"/>
      <c r="T459" s="529"/>
      <c r="U459" s="529"/>
      <c r="V459" s="529"/>
      <c r="W459" s="529"/>
      <c r="X459" s="529"/>
      <c r="Y459" s="529"/>
      <c r="Z459" s="529"/>
      <c r="AA459" s="529"/>
      <c r="AB459" s="529"/>
      <c r="AC459" s="529"/>
      <c r="AD459" s="529"/>
      <c r="AE459" s="529"/>
      <c r="AF459" s="529"/>
      <c r="AG459" s="556"/>
      <c r="AH459" s="528"/>
    </row>
    <row r="460">
      <c r="A460" s="564"/>
      <c r="B460" s="565"/>
      <c r="C460" s="565"/>
      <c r="D460" s="565"/>
      <c r="E460" s="565"/>
      <c r="F460" s="565"/>
      <c r="G460" s="565"/>
      <c r="H460" s="565"/>
      <c r="I460" s="565"/>
      <c r="J460" s="565"/>
      <c r="K460" s="565"/>
      <c r="L460" s="565"/>
      <c r="M460" s="565"/>
      <c r="N460" s="529"/>
      <c r="O460" s="529"/>
      <c r="P460" s="529"/>
      <c r="Q460" s="529"/>
      <c r="R460" s="529"/>
      <c r="S460" s="529"/>
      <c r="T460" s="529"/>
      <c r="U460" s="529"/>
      <c r="V460" s="529"/>
      <c r="W460" s="529"/>
      <c r="X460" s="529"/>
      <c r="Y460" s="529"/>
      <c r="Z460" s="529"/>
      <c r="AA460" s="529"/>
      <c r="AB460" s="529"/>
      <c r="AC460" s="529"/>
      <c r="AD460" s="529"/>
      <c r="AE460" s="529"/>
      <c r="AF460" s="529"/>
      <c r="AG460" s="556"/>
      <c r="AH460" s="528"/>
    </row>
    <row r="461">
      <c r="A461" s="564"/>
      <c r="B461" s="565"/>
      <c r="C461" s="565"/>
      <c r="D461" s="565"/>
      <c r="E461" s="565"/>
      <c r="F461" s="565"/>
      <c r="G461" s="565"/>
      <c r="H461" s="565"/>
      <c r="I461" s="565"/>
      <c r="J461" s="565"/>
      <c r="K461" s="565"/>
      <c r="L461" s="565"/>
      <c r="M461" s="565"/>
      <c r="N461" s="529"/>
      <c r="O461" s="529"/>
      <c r="P461" s="529"/>
      <c r="Q461" s="529"/>
      <c r="R461" s="529"/>
      <c r="S461" s="529"/>
      <c r="T461" s="529"/>
      <c r="U461" s="529"/>
      <c r="V461" s="529"/>
      <c r="W461" s="529"/>
      <c r="X461" s="529"/>
      <c r="Y461" s="529"/>
      <c r="Z461" s="529"/>
      <c r="AA461" s="529"/>
      <c r="AB461" s="529"/>
      <c r="AC461" s="529"/>
      <c r="AD461" s="529"/>
      <c r="AE461" s="529"/>
      <c r="AF461" s="529"/>
      <c r="AG461" s="556"/>
      <c r="AH461" s="528"/>
    </row>
    <row r="462">
      <c r="A462" s="564"/>
      <c r="B462" s="565"/>
      <c r="C462" s="565"/>
      <c r="D462" s="565"/>
      <c r="E462" s="565"/>
      <c r="F462" s="565"/>
      <c r="G462" s="565"/>
      <c r="H462" s="565"/>
      <c r="I462" s="565"/>
      <c r="J462" s="565"/>
      <c r="K462" s="565"/>
      <c r="L462" s="565"/>
      <c r="M462" s="565"/>
      <c r="N462" s="529"/>
      <c r="O462" s="529"/>
      <c r="P462" s="529"/>
      <c r="Q462" s="529"/>
      <c r="R462" s="529"/>
      <c r="S462" s="529"/>
      <c r="T462" s="529"/>
      <c r="U462" s="529"/>
      <c r="V462" s="529"/>
      <c r="W462" s="529"/>
      <c r="X462" s="529"/>
      <c r="Y462" s="529"/>
      <c r="Z462" s="529"/>
      <c r="AA462" s="529"/>
      <c r="AB462" s="529"/>
      <c r="AC462" s="529"/>
      <c r="AD462" s="529"/>
      <c r="AE462" s="529"/>
      <c r="AF462" s="529"/>
      <c r="AG462" s="556"/>
      <c r="AH462" s="528"/>
    </row>
    <row r="463">
      <c r="A463" s="564"/>
      <c r="B463" s="565"/>
      <c r="C463" s="565"/>
      <c r="D463" s="565"/>
      <c r="E463" s="565"/>
      <c r="F463" s="565"/>
      <c r="G463" s="565"/>
      <c r="H463" s="565"/>
      <c r="I463" s="565"/>
      <c r="J463" s="565"/>
      <c r="K463" s="565"/>
      <c r="L463" s="565"/>
      <c r="M463" s="565"/>
      <c r="N463" s="529"/>
      <c r="O463" s="529"/>
      <c r="P463" s="529"/>
      <c r="Q463" s="529"/>
      <c r="R463" s="529"/>
      <c r="S463" s="529"/>
      <c r="T463" s="529"/>
      <c r="U463" s="529"/>
      <c r="V463" s="529"/>
      <c r="W463" s="529"/>
      <c r="X463" s="529"/>
      <c r="Y463" s="529"/>
      <c r="Z463" s="529"/>
      <c r="AA463" s="529"/>
      <c r="AB463" s="529"/>
      <c r="AC463" s="529"/>
      <c r="AD463" s="529"/>
      <c r="AE463" s="529"/>
      <c r="AF463" s="529"/>
      <c r="AG463" s="556"/>
      <c r="AH463" s="528"/>
    </row>
    <row r="464">
      <c r="A464" s="564"/>
      <c r="B464" s="565"/>
      <c r="C464" s="565"/>
      <c r="D464" s="565"/>
      <c r="E464" s="565"/>
      <c r="F464" s="565"/>
      <c r="G464" s="565"/>
      <c r="H464" s="565"/>
      <c r="I464" s="565"/>
      <c r="J464" s="565"/>
      <c r="K464" s="565"/>
      <c r="L464" s="565"/>
      <c r="M464" s="565"/>
      <c r="N464" s="529"/>
      <c r="O464" s="529"/>
      <c r="P464" s="529"/>
      <c r="Q464" s="529"/>
      <c r="R464" s="529"/>
      <c r="S464" s="529"/>
      <c r="T464" s="529"/>
      <c r="U464" s="529"/>
      <c r="V464" s="529"/>
      <c r="W464" s="529"/>
      <c r="X464" s="529"/>
      <c r="Y464" s="529"/>
      <c r="Z464" s="529"/>
      <c r="AA464" s="529"/>
      <c r="AB464" s="529"/>
      <c r="AC464" s="529"/>
      <c r="AD464" s="529"/>
      <c r="AE464" s="529"/>
      <c r="AF464" s="529"/>
      <c r="AG464" s="556"/>
      <c r="AH464" s="528"/>
    </row>
    <row r="465">
      <c r="A465" s="564"/>
      <c r="B465" s="565"/>
      <c r="C465" s="565"/>
      <c r="D465" s="565"/>
      <c r="E465" s="565"/>
      <c r="F465" s="565"/>
      <c r="G465" s="565"/>
      <c r="H465" s="565"/>
      <c r="I465" s="565"/>
      <c r="J465" s="565"/>
      <c r="K465" s="565"/>
      <c r="L465" s="565"/>
      <c r="M465" s="565"/>
      <c r="N465" s="529"/>
      <c r="O465" s="529"/>
      <c r="P465" s="529"/>
      <c r="Q465" s="529"/>
      <c r="R465" s="529"/>
      <c r="S465" s="529"/>
      <c r="T465" s="529"/>
      <c r="U465" s="529"/>
      <c r="V465" s="529"/>
      <c r="W465" s="529"/>
      <c r="X465" s="529"/>
      <c r="Y465" s="529"/>
      <c r="Z465" s="529"/>
      <c r="AA465" s="529"/>
      <c r="AB465" s="529"/>
      <c r="AC465" s="529"/>
      <c r="AD465" s="529"/>
      <c r="AE465" s="529"/>
      <c r="AF465" s="529"/>
      <c r="AG465" s="556"/>
      <c r="AH465" s="528"/>
    </row>
    <row r="466">
      <c r="A466" s="564"/>
      <c r="B466" s="565"/>
      <c r="C466" s="565"/>
      <c r="D466" s="565"/>
      <c r="E466" s="565"/>
      <c r="F466" s="565"/>
      <c r="G466" s="565"/>
      <c r="H466" s="565"/>
      <c r="I466" s="565"/>
      <c r="J466" s="565"/>
      <c r="K466" s="565"/>
      <c r="L466" s="565"/>
      <c r="M466" s="565"/>
      <c r="N466" s="529"/>
      <c r="O466" s="529"/>
      <c r="P466" s="529"/>
      <c r="Q466" s="529"/>
      <c r="R466" s="529"/>
      <c r="S466" s="529"/>
      <c r="T466" s="529"/>
      <c r="U466" s="529"/>
      <c r="V466" s="529"/>
      <c r="W466" s="529"/>
      <c r="X466" s="529"/>
      <c r="Y466" s="529"/>
      <c r="Z466" s="529"/>
      <c r="AA466" s="529"/>
      <c r="AB466" s="529"/>
      <c r="AC466" s="529"/>
      <c r="AD466" s="529"/>
      <c r="AE466" s="529"/>
      <c r="AF466" s="529"/>
      <c r="AG466" s="556"/>
      <c r="AH466" s="528"/>
    </row>
    <row r="467">
      <c r="A467" s="564"/>
      <c r="B467" s="565"/>
      <c r="C467" s="565"/>
      <c r="D467" s="565"/>
      <c r="E467" s="565"/>
      <c r="F467" s="565"/>
      <c r="G467" s="565"/>
      <c r="H467" s="565"/>
      <c r="I467" s="565"/>
      <c r="J467" s="565"/>
      <c r="K467" s="565"/>
      <c r="L467" s="565"/>
      <c r="M467" s="565"/>
      <c r="N467" s="529"/>
      <c r="O467" s="529"/>
      <c r="P467" s="529"/>
      <c r="Q467" s="529"/>
      <c r="R467" s="529"/>
      <c r="S467" s="529"/>
      <c r="T467" s="529"/>
      <c r="U467" s="529"/>
      <c r="V467" s="529"/>
      <c r="W467" s="529"/>
      <c r="X467" s="529"/>
      <c r="Y467" s="529"/>
      <c r="Z467" s="529"/>
      <c r="AA467" s="529"/>
      <c r="AB467" s="529"/>
      <c r="AC467" s="529"/>
      <c r="AD467" s="529"/>
      <c r="AE467" s="529"/>
      <c r="AF467" s="529"/>
      <c r="AG467" s="556"/>
      <c r="AH467" s="528"/>
    </row>
    <row r="468">
      <c r="A468" s="564"/>
      <c r="B468" s="565"/>
      <c r="C468" s="565"/>
      <c r="D468" s="565"/>
      <c r="E468" s="565"/>
      <c r="F468" s="565"/>
      <c r="G468" s="565"/>
      <c r="H468" s="565"/>
      <c r="I468" s="565"/>
      <c r="J468" s="565"/>
      <c r="K468" s="565"/>
      <c r="L468" s="565"/>
      <c r="M468" s="565"/>
      <c r="N468" s="529"/>
      <c r="O468" s="529"/>
      <c r="P468" s="529"/>
      <c r="Q468" s="529"/>
      <c r="R468" s="529"/>
      <c r="S468" s="529"/>
      <c r="T468" s="529"/>
      <c r="U468" s="529"/>
      <c r="V468" s="529"/>
      <c r="W468" s="529"/>
      <c r="X468" s="529"/>
      <c r="Y468" s="529"/>
      <c r="Z468" s="529"/>
      <c r="AA468" s="529"/>
      <c r="AB468" s="529"/>
      <c r="AC468" s="529"/>
      <c r="AD468" s="529"/>
      <c r="AE468" s="529"/>
      <c r="AF468" s="529"/>
      <c r="AG468" s="556"/>
      <c r="AH468" s="528"/>
    </row>
    <row r="469">
      <c r="A469" s="564"/>
      <c r="B469" s="565"/>
      <c r="C469" s="565"/>
      <c r="D469" s="565"/>
      <c r="E469" s="565"/>
      <c r="F469" s="565"/>
      <c r="G469" s="565"/>
      <c r="H469" s="565"/>
      <c r="I469" s="565"/>
      <c r="J469" s="565"/>
      <c r="K469" s="565"/>
      <c r="L469" s="565"/>
      <c r="M469" s="565"/>
      <c r="N469" s="529"/>
      <c r="O469" s="529"/>
      <c r="P469" s="529"/>
      <c r="Q469" s="529"/>
      <c r="R469" s="529"/>
      <c r="S469" s="529"/>
      <c r="T469" s="529"/>
      <c r="U469" s="529"/>
      <c r="V469" s="529"/>
      <c r="W469" s="529"/>
      <c r="X469" s="529"/>
      <c r="Y469" s="529"/>
      <c r="Z469" s="529"/>
      <c r="AA469" s="529"/>
      <c r="AB469" s="529"/>
      <c r="AC469" s="529"/>
      <c r="AD469" s="529"/>
      <c r="AE469" s="529"/>
      <c r="AF469" s="529"/>
      <c r="AG469" s="556"/>
      <c r="AH469" s="528"/>
    </row>
    <row r="470">
      <c r="A470" s="564"/>
      <c r="B470" s="565"/>
      <c r="C470" s="565"/>
      <c r="D470" s="565"/>
      <c r="E470" s="565"/>
      <c r="F470" s="565"/>
      <c r="G470" s="565"/>
      <c r="H470" s="565"/>
      <c r="I470" s="565"/>
      <c r="J470" s="565"/>
      <c r="K470" s="565"/>
      <c r="L470" s="565"/>
      <c r="M470" s="565"/>
      <c r="N470" s="529"/>
      <c r="O470" s="529"/>
      <c r="P470" s="529"/>
      <c r="Q470" s="529"/>
      <c r="R470" s="529"/>
      <c r="S470" s="529"/>
      <c r="T470" s="529"/>
      <c r="U470" s="529"/>
      <c r="V470" s="529"/>
      <c r="W470" s="529"/>
      <c r="X470" s="529"/>
      <c r="Y470" s="529"/>
      <c r="Z470" s="529"/>
      <c r="AA470" s="529"/>
      <c r="AB470" s="529"/>
      <c r="AC470" s="529"/>
      <c r="AD470" s="529"/>
      <c r="AE470" s="529"/>
      <c r="AF470" s="529"/>
      <c r="AG470" s="556"/>
      <c r="AH470" s="528"/>
    </row>
    <row r="471">
      <c r="A471" s="564"/>
      <c r="B471" s="565"/>
      <c r="C471" s="565"/>
      <c r="D471" s="565"/>
      <c r="E471" s="565"/>
      <c r="F471" s="565"/>
      <c r="G471" s="565"/>
      <c r="H471" s="565"/>
      <c r="I471" s="565"/>
      <c r="J471" s="565"/>
      <c r="K471" s="565"/>
      <c r="L471" s="565"/>
      <c r="M471" s="565"/>
      <c r="N471" s="529"/>
      <c r="O471" s="529"/>
      <c r="P471" s="529"/>
      <c r="Q471" s="529"/>
      <c r="R471" s="529"/>
      <c r="S471" s="529"/>
      <c r="T471" s="529"/>
      <c r="U471" s="529"/>
      <c r="V471" s="529"/>
      <c r="W471" s="529"/>
      <c r="X471" s="529"/>
      <c r="Y471" s="529"/>
      <c r="Z471" s="529"/>
      <c r="AA471" s="529"/>
      <c r="AB471" s="529"/>
      <c r="AC471" s="529"/>
      <c r="AD471" s="529"/>
      <c r="AE471" s="529"/>
      <c r="AF471" s="529"/>
      <c r="AG471" s="556"/>
      <c r="AH471" s="528"/>
    </row>
    <row r="472">
      <c r="A472" s="564"/>
      <c r="B472" s="565"/>
      <c r="C472" s="565"/>
      <c r="D472" s="565"/>
      <c r="E472" s="565"/>
      <c r="F472" s="565"/>
      <c r="G472" s="565"/>
      <c r="H472" s="565"/>
      <c r="I472" s="565"/>
      <c r="J472" s="565"/>
      <c r="K472" s="565"/>
      <c r="L472" s="565"/>
      <c r="M472" s="565"/>
      <c r="N472" s="529"/>
      <c r="O472" s="529"/>
      <c r="P472" s="529"/>
      <c r="Q472" s="529"/>
      <c r="R472" s="529"/>
      <c r="S472" s="529"/>
      <c r="T472" s="529"/>
      <c r="U472" s="529"/>
      <c r="V472" s="529"/>
      <c r="W472" s="529"/>
      <c r="X472" s="529"/>
      <c r="Y472" s="529"/>
      <c r="Z472" s="529"/>
      <c r="AA472" s="529"/>
      <c r="AB472" s="529"/>
      <c r="AC472" s="529"/>
      <c r="AD472" s="529"/>
      <c r="AE472" s="529"/>
      <c r="AF472" s="529"/>
      <c r="AG472" s="556"/>
      <c r="AH472" s="528"/>
    </row>
    <row r="473">
      <c r="A473" s="564"/>
      <c r="B473" s="565"/>
      <c r="C473" s="565"/>
      <c r="D473" s="565"/>
      <c r="E473" s="565"/>
      <c r="F473" s="565"/>
      <c r="G473" s="565"/>
      <c r="H473" s="565"/>
      <c r="I473" s="565"/>
      <c r="J473" s="565"/>
      <c r="K473" s="565"/>
      <c r="L473" s="565"/>
      <c r="M473" s="565"/>
      <c r="N473" s="529"/>
      <c r="O473" s="529"/>
      <c r="P473" s="529"/>
      <c r="Q473" s="529"/>
      <c r="R473" s="529"/>
      <c r="S473" s="529"/>
      <c r="T473" s="529"/>
      <c r="U473" s="529"/>
      <c r="V473" s="529"/>
      <c r="W473" s="529"/>
      <c r="X473" s="529"/>
      <c r="Y473" s="529"/>
      <c r="Z473" s="529"/>
      <c r="AA473" s="529"/>
      <c r="AB473" s="529"/>
      <c r="AC473" s="529"/>
      <c r="AD473" s="529"/>
      <c r="AE473" s="529"/>
      <c r="AF473" s="529"/>
      <c r="AG473" s="556"/>
      <c r="AH473" s="528"/>
    </row>
    <row r="474">
      <c r="A474" s="564"/>
      <c r="B474" s="565"/>
      <c r="C474" s="565"/>
      <c r="D474" s="565"/>
      <c r="E474" s="565"/>
      <c r="F474" s="565"/>
      <c r="G474" s="565"/>
      <c r="H474" s="565"/>
      <c r="I474" s="565"/>
      <c r="J474" s="565"/>
      <c r="K474" s="565"/>
      <c r="L474" s="565"/>
      <c r="M474" s="565"/>
      <c r="N474" s="529"/>
      <c r="O474" s="529"/>
      <c r="P474" s="529"/>
      <c r="Q474" s="529"/>
      <c r="R474" s="529"/>
      <c r="S474" s="529"/>
      <c r="T474" s="529"/>
      <c r="U474" s="529"/>
      <c r="V474" s="529"/>
      <c r="W474" s="529"/>
      <c r="X474" s="529"/>
      <c r="Y474" s="529"/>
      <c r="Z474" s="529"/>
      <c r="AA474" s="529"/>
      <c r="AB474" s="529"/>
      <c r="AC474" s="529"/>
      <c r="AD474" s="529"/>
      <c r="AE474" s="529"/>
      <c r="AF474" s="529"/>
      <c r="AG474" s="556"/>
      <c r="AH474" s="528"/>
    </row>
    <row r="475">
      <c r="A475" s="564"/>
      <c r="B475" s="565"/>
      <c r="C475" s="565"/>
      <c r="D475" s="565"/>
      <c r="E475" s="565"/>
      <c r="F475" s="565"/>
      <c r="G475" s="565"/>
      <c r="H475" s="565"/>
      <c r="I475" s="565"/>
      <c r="J475" s="565"/>
      <c r="K475" s="565"/>
      <c r="L475" s="565"/>
      <c r="M475" s="565"/>
      <c r="N475" s="529"/>
      <c r="O475" s="529"/>
      <c r="P475" s="529"/>
      <c r="Q475" s="529"/>
      <c r="R475" s="529"/>
      <c r="S475" s="529"/>
      <c r="T475" s="529"/>
      <c r="U475" s="529"/>
      <c r="V475" s="529"/>
      <c r="W475" s="529"/>
      <c r="X475" s="529"/>
      <c r="Y475" s="529"/>
      <c r="Z475" s="529"/>
      <c r="AA475" s="529"/>
      <c r="AB475" s="529"/>
      <c r="AC475" s="529"/>
      <c r="AD475" s="529"/>
      <c r="AE475" s="529"/>
      <c r="AF475" s="529"/>
      <c r="AG475" s="556"/>
      <c r="AH475" s="528"/>
    </row>
    <row r="476">
      <c r="A476" s="564"/>
      <c r="B476" s="565"/>
      <c r="C476" s="565"/>
      <c r="D476" s="565"/>
      <c r="E476" s="565"/>
      <c r="F476" s="565"/>
      <c r="G476" s="565"/>
      <c r="H476" s="565"/>
      <c r="I476" s="565"/>
      <c r="J476" s="565"/>
      <c r="K476" s="565"/>
      <c r="L476" s="565"/>
      <c r="M476" s="565"/>
      <c r="N476" s="529"/>
      <c r="O476" s="529"/>
      <c r="P476" s="529"/>
      <c r="Q476" s="529"/>
      <c r="R476" s="529"/>
      <c r="S476" s="529"/>
      <c r="T476" s="529"/>
      <c r="U476" s="529"/>
      <c r="V476" s="529"/>
      <c r="W476" s="529"/>
      <c r="X476" s="529"/>
      <c r="Y476" s="529"/>
      <c r="Z476" s="529"/>
      <c r="AA476" s="529"/>
      <c r="AB476" s="529"/>
      <c r="AC476" s="529"/>
      <c r="AD476" s="529"/>
      <c r="AE476" s="529"/>
      <c r="AF476" s="529"/>
      <c r="AG476" s="556"/>
      <c r="AH476" s="528"/>
    </row>
    <row r="477">
      <c r="A477" s="564"/>
      <c r="B477" s="565"/>
      <c r="C477" s="565"/>
      <c r="D477" s="565"/>
      <c r="E477" s="565"/>
      <c r="F477" s="565"/>
      <c r="G477" s="565"/>
      <c r="H477" s="565"/>
      <c r="I477" s="565"/>
      <c r="J477" s="565"/>
      <c r="K477" s="565"/>
      <c r="L477" s="565"/>
      <c r="M477" s="565"/>
      <c r="N477" s="529"/>
      <c r="O477" s="529"/>
      <c r="P477" s="529"/>
      <c r="Q477" s="529"/>
      <c r="R477" s="529"/>
      <c r="S477" s="529"/>
      <c r="T477" s="529"/>
      <c r="U477" s="529"/>
      <c r="V477" s="529"/>
      <c r="W477" s="529"/>
      <c r="X477" s="529"/>
      <c r="Y477" s="529"/>
      <c r="Z477" s="529"/>
      <c r="AA477" s="529"/>
      <c r="AB477" s="529"/>
      <c r="AC477" s="529"/>
      <c r="AD477" s="529"/>
      <c r="AE477" s="529"/>
      <c r="AF477" s="529"/>
      <c r="AG477" s="556"/>
      <c r="AH477" s="528"/>
    </row>
    <row r="478">
      <c r="A478" s="564"/>
      <c r="B478" s="565"/>
      <c r="C478" s="565"/>
      <c r="D478" s="565"/>
      <c r="E478" s="565"/>
      <c r="F478" s="565"/>
      <c r="G478" s="565"/>
      <c r="H478" s="565"/>
      <c r="I478" s="565"/>
      <c r="J478" s="565"/>
      <c r="K478" s="565"/>
      <c r="L478" s="565"/>
      <c r="M478" s="565"/>
      <c r="N478" s="529"/>
      <c r="O478" s="529"/>
      <c r="P478" s="529"/>
      <c r="Q478" s="529"/>
      <c r="R478" s="529"/>
      <c r="S478" s="529"/>
      <c r="T478" s="529"/>
      <c r="U478" s="529"/>
      <c r="V478" s="529"/>
      <c r="W478" s="529"/>
      <c r="X478" s="529"/>
      <c r="Y478" s="529"/>
      <c r="Z478" s="529"/>
      <c r="AA478" s="529"/>
      <c r="AB478" s="529"/>
      <c r="AC478" s="529"/>
      <c r="AD478" s="529"/>
      <c r="AE478" s="529"/>
      <c r="AF478" s="529"/>
      <c r="AG478" s="556"/>
      <c r="AH478" s="528"/>
    </row>
    <row r="479">
      <c r="A479" s="564"/>
      <c r="B479" s="565"/>
      <c r="C479" s="565"/>
      <c r="D479" s="565"/>
      <c r="E479" s="565"/>
      <c r="F479" s="565"/>
      <c r="G479" s="565"/>
      <c r="H479" s="565"/>
      <c r="I479" s="565"/>
      <c r="J479" s="565"/>
      <c r="K479" s="565"/>
      <c r="L479" s="565"/>
      <c r="M479" s="565"/>
      <c r="N479" s="529"/>
      <c r="O479" s="529"/>
      <c r="P479" s="529"/>
      <c r="Q479" s="529"/>
      <c r="R479" s="529"/>
      <c r="S479" s="529"/>
      <c r="T479" s="529"/>
      <c r="U479" s="529"/>
      <c r="V479" s="529"/>
      <c r="W479" s="529"/>
      <c r="X479" s="529"/>
      <c r="Y479" s="529"/>
      <c r="Z479" s="529"/>
      <c r="AA479" s="529"/>
      <c r="AB479" s="529"/>
      <c r="AC479" s="529"/>
      <c r="AD479" s="529"/>
      <c r="AE479" s="529"/>
      <c r="AF479" s="529"/>
      <c r="AG479" s="556"/>
      <c r="AH479" s="528"/>
    </row>
    <row r="480">
      <c r="A480" s="564"/>
      <c r="B480" s="565"/>
      <c r="C480" s="565"/>
      <c r="D480" s="565"/>
      <c r="E480" s="565"/>
      <c r="F480" s="565"/>
      <c r="G480" s="565"/>
      <c r="H480" s="565"/>
      <c r="I480" s="565"/>
      <c r="J480" s="565"/>
      <c r="K480" s="565"/>
      <c r="L480" s="565"/>
      <c r="M480" s="565"/>
      <c r="N480" s="529"/>
      <c r="O480" s="529"/>
      <c r="P480" s="529"/>
      <c r="Q480" s="529"/>
      <c r="R480" s="529"/>
      <c r="S480" s="529"/>
      <c r="T480" s="529"/>
      <c r="U480" s="529"/>
      <c r="V480" s="529"/>
      <c r="W480" s="529"/>
      <c r="X480" s="529"/>
      <c r="Y480" s="529"/>
      <c r="Z480" s="529"/>
      <c r="AA480" s="529"/>
      <c r="AB480" s="529"/>
      <c r="AC480" s="529"/>
      <c r="AD480" s="529"/>
      <c r="AE480" s="529"/>
      <c r="AF480" s="529"/>
      <c r="AG480" s="556"/>
      <c r="AH480" s="528"/>
    </row>
    <row r="481">
      <c r="A481" s="564"/>
      <c r="B481" s="565"/>
      <c r="C481" s="565"/>
      <c r="D481" s="565"/>
      <c r="E481" s="565"/>
      <c r="F481" s="565"/>
      <c r="G481" s="565"/>
      <c r="H481" s="565"/>
      <c r="I481" s="565"/>
      <c r="J481" s="565"/>
      <c r="K481" s="565"/>
      <c r="L481" s="565"/>
      <c r="M481" s="565"/>
      <c r="N481" s="529"/>
      <c r="O481" s="529"/>
      <c r="P481" s="529"/>
      <c r="Q481" s="529"/>
      <c r="R481" s="529"/>
      <c r="S481" s="529"/>
      <c r="T481" s="529"/>
      <c r="U481" s="529"/>
      <c r="V481" s="529"/>
      <c r="W481" s="529"/>
      <c r="X481" s="529"/>
      <c r="Y481" s="529"/>
      <c r="Z481" s="529"/>
      <c r="AA481" s="529"/>
      <c r="AB481" s="529"/>
      <c r="AC481" s="529"/>
      <c r="AD481" s="529"/>
      <c r="AE481" s="529"/>
      <c r="AF481" s="529"/>
      <c r="AG481" s="556"/>
      <c r="AH481" s="528"/>
    </row>
    <row r="482">
      <c r="A482" s="564"/>
      <c r="B482" s="565"/>
      <c r="C482" s="565"/>
      <c r="D482" s="565"/>
      <c r="E482" s="565"/>
      <c r="F482" s="565"/>
      <c r="G482" s="565"/>
      <c r="H482" s="565"/>
      <c r="I482" s="565"/>
      <c r="J482" s="565"/>
      <c r="K482" s="565"/>
      <c r="L482" s="565"/>
      <c r="M482" s="565"/>
      <c r="N482" s="529"/>
      <c r="O482" s="529"/>
      <c r="P482" s="529"/>
      <c r="Q482" s="529"/>
      <c r="R482" s="529"/>
      <c r="S482" s="529"/>
      <c r="T482" s="529"/>
      <c r="U482" s="529"/>
      <c r="V482" s="529"/>
      <c r="W482" s="529"/>
      <c r="X482" s="529"/>
      <c r="Y482" s="529"/>
      <c r="Z482" s="529"/>
      <c r="AA482" s="529"/>
      <c r="AB482" s="529"/>
      <c r="AC482" s="529"/>
      <c r="AD482" s="529"/>
      <c r="AE482" s="529"/>
      <c r="AF482" s="529"/>
      <c r="AG482" s="556"/>
      <c r="AH482" s="528"/>
    </row>
    <row r="483">
      <c r="A483" s="564"/>
      <c r="B483" s="565"/>
      <c r="C483" s="565"/>
      <c r="D483" s="565"/>
      <c r="E483" s="565"/>
      <c r="F483" s="565"/>
      <c r="G483" s="565"/>
      <c r="H483" s="565"/>
      <c r="I483" s="565"/>
      <c r="J483" s="565"/>
      <c r="K483" s="565"/>
      <c r="L483" s="565"/>
      <c r="M483" s="565"/>
      <c r="N483" s="529"/>
      <c r="O483" s="529"/>
      <c r="P483" s="529"/>
      <c r="Q483" s="529"/>
      <c r="R483" s="529"/>
      <c r="S483" s="529"/>
      <c r="T483" s="529"/>
      <c r="U483" s="529"/>
      <c r="V483" s="529"/>
      <c r="W483" s="529"/>
      <c r="X483" s="529"/>
      <c r="Y483" s="529"/>
      <c r="Z483" s="529"/>
      <c r="AA483" s="529"/>
      <c r="AB483" s="529"/>
      <c r="AC483" s="529"/>
      <c r="AD483" s="529"/>
      <c r="AE483" s="529"/>
      <c r="AF483" s="529"/>
      <c r="AG483" s="556"/>
      <c r="AH483" s="528"/>
    </row>
    <row r="484">
      <c r="A484" s="564"/>
      <c r="B484" s="565"/>
      <c r="C484" s="565"/>
      <c r="D484" s="565"/>
      <c r="E484" s="565"/>
      <c r="F484" s="565"/>
      <c r="G484" s="565"/>
      <c r="H484" s="565"/>
      <c r="I484" s="565"/>
      <c r="J484" s="565"/>
      <c r="K484" s="565"/>
      <c r="L484" s="565"/>
      <c r="M484" s="565"/>
      <c r="N484" s="529"/>
      <c r="O484" s="529"/>
      <c r="P484" s="529"/>
      <c r="Q484" s="529"/>
      <c r="R484" s="529"/>
      <c r="S484" s="529"/>
      <c r="T484" s="529"/>
      <c r="U484" s="529"/>
      <c r="V484" s="529"/>
      <c r="W484" s="529"/>
      <c r="X484" s="529"/>
      <c r="Y484" s="529"/>
      <c r="Z484" s="529"/>
      <c r="AA484" s="529"/>
      <c r="AB484" s="529"/>
      <c r="AC484" s="529"/>
      <c r="AD484" s="529"/>
      <c r="AE484" s="529"/>
      <c r="AF484" s="529"/>
      <c r="AG484" s="556"/>
      <c r="AH484" s="528"/>
    </row>
    <row r="485">
      <c r="A485" s="564"/>
      <c r="B485" s="565"/>
      <c r="C485" s="565"/>
      <c r="D485" s="565"/>
      <c r="E485" s="565"/>
      <c r="F485" s="565"/>
      <c r="G485" s="565"/>
      <c r="H485" s="565"/>
      <c r="I485" s="565"/>
      <c r="J485" s="565"/>
      <c r="K485" s="565"/>
      <c r="L485" s="565"/>
      <c r="M485" s="565"/>
      <c r="N485" s="529"/>
      <c r="O485" s="529"/>
      <c r="P485" s="529"/>
      <c r="Q485" s="529"/>
      <c r="R485" s="529"/>
      <c r="S485" s="529"/>
      <c r="T485" s="529"/>
      <c r="U485" s="529"/>
      <c r="V485" s="529"/>
      <c r="W485" s="529"/>
      <c r="X485" s="529"/>
      <c r="Y485" s="529"/>
      <c r="Z485" s="529"/>
      <c r="AA485" s="529"/>
      <c r="AB485" s="529"/>
      <c r="AC485" s="529"/>
      <c r="AD485" s="529"/>
      <c r="AE485" s="529"/>
      <c r="AF485" s="529"/>
      <c r="AG485" s="556"/>
      <c r="AH485" s="528"/>
    </row>
    <row r="486">
      <c r="A486" s="564"/>
      <c r="B486" s="565"/>
      <c r="C486" s="565"/>
      <c r="D486" s="565"/>
      <c r="E486" s="565"/>
      <c r="F486" s="565"/>
      <c r="G486" s="565"/>
      <c r="H486" s="565"/>
      <c r="I486" s="565"/>
      <c r="J486" s="565"/>
      <c r="K486" s="565"/>
      <c r="L486" s="565"/>
      <c r="M486" s="565"/>
      <c r="N486" s="529"/>
      <c r="O486" s="529"/>
      <c r="P486" s="529"/>
      <c r="Q486" s="529"/>
      <c r="R486" s="529"/>
      <c r="S486" s="529"/>
      <c r="T486" s="529"/>
      <c r="U486" s="529"/>
      <c r="V486" s="529"/>
      <c r="W486" s="529"/>
      <c r="X486" s="529"/>
      <c r="Y486" s="529"/>
      <c r="Z486" s="529"/>
      <c r="AA486" s="529"/>
      <c r="AB486" s="529"/>
      <c r="AC486" s="529"/>
      <c r="AD486" s="529"/>
      <c r="AE486" s="529"/>
      <c r="AF486" s="529"/>
      <c r="AG486" s="556"/>
      <c r="AH486" s="528"/>
    </row>
    <row r="487">
      <c r="A487" s="564"/>
      <c r="B487" s="565"/>
      <c r="C487" s="565"/>
      <c r="D487" s="565"/>
      <c r="E487" s="565"/>
      <c r="F487" s="565"/>
      <c r="G487" s="565"/>
      <c r="H487" s="565"/>
      <c r="I487" s="565"/>
      <c r="J487" s="565"/>
      <c r="K487" s="565"/>
      <c r="L487" s="565"/>
      <c r="M487" s="565"/>
      <c r="N487" s="529"/>
      <c r="O487" s="529"/>
      <c r="P487" s="529"/>
      <c r="Q487" s="529"/>
      <c r="R487" s="529"/>
      <c r="S487" s="529"/>
      <c r="T487" s="529"/>
      <c r="U487" s="529"/>
      <c r="V487" s="529"/>
      <c r="W487" s="529"/>
      <c r="X487" s="529"/>
      <c r="Y487" s="529"/>
      <c r="Z487" s="529"/>
      <c r="AA487" s="529"/>
      <c r="AB487" s="529"/>
      <c r="AC487" s="529"/>
      <c r="AD487" s="529"/>
      <c r="AE487" s="529"/>
      <c r="AF487" s="529"/>
      <c r="AG487" s="556"/>
      <c r="AH487" s="528"/>
    </row>
    <row r="488">
      <c r="A488" s="564"/>
      <c r="B488" s="565"/>
      <c r="C488" s="565"/>
      <c r="D488" s="565"/>
      <c r="E488" s="565"/>
      <c r="F488" s="565"/>
      <c r="G488" s="565"/>
      <c r="H488" s="565"/>
      <c r="I488" s="565"/>
      <c r="J488" s="565"/>
      <c r="K488" s="565"/>
      <c r="L488" s="565"/>
      <c r="M488" s="565"/>
      <c r="N488" s="529"/>
      <c r="O488" s="529"/>
      <c r="P488" s="529"/>
      <c r="Q488" s="529"/>
      <c r="R488" s="529"/>
      <c r="S488" s="529"/>
      <c r="T488" s="529"/>
      <c r="U488" s="529"/>
      <c r="V488" s="529"/>
      <c r="W488" s="529"/>
      <c r="X488" s="529"/>
      <c r="Y488" s="529"/>
      <c r="Z488" s="529"/>
      <c r="AA488" s="529"/>
      <c r="AB488" s="529"/>
      <c r="AC488" s="529"/>
      <c r="AD488" s="529"/>
      <c r="AE488" s="529"/>
      <c r="AF488" s="529"/>
      <c r="AG488" s="556"/>
      <c r="AH488" s="528"/>
    </row>
    <row r="489">
      <c r="A489" s="564"/>
      <c r="B489" s="565"/>
      <c r="C489" s="565"/>
      <c r="D489" s="565"/>
      <c r="E489" s="565"/>
      <c r="F489" s="565"/>
      <c r="G489" s="565"/>
      <c r="H489" s="565"/>
      <c r="I489" s="565"/>
      <c r="J489" s="565"/>
      <c r="K489" s="565"/>
      <c r="L489" s="565"/>
      <c r="M489" s="565"/>
      <c r="N489" s="529"/>
      <c r="O489" s="529"/>
      <c r="P489" s="529"/>
      <c r="Q489" s="529"/>
      <c r="R489" s="529"/>
      <c r="S489" s="529"/>
      <c r="T489" s="529"/>
      <c r="U489" s="529"/>
      <c r="V489" s="529"/>
      <c r="W489" s="529"/>
      <c r="X489" s="529"/>
      <c r="Y489" s="529"/>
      <c r="Z489" s="529"/>
      <c r="AA489" s="529"/>
      <c r="AB489" s="529"/>
      <c r="AC489" s="529"/>
      <c r="AD489" s="529"/>
      <c r="AE489" s="529"/>
      <c r="AF489" s="529"/>
      <c r="AG489" s="556"/>
      <c r="AH489" s="528"/>
    </row>
    <row r="490">
      <c r="A490" s="564"/>
      <c r="B490" s="565"/>
      <c r="C490" s="565"/>
      <c r="D490" s="565"/>
      <c r="E490" s="565"/>
      <c r="F490" s="565"/>
      <c r="G490" s="565"/>
      <c r="H490" s="565"/>
      <c r="I490" s="565"/>
      <c r="J490" s="565"/>
      <c r="K490" s="565"/>
      <c r="L490" s="565"/>
      <c r="M490" s="565"/>
      <c r="N490" s="529"/>
      <c r="O490" s="529"/>
      <c r="P490" s="529"/>
      <c r="Q490" s="529"/>
      <c r="R490" s="529"/>
      <c r="S490" s="529"/>
      <c r="T490" s="529"/>
      <c r="U490" s="529"/>
      <c r="V490" s="529"/>
      <c r="W490" s="529"/>
      <c r="X490" s="529"/>
      <c r="Y490" s="529"/>
      <c r="Z490" s="529"/>
      <c r="AA490" s="529"/>
      <c r="AB490" s="529"/>
      <c r="AC490" s="529"/>
      <c r="AD490" s="529"/>
      <c r="AE490" s="529"/>
      <c r="AF490" s="529"/>
      <c r="AG490" s="556"/>
      <c r="AH490" s="528"/>
    </row>
    <row r="491">
      <c r="A491" s="564"/>
      <c r="B491" s="565"/>
      <c r="C491" s="565"/>
      <c r="D491" s="565"/>
      <c r="E491" s="565"/>
      <c r="F491" s="565"/>
      <c r="G491" s="565"/>
      <c r="H491" s="565"/>
      <c r="I491" s="565"/>
      <c r="J491" s="565"/>
      <c r="K491" s="565"/>
      <c r="L491" s="565"/>
      <c r="M491" s="565"/>
      <c r="N491" s="529"/>
      <c r="O491" s="529"/>
      <c r="P491" s="529"/>
      <c r="Q491" s="529"/>
      <c r="R491" s="529"/>
      <c r="S491" s="529"/>
      <c r="T491" s="529"/>
      <c r="U491" s="529"/>
      <c r="V491" s="529"/>
      <c r="W491" s="529"/>
      <c r="X491" s="529"/>
      <c r="Y491" s="529"/>
      <c r="Z491" s="529"/>
      <c r="AA491" s="529"/>
      <c r="AB491" s="529"/>
      <c r="AC491" s="529"/>
      <c r="AD491" s="529"/>
      <c r="AE491" s="529"/>
      <c r="AF491" s="529"/>
      <c r="AG491" s="556"/>
      <c r="AH491" s="528"/>
    </row>
    <row r="492">
      <c r="A492" s="564"/>
      <c r="B492" s="565"/>
      <c r="C492" s="565"/>
      <c r="D492" s="565"/>
      <c r="E492" s="565"/>
      <c r="F492" s="565"/>
      <c r="G492" s="565"/>
      <c r="H492" s="565"/>
      <c r="I492" s="565"/>
      <c r="J492" s="565"/>
      <c r="K492" s="565"/>
      <c r="L492" s="565"/>
      <c r="M492" s="565"/>
      <c r="N492" s="529"/>
      <c r="O492" s="529"/>
      <c r="P492" s="529"/>
      <c r="Q492" s="529"/>
      <c r="R492" s="529"/>
      <c r="S492" s="529"/>
      <c r="T492" s="529"/>
      <c r="U492" s="529"/>
      <c r="V492" s="529"/>
      <c r="W492" s="529"/>
      <c r="X492" s="529"/>
      <c r="Y492" s="529"/>
      <c r="Z492" s="529"/>
      <c r="AA492" s="529"/>
      <c r="AB492" s="529"/>
      <c r="AC492" s="529"/>
      <c r="AD492" s="529"/>
      <c r="AE492" s="529"/>
      <c r="AF492" s="529"/>
      <c r="AG492" s="556"/>
      <c r="AH492" s="528"/>
    </row>
    <row r="493">
      <c r="A493" s="564"/>
      <c r="B493" s="565"/>
      <c r="C493" s="565"/>
      <c r="D493" s="565"/>
      <c r="E493" s="565"/>
      <c r="F493" s="565"/>
      <c r="G493" s="565"/>
      <c r="H493" s="565"/>
      <c r="I493" s="565"/>
      <c r="J493" s="565"/>
      <c r="K493" s="565"/>
      <c r="L493" s="565"/>
      <c r="M493" s="565"/>
      <c r="N493" s="529"/>
      <c r="O493" s="529"/>
      <c r="P493" s="529"/>
      <c r="Q493" s="529"/>
      <c r="R493" s="529"/>
      <c r="S493" s="529"/>
      <c r="T493" s="529"/>
      <c r="U493" s="529"/>
      <c r="V493" s="529"/>
      <c r="W493" s="529"/>
      <c r="X493" s="529"/>
      <c r="Y493" s="529"/>
      <c r="Z493" s="529"/>
      <c r="AA493" s="529"/>
      <c r="AB493" s="529"/>
      <c r="AC493" s="529"/>
      <c r="AD493" s="529"/>
      <c r="AE493" s="529"/>
      <c r="AF493" s="529"/>
      <c r="AG493" s="556"/>
      <c r="AH493" s="528"/>
    </row>
    <row r="494">
      <c r="A494" s="564"/>
      <c r="B494" s="565"/>
      <c r="C494" s="565"/>
      <c r="D494" s="565"/>
      <c r="E494" s="565"/>
      <c r="F494" s="565"/>
      <c r="G494" s="565"/>
      <c r="H494" s="565"/>
      <c r="I494" s="565"/>
      <c r="J494" s="565"/>
      <c r="K494" s="565"/>
      <c r="L494" s="565"/>
      <c r="M494" s="565"/>
      <c r="N494" s="529"/>
      <c r="O494" s="529"/>
      <c r="P494" s="529"/>
      <c r="Q494" s="529"/>
      <c r="R494" s="529"/>
      <c r="S494" s="529"/>
      <c r="T494" s="529"/>
      <c r="U494" s="529"/>
      <c r="V494" s="529"/>
      <c r="W494" s="529"/>
      <c r="X494" s="529"/>
      <c r="Y494" s="529"/>
      <c r="Z494" s="529"/>
      <c r="AA494" s="529"/>
      <c r="AB494" s="529"/>
      <c r="AC494" s="529"/>
      <c r="AD494" s="529"/>
      <c r="AE494" s="529"/>
      <c r="AF494" s="529"/>
      <c r="AG494" s="556"/>
      <c r="AH494" s="528"/>
    </row>
    <row r="495">
      <c r="A495" s="564"/>
      <c r="B495" s="565"/>
      <c r="C495" s="565"/>
      <c r="D495" s="565"/>
      <c r="E495" s="565"/>
      <c r="F495" s="565"/>
      <c r="G495" s="565"/>
      <c r="H495" s="565"/>
      <c r="I495" s="565"/>
      <c r="J495" s="565"/>
      <c r="K495" s="565"/>
      <c r="L495" s="565"/>
      <c r="M495" s="565"/>
      <c r="N495" s="529"/>
      <c r="O495" s="529"/>
      <c r="P495" s="529"/>
      <c r="Q495" s="529"/>
      <c r="R495" s="529"/>
      <c r="S495" s="529"/>
      <c r="T495" s="529"/>
      <c r="U495" s="529"/>
      <c r="V495" s="529"/>
      <c r="W495" s="529"/>
      <c r="X495" s="529"/>
      <c r="Y495" s="529"/>
      <c r="Z495" s="529"/>
      <c r="AA495" s="529"/>
      <c r="AB495" s="529"/>
      <c r="AC495" s="529"/>
      <c r="AD495" s="529"/>
      <c r="AE495" s="529"/>
      <c r="AF495" s="529"/>
      <c r="AG495" s="556"/>
      <c r="AH495" s="528"/>
    </row>
    <row r="496">
      <c r="A496" s="564"/>
      <c r="B496" s="565"/>
      <c r="C496" s="565"/>
      <c r="D496" s="565"/>
      <c r="E496" s="565"/>
      <c r="F496" s="565"/>
      <c r="G496" s="565"/>
      <c r="H496" s="565"/>
      <c r="I496" s="565"/>
      <c r="J496" s="565"/>
      <c r="K496" s="565"/>
      <c r="L496" s="565"/>
      <c r="M496" s="565"/>
      <c r="N496" s="529"/>
      <c r="O496" s="529"/>
      <c r="P496" s="529"/>
      <c r="Q496" s="529"/>
      <c r="R496" s="529"/>
      <c r="S496" s="529"/>
      <c r="T496" s="529"/>
      <c r="U496" s="529"/>
      <c r="V496" s="529"/>
      <c r="W496" s="529"/>
      <c r="X496" s="529"/>
      <c r="Y496" s="529"/>
      <c r="Z496" s="529"/>
      <c r="AA496" s="529"/>
      <c r="AB496" s="529"/>
      <c r="AC496" s="529"/>
      <c r="AD496" s="529"/>
      <c r="AE496" s="529"/>
      <c r="AF496" s="529"/>
      <c r="AG496" s="556"/>
      <c r="AH496" s="528"/>
    </row>
    <row r="497">
      <c r="A497" s="564"/>
      <c r="B497" s="565"/>
      <c r="C497" s="565"/>
      <c r="D497" s="565"/>
      <c r="E497" s="565"/>
      <c r="F497" s="565"/>
      <c r="G497" s="565"/>
      <c r="H497" s="565"/>
      <c r="I497" s="565"/>
      <c r="J497" s="565"/>
      <c r="K497" s="565"/>
      <c r="L497" s="565"/>
      <c r="M497" s="565"/>
      <c r="N497" s="529"/>
      <c r="O497" s="529"/>
      <c r="P497" s="529"/>
      <c r="Q497" s="529"/>
      <c r="R497" s="529"/>
      <c r="S497" s="529"/>
      <c r="T497" s="529"/>
      <c r="U497" s="529"/>
      <c r="V497" s="529"/>
      <c r="W497" s="529"/>
      <c r="X497" s="529"/>
      <c r="Y497" s="529"/>
      <c r="Z497" s="529"/>
      <c r="AA497" s="529"/>
      <c r="AB497" s="529"/>
      <c r="AC497" s="529"/>
      <c r="AD497" s="529"/>
      <c r="AE497" s="529"/>
      <c r="AF497" s="529"/>
      <c r="AG497" s="556"/>
      <c r="AH497" s="528"/>
    </row>
    <row r="498">
      <c r="A498" s="564"/>
      <c r="B498" s="565"/>
      <c r="C498" s="565"/>
      <c r="D498" s="565"/>
      <c r="E498" s="565"/>
      <c r="F498" s="565"/>
      <c r="G498" s="565"/>
      <c r="H498" s="565"/>
      <c r="I498" s="565"/>
      <c r="J498" s="565"/>
      <c r="K498" s="565"/>
      <c r="L498" s="565"/>
      <c r="M498" s="565"/>
      <c r="N498" s="529"/>
      <c r="O498" s="529"/>
      <c r="P498" s="529"/>
      <c r="Q498" s="529"/>
      <c r="R498" s="529"/>
      <c r="S498" s="529"/>
      <c r="T498" s="529"/>
      <c r="U498" s="529"/>
      <c r="V498" s="529"/>
      <c r="W498" s="529"/>
      <c r="X498" s="529"/>
      <c r="Y498" s="529"/>
      <c r="Z498" s="529"/>
      <c r="AA498" s="529"/>
      <c r="AB498" s="529"/>
      <c r="AC498" s="529"/>
      <c r="AD498" s="529"/>
      <c r="AE498" s="529"/>
      <c r="AF498" s="529"/>
      <c r="AG498" s="556"/>
      <c r="AH498" s="528"/>
    </row>
    <row r="499">
      <c r="A499" s="564"/>
      <c r="B499" s="565"/>
      <c r="C499" s="565"/>
      <c r="D499" s="565"/>
      <c r="E499" s="565"/>
      <c r="F499" s="565"/>
      <c r="G499" s="565"/>
      <c r="H499" s="565"/>
      <c r="I499" s="565"/>
      <c r="J499" s="565"/>
      <c r="K499" s="565"/>
      <c r="L499" s="565"/>
      <c r="M499" s="565"/>
      <c r="N499" s="529"/>
      <c r="O499" s="529"/>
      <c r="P499" s="529"/>
      <c r="Q499" s="529"/>
      <c r="R499" s="529"/>
      <c r="S499" s="529"/>
      <c r="T499" s="529"/>
      <c r="U499" s="529"/>
      <c r="V499" s="529"/>
      <c r="W499" s="529"/>
      <c r="X499" s="529"/>
      <c r="Y499" s="529"/>
      <c r="Z499" s="529"/>
      <c r="AA499" s="529"/>
      <c r="AB499" s="529"/>
      <c r="AC499" s="529"/>
      <c r="AD499" s="529"/>
      <c r="AE499" s="529"/>
      <c r="AF499" s="529"/>
      <c r="AG499" s="556"/>
      <c r="AH499" s="528"/>
    </row>
    <row r="500">
      <c r="A500" s="564"/>
      <c r="B500" s="565"/>
      <c r="C500" s="565"/>
      <c r="D500" s="565"/>
      <c r="E500" s="565"/>
      <c r="F500" s="565"/>
      <c r="G500" s="565"/>
      <c r="H500" s="565"/>
      <c r="I500" s="565"/>
      <c r="J500" s="565"/>
      <c r="K500" s="565"/>
      <c r="L500" s="565"/>
      <c r="M500" s="565"/>
      <c r="N500" s="529"/>
      <c r="O500" s="529"/>
      <c r="P500" s="529"/>
      <c r="Q500" s="529"/>
      <c r="R500" s="529"/>
      <c r="S500" s="529"/>
      <c r="T500" s="529"/>
      <c r="U500" s="529"/>
      <c r="V500" s="529"/>
      <c r="W500" s="529"/>
      <c r="X500" s="529"/>
      <c r="Y500" s="529"/>
      <c r="Z500" s="529"/>
      <c r="AA500" s="529"/>
      <c r="AB500" s="529"/>
      <c r="AC500" s="529"/>
      <c r="AD500" s="529"/>
      <c r="AE500" s="529"/>
      <c r="AF500" s="529"/>
      <c r="AG500" s="556"/>
      <c r="AH500" s="528"/>
    </row>
    <row r="501">
      <c r="A501" s="564"/>
      <c r="B501" s="565"/>
      <c r="C501" s="565"/>
      <c r="D501" s="565"/>
      <c r="E501" s="565"/>
      <c r="F501" s="565"/>
      <c r="G501" s="565"/>
      <c r="H501" s="565"/>
      <c r="I501" s="565"/>
      <c r="J501" s="565"/>
      <c r="K501" s="565"/>
      <c r="L501" s="565"/>
      <c r="M501" s="565"/>
      <c r="N501" s="529"/>
      <c r="O501" s="529"/>
      <c r="P501" s="529"/>
      <c r="Q501" s="529"/>
      <c r="R501" s="529"/>
      <c r="S501" s="529"/>
      <c r="T501" s="529"/>
      <c r="U501" s="529"/>
      <c r="V501" s="529"/>
      <c r="W501" s="529"/>
      <c r="X501" s="529"/>
      <c r="Y501" s="529"/>
      <c r="Z501" s="529"/>
      <c r="AA501" s="529"/>
      <c r="AB501" s="529"/>
      <c r="AC501" s="529"/>
      <c r="AD501" s="529"/>
      <c r="AE501" s="529"/>
      <c r="AF501" s="529"/>
      <c r="AG501" s="556"/>
      <c r="AH501" s="528"/>
    </row>
    <row r="502">
      <c r="A502" s="564"/>
      <c r="B502" s="565"/>
      <c r="C502" s="565"/>
      <c r="D502" s="565"/>
      <c r="E502" s="565"/>
      <c r="F502" s="565"/>
      <c r="G502" s="565"/>
      <c r="H502" s="565"/>
      <c r="I502" s="565"/>
      <c r="J502" s="565"/>
      <c r="K502" s="565"/>
      <c r="L502" s="565"/>
      <c r="M502" s="565"/>
      <c r="N502" s="529"/>
      <c r="O502" s="529"/>
      <c r="P502" s="529"/>
      <c r="Q502" s="529"/>
      <c r="R502" s="529"/>
      <c r="S502" s="529"/>
      <c r="T502" s="529"/>
      <c r="U502" s="529"/>
      <c r="V502" s="529"/>
      <c r="W502" s="529"/>
      <c r="X502" s="529"/>
      <c r="Y502" s="529"/>
      <c r="Z502" s="529"/>
      <c r="AA502" s="529"/>
      <c r="AB502" s="529"/>
      <c r="AC502" s="529"/>
      <c r="AD502" s="529"/>
      <c r="AE502" s="529"/>
      <c r="AF502" s="529"/>
      <c r="AG502" s="556"/>
      <c r="AH502" s="528"/>
    </row>
    <row r="503">
      <c r="A503" s="564"/>
      <c r="B503" s="565"/>
      <c r="C503" s="565"/>
      <c r="D503" s="565"/>
      <c r="E503" s="565"/>
      <c r="F503" s="565"/>
      <c r="G503" s="565"/>
      <c r="H503" s="565"/>
      <c r="I503" s="565"/>
      <c r="J503" s="565"/>
      <c r="K503" s="565"/>
      <c r="L503" s="565"/>
      <c r="M503" s="565"/>
      <c r="N503" s="529"/>
      <c r="O503" s="529"/>
      <c r="P503" s="529"/>
      <c r="Q503" s="529"/>
      <c r="R503" s="529"/>
      <c r="S503" s="529"/>
      <c r="T503" s="529"/>
      <c r="U503" s="529"/>
      <c r="V503" s="529"/>
      <c r="W503" s="529"/>
      <c r="X503" s="529"/>
      <c r="Y503" s="529"/>
      <c r="Z503" s="529"/>
      <c r="AA503" s="529"/>
      <c r="AB503" s="529"/>
      <c r="AC503" s="529"/>
      <c r="AD503" s="529"/>
      <c r="AE503" s="529"/>
      <c r="AF503" s="529"/>
      <c r="AG503" s="556"/>
      <c r="AH503" s="528"/>
    </row>
    <row r="504">
      <c r="A504" s="564"/>
      <c r="B504" s="565"/>
      <c r="C504" s="565"/>
      <c r="D504" s="565"/>
      <c r="E504" s="565"/>
      <c r="F504" s="565"/>
      <c r="G504" s="565"/>
      <c r="H504" s="565"/>
      <c r="I504" s="565"/>
      <c r="J504" s="565"/>
      <c r="K504" s="565"/>
      <c r="L504" s="565"/>
      <c r="M504" s="565"/>
      <c r="N504" s="529"/>
      <c r="O504" s="529"/>
      <c r="P504" s="529"/>
      <c r="Q504" s="529"/>
      <c r="R504" s="529"/>
      <c r="S504" s="529"/>
      <c r="T504" s="529"/>
      <c r="U504" s="529"/>
      <c r="V504" s="529"/>
      <c r="W504" s="529"/>
      <c r="X504" s="529"/>
      <c r="Y504" s="529"/>
      <c r="Z504" s="529"/>
      <c r="AA504" s="529"/>
      <c r="AB504" s="529"/>
      <c r="AC504" s="529"/>
      <c r="AD504" s="529"/>
      <c r="AE504" s="529"/>
      <c r="AF504" s="529"/>
      <c r="AG504" s="556"/>
      <c r="AH504" s="528"/>
    </row>
    <row r="505">
      <c r="A505" s="564"/>
      <c r="B505" s="565"/>
      <c r="C505" s="565"/>
      <c r="D505" s="565"/>
      <c r="E505" s="565"/>
      <c r="F505" s="565"/>
      <c r="G505" s="565"/>
      <c r="H505" s="565"/>
      <c r="I505" s="565"/>
      <c r="J505" s="565"/>
      <c r="K505" s="565"/>
      <c r="L505" s="565"/>
      <c r="M505" s="565"/>
      <c r="N505" s="529"/>
      <c r="O505" s="529"/>
      <c r="P505" s="529"/>
      <c r="Q505" s="529"/>
      <c r="R505" s="529"/>
      <c r="S505" s="529"/>
      <c r="T505" s="529"/>
      <c r="U505" s="529"/>
      <c r="V505" s="529"/>
      <c r="W505" s="529"/>
      <c r="X505" s="529"/>
      <c r="Y505" s="529"/>
      <c r="Z505" s="529"/>
      <c r="AA505" s="529"/>
      <c r="AB505" s="529"/>
      <c r="AC505" s="529"/>
      <c r="AD505" s="529"/>
      <c r="AE505" s="529"/>
      <c r="AF505" s="529"/>
      <c r="AG505" s="556"/>
      <c r="AH505" s="528"/>
    </row>
    <row r="506">
      <c r="A506" s="564"/>
      <c r="B506" s="565"/>
      <c r="C506" s="565"/>
      <c r="D506" s="565"/>
      <c r="E506" s="565"/>
      <c r="F506" s="565"/>
      <c r="G506" s="565"/>
      <c r="H506" s="565"/>
      <c r="I506" s="565"/>
      <c r="J506" s="565"/>
      <c r="K506" s="565"/>
      <c r="L506" s="565"/>
      <c r="M506" s="565"/>
      <c r="N506" s="529"/>
      <c r="O506" s="529"/>
      <c r="P506" s="529"/>
      <c r="Q506" s="529"/>
      <c r="R506" s="529"/>
      <c r="S506" s="529"/>
      <c r="T506" s="529"/>
      <c r="U506" s="529"/>
      <c r="V506" s="529"/>
      <c r="W506" s="529"/>
      <c r="X506" s="529"/>
      <c r="Y506" s="529"/>
      <c r="Z506" s="529"/>
      <c r="AA506" s="529"/>
      <c r="AB506" s="529"/>
      <c r="AC506" s="529"/>
      <c r="AD506" s="529"/>
      <c r="AE506" s="529"/>
      <c r="AF506" s="529"/>
      <c r="AG506" s="556"/>
      <c r="AH506" s="528"/>
    </row>
    <row r="507">
      <c r="A507" s="564"/>
      <c r="B507" s="565"/>
      <c r="C507" s="565"/>
      <c r="D507" s="565"/>
      <c r="E507" s="565"/>
      <c r="F507" s="565"/>
      <c r="G507" s="565"/>
      <c r="H507" s="565"/>
      <c r="I507" s="565"/>
      <c r="J507" s="565"/>
      <c r="K507" s="565"/>
      <c r="L507" s="565"/>
      <c r="M507" s="565"/>
      <c r="N507" s="529"/>
      <c r="O507" s="529"/>
      <c r="P507" s="529"/>
      <c r="Q507" s="529"/>
      <c r="R507" s="529"/>
      <c r="S507" s="529"/>
      <c r="T507" s="529"/>
      <c r="U507" s="529"/>
      <c r="V507" s="529"/>
      <c r="W507" s="529"/>
      <c r="X507" s="529"/>
      <c r="Y507" s="529"/>
      <c r="Z507" s="529"/>
      <c r="AA507" s="529"/>
      <c r="AB507" s="529"/>
      <c r="AC507" s="529"/>
      <c r="AD507" s="529"/>
      <c r="AE507" s="529"/>
      <c r="AF507" s="529"/>
      <c r="AG507" s="556"/>
      <c r="AH507" s="528"/>
    </row>
    <row r="508">
      <c r="A508" s="564"/>
      <c r="B508" s="565"/>
      <c r="C508" s="565"/>
      <c r="D508" s="565"/>
      <c r="E508" s="565"/>
      <c r="F508" s="565"/>
      <c r="G508" s="565"/>
      <c r="H508" s="565"/>
      <c r="I508" s="565"/>
      <c r="J508" s="565"/>
      <c r="K508" s="565"/>
      <c r="L508" s="565"/>
      <c r="M508" s="565"/>
      <c r="N508" s="529"/>
      <c r="O508" s="529"/>
      <c r="P508" s="529"/>
      <c r="Q508" s="529"/>
      <c r="R508" s="529"/>
      <c r="S508" s="529"/>
      <c r="T508" s="529"/>
      <c r="U508" s="529"/>
      <c r="V508" s="529"/>
      <c r="W508" s="529"/>
      <c r="X508" s="529"/>
      <c r="Y508" s="529"/>
      <c r="Z508" s="529"/>
      <c r="AA508" s="529"/>
      <c r="AB508" s="529"/>
      <c r="AC508" s="529"/>
      <c r="AD508" s="529"/>
      <c r="AE508" s="529"/>
      <c r="AF508" s="529"/>
      <c r="AG508" s="556"/>
      <c r="AH508" s="528"/>
    </row>
    <row r="509">
      <c r="A509" s="564"/>
      <c r="B509" s="565"/>
      <c r="C509" s="565"/>
      <c r="D509" s="565"/>
      <c r="E509" s="565"/>
      <c r="F509" s="565"/>
      <c r="G509" s="565"/>
      <c r="H509" s="565"/>
      <c r="I509" s="565"/>
      <c r="J509" s="565"/>
      <c r="K509" s="565"/>
      <c r="L509" s="565"/>
      <c r="M509" s="565"/>
      <c r="N509" s="529"/>
      <c r="O509" s="529"/>
      <c r="P509" s="529"/>
      <c r="Q509" s="529"/>
      <c r="R509" s="529"/>
      <c r="S509" s="529"/>
      <c r="T509" s="529"/>
      <c r="U509" s="529"/>
      <c r="V509" s="529"/>
      <c r="W509" s="529"/>
      <c r="X509" s="529"/>
      <c r="Y509" s="529"/>
      <c r="Z509" s="529"/>
      <c r="AA509" s="529"/>
      <c r="AB509" s="529"/>
      <c r="AC509" s="529"/>
      <c r="AD509" s="529"/>
      <c r="AE509" s="529"/>
      <c r="AF509" s="529"/>
      <c r="AG509" s="556"/>
      <c r="AH509" s="528"/>
    </row>
    <row r="510">
      <c r="A510" s="564"/>
      <c r="B510" s="565"/>
      <c r="C510" s="565"/>
      <c r="D510" s="565"/>
      <c r="E510" s="565"/>
      <c r="F510" s="565"/>
      <c r="G510" s="565"/>
      <c r="H510" s="565"/>
      <c r="I510" s="565"/>
      <c r="J510" s="565"/>
      <c r="K510" s="565"/>
      <c r="L510" s="565"/>
      <c r="M510" s="565"/>
      <c r="N510" s="529"/>
      <c r="O510" s="529"/>
      <c r="P510" s="529"/>
      <c r="Q510" s="529"/>
      <c r="R510" s="529"/>
      <c r="S510" s="529"/>
      <c r="T510" s="529"/>
      <c r="U510" s="529"/>
      <c r="V510" s="529"/>
      <c r="W510" s="529"/>
      <c r="X510" s="529"/>
      <c r="Y510" s="529"/>
      <c r="Z510" s="529"/>
      <c r="AA510" s="529"/>
      <c r="AB510" s="529"/>
      <c r="AC510" s="529"/>
      <c r="AD510" s="529"/>
      <c r="AE510" s="529"/>
      <c r="AF510" s="529"/>
      <c r="AG510" s="556"/>
      <c r="AH510" s="528"/>
    </row>
    <row r="511">
      <c r="A511" s="564"/>
      <c r="B511" s="565"/>
      <c r="C511" s="565"/>
      <c r="D511" s="565"/>
      <c r="E511" s="565"/>
      <c r="F511" s="565"/>
      <c r="G511" s="565"/>
      <c r="H511" s="565"/>
      <c r="I511" s="565"/>
      <c r="J511" s="565"/>
      <c r="K511" s="565"/>
      <c r="L511" s="565"/>
      <c r="M511" s="565"/>
      <c r="N511" s="529"/>
      <c r="O511" s="529"/>
      <c r="P511" s="529"/>
      <c r="Q511" s="529"/>
      <c r="R511" s="529"/>
      <c r="S511" s="529"/>
      <c r="T511" s="529"/>
      <c r="U511" s="529"/>
      <c r="V511" s="529"/>
      <c r="W511" s="529"/>
      <c r="X511" s="529"/>
      <c r="Y511" s="529"/>
      <c r="Z511" s="529"/>
      <c r="AA511" s="529"/>
      <c r="AB511" s="529"/>
      <c r="AC511" s="529"/>
      <c r="AD511" s="529"/>
      <c r="AE511" s="529"/>
      <c r="AF511" s="529"/>
      <c r="AG511" s="556"/>
      <c r="AH511" s="528"/>
    </row>
    <row r="512">
      <c r="A512" s="564"/>
      <c r="B512" s="565"/>
      <c r="C512" s="565"/>
      <c r="D512" s="565"/>
      <c r="E512" s="565"/>
      <c r="F512" s="565"/>
      <c r="G512" s="565"/>
      <c r="H512" s="565"/>
      <c r="I512" s="565"/>
      <c r="J512" s="565"/>
      <c r="K512" s="565"/>
      <c r="L512" s="565"/>
      <c r="M512" s="565"/>
      <c r="N512" s="529"/>
      <c r="O512" s="529"/>
      <c r="P512" s="529"/>
      <c r="Q512" s="529"/>
      <c r="R512" s="529"/>
      <c r="S512" s="529"/>
      <c r="T512" s="529"/>
      <c r="U512" s="529"/>
      <c r="V512" s="529"/>
      <c r="W512" s="529"/>
      <c r="X512" s="529"/>
      <c r="Y512" s="529"/>
      <c r="Z512" s="529"/>
      <c r="AA512" s="529"/>
      <c r="AB512" s="529"/>
      <c r="AC512" s="529"/>
      <c r="AD512" s="529"/>
      <c r="AE512" s="529"/>
      <c r="AF512" s="529"/>
      <c r="AG512" s="556"/>
      <c r="AH512" s="528"/>
    </row>
    <row r="513">
      <c r="A513" s="564"/>
      <c r="B513" s="565"/>
      <c r="C513" s="565"/>
      <c r="D513" s="565"/>
      <c r="E513" s="565"/>
      <c r="F513" s="565"/>
      <c r="G513" s="565"/>
      <c r="H513" s="565"/>
      <c r="I513" s="565"/>
      <c r="J513" s="565"/>
      <c r="K513" s="565"/>
      <c r="L513" s="565"/>
      <c r="M513" s="565"/>
      <c r="N513" s="529"/>
      <c r="O513" s="529"/>
      <c r="P513" s="529"/>
      <c r="Q513" s="529"/>
      <c r="R513" s="529"/>
      <c r="S513" s="529"/>
      <c r="T513" s="529"/>
      <c r="U513" s="529"/>
      <c r="V513" s="529"/>
      <c r="W513" s="529"/>
      <c r="X513" s="529"/>
      <c r="Y513" s="529"/>
      <c r="Z513" s="529"/>
      <c r="AA513" s="529"/>
      <c r="AB513" s="529"/>
      <c r="AC513" s="529"/>
      <c r="AD513" s="529"/>
      <c r="AE513" s="529"/>
      <c r="AF513" s="529"/>
      <c r="AG513" s="556"/>
      <c r="AH513" s="528"/>
    </row>
    <row r="514">
      <c r="A514" s="564"/>
      <c r="B514" s="565"/>
      <c r="C514" s="565"/>
      <c r="D514" s="565"/>
      <c r="E514" s="565"/>
      <c r="F514" s="565"/>
      <c r="G514" s="565"/>
      <c r="H514" s="565"/>
      <c r="I514" s="565"/>
      <c r="J514" s="565"/>
      <c r="K514" s="565"/>
      <c r="L514" s="565"/>
      <c r="M514" s="565"/>
      <c r="N514" s="529"/>
      <c r="O514" s="529"/>
      <c r="P514" s="529"/>
      <c r="Q514" s="529"/>
      <c r="R514" s="529"/>
      <c r="S514" s="529"/>
      <c r="T514" s="529"/>
      <c r="U514" s="529"/>
      <c r="V514" s="529"/>
      <c r="W514" s="529"/>
      <c r="X514" s="529"/>
      <c r="Y514" s="529"/>
      <c r="Z514" s="529"/>
      <c r="AA514" s="529"/>
      <c r="AB514" s="529"/>
      <c r="AC514" s="529"/>
      <c r="AD514" s="529"/>
      <c r="AE514" s="529"/>
      <c r="AF514" s="529"/>
      <c r="AG514" s="556"/>
      <c r="AH514" s="528"/>
    </row>
    <row r="515">
      <c r="A515" s="564"/>
      <c r="B515" s="565"/>
      <c r="C515" s="565"/>
      <c r="D515" s="565"/>
      <c r="E515" s="565"/>
      <c r="F515" s="565"/>
      <c r="G515" s="565"/>
      <c r="H515" s="565"/>
      <c r="I515" s="565"/>
      <c r="J515" s="565"/>
      <c r="K515" s="565"/>
      <c r="L515" s="565"/>
      <c r="M515" s="565"/>
      <c r="N515" s="529"/>
      <c r="O515" s="529"/>
      <c r="P515" s="529"/>
      <c r="Q515" s="529"/>
      <c r="R515" s="529"/>
      <c r="S515" s="529"/>
      <c r="T515" s="529"/>
      <c r="U515" s="529"/>
      <c r="V515" s="529"/>
      <c r="W515" s="529"/>
      <c r="X515" s="529"/>
      <c r="Y515" s="529"/>
      <c r="Z515" s="529"/>
      <c r="AA515" s="529"/>
      <c r="AB515" s="529"/>
      <c r="AC515" s="529"/>
      <c r="AD515" s="529"/>
      <c r="AE515" s="529"/>
      <c r="AF515" s="529"/>
      <c r="AG515" s="556"/>
      <c r="AH515" s="528"/>
    </row>
    <row r="516">
      <c r="A516" s="564"/>
      <c r="B516" s="565"/>
      <c r="C516" s="565"/>
      <c r="D516" s="565"/>
      <c r="E516" s="565"/>
      <c r="F516" s="565"/>
      <c r="G516" s="565"/>
      <c r="H516" s="565"/>
      <c r="I516" s="565"/>
      <c r="J516" s="565"/>
      <c r="K516" s="565"/>
      <c r="L516" s="565"/>
      <c r="M516" s="565"/>
      <c r="N516" s="529"/>
      <c r="O516" s="529"/>
      <c r="P516" s="529"/>
      <c r="Q516" s="529"/>
      <c r="R516" s="529"/>
      <c r="S516" s="529"/>
      <c r="T516" s="529"/>
      <c r="U516" s="529"/>
      <c r="V516" s="529"/>
      <c r="W516" s="529"/>
      <c r="X516" s="529"/>
      <c r="Y516" s="529"/>
      <c r="Z516" s="529"/>
      <c r="AA516" s="529"/>
      <c r="AB516" s="529"/>
      <c r="AC516" s="529"/>
      <c r="AD516" s="529"/>
      <c r="AE516" s="529"/>
      <c r="AF516" s="529"/>
      <c r="AG516" s="556"/>
      <c r="AH516" s="528"/>
    </row>
    <row r="517">
      <c r="A517" s="564"/>
      <c r="B517" s="565"/>
      <c r="C517" s="565"/>
      <c r="D517" s="565"/>
      <c r="E517" s="565"/>
      <c r="F517" s="565"/>
      <c r="G517" s="565"/>
      <c r="H517" s="565"/>
      <c r="I517" s="565"/>
      <c r="J517" s="565"/>
      <c r="K517" s="565"/>
      <c r="L517" s="565"/>
      <c r="M517" s="565"/>
      <c r="N517" s="529"/>
      <c r="O517" s="529"/>
      <c r="P517" s="529"/>
      <c r="Q517" s="529"/>
      <c r="R517" s="529"/>
      <c r="S517" s="529"/>
      <c r="T517" s="529"/>
      <c r="U517" s="529"/>
      <c r="V517" s="529"/>
      <c r="W517" s="529"/>
      <c r="X517" s="529"/>
      <c r="Y517" s="529"/>
      <c r="Z517" s="529"/>
      <c r="AA517" s="529"/>
      <c r="AB517" s="529"/>
      <c r="AC517" s="529"/>
      <c r="AD517" s="529"/>
      <c r="AE517" s="529"/>
      <c r="AF517" s="529"/>
      <c r="AG517" s="556"/>
      <c r="AH517" s="528"/>
    </row>
    <row r="518">
      <c r="A518" s="564"/>
      <c r="B518" s="565"/>
      <c r="C518" s="565"/>
      <c r="D518" s="565"/>
      <c r="E518" s="565"/>
      <c r="F518" s="565"/>
      <c r="G518" s="565"/>
      <c r="H518" s="565"/>
      <c r="I518" s="565"/>
      <c r="J518" s="565"/>
      <c r="K518" s="565"/>
      <c r="L518" s="565"/>
      <c r="M518" s="565"/>
      <c r="N518" s="529"/>
      <c r="O518" s="529"/>
      <c r="P518" s="529"/>
      <c r="Q518" s="529"/>
      <c r="R518" s="529"/>
      <c r="S518" s="529"/>
      <c r="T518" s="529"/>
      <c r="U518" s="529"/>
      <c r="V518" s="529"/>
      <c r="W518" s="529"/>
      <c r="X518" s="529"/>
      <c r="Y518" s="529"/>
      <c r="Z518" s="529"/>
      <c r="AA518" s="529"/>
      <c r="AB518" s="529"/>
      <c r="AC518" s="529"/>
      <c r="AD518" s="529"/>
      <c r="AE518" s="529"/>
      <c r="AF518" s="529"/>
      <c r="AG518" s="556"/>
      <c r="AH518" s="528"/>
    </row>
    <row r="519">
      <c r="A519" s="564"/>
      <c r="B519" s="565"/>
      <c r="C519" s="565"/>
      <c r="D519" s="565"/>
      <c r="E519" s="565"/>
      <c r="F519" s="565"/>
      <c r="G519" s="565"/>
      <c r="H519" s="565"/>
      <c r="I519" s="565"/>
      <c r="J519" s="565"/>
      <c r="K519" s="565"/>
      <c r="L519" s="565"/>
      <c r="M519" s="565"/>
      <c r="N519" s="529"/>
      <c r="O519" s="529"/>
      <c r="P519" s="529"/>
      <c r="Q519" s="529"/>
      <c r="R519" s="529"/>
      <c r="S519" s="529"/>
      <c r="T519" s="529"/>
      <c r="U519" s="529"/>
      <c r="V519" s="529"/>
      <c r="W519" s="529"/>
      <c r="X519" s="529"/>
      <c r="Y519" s="529"/>
      <c r="Z519" s="529"/>
      <c r="AA519" s="529"/>
      <c r="AB519" s="529"/>
      <c r="AC519" s="529"/>
      <c r="AD519" s="529"/>
      <c r="AE519" s="529"/>
      <c r="AF519" s="529"/>
      <c r="AG519" s="556"/>
      <c r="AH519" s="528"/>
    </row>
    <row r="520">
      <c r="A520" s="564"/>
      <c r="B520" s="565"/>
      <c r="C520" s="565"/>
      <c r="D520" s="565"/>
      <c r="E520" s="565"/>
      <c r="F520" s="565"/>
      <c r="G520" s="565"/>
      <c r="H520" s="565"/>
      <c r="I520" s="565"/>
      <c r="J520" s="565"/>
      <c r="K520" s="565"/>
      <c r="L520" s="565"/>
      <c r="M520" s="565"/>
      <c r="N520" s="529"/>
      <c r="O520" s="529"/>
      <c r="P520" s="529"/>
      <c r="Q520" s="529"/>
      <c r="R520" s="529"/>
      <c r="S520" s="529"/>
      <c r="T520" s="529"/>
      <c r="U520" s="529"/>
      <c r="V520" s="529"/>
      <c r="W520" s="529"/>
      <c r="X520" s="529"/>
      <c r="Y520" s="529"/>
      <c r="Z520" s="529"/>
      <c r="AA520" s="529"/>
      <c r="AB520" s="529"/>
      <c r="AC520" s="529"/>
      <c r="AD520" s="529"/>
      <c r="AE520" s="529"/>
      <c r="AF520" s="529"/>
      <c r="AG520" s="556"/>
      <c r="AH520" s="528"/>
    </row>
    <row r="521">
      <c r="A521" s="564"/>
      <c r="B521" s="565"/>
      <c r="C521" s="565"/>
      <c r="D521" s="565"/>
      <c r="E521" s="565"/>
      <c r="F521" s="565"/>
      <c r="G521" s="565"/>
      <c r="H521" s="565"/>
      <c r="I521" s="565"/>
      <c r="J521" s="565"/>
      <c r="K521" s="565"/>
      <c r="L521" s="565"/>
      <c r="M521" s="565"/>
      <c r="N521" s="529"/>
      <c r="O521" s="529"/>
      <c r="P521" s="529"/>
      <c r="Q521" s="529"/>
      <c r="R521" s="529"/>
      <c r="S521" s="529"/>
      <c r="T521" s="529"/>
      <c r="U521" s="529"/>
      <c r="V521" s="529"/>
      <c r="W521" s="529"/>
      <c r="X521" s="529"/>
      <c r="Y521" s="529"/>
      <c r="Z521" s="529"/>
      <c r="AA521" s="529"/>
      <c r="AB521" s="529"/>
      <c r="AC521" s="529"/>
      <c r="AD521" s="529"/>
      <c r="AE521" s="529"/>
      <c r="AF521" s="529"/>
      <c r="AG521" s="556"/>
      <c r="AH521" s="528"/>
    </row>
    <row r="522">
      <c r="A522" s="564"/>
      <c r="B522" s="565"/>
      <c r="C522" s="565"/>
      <c r="D522" s="565"/>
      <c r="E522" s="565"/>
      <c r="F522" s="565"/>
      <c r="G522" s="565"/>
      <c r="H522" s="565"/>
      <c r="I522" s="565"/>
      <c r="J522" s="565"/>
      <c r="K522" s="565"/>
      <c r="L522" s="565"/>
      <c r="M522" s="565"/>
      <c r="N522" s="529"/>
      <c r="O522" s="529"/>
      <c r="P522" s="529"/>
      <c r="Q522" s="529"/>
      <c r="R522" s="529"/>
      <c r="S522" s="529"/>
      <c r="T522" s="529"/>
      <c r="U522" s="529"/>
      <c r="V522" s="529"/>
      <c r="W522" s="529"/>
      <c r="X522" s="529"/>
      <c r="Y522" s="529"/>
      <c r="Z522" s="529"/>
      <c r="AA522" s="529"/>
      <c r="AB522" s="529"/>
      <c r="AC522" s="529"/>
      <c r="AD522" s="529"/>
      <c r="AE522" s="529"/>
      <c r="AF522" s="529"/>
      <c r="AG522" s="556"/>
      <c r="AH522" s="528"/>
    </row>
    <row r="523">
      <c r="A523" s="564"/>
      <c r="B523" s="565"/>
      <c r="C523" s="565"/>
      <c r="D523" s="565"/>
      <c r="E523" s="565"/>
      <c r="F523" s="565"/>
      <c r="G523" s="565"/>
      <c r="H523" s="565"/>
      <c r="I523" s="565"/>
      <c r="J523" s="565"/>
      <c r="K523" s="565"/>
      <c r="L523" s="565"/>
      <c r="M523" s="565"/>
      <c r="N523" s="529"/>
      <c r="O523" s="529"/>
      <c r="P523" s="529"/>
      <c r="Q523" s="529"/>
      <c r="R523" s="529"/>
      <c r="S523" s="529"/>
      <c r="T523" s="529"/>
      <c r="U523" s="529"/>
      <c r="V523" s="529"/>
      <c r="W523" s="529"/>
      <c r="X523" s="529"/>
      <c r="Y523" s="529"/>
      <c r="Z523" s="529"/>
      <c r="AA523" s="529"/>
      <c r="AB523" s="529"/>
      <c r="AC523" s="529"/>
      <c r="AD523" s="529"/>
      <c r="AE523" s="529"/>
      <c r="AF523" s="529"/>
      <c r="AG523" s="556"/>
      <c r="AH523" s="528"/>
    </row>
    <row r="524">
      <c r="A524" s="564"/>
      <c r="B524" s="565"/>
      <c r="C524" s="565"/>
      <c r="D524" s="565"/>
      <c r="E524" s="565"/>
      <c r="F524" s="565"/>
      <c r="G524" s="565"/>
      <c r="H524" s="565"/>
      <c r="I524" s="565"/>
      <c r="J524" s="565"/>
      <c r="K524" s="565"/>
      <c r="L524" s="565"/>
      <c r="M524" s="565"/>
      <c r="N524" s="529"/>
      <c r="O524" s="529"/>
      <c r="P524" s="529"/>
      <c r="Q524" s="529"/>
      <c r="R524" s="529"/>
      <c r="S524" s="529"/>
      <c r="T524" s="529"/>
      <c r="U524" s="529"/>
      <c r="V524" s="529"/>
      <c r="W524" s="529"/>
      <c r="X524" s="529"/>
      <c r="Y524" s="529"/>
      <c r="Z524" s="529"/>
      <c r="AA524" s="529"/>
      <c r="AB524" s="529"/>
      <c r="AC524" s="529"/>
      <c r="AD524" s="529"/>
      <c r="AE524" s="529"/>
      <c r="AF524" s="529"/>
      <c r="AG524" s="556"/>
      <c r="AH524" s="528"/>
    </row>
    <row r="525">
      <c r="A525" s="564"/>
      <c r="B525" s="565"/>
      <c r="C525" s="565"/>
      <c r="D525" s="565"/>
      <c r="E525" s="565"/>
      <c r="F525" s="565"/>
      <c r="G525" s="565"/>
      <c r="H525" s="565"/>
      <c r="I525" s="565"/>
      <c r="J525" s="565"/>
      <c r="K525" s="565"/>
      <c r="L525" s="565"/>
      <c r="M525" s="565"/>
      <c r="N525" s="529"/>
      <c r="O525" s="529"/>
      <c r="P525" s="529"/>
      <c r="Q525" s="529"/>
      <c r="R525" s="529"/>
      <c r="S525" s="529"/>
      <c r="T525" s="529"/>
      <c r="U525" s="529"/>
      <c r="V525" s="529"/>
      <c r="W525" s="529"/>
      <c r="X525" s="529"/>
      <c r="Y525" s="529"/>
      <c r="Z525" s="529"/>
      <c r="AA525" s="529"/>
      <c r="AB525" s="529"/>
      <c r="AC525" s="529"/>
      <c r="AD525" s="529"/>
      <c r="AE525" s="529"/>
      <c r="AF525" s="529"/>
      <c r="AG525" s="556"/>
      <c r="AH525" s="528"/>
    </row>
    <row r="526">
      <c r="A526" s="564"/>
      <c r="B526" s="565"/>
      <c r="C526" s="565"/>
      <c r="D526" s="565"/>
      <c r="E526" s="565"/>
      <c r="F526" s="565"/>
      <c r="G526" s="565"/>
      <c r="H526" s="565"/>
      <c r="I526" s="565"/>
      <c r="J526" s="565"/>
      <c r="K526" s="565"/>
      <c r="L526" s="565"/>
      <c r="M526" s="565"/>
      <c r="N526" s="529"/>
      <c r="O526" s="529"/>
      <c r="P526" s="529"/>
      <c r="Q526" s="529"/>
      <c r="R526" s="529"/>
      <c r="S526" s="529"/>
      <c r="T526" s="529"/>
      <c r="U526" s="529"/>
      <c r="V526" s="529"/>
      <c r="W526" s="529"/>
      <c r="X526" s="529"/>
      <c r="Y526" s="529"/>
      <c r="Z526" s="529"/>
      <c r="AA526" s="529"/>
      <c r="AB526" s="529"/>
      <c r="AC526" s="529"/>
      <c r="AD526" s="529"/>
      <c r="AE526" s="529"/>
      <c r="AF526" s="529"/>
      <c r="AG526" s="556"/>
      <c r="AH526" s="528"/>
    </row>
    <row r="527">
      <c r="A527" s="564"/>
      <c r="B527" s="565"/>
      <c r="C527" s="565"/>
      <c r="D527" s="565"/>
      <c r="E527" s="565"/>
      <c r="F527" s="565"/>
      <c r="G527" s="565"/>
      <c r="H527" s="565"/>
      <c r="I527" s="565"/>
      <c r="J527" s="565"/>
      <c r="K527" s="565"/>
      <c r="L527" s="565"/>
      <c r="M527" s="565"/>
      <c r="N527" s="529"/>
      <c r="O527" s="529"/>
      <c r="P527" s="529"/>
      <c r="Q527" s="529"/>
      <c r="R527" s="529"/>
      <c r="S527" s="529"/>
      <c r="T527" s="529"/>
      <c r="U527" s="529"/>
      <c r="V527" s="529"/>
      <c r="W527" s="529"/>
      <c r="X527" s="529"/>
      <c r="Y527" s="529"/>
      <c r="Z527" s="529"/>
      <c r="AA527" s="529"/>
      <c r="AB527" s="529"/>
      <c r="AC527" s="529"/>
      <c r="AD527" s="529"/>
      <c r="AE527" s="529"/>
      <c r="AF527" s="529"/>
      <c r="AG527" s="556"/>
      <c r="AH527" s="528"/>
    </row>
    <row r="528">
      <c r="A528" s="564"/>
      <c r="B528" s="565"/>
      <c r="C528" s="565"/>
      <c r="D528" s="565"/>
      <c r="E528" s="565"/>
      <c r="F528" s="565"/>
      <c r="G528" s="565"/>
      <c r="H528" s="565"/>
      <c r="I528" s="565"/>
      <c r="J528" s="565"/>
      <c r="K528" s="565"/>
      <c r="L528" s="565"/>
      <c r="M528" s="565"/>
      <c r="N528" s="529"/>
      <c r="O528" s="529"/>
      <c r="P528" s="529"/>
      <c r="Q528" s="529"/>
      <c r="R528" s="529"/>
      <c r="S528" s="529"/>
      <c r="T528" s="529"/>
      <c r="U528" s="529"/>
      <c r="V528" s="529"/>
      <c r="W528" s="529"/>
      <c r="X528" s="529"/>
      <c r="Y528" s="529"/>
      <c r="Z528" s="529"/>
      <c r="AA528" s="529"/>
      <c r="AB528" s="529"/>
      <c r="AC528" s="529"/>
      <c r="AD528" s="529"/>
      <c r="AE528" s="529"/>
      <c r="AF528" s="529"/>
      <c r="AG528" s="556"/>
      <c r="AH528" s="528"/>
    </row>
    <row r="529">
      <c r="A529" s="564"/>
      <c r="B529" s="565"/>
      <c r="C529" s="565"/>
      <c r="D529" s="565"/>
      <c r="E529" s="565"/>
      <c r="F529" s="565"/>
      <c r="G529" s="565"/>
      <c r="H529" s="565"/>
      <c r="I529" s="565"/>
      <c r="J529" s="565"/>
      <c r="K529" s="565"/>
      <c r="L529" s="565"/>
      <c r="M529" s="565"/>
      <c r="N529" s="529"/>
      <c r="O529" s="529"/>
      <c r="P529" s="529"/>
      <c r="Q529" s="529"/>
      <c r="R529" s="529"/>
      <c r="S529" s="529"/>
      <c r="T529" s="529"/>
      <c r="U529" s="529"/>
      <c r="V529" s="529"/>
      <c r="W529" s="529"/>
      <c r="X529" s="529"/>
      <c r="Y529" s="529"/>
      <c r="Z529" s="529"/>
      <c r="AA529" s="529"/>
      <c r="AB529" s="529"/>
      <c r="AC529" s="529"/>
      <c r="AD529" s="529"/>
      <c r="AE529" s="529"/>
      <c r="AF529" s="529"/>
      <c r="AG529" s="556"/>
      <c r="AH529" s="528"/>
    </row>
    <row r="530">
      <c r="A530" s="564"/>
      <c r="B530" s="565"/>
      <c r="C530" s="565"/>
      <c r="D530" s="565"/>
      <c r="E530" s="565"/>
      <c r="F530" s="565"/>
      <c r="G530" s="565"/>
      <c r="H530" s="565"/>
      <c r="I530" s="565"/>
      <c r="J530" s="565"/>
      <c r="K530" s="565"/>
      <c r="L530" s="565"/>
      <c r="M530" s="565"/>
      <c r="N530" s="529"/>
      <c r="O530" s="529"/>
      <c r="P530" s="529"/>
      <c r="Q530" s="529"/>
      <c r="R530" s="529"/>
      <c r="S530" s="529"/>
      <c r="T530" s="529"/>
      <c r="U530" s="529"/>
      <c r="V530" s="529"/>
      <c r="W530" s="529"/>
      <c r="X530" s="529"/>
      <c r="Y530" s="529"/>
      <c r="Z530" s="529"/>
      <c r="AA530" s="529"/>
      <c r="AB530" s="529"/>
      <c r="AC530" s="529"/>
      <c r="AD530" s="529"/>
      <c r="AE530" s="529"/>
      <c r="AF530" s="529"/>
      <c r="AG530" s="556"/>
      <c r="AH530" s="528"/>
    </row>
    <row r="531">
      <c r="A531" s="564"/>
      <c r="B531" s="565"/>
      <c r="C531" s="565"/>
      <c r="D531" s="565"/>
      <c r="E531" s="565"/>
      <c r="F531" s="565"/>
      <c r="G531" s="565"/>
      <c r="H531" s="565"/>
      <c r="I531" s="565"/>
      <c r="J531" s="565"/>
      <c r="K531" s="565"/>
      <c r="L531" s="565"/>
      <c r="M531" s="565"/>
      <c r="N531" s="529"/>
      <c r="O531" s="529"/>
      <c r="P531" s="529"/>
      <c r="Q531" s="529"/>
      <c r="R531" s="529"/>
      <c r="S531" s="529"/>
      <c r="T531" s="529"/>
      <c r="U531" s="529"/>
      <c r="V531" s="529"/>
      <c r="W531" s="529"/>
      <c r="X531" s="529"/>
      <c r="Y531" s="529"/>
      <c r="Z531" s="529"/>
      <c r="AA531" s="529"/>
      <c r="AB531" s="529"/>
      <c r="AC531" s="529"/>
      <c r="AD531" s="529"/>
      <c r="AE531" s="529"/>
      <c r="AF531" s="529"/>
      <c r="AG531" s="556"/>
      <c r="AH531" s="528"/>
    </row>
    <row r="532">
      <c r="A532" s="564"/>
      <c r="B532" s="565"/>
      <c r="C532" s="565"/>
      <c r="D532" s="565"/>
      <c r="E532" s="565"/>
      <c r="F532" s="565"/>
      <c r="G532" s="565"/>
      <c r="H532" s="565"/>
      <c r="I532" s="565"/>
      <c r="J532" s="565"/>
      <c r="K532" s="565"/>
      <c r="L532" s="565"/>
      <c r="M532" s="565"/>
      <c r="N532" s="529"/>
      <c r="O532" s="529"/>
      <c r="P532" s="529"/>
      <c r="Q532" s="529"/>
      <c r="R532" s="529"/>
      <c r="S532" s="529"/>
      <c r="T532" s="529"/>
      <c r="U532" s="529"/>
      <c r="V532" s="529"/>
      <c r="W532" s="529"/>
      <c r="X532" s="529"/>
      <c r="Y532" s="529"/>
      <c r="Z532" s="529"/>
      <c r="AA532" s="529"/>
      <c r="AB532" s="529"/>
      <c r="AC532" s="529"/>
      <c r="AD532" s="529"/>
      <c r="AE532" s="529"/>
      <c r="AF532" s="529"/>
      <c r="AG532" s="556"/>
      <c r="AH532" s="528"/>
    </row>
    <row r="533">
      <c r="A533" s="564"/>
      <c r="B533" s="565"/>
      <c r="C533" s="565"/>
      <c r="D533" s="565"/>
      <c r="E533" s="565"/>
      <c r="F533" s="565"/>
      <c r="G533" s="565"/>
      <c r="H533" s="565"/>
      <c r="I533" s="565"/>
      <c r="J533" s="565"/>
      <c r="K533" s="565"/>
      <c r="L533" s="565"/>
      <c r="M533" s="565"/>
      <c r="N533" s="529"/>
      <c r="O533" s="529"/>
      <c r="P533" s="529"/>
      <c r="Q533" s="529"/>
      <c r="R533" s="529"/>
      <c r="S533" s="529"/>
      <c r="T533" s="529"/>
      <c r="U533" s="529"/>
      <c r="V533" s="529"/>
      <c r="W533" s="529"/>
      <c r="X533" s="529"/>
      <c r="Y533" s="529"/>
      <c r="Z533" s="529"/>
      <c r="AA533" s="529"/>
      <c r="AB533" s="529"/>
      <c r="AC533" s="529"/>
      <c r="AD533" s="529"/>
      <c r="AE533" s="529"/>
      <c r="AF533" s="529"/>
      <c r="AG533" s="556"/>
      <c r="AH533" s="528"/>
    </row>
    <row r="534">
      <c r="A534" s="564"/>
      <c r="B534" s="565"/>
      <c r="C534" s="565"/>
      <c r="D534" s="565"/>
      <c r="E534" s="565"/>
      <c r="F534" s="565"/>
      <c r="G534" s="565"/>
      <c r="H534" s="565"/>
      <c r="I534" s="565"/>
      <c r="J534" s="565"/>
      <c r="K534" s="565"/>
      <c r="L534" s="565"/>
      <c r="M534" s="565"/>
      <c r="N534" s="529"/>
      <c r="O534" s="529"/>
      <c r="P534" s="529"/>
      <c r="Q534" s="529"/>
      <c r="R534" s="529"/>
      <c r="S534" s="529"/>
      <c r="T534" s="529"/>
      <c r="U534" s="529"/>
      <c r="V534" s="529"/>
      <c r="W534" s="529"/>
      <c r="X534" s="529"/>
      <c r="Y534" s="529"/>
      <c r="Z534" s="529"/>
      <c r="AA534" s="529"/>
      <c r="AB534" s="529"/>
      <c r="AC534" s="529"/>
      <c r="AD534" s="529"/>
      <c r="AE534" s="529"/>
      <c r="AF534" s="529"/>
      <c r="AG534" s="556"/>
      <c r="AH534" s="528"/>
    </row>
    <row r="535">
      <c r="A535" s="564"/>
      <c r="B535" s="565"/>
      <c r="C535" s="565"/>
      <c r="D535" s="565"/>
      <c r="E535" s="565"/>
      <c r="F535" s="565"/>
      <c r="G535" s="565"/>
      <c r="H535" s="565"/>
      <c r="I535" s="565"/>
      <c r="J535" s="565"/>
      <c r="K535" s="565"/>
      <c r="L535" s="565"/>
      <c r="M535" s="565"/>
      <c r="N535" s="529"/>
      <c r="O535" s="529"/>
      <c r="P535" s="529"/>
      <c r="Q535" s="529"/>
      <c r="R535" s="529"/>
      <c r="S535" s="529"/>
      <c r="T535" s="529"/>
      <c r="U535" s="529"/>
      <c r="V535" s="529"/>
      <c r="W535" s="529"/>
      <c r="X535" s="529"/>
      <c r="Y535" s="529"/>
      <c r="Z535" s="529"/>
      <c r="AA535" s="529"/>
      <c r="AB535" s="529"/>
      <c r="AC535" s="529"/>
      <c r="AD535" s="529"/>
      <c r="AE535" s="529"/>
      <c r="AF535" s="529"/>
      <c r="AG535" s="556"/>
      <c r="AH535" s="528"/>
    </row>
    <row r="536">
      <c r="A536" s="564"/>
      <c r="B536" s="565"/>
      <c r="C536" s="565"/>
      <c r="D536" s="565"/>
      <c r="E536" s="565"/>
      <c r="F536" s="565"/>
      <c r="G536" s="565"/>
      <c r="H536" s="565"/>
      <c r="I536" s="565"/>
      <c r="J536" s="565"/>
      <c r="K536" s="565"/>
      <c r="L536" s="565"/>
      <c r="M536" s="565"/>
      <c r="N536" s="529"/>
      <c r="O536" s="529"/>
      <c r="P536" s="529"/>
      <c r="Q536" s="529"/>
      <c r="R536" s="529"/>
      <c r="S536" s="529"/>
      <c r="T536" s="529"/>
      <c r="U536" s="529"/>
      <c r="V536" s="529"/>
      <c r="W536" s="529"/>
      <c r="X536" s="529"/>
      <c r="Y536" s="529"/>
      <c r="Z536" s="529"/>
      <c r="AA536" s="529"/>
      <c r="AB536" s="529"/>
      <c r="AC536" s="529"/>
      <c r="AD536" s="529"/>
      <c r="AE536" s="529"/>
      <c r="AF536" s="529"/>
      <c r="AG536" s="556"/>
      <c r="AH536" s="528"/>
    </row>
    <row r="537">
      <c r="A537" s="564"/>
      <c r="B537" s="565"/>
      <c r="C537" s="565"/>
      <c r="D537" s="565"/>
      <c r="E537" s="565"/>
      <c r="F537" s="565"/>
      <c r="G537" s="565"/>
      <c r="H537" s="565"/>
      <c r="I537" s="565"/>
      <c r="J537" s="565"/>
      <c r="K537" s="565"/>
      <c r="L537" s="565"/>
      <c r="M537" s="565"/>
      <c r="N537" s="529"/>
      <c r="O537" s="529"/>
      <c r="P537" s="529"/>
      <c r="Q537" s="529"/>
      <c r="R537" s="529"/>
      <c r="S537" s="529"/>
      <c r="T537" s="529"/>
      <c r="U537" s="529"/>
      <c r="V537" s="529"/>
      <c r="W537" s="529"/>
      <c r="X537" s="529"/>
      <c r="Y537" s="529"/>
      <c r="Z537" s="529"/>
      <c r="AA537" s="529"/>
      <c r="AB537" s="529"/>
      <c r="AC537" s="529"/>
      <c r="AD537" s="529"/>
      <c r="AE537" s="529"/>
      <c r="AF537" s="529"/>
      <c r="AG537" s="556"/>
      <c r="AH537" s="528"/>
    </row>
    <row r="538">
      <c r="A538" s="564"/>
      <c r="B538" s="565"/>
      <c r="C538" s="565"/>
      <c r="D538" s="565"/>
      <c r="E538" s="565"/>
      <c r="F538" s="565"/>
      <c r="G538" s="565"/>
      <c r="H538" s="565"/>
      <c r="I538" s="565"/>
      <c r="J538" s="565"/>
      <c r="K538" s="565"/>
      <c r="L538" s="565"/>
      <c r="M538" s="565"/>
      <c r="N538" s="529"/>
      <c r="O538" s="529"/>
      <c r="P538" s="529"/>
      <c r="Q538" s="529"/>
      <c r="R538" s="529"/>
      <c r="S538" s="529"/>
      <c r="T538" s="529"/>
      <c r="U538" s="529"/>
      <c r="V538" s="529"/>
      <c r="W538" s="529"/>
      <c r="X538" s="529"/>
      <c r="Y538" s="529"/>
      <c r="Z538" s="529"/>
      <c r="AA538" s="529"/>
      <c r="AB538" s="529"/>
      <c r="AC538" s="529"/>
      <c r="AD538" s="529"/>
      <c r="AE538" s="529"/>
      <c r="AF538" s="529"/>
      <c r="AG538" s="556"/>
      <c r="AH538" s="528"/>
    </row>
    <row r="539">
      <c r="A539" s="564"/>
      <c r="B539" s="565"/>
      <c r="C539" s="565"/>
      <c r="D539" s="565"/>
      <c r="E539" s="565"/>
      <c r="F539" s="565"/>
      <c r="G539" s="565"/>
      <c r="H539" s="565"/>
      <c r="I539" s="565"/>
      <c r="J539" s="565"/>
      <c r="K539" s="565"/>
      <c r="L539" s="565"/>
      <c r="M539" s="565"/>
      <c r="N539" s="529"/>
      <c r="O539" s="529"/>
      <c r="P539" s="529"/>
      <c r="Q539" s="529"/>
      <c r="R539" s="529"/>
      <c r="S539" s="529"/>
      <c r="T539" s="529"/>
      <c r="U539" s="529"/>
      <c r="V539" s="529"/>
      <c r="W539" s="529"/>
      <c r="X539" s="529"/>
      <c r="Y539" s="529"/>
      <c r="Z539" s="529"/>
      <c r="AA539" s="529"/>
      <c r="AB539" s="529"/>
      <c r="AC539" s="529"/>
      <c r="AD539" s="529"/>
      <c r="AE539" s="529"/>
      <c r="AF539" s="529"/>
      <c r="AG539" s="556"/>
      <c r="AH539" s="528"/>
    </row>
    <row r="540">
      <c r="A540" s="564"/>
      <c r="B540" s="565"/>
      <c r="C540" s="565"/>
      <c r="D540" s="565"/>
      <c r="E540" s="565"/>
      <c r="F540" s="565"/>
      <c r="G540" s="565"/>
      <c r="H540" s="565"/>
      <c r="I540" s="565"/>
      <c r="J540" s="565"/>
      <c r="K540" s="565"/>
      <c r="L540" s="565"/>
      <c r="M540" s="565"/>
      <c r="N540" s="529"/>
      <c r="O540" s="529"/>
      <c r="P540" s="529"/>
      <c r="Q540" s="529"/>
      <c r="R540" s="529"/>
      <c r="S540" s="529"/>
      <c r="T540" s="529"/>
      <c r="U540" s="529"/>
      <c r="V540" s="529"/>
      <c r="W540" s="529"/>
      <c r="X540" s="529"/>
      <c r="Y540" s="529"/>
      <c r="Z540" s="529"/>
      <c r="AA540" s="529"/>
      <c r="AB540" s="529"/>
      <c r="AC540" s="529"/>
      <c r="AD540" s="529"/>
      <c r="AE540" s="529"/>
      <c r="AF540" s="529"/>
      <c r="AG540" s="556"/>
      <c r="AH540" s="528"/>
    </row>
    <row r="541">
      <c r="A541" s="564"/>
      <c r="B541" s="565"/>
      <c r="C541" s="565"/>
      <c r="D541" s="565"/>
      <c r="E541" s="565"/>
      <c r="F541" s="565"/>
      <c r="G541" s="565"/>
      <c r="H541" s="565"/>
      <c r="I541" s="565"/>
      <c r="J541" s="565"/>
      <c r="K541" s="565"/>
      <c r="L541" s="565"/>
      <c r="M541" s="565"/>
      <c r="N541" s="529"/>
      <c r="O541" s="529"/>
      <c r="P541" s="529"/>
      <c r="Q541" s="529"/>
      <c r="R541" s="529"/>
      <c r="S541" s="529"/>
      <c r="T541" s="529"/>
      <c r="U541" s="529"/>
      <c r="V541" s="529"/>
      <c r="W541" s="529"/>
      <c r="X541" s="529"/>
      <c r="Y541" s="529"/>
      <c r="Z541" s="529"/>
      <c r="AA541" s="529"/>
      <c r="AB541" s="529"/>
      <c r="AC541" s="529"/>
      <c r="AD541" s="529"/>
      <c r="AE541" s="529"/>
      <c r="AF541" s="529"/>
      <c r="AG541" s="556"/>
      <c r="AH541" s="528"/>
    </row>
    <row r="542">
      <c r="A542" s="564"/>
      <c r="B542" s="565"/>
      <c r="C542" s="565"/>
      <c r="D542" s="565"/>
      <c r="E542" s="565"/>
      <c r="F542" s="565"/>
      <c r="G542" s="565"/>
      <c r="H542" s="565"/>
      <c r="I542" s="565"/>
      <c r="J542" s="565"/>
      <c r="K542" s="565"/>
      <c r="L542" s="565"/>
      <c r="M542" s="565"/>
      <c r="N542" s="529"/>
      <c r="O542" s="529"/>
      <c r="P542" s="529"/>
      <c r="Q542" s="529"/>
      <c r="R542" s="529"/>
      <c r="S542" s="529"/>
      <c r="T542" s="529"/>
      <c r="U542" s="529"/>
      <c r="V542" s="529"/>
      <c r="W542" s="529"/>
      <c r="X542" s="529"/>
      <c r="Y542" s="529"/>
      <c r="Z542" s="529"/>
      <c r="AA542" s="529"/>
      <c r="AB542" s="529"/>
      <c r="AC542" s="529"/>
      <c r="AD542" s="529"/>
      <c r="AE542" s="529"/>
      <c r="AF542" s="529"/>
      <c r="AG542" s="556"/>
      <c r="AH542" s="528"/>
    </row>
    <row r="543">
      <c r="A543" s="564"/>
      <c r="B543" s="565"/>
      <c r="C543" s="565"/>
      <c r="D543" s="565"/>
      <c r="E543" s="565"/>
      <c r="F543" s="565"/>
      <c r="G543" s="565"/>
      <c r="H543" s="565"/>
      <c r="I543" s="565"/>
      <c r="J543" s="565"/>
      <c r="K543" s="565"/>
      <c r="L543" s="565"/>
      <c r="M543" s="565"/>
      <c r="N543" s="529"/>
      <c r="O543" s="529"/>
      <c r="P543" s="529"/>
      <c r="Q543" s="529"/>
      <c r="R543" s="529"/>
      <c r="S543" s="529"/>
      <c r="T543" s="529"/>
      <c r="U543" s="529"/>
      <c r="V543" s="529"/>
      <c r="W543" s="529"/>
      <c r="X543" s="529"/>
      <c r="Y543" s="529"/>
      <c r="Z543" s="529"/>
      <c r="AA543" s="529"/>
      <c r="AB543" s="529"/>
      <c r="AC543" s="529"/>
      <c r="AD543" s="529"/>
      <c r="AE543" s="529"/>
      <c r="AF543" s="529"/>
      <c r="AG543" s="556"/>
      <c r="AH543" s="528"/>
    </row>
    <row r="544">
      <c r="A544" s="564"/>
      <c r="B544" s="565"/>
      <c r="C544" s="565"/>
      <c r="D544" s="565"/>
      <c r="E544" s="565"/>
      <c r="F544" s="565"/>
      <c r="G544" s="565"/>
      <c r="H544" s="565"/>
      <c r="I544" s="565"/>
      <c r="J544" s="565"/>
      <c r="K544" s="565"/>
      <c r="L544" s="565"/>
      <c r="M544" s="565"/>
      <c r="N544" s="529"/>
      <c r="O544" s="529"/>
      <c r="P544" s="529"/>
      <c r="Q544" s="529"/>
      <c r="R544" s="529"/>
      <c r="S544" s="529"/>
      <c r="T544" s="529"/>
      <c r="U544" s="529"/>
      <c r="V544" s="529"/>
      <c r="W544" s="529"/>
      <c r="X544" s="529"/>
      <c r="Y544" s="529"/>
      <c r="Z544" s="529"/>
      <c r="AA544" s="529"/>
      <c r="AB544" s="529"/>
      <c r="AC544" s="529"/>
      <c r="AD544" s="529"/>
      <c r="AE544" s="529"/>
      <c r="AF544" s="529"/>
      <c r="AG544" s="556"/>
      <c r="AH544" s="528"/>
    </row>
    <row r="545">
      <c r="A545" s="564"/>
      <c r="B545" s="565"/>
      <c r="C545" s="565"/>
      <c r="D545" s="565"/>
      <c r="E545" s="565"/>
      <c r="F545" s="565"/>
      <c r="G545" s="565"/>
      <c r="H545" s="565"/>
      <c r="I545" s="565"/>
      <c r="J545" s="565"/>
      <c r="K545" s="565"/>
      <c r="L545" s="565"/>
      <c r="M545" s="565"/>
      <c r="N545" s="529"/>
      <c r="O545" s="529"/>
      <c r="P545" s="529"/>
      <c r="Q545" s="529"/>
      <c r="R545" s="529"/>
      <c r="S545" s="529"/>
      <c r="T545" s="529"/>
      <c r="U545" s="529"/>
      <c r="V545" s="529"/>
      <c r="W545" s="529"/>
      <c r="X545" s="529"/>
      <c r="Y545" s="529"/>
      <c r="Z545" s="529"/>
      <c r="AA545" s="529"/>
      <c r="AB545" s="529"/>
      <c r="AC545" s="529"/>
      <c r="AD545" s="529"/>
      <c r="AE545" s="529"/>
      <c r="AF545" s="529"/>
      <c r="AG545" s="556"/>
      <c r="AH545" s="528"/>
    </row>
    <row r="546">
      <c r="A546" s="564"/>
      <c r="B546" s="565"/>
      <c r="C546" s="565"/>
      <c r="D546" s="565"/>
      <c r="E546" s="565"/>
      <c r="F546" s="565"/>
      <c r="G546" s="565"/>
      <c r="H546" s="565"/>
      <c r="I546" s="565"/>
      <c r="J546" s="565"/>
      <c r="K546" s="565"/>
      <c r="L546" s="565"/>
      <c r="M546" s="565"/>
      <c r="N546" s="529"/>
      <c r="O546" s="529"/>
      <c r="P546" s="529"/>
      <c r="Q546" s="529"/>
      <c r="R546" s="529"/>
      <c r="S546" s="529"/>
      <c r="T546" s="529"/>
      <c r="U546" s="529"/>
      <c r="V546" s="529"/>
      <c r="W546" s="529"/>
      <c r="X546" s="529"/>
      <c r="Y546" s="529"/>
      <c r="Z546" s="529"/>
      <c r="AA546" s="529"/>
      <c r="AB546" s="529"/>
      <c r="AC546" s="529"/>
      <c r="AD546" s="529"/>
      <c r="AE546" s="529"/>
      <c r="AF546" s="529"/>
      <c r="AG546" s="556"/>
      <c r="AH546" s="528"/>
    </row>
    <row r="547">
      <c r="A547" s="564"/>
      <c r="B547" s="565"/>
      <c r="C547" s="565"/>
      <c r="D547" s="565"/>
      <c r="E547" s="565"/>
      <c r="F547" s="565"/>
      <c r="G547" s="565"/>
      <c r="H547" s="565"/>
      <c r="I547" s="565"/>
      <c r="J547" s="565"/>
      <c r="K547" s="565"/>
      <c r="L547" s="565"/>
      <c r="M547" s="565"/>
      <c r="N547" s="529"/>
      <c r="O547" s="529"/>
      <c r="P547" s="529"/>
      <c r="Q547" s="529"/>
      <c r="R547" s="529"/>
      <c r="S547" s="529"/>
      <c r="T547" s="529"/>
      <c r="U547" s="529"/>
      <c r="V547" s="529"/>
      <c r="W547" s="529"/>
      <c r="X547" s="529"/>
      <c r="Y547" s="529"/>
      <c r="Z547" s="529"/>
      <c r="AA547" s="529"/>
      <c r="AB547" s="529"/>
      <c r="AC547" s="529"/>
      <c r="AD547" s="529"/>
      <c r="AE547" s="529"/>
      <c r="AF547" s="529"/>
      <c r="AG547" s="556"/>
      <c r="AH547" s="528"/>
    </row>
    <row r="548">
      <c r="A548" s="564"/>
      <c r="B548" s="565"/>
      <c r="C548" s="565"/>
      <c r="D548" s="565"/>
      <c r="E548" s="565"/>
      <c r="F548" s="565"/>
      <c r="G548" s="565"/>
      <c r="H548" s="565"/>
      <c r="I548" s="565"/>
      <c r="J548" s="565"/>
      <c r="K548" s="565"/>
      <c r="L548" s="565"/>
      <c r="M548" s="565"/>
      <c r="N548" s="529"/>
      <c r="O548" s="529"/>
      <c r="P548" s="529"/>
      <c r="Q548" s="529"/>
      <c r="R548" s="529"/>
      <c r="S548" s="529"/>
      <c r="T548" s="529"/>
      <c r="U548" s="529"/>
      <c r="V548" s="529"/>
      <c r="W548" s="529"/>
      <c r="X548" s="529"/>
      <c r="Y548" s="529"/>
      <c r="Z548" s="529"/>
      <c r="AA548" s="529"/>
      <c r="AB548" s="529"/>
      <c r="AC548" s="529"/>
      <c r="AD548" s="529"/>
      <c r="AE548" s="529"/>
      <c r="AF548" s="529"/>
      <c r="AG548" s="556"/>
      <c r="AH548" s="528"/>
    </row>
    <row r="549">
      <c r="A549" s="564"/>
      <c r="B549" s="565"/>
      <c r="C549" s="565"/>
      <c r="D549" s="565"/>
      <c r="E549" s="565"/>
      <c r="F549" s="565"/>
      <c r="G549" s="565"/>
      <c r="H549" s="565"/>
      <c r="I549" s="565"/>
      <c r="J549" s="565"/>
      <c r="K549" s="565"/>
      <c r="L549" s="565"/>
      <c r="M549" s="565"/>
      <c r="N549" s="529"/>
      <c r="O549" s="529"/>
      <c r="P549" s="529"/>
      <c r="Q549" s="529"/>
      <c r="R549" s="529"/>
      <c r="S549" s="529"/>
      <c r="T549" s="529"/>
      <c r="U549" s="529"/>
      <c r="V549" s="529"/>
      <c r="W549" s="529"/>
      <c r="X549" s="529"/>
      <c r="Y549" s="529"/>
      <c r="Z549" s="529"/>
      <c r="AA549" s="529"/>
      <c r="AB549" s="529"/>
      <c r="AC549" s="529"/>
      <c r="AD549" s="529"/>
      <c r="AE549" s="529"/>
      <c r="AF549" s="529"/>
      <c r="AG549" s="556"/>
      <c r="AH549" s="528"/>
    </row>
    <row r="550">
      <c r="A550" s="564"/>
      <c r="B550" s="565"/>
      <c r="C550" s="565"/>
      <c r="D550" s="565"/>
      <c r="E550" s="565"/>
      <c r="F550" s="565"/>
      <c r="G550" s="565"/>
      <c r="H550" s="565"/>
      <c r="I550" s="565"/>
      <c r="J550" s="565"/>
      <c r="K550" s="565"/>
      <c r="L550" s="565"/>
      <c r="M550" s="565"/>
      <c r="N550" s="529"/>
      <c r="O550" s="529"/>
      <c r="P550" s="529"/>
      <c r="Q550" s="529"/>
      <c r="R550" s="529"/>
      <c r="S550" s="529"/>
      <c r="T550" s="529"/>
      <c r="U550" s="529"/>
      <c r="V550" s="529"/>
      <c r="W550" s="529"/>
      <c r="X550" s="529"/>
      <c r="Y550" s="529"/>
      <c r="Z550" s="529"/>
      <c r="AA550" s="529"/>
      <c r="AB550" s="529"/>
      <c r="AC550" s="529"/>
      <c r="AD550" s="529"/>
      <c r="AE550" s="529"/>
      <c r="AF550" s="529"/>
      <c r="AG550" s="556"/>
      <c r="AH550" s="528"/>
    </row>
    <row r="551">
      <c r="A551" s="564"/>
      <c r="B551" s="565"/>
      <c r="C551" s="565"/>
      <c r="D551" s="565"/>
      <c r="E551" s="565"/>
      <c r="F551" s="565"/>
      <c r="G551" s="565"/>
      <c r="H551" s="565"/>
      <c r="I551" s="565"/>
      <c r="J551" s="565"/>
      <c r="K551" s="565"/>
      <c r="L551" s="565"/>
      <c r="M551" s="565"/>
      <c r="N551" s="529"/>
      <c r="O551" s="529"/>
      <c r="P551" s="529"/>
      <c r="Q551" s="529"/>
      <c r="R551" s="529"/>
      <c r="S551" s="529"/>
      <c r="T551" s="529"/>
      <c r="U551" s="529"/>
      <c r="V551" s="529"/>
      <c r="W551" s="529"/>
      <c r="X551" s="529"/>
      <c r="Y551" s="529"/>
      <c r="Z551" s="529"/>
      <c r="AA551" s="529"/>
      <c r="AB551" s="529"/>
      <c r="AC551" s="529"/>
      <c r="AD551" s="529"/>
      <c r="AE551" s="529"/>
      <c r="AF551" s="529"/>
      <c r="AG551" s="556"/>
      <c r="AH551" s="528"/>
    </row>
    <row r="552">
      <c r="A552" s="564"/>
      <c r="B552" s="565"/>
      <c r="C552" s="565"/>
      <c r="D552" s="565"/>
      <c r="E552" s="565"/>
      <c r="F552" s="565"/>
      <c r="G552" s="565"/>
      <c r="H552" s="565"/>
      <c r="I552" s="565"/>
      <c r="J552" s="565"/>
      <c r="K552" s="565"/>
      <c r="L552" s="565"/>
      <c r="M552" s="565"/>
      <c r="N552" s="529"/>
      <c r="O552" s="529"/>
      <c r="P552" s="529"/>
      <c r="Q552" s="529"/>
      <c r="R552" s="529"/>
      <c r="S552" s="529"/>
      <c r="T552" s="529"/>
      <c r="U552" s="529"/>
      <c r="V552" s="529"/>
      <c r="W552" s="529"/>
      <c r="X552" s="529"/>
      <c r="Y552" s="529"/>
      <c r="Z552" s="529"/>
      <c r="AA552" s="529"/>
      <c r="AB552" s="529"/>
      <c r="AC552" s="529"/>
      <c r="AD552" s="529"/>
      <c r="AE552" s="529"/>
      <c r="AF552" s="529"/>
      <c r="AG552" s="556"/>
      <c r="AH552" s="528"/>
    </row>
    <row r="553">
      <c r="A553" s="564"/>
      <c r="B553" s="565"/>
      <c r="C553" s="565"/>
      <c r="D553" s="565"/>
      <c r="E553" s="565"/>
      <c r="F553" s="565"/>
      <c r="G553" s="565"/>
      <c r="H553" s="565"/>
      <c r="I553" s="565"/>
      <c r="J553" s="565"/>
      <c r="K553" s="565"/>
      <c r="L553" s="565"/>
      <c r="M553" s="565"/>
      <c r="N553" s="529"/>
      <c r="O553" s="529"/>
      <c r="P553" s="529"/>
      <c r="Q553" s="529"/>
      <c r="R553" s="529"/>
      <c r="S553" s="529"/>
      <c r="T553" s="529"/>
      <c r="U553" s="529"/>
      <c r="V553" s="529"/>
      <c r="W553" s="529"/>
      <c r="X553" s="529"/>
      <c r="Y553" s="529"/>
      <c r="Z553" s="529"/>
      <c r="AA553" s="529"/>
      <c r="AB553" s="529"/>
      <c r="AC553" s="529"/>
      <c r="AD553" s="529"/>
      <c r="AE553" s="529"/>
      <c r="AF553" s="529"/>
      <c r="AG553" s="556"/>
      <c r="AH553" s="528"/>
    </row>
    <row r="554">
      <c r="A554" s="564"/>
      <c r="B554" s="565"/>
      <c r="C554" s="565"/>
      <c r="D554" s="565"/>
      <c r="E554" s="565"/>
      <c r="F554" s="565"/>
      <c r="G554" s="565"/>
      <c r="H554" s="565"/>
      <c r="I554" s="565"/>
      <c r="J554" s="565"/>
      <c r="K554" s="565"/>
      <c r="L554" s="565"/>
      <c r="M554" s="565"/>
      <c r="N554" s="529"/>
      <c r="O554" s="529"/>
      <c r="P554" s="529"/>
      <c r="Q554" s="529"/>
      <c r="R554" s="529"/>
      <c r="S554" s="529"/>
      <c r="T554" s="529"/>
      <c r="U554" s="529"/>
      <c r="V554" s="529"/>
      <c r="W554" s="529"/>
      <c r="X554" s="529"/>
      <c r="Y554" s="529"/>
      <c r="Z554" s="529"/>
      <c r="AA554" s="529"/>
      <c r="AB554" s="529"/>
      <c r="AC554" s="529"/>
      <c r="AD554" s="529"/>
      <c r="AE554" s="529"/>
      <c r="AF554" s="529"/>
      <c r="AG554" s="556"/>
      <c r="AH554" s="528"/>
    </row>
    <row r="555">
      <c r="A555" s="564"/>
      <c r="B555" s="565"/>
      <c r="C555" s="565"/>
      <c r="D555" s="565"/>
      <c r="E555" s="565"/>
      <c r="F555" s="565"/>
      <c r="G555" s="565"/>
      <c r="H555" s="565"/>
      <c r="I555" s="565"/>
      <c r="J555" s="565"/>
      <c r="K555" s="565"/>
      <c r="L555" s="565"/>
      <c r="M555" s="565"/>
      <c r="N555" s="529"/>
      <c r="O555" s="529"/>
      <c r="P555" s="529"/>
      <c r="Q555" s="529"/>
      <c r="R555" s="529"/>
      <c r="S555" s="529"/>
      <c r="T555" s="529"/>
      <c r="U555" s="529"/>
      <c r="V555" s="529"/>
      <c r="W555" s="529"/>
      <c r="X555" s="529"/>
      <c r="Y555" s="529"/>
      <c r="Z555" s="529"/>
      <c r="AA555" s="529"/>
      <c r="AB555" s="529"/>
      <c r="AC555" s="529"/>
      <c r="AD555" s="529"/>
      <c r="AE555" s="529"/>
      <c r="AF555" s="529"/>
      <c r="AG555" s="556"/>
      <c r="AH555" s="528"/>
    </row>
    <row r="556">
      <c r="A556" s="564"/>
      <c r="B556" s="565"/>
      <c r="C556" s="565"/>
      <c r="D556" s="565"/>
      <c r="E556" s="565"/>
      <c r="F556" s="565"/>
      <c r="G556" s="565"/>
      <c r="H556" s="565"/>
      <c r="I556" s="565"/>
      <c r="J556" s="565"/>
      <c r="K556" s="565"/>
      <c r="L556" s="565"/>
      <c r="M556" s="565"/>
      <c r="N556" s="529"/>
      <c r="O556" s="529"/>
      <c r="P556" s="529"/>
      <c r="Q556" s="529"/>
      <c r="R556" s="529"/>
      <c r="S556" s="529"/>
      <c r="T556" s="529"/>
      <c r="U556" s="529"/>
      <c r="V556" s="529"/>
      <c r="W556" s="529"/>
      <c r="X556" s="529"/>
      <c r="Y556" s="529"/>
      <c r="Z556" s="529"/>
      <c r="AA556" s="529"/>
      <c r="AB556" s="529"/>
      <c r="AC556" s="529"/>
      <c r="AD556" s="529"/>
      <c r="AE556" s="529"/>
      <c r="AF556" s="529"/>
      <c r="AG556" s="556"/>
      <c r="AH556" s="528"/>
    </row>
    <row r="557">
      <c r="A557" s="564"/>
      <c r="B557" s="565"/>
      <c r="C557" s="565"/>
      <c r="D557" s="565"/>
      <c r="E557" s="565"/>
      <c r="F557" s="565"/>
      <c r="G557" s="565"/>
      <c r="H557" s="565"/>
      <c r="I557" s="565"/>
      <c r="J557" s="565"/>
      <c r="K557" s="565"/>
      <c r="L557" s="565"/>
      <c r="M557" s="565"/>
      <c r="N557" s="529"/>
      <c r="O557" s="529"/>
      <c r="P557" s="529"/>
      <c r="Q557" s="529"/>
      <c r="R557" s="529"/>
      <c r="S557" s="529"/>
      <c r="T557" s="529"/>
      <c r="U557" s="529"/>
      <c r="V557" s="529"/>
      <c r="W557" s="529"/>
      <c r="X557" s="529"/>
      <c r="Y557" s="529"/>
      <c r="Z557" s="529"/>
      <c r="AA557" s="529"/>
      <c r="AB557" s="529"/>
      <c r="AC557" s="529"/>
      <c r="AD557" s="529"/>
      <c r="AE557" s="529"/>
      <c r="AF557" s="529"/>
      <c r="AG557" s="556"/>
      <c r="AH557" s="528"/>
    </row>
    <row r="558">
      <c r="A558" s="564"/>
      <c r="B558" s="565"/>
      <c r="C558" s="565"/>
      <c r="D558" s="565"/>
      <c r="E558" s="565"/>
      <c r="F558" s="565"/>
      <c r="G558" s="565"/>
      <c r="H558" s="565"/>
      <c r="I558" s="565"/>
      <c r="J558" s="565"/>
      <c r="K558" s="565"/>
      <c r="L558" s="565"/>
      <c r="M558" s="565"/>
      <c r="N558" s="529"/>
      <c r="O558" s="529"/>
      <c r="P558" s="529"/>
      <c r="Q558" s="529"/>
      <c r="R558" s="529"/>
      <c r="S558" s="529"/>
      <c r="T558" s="529"/>
      <c r="U558" s="529"/>
      <c r="V558" s="529"/>
      <c r="W558" s="529"/>
      <c r="X558" s="529"/>
      <c r="Y558" s="529"/>
      <c r="Z558" s="529"/>
      <c r="AA558" s="529"/>
      <c r="AB558" s="529"/>
      <c r="AC558" s="529"/>
      <c r="AD558" s="529"/>
      <c r="AE558" s="529"/>
      <c r="AF558" s="529"/>
      <c r="AG558" s="556"/>
      <c r="AH558" s="528"/>
    </row>
    <row r="559">
      <c r="A559" s="564"/>
      <c r="B559" s="565"/>
      <c r="C559" s="565"/>
      <c r="D559" s="565"/>
      <c r="E559" s="565"/>
      <c r="F559" s="565"/>
      <c r="G559" s="565"/>
      <c r="H559" s="565"/>
      <c r="I559" s="565"/>
      <c r="J559" s="565"/>
      <c r="K559" s="565"/>
      <c r="L559" s="565"/>
      <c r="M559" s="565"/>
      <c r="N559" s="529"/>
      <c r="O559" s="529"/>
      <c r="P559" s="529"/>
      <c r="Q559" s="529"/>
      <c r="R559" s="529"/>
      <c r="S559" s="529"/>
      <c r="T559" s="529"/>
      <c r="U559" s="529"/>
      <c r="V559" s="529"/>
      <c r="W559" s="529"/>
      <c r="X559" s="529"/>
      <c r="Y559" s="529"/>
      <c r="Z559" s="529"/>
      <c r="AA559" s="529"/>
      <c r="AB559" s="529"/>
      <c r="AC559" s="529"/>
      <c r="AD559" s="529"/>
      <c r="AE559" s="529"/>
      <c r="AF559" s="529"/>
      <c r="AG559" s="556"/>
      <c r="AH559" s="528"/>
    </row>
    <row r="560">
      <c r="A560" s="564"/>
      <c r="B560" s="565"/>
      <c r="C560" s="565"/>
      <c r="D560" s="565"/>
      <c r="E560" s="565"/>
      <c r="F560" s="565"/>
      <c r="G560" s="565"/>
      <c r="H560" s="565"/>
      <c r="I560" s="565"/>
      <c r="J560" s="565"/>
      <c r="K560" s="565"/>
      <c r="L560" s="565"/>
      <c r="M560" s="565"/>
      <c r="N560" s="529"/>
      <c r="O560" s="529"/>
      <c r="P560" s="529"/>
      <c r="Q560" s="529"/>
      <c r="R560" s="529"/>
      <c r="S560" s="529"/>
      <c r="T560" s="529"/>
      <c r="U560" s="529"/>
      <c r="V560" s="529"/>
      <c r="W560" s="529"/>
      <c r="X560" s="529"/>
      <c r="Y560" s="529"/>
      <c r="Z560" s="529"/>
      <c r="AA560" s="529"/>
      <c r="AB560" s="529"/>
      <c r="AC560" s="529"/>
      <c r="AD560" s="529"/>
      <c r="AE560" s="529"/>
      <c r="AF560" s="529"/>
      <c r="AG560" s="556"/>
      <c r="AH560" s="528"/>
    </row>
    <row r="561">
      <c r="A561" s="564"/>
      <c r="B561" s="565"/>
      <c r="C561" s="565"/>
      <c r="D561" s="565"/>
      <c r="E561" s="565"/>
      <c r="F561" s="565"/>
      <c r="G561" s="565"/>
      <c r="H561" s="565"/>
      <c r="I561" s="565"/>
      <c r="J561" s="565"/>
      <c r="K561" s="565"/>
      <c r="L561" s="565"/>
      <c r="M561" s="565"/>
      <c r="N561" s="529"/>
      <c r="O561" s="529"/>
      <c r="P561" s="529"/>
      <c r="Q561" s="529"/>
      <c r="R561" s="529"/>
      <c r="S561" s="529"/>
      <c r="T561" s="529"/>
      <c r="U561" s="529"/>
      <c r="V561" s="529"/>
      <c r="W561" s="529"/>
      <c r="X561" s="529"/>
      <c r="Y561" s="529"/>
      <c r="Z561" s="529"/>
      <c r="AA561" s="529"/>
      <c r="AB561" s="529"/>
      <c r="AC561" s="529"/>
      <c r="AD561" s="529"/>
      <c r="AE561" s="529"/>
      <c r="AF561" s="529"/>
      <c r="AG561" s="556"/>
      <c r="AH561" s="528"/>
    </row>
    <row r="562">
      <c r="A562" s="564"/>
      <c r="B562" s="565"/>
      <c r="C562" s="565"/>
      <c r="D562" s="565"/>
      <c r="E562" s="565"/>
      <c r="F562" s="565"/>
      <c r="G562" s="565"/>
      <c r="H562" s="565"/>
      <c r="I562" s="565"/>
      <c r="J562" s="565"/>
      <c r="K562" s="565"/>
      <c r="L562" s="565"/>
      <c r="M562" s="565"/>
      <c r="N562" s="529"/>
      <c r="O562" s="529"/>
      <c r="P562" s="529"/>
      <c r="Q562" s="529"/>
      <c r="R562" s="529"/>
      <c r="S562" s="529"/>
      <c r="T562" s="529"/>
      <c r="U562" s="529"/>
      <c r="V562" s="529"/>
      <c r="W562" s="529"/>
      <c r="X562" s="529"/>
      <c r="Y562" s="529"/>
      <c r="Z562" s="529"/>
      <c r="AA562" s="529"/>
      <c r="AB562" s="529"/>
      <c r="AC562" s="529"/>
      <c r="AD562" s="529"/>
      <c r="AE562" s="529"/>
      <c r="AF562" s="529"/>
      <c r="AG562" s="556"/>
      <c r="AH562" s="528"/>
    </row>
    <row r="563">
      <c r="A563" s="564"/>
      <c r="B563" s="565"/>
      <c r="C563" s="565"/>
      <c r="D563" s="565"/>
      <c r="E563" s="565"/>
      <c r="F563" s="565"/>
      <c r="G563" s="565"/>
      <c r="H563" s="565"/>
      <c r="I563" s="565"/>
      <c r="J563" s="565"/>
      <c r="K563" s="565"/>
      <c r="L563" s="565"/>
      <c r="M563" s="565"/>
      <c r="N563" s="529"/>
      <c r="O563" s="529"/>
      <c r="P563" s="529"/>
      <c r="Q563" s="529"/>
      <c r="R563" s="529"/>
      <c r="S563" s="529"/>
      <c r="T563" s="529"/>
      <c r="U563" s="529"/>
      <c r="V563" s="529"/>
      <c r="W563" s="529"/>
      <c r="X563" s="529"/>
      <c r="Y563" s="529"/>
      <c r="Z563" s="529"/>
      <c r="AA563" s="529"/>
      <c r="AB563" s="529"/>
      <c r="AC563" s="529"/>
      <c r="AD563" s="529"/>
      <c r="AE563" s="529"/>
      <c r="AF563" s="529"/>
      <c r="AG563" s="556"/>
      <c r="AH563" s="528"/>
    </row>
    <row r="564">
      <c r="A564" s="564"/>
      <c r="B564" s="565"/>
      <c r="C564" s="565"/>
      <c r="D564" s="565"/>
      <c r="E564" s="565"/>
      <c r="F564" s="565"/>
      <c r="G564" s="565"/>
      <c r="H564" s="565"/>
      <c r="I564" s="565"/>
      <c r="J564" s="565"/>
      <c r="K564" s="565"/>
      <c r="L564" s="565"/>
      <c r="M564" s="565"/>
      <c r="N564" s="529"/>
      <c r="O564" s="529"/>
      <c r="P564" s="529"/>
      <c r="Q564" s="529"/>
      <c r="R564" s="529"/>
      <c r="S564" s="529"/>
      <c r="T564" s="529"/>
      <c r="U564" s="529"/>
      <c r="V564" s="529"/>
      <c r="W564" s="529"/>
      <c r="X564" s="529"/>
      <c r="Y564" s="529"/>
      <c r="Z564" s="529"/>
      <c r="AA564" s="529"/>
      <c r="AB564" s="529"/>
      <c r="AC564" s="529"/>
      <c r="AD564" s="529"/>
      <c r="AE564" s="529"/>
      <c r="AF564" s="529"/>
      <c r="AG564" s="556"/>
      <c r="AH564" s="528"/>
    </row>
    <row r="565">
      <c r="A565" s="564"/>
      <c r="B565" s="565"/>
      <c r="C565" s="565"/>
      <c r="D565" s="565"/>
      <c r="E565" s="565"/>
      <c r="F565" s="565"/>
      <c r="G565" s="565"/>
      <c r="H565" s="565"/>
      <c r="I565" s="565"/>
      <c r="J565" s="565"/>
      <c r="K565" s="565"/>
      <c r="L565" s="565"/>
      <c r="M565" s="565"/>
      <c r="N565" s="529"/>
      <c r="O565" s="529"/>
      <c r="P565" s="529"/>
      <c r="Q565" s="529"/>
      <c r="R565" s="529"/>
      <c r="S565" s="529"/>
      <c r="T565" s="529"/>
      <c r="U565" s="529"/>
      <c r="V565" s="529"/>
      <c r="W565" s="529"/>
      <c r="X565" s="529"/>
      <c r="Y565" s="529"/>
      <c r="Z565" s="529"/>
      <c r="AA565" s="529"/>
      <c r="AB565" s="529"/>
      <c r="AC565" s="529"/>
      <c r="AD565" s="529"/>
      <c r="AE565" s="529"/>
      <c r="AF565" s="529"/>
      <c r="AG565" s="556"/>
      <c r="AH565" s="528"/>
    </row>
    <row r="566">
      <c r="A566" s="564"/>
      <c r="B566" s="565"/>
      <c r="C566" s="565"/>
      <c r="D566" s="565"/>
      <c r="E566" s="565"/>
      <c r="F566" s="565"/>
      <c r="G566" s="565"/>
      <c r="H566" s="565"/>
      <c r="I566" s="565"/>
      <c r="J566" s="565"/>
      <c r="K566" s="565"/>
      <c r="L566" s="565"/>
      <c r="M566" s="565"/>
      <c r="N566" s="529"/>
      <c r="O566" s="529"/>
      <c r="P566" s="529"/>
      <c r="Q566" s="529"/>
      <c r="R566" s="529"/>
      <c r="S566" s="529"/>
      <c r="T566" s="529"/>
      <c r="U566" s="529"/>
      <c r="V566" s="529"/>
      <c r="W566" s="529"/>
      <c r="X566" s="529"/>
      <c r="Y566" s="529"/>
      <c r="Z566" s="529"/>
      <c r="AA566" s="529"/>
      <c r="AB566" s="529"/>
      <c r="AC566" s="529"/>
      <c r="AD566" s="529"/>
      <c r="AE566" s="529"/>
      <c r="AF566" s="529"/>
      <c r="AG566" s="556"/>
      <c r="AH566" s="528"/>
    </row>
    <row r="567">
      <c r="A567" s="564"/>
      <c r="B567" s="565"/>
      <c r="C567" s="565"/>
      <c r="D567" s="565"/>
      <c r="E567" s="565"/>
      <c r="F567" s="565"/>
      <c r="G567" s="565"/>
      <c r="H567" s="565"/>
      <c r="I567" s="565"/>
      <c r="J567" s="565"/>
      <c r="K567" s="565"/>
      <c r="L567" s="565"/>
      <c r="M567" s="565"/>
      <c r="N567" s="529"/>
      <c r="O567" s="529"/>
      <c r="P567" s="529"/>
      <c r="Q567" s="529"/>
      <c r="R567" s="529"/>
      <c r="S567" s="529"/>
      <c r="T567" s="529"/>
      <c r="U567" s="529"/>
      <c r="V567" s="529"/>
      <c r="W567" s="529"/>
      <c r="X567" s="529"/>
      <c r="Y567" s="529"/>
      <c r="Z567" s="529"/>
      <c r="AA567" s="529"/>
      <c r="AB567" s="529"/>
      <c r="AC567" s="529"/>
      <c r="AD567" s="529"/>
      <c r="AE567" s="529"/>
      <c r="AF567" s="529"/>
      <c r="AG567" s="556"/>
      <c r="AH567" s="528"/>
    </row>
    <row r="568">
      <c r="A568" s="564"/>
      <c r="B568" s="565"/>
      <c r="C568" s="565"/>
      <c r="D568" s="565"/>
      <c r="E568" s="565"/>
      <c r="F568" s="565"/>
      <c r="G568" s="565"/>
      <c r="H568" s="565"/>
      <c r="I568" s="565"/>
      <c r="J568" s="565"/>
      <c r="K568" s="565"/>
      <c r="L568" s="565"/>
      <c r="M568" s="565"/>
      <c r="N568" s="529"/>
      <c r="O568" s="529"/>
      <c r="P568" s="529"/>
      <c r="Q568" s="529"/>
      <c r="R568" s="529"/>
      <c r="S568" s="529"/>
      <c r="T568" s="529"/>
      <c r="U568" s="529"/>
      <c r="V568" s="529"/>
      <c r="W568" s="529"/>
      <c r="X568" s="529"/>
      <c r="Y568" s="529"/>
      <c r="Z568" s="529"/>
      <c r="AA568" s="529"/>
      <c r="AB568" s="529"/>
      <c r="AC568" s="529"/>
      <c r="AD568" s="529"/>
      <c r="AE568" s="529"/>
      <c r="AF568" s="529"/>
      <c r="AG568" s="556"/>
      <c r="AH568" s="528"/>
    </row>
    <row r="569">
      <c r="A569" s="564"/>
      <c r="B569" s="565"/>
      <c r="C569" s="565"/>
      <c r="D569" s="565"/>
      <c r="E569" s="565"/>
      <c r="F569" s="565"/>
      <c r="G569" s="565"/>
      <c r="H569" s="565"/>
      <c r="I569" s="565"/>
      <c r="J569" s="565"/>
      <c r="K569" s="565"/>
      <c r="L569" s="565"/>
      <c r="M569" s="565"/>
      <c r="N569" s="529"/>
      <c r="O569" s="529"/>
      <c r="P569" s="529"/>
      <c r="Q569" s="529"/>
      <c r="R569" s="529"/>
      <c r="S569" s="529"/>
      <c r="T569" s="529"/>
      <c r="U569" s="529"/>
      <c r="V569" s="529"/>
      <c r="W569" s="529"/>
      <c r="X569" s="529"/>
      <c r="Y569" s="529"/>
      <c r="Z569" s="529"/>
      <c r="AA569" s="529"/>
      <c r="AB569" s="529"/>
      <c r="AC569" s="529"/>
      <c r="AD569" s="529"/>
      <c r="AE569" s="529"/>
      <c r="AF569" s="529"/>
      <c r="AG569" s="556"/>
      <c r="AH569" s="528"/>
    </row>
    <row r="570">
      <c r="A570" s="564"/>
      <c r="B570" s="565"/>
      <c r="C570" s="565"/>
      <c r="D570" s="565"/>
      <c r="E570" s="565"/>
      <c r="F570" s="565"/>
      <c r="G570" s="565"/>
      <c r="H570" s="565"/>
      <c r="I570" s="565"/>
      <c r="J570" s="565"/>
      <c r="K570" s="565"/>
      <c r="L570" s="565"/>
      <c r="M570" s="565"/>
      <c r="N570" s="529"/>
      <c r="O570" s="529"/>
      <c r="P570" s="529"/>
      <c r="Q570" s="529"/>
      <c r="R570" s="529"/>
      <c r="S570" s="529"/>
      <c r="T570" s="529"/>
      <c r="U570" s="529"/>
      <c r="V570" s="529"/>
      <c r="W570" s="529"/>
      <c r="X570" s="529"/>
      <c r="Y570" s="529"/>
      <c r="Z570" s="529"/>
      <c r="AA570" s="529"/>
      <c r="AB570" s="529"/>
      <c r="AC570" s="529"/>
      <c r="AD570" s="529"/>
      <c r="AE570" s="529"/>
      <c r="AF570" s="529"/>
      <c r="AG570" s="556"/>
      <c r="AH570" s="528"/>
    </row>
    <row r="571">
      <c r="A571" s="564"/>
      <c r="B571" s="565"/>
      <c r="C571" s="565"/>
      <c r="D571" s="565"/>
      <c r="E571" s="565"/>
      <c r="F571" s="565"/>
      <c r="G571" s="565"/>
      <c r="H571" s="565"/>
      <c r="I571" s="565"/>
      <c r="J571" s="565"/>
      <c r="K571" s="565"/>
      <c r="L571" s="565"/>
      <c r="M571" s="565"/>
      <c r="N571" s="529"/>
      <c r="O571" s="529"/>
      <c r="P571" s="529"/>
      <c r="Q571" s="529"/>
      <c r="R571" s="529"/>
      <c r="S571" s="529"/>
      <c r="T571" s="529"/>
      <c r="U571" s="529"/>
      <c r="V571" s="529"/>
      <c r="W571" s="529"/>
      <c r="X571" s="529"/>
      <c r="Y571" s="529"/>
      <c r="Z571" s="529"/>
      <c r="AA571" s="529"/>
      <c r="AB571" s="529"/>
      <c r="AC571" s="529"/>
      <c r="AD571" s="529"/>
      <c r="AE571" s="529"/>
      <c r="AF571" s="529"/>
      <c r="AG571" s="556"/>
      <c r="AH571" s="528"/>
    </row>
    <row r="572">
      <c r="A572" s="564"/>
      <c r="B572" s="565"/>
      <c r="C572" s="565"/>
      <c r="D572" s="565"/>
      <c r="E572" s="565"/>
      <c r="F572" s="565"/>
      <c r="G572" s="565"/>
      <c r="H572" s="565"/>
      <c r="I572" s="565"/>
      <c r="J572" s="565"/>
      <c r="K572" s="565"/>
      <c r="L572" s="565"/>
      <c r="M572" s="565"/>
      <c r="N572" s="529"/>
      <c r="O572" s="529"/>
      <c r="P572" s="529"/>
      <c r="Q572" s="529"/>
      <c r="R572" s="529"/>
      <c r="S572" s="529"/>
      <c r="T572" s="529"/>
      <c r="U572" s="529"/>
      <c r="V572" s="529"/>
      <c r="W572" s="529"/>
      <c r="X572" s="529"/>
      <c r="Y572" s="529"/>
      <c r="Z572" s="529"/>
      <c r="AA572" s="529"/>
      <c r="AB572" s="529"/>
      <c r="AC572" s="529"/>
      <c r="AD572" s="529"/>
      <c r="AE572" s="529"/>
      <c r="AF572" s="529"/>
      <c r="AG572" s="556"/>
      <c r="AH572" s="528"/>
    </row>
    <row r="573">
      <c r="A573" s="564"/>
      <c r="B573" s="565"/>
      <c r="C573" s="565"/>
      <c r="D573" s="565"/>
      <c r="E573" s="565"/>
      <c r="F573" s="565"/>
      <c r="G573" s="565"/>
      <c r="H573" s="565"/>
      <c r="I573" s="565"/>
      <c r="J573" s="565"/>
      <c r="K573" s="565"/>
      <c r="L573" s="565"/>
      <c r="M573" s="565"/>
      <c r="N573" s="529"/>
      <c r="O573" s="529"/>
      <c r="P573" s="529"/>
      <c r="Q573" s="529"/>
      <c r="R573" s="529"/>
      <c r="S573" s="529"/>
      <c r="T573" s="529"/>
      <c r="U573" s="529"/>
      <c r="V573" s="529"/>
      <c r="W573" s="529"/>
      <c r="X573" s="529"/>
      <c r="Y573" s="529"/>
      <c r="Z573" s="529"/>
      <c r="AA573" s="529"/>
      <c r="AB573" s="529"/>
      <c r="AC573" s="529"/>
      <c r="AD573" s="529"/>
      <c r="AE573" s="529"/>
      <c r="AF573" s="529"/>
      <c r="AG573" s="556"/>
      <c r="AH573" s="528"/>
    </row>
    <row r="574">
      <c r="A574" s="564"/>
      <c r="B574" s="565"/>
      <c r="C574" s="565"/>
      <c r="D574" s="565"/>
      <c r="E574" s="565"/>
      <c r="F574" s="565"/>
      <c r="G574" s="565"/>
      <c r="H574" s="565"/>
      <c r="I574" s="565"/>
      <c r="J574" s="565"/>
      <c r="K574" s="565"/>
      <c r="L574" s="565"/>
      <c r="M574" s="565"/>
      <c r="N574" s="529"/>
      <c r="O574" s="529"/>
      <c r="P574" s="529"/>
      <c r="Q574" s="529"/>
      <c r="R574" s="529"/>
      <c r="S574" s="529"/>
      <c r="T574" s="529"/>
      <c r="U574" s="529"/>
      <c r="V574" s="529"/>
      <c r="W574" s="529"/>
      <c r="X574" s="529"/>
      <c r="Y574" s="529"/>
      <c r="Z574" s="529"/>
      <c r="AA574" s="529"/>
      <c r="AB574" s="529"/>
      <c r="AC574" s="529"/>
      <c r="AD574" s="529"/>
      <c r="AE574" s="529"/>
      <c r="AF574" s="529"/>
      <c r="AG574" s="556"/>
      <c r="AH574" s="528"/>
    </row>
    <row r="575">
      <c r="A575" s="564"/>
      <c r="B575" s="565"/>
      <c r="C575" s="565"/>
      <c r="D575" s="565"/>
      <c r="E575" s="565"/>
      <c r="F575" s="565"/>
      <c r="G575" s="565"/>
      <c r="H575" s="565"/>
      <c r="I575" s="565"/>
      <c r="J575" s="565"/>
      <c r="K575" s="565"/>
      <c r="L575" s="565"/>
      <c r="M575" s="565"/>
      <c r="N575" s="529"/>
      <c r="O575" s="529"/>
      <c r="P575" s="529"/>
      <c r="Q575" s="529"/>
      <c r="R575" s="529"/>
      <c r="S575" s="529"/>
      <c r="T575" s="529"/>
      <c r="U575" s="529"/>
      <c r="V575" s="529"/>
      <c r="W575" s="529"/>
      <c r="X575" s="529"/>
      <c r="Y575" s="529"/>
      <c r="Z575" s="529"/>
      <c r="AA575" s="529"/>
      <c r="AB575" s="529"/>
      <c r="AC575" s="529"/>
      <c r="AD575" s="529"/>
      <c r="AE575" s="529"/>
      <c r="AF575" s="529"/>
      <c r="AG575" s="556"/>
      <c r="AH575" s="528"/>
    </row>
    <row r="576">
      <c r="A576" s="564"/>
      <c r="B576" s="565"/>
      <c r="C576" s="565"/>
      <c r="D576" s="565"/>
      <c r="E576" s="565"/>
      <c r="F576" s="565"/>
      <c r="G576" s="565"/>
      <c r="H576" s="565"/>
      <c r="I576" s="565"/>
      <c r="J576" s="565"/>
      <c r="K576" s="565"/>
      <c r="L576" s="565"/>
      <c r="M576" s="565"/>
      <c r="N576" s="529"/>
      <c r="O576" s="529"/>
      <c r="P576" s="529"/>
      <c r="Q576" s="529"/>
      <c r="R576" s="529"/>
      <c r="S576" s="529"/>
      <c r="T576" s="529"/>
      <c r="U576" s="529"/>
      <c r="V576" s="529"/>
      <c r="W576" s="529"/>
      <c r="X576" s="529"/>
      <c r="Y576" s="529"/>
      <c r="Z576" s="529"/>
      <c r="AA576" s="529"/>
      <c r="AB576" s="529"/>
      <c r="AC576" s="529"/>
      <c r="AD576" s="529"/>
      <c r="AE576" s="529"/>
      <c r="AF576" s="529"/>
      <c r="AG576" s="556"/>
      <c r="AH576" s="528"/>
    </row>
    <row r="577">
      <c r="A577" s="564"/>
      <c r="B577" s="565"/>
      <c r="C577" s="565"/>
      <c r="D577" s="565"/>
      <c r="E577" s="565"/>
      <c r="F577" s="565"/>
      <c r="G577" s="565"/>
      <c r="H577" s="565"/>
      <c r="I577" s="565"/>
      <c r="J577" s="565"/>
      <c r="K577" s="565"/>
      <c r="L577" s="565"/>
      <c r="M577" s="565"/>
      <c r="N577" s="529"/>
      <c r="O577" s="529"/>
      <c r="P577" s="529"/>
      <c r="Q577" s="529"/>
      <c r="R577" s="529"/>
      <c r="S577" s="529"/>
      <c r="T577" s="529"/>
      <c r="U577" s="529"/>
      <c r="V577" s="529"/>
      <c r="W577" s="529"/>
      <c r="X577" s="529"/>
      <c r="Y577" s="529"/>
      <c r="Z577" s="529"/>
      <c r="AA577" s="529"/>
      <c r="AB577" s="529"/>
      <c r="AC577" s="529"/>
      <c r="AD577" s="529"/>
      <c r="AE577" s="529"/>
      <c r="AF577" s="529"/>
      <c r="AG577" s="556"/>
      <c r="AH577" s="528"/>
    </row>
    <row r="578">
      <c r="A578" s="564"/>
      <c r="B578" s="565"/>
      <c r="C578" s="565"/>
      <c r="D578" s="565"/>
      <c r="E578" s="565"/>
      <c r="F578" s="565"/>
      <c r="G578" s="565"/>
      <c r="H578" s="565"/>
      <c r="I578" s="565"/>
      <c r="J578" s="565"/>
      <c r="K578" s="565"/>
      <c r="L578" s="565"/>
      <c r="M578" s="565"/>
      <c r="N578" s="529"/>
      <c r="O578" s="529"/>
      <c r="P578" s="529"/>
      <c r="Q578" s="529"/>
      <c r="R578" s="529"/>
      <c r="S578" s="529"/>
      <c r="T578" s="529"/>
      <c r="U578" s="529"/>
      <c r="V578" s="529"/>
      <c r="W578" s="529"/>
      <c r="X578" s="529"/>
      <c r="Y578" s="529"/>
      <c r="Z578" s="529"/>
      <c r="AA578" s="529"/>
      <c r="AB578" s="529"/>
      <c r="AC578" s="529"/>
      <c r="AD578" s="529"/>
      <c r="AE578" s="529"/>
      <c r="AF578" s="529"/>
      <c r="AG578" s="556"/>
      <c r="AH578" s="528"/>
    </row>
    <row r="579">
      <c r="A579" s="564"/>
      <c r="B579" s="565"/>
      <c r="C579" s="565"/>
      <c r="D579" s="565"/>
      <c r="E579" s="565"/>
      <c r="F579" s="565"/>
      <c r="G579" s="565"/>
      <c r="H579" s="565"/>
      <c r="I579" s="565"/>
      <c r="J579" s="565"/>
      <c r="K579" s="565"/>
      <c r="L579" s="565"/>
      <c r="M579" s="565"/>
      <c r="N579" s="529"/>
      <c r="O579" s="529"/>
      <c r="P579" s="529"/>
      <c r="Q579" s="529"/>
      <c r="R579" s="529"/>
      <c r="S579" s="529"/>
      <c r="T579" s="529"/>
      <c r="U579" s="529"/>
      <c r="V579" s="529"/>
      <c r="W579" s="529"/>
      <c r="X579" s="529"/>
      <c r="Y579" s="529"/>
      <c r="Z579" s="529"/>
      <c r="AA579" s="529"/>
      <c r="AB579" s="529"/>
      <c r="AC579" s="529"/>
      <c r="AD579" s="529"/>
      <c r="AE579" s="529"/>
      <c r="AF579" s="529"/>
      <c r="AG579" s="556"/>
      <c r="AH579" s="528"/>
    </row>
    <row r="580">
      <c r="A580" s="564"/>
      <c r="B580" s="565"/>
      <c r="C580" s="565"/>
      <c r="D580" s="565"/>
      <c r="E580" s="565"/>
      <c r="F580" s="565"/>
      <c r="G580" s="565"/>
      <c r="H580" s="565"/>
      <c r="I580" s="565"/>
      <c r="J580" s="565"/>
      <c r="K580" s="565"/>
      <c r="L580" s="565"/>
      <c r="M580" s="565"/>
      <c r="N580" s="529"/>
      <c r="O580" s="529"/>
      <c r="P580" s="529"/>
      <c r="Q580" s="529"/>
      <c r="R580" s="529"/>
      <c r="S580" s="529"/>
      <c r="T580" s="529"/>
      <c r="U580" s="529"/>
      <c r="V580" s="529"/>
      <c r="W580" s="529"/>
      <c r="X580" s="529"/>
      <c r="Y580" s="529"/>
      <c r="Z580" s="529"/>
      <c r="AA580" s="529"/>
      <c r="AB580" s="529"/>
      <c r="AC580" s="529"/>
      <c r="AD580" s="529"/>
      <c r="AE580" s="529"/>
      <c r="AF580" s="529"/>
      <c r="AG580" s="556"/>
      <c r="AH580" s="528"/>
    </row>
    <row r="581">
      <c r="A581" s="564"/>
      <c r="B581" s="565"/>
      <c r="C581" s="565"/>
      <c r="D581" s="565"/>
      <c r="E581" s="565"/>
      <c r="F581" s="565"/>
      <c r="G581" s="565"/>
      <c r="H581" s="565"/>
      <c r="I581" s="565"/>
      <c r="J581" s="565"/>
      <c r="K581" s="565"/>
      <c r="L581" s="565"/>
      <c r="M581" s="565"/>
      <c r="N581" s="529"/>
      <c r="O581" s="529"/>
      <c r="P581" s="529"/>
      <c r="Q581" s="529"/>
      <c r="R581" s="529"/>
      <c r="S581" s="529"/>
      <c r="T581" s="529"/>
      <c r="U581" s="529"/>
      <c r="V581" s="529"/>
      <c r="W581" s="529"/>
      <c r="X581" s="529"/>
      <c r="Y581" s="529"/>
      <c r="Z581" s="529"/>
      <c r="AA581" s="529"/>
      <c r="AB581" s="529"/>
      <c r="AC581" s="529"/>
      <c r="AD581" s="529"/>
      <c r="AE581" s="529"/>
      <c r="AF581" s="529"/>
      <c r="AG581" s="556"/>
      <c r="AH581" s="528"/>
    </row>
    <row r="582">
      <c r="A582" s="564"/>
      <c r="B582" s="565"/>
      <c r="C582" s="565"/>
      <c r="D582" s="565"/>
      <c r="E582" s="565"/>
      <c r="F582" s="565"/>
      <c r="G582" s="565"/>
      <c r="H582" s="565"/>
      <c r="I582" s="565"/>
      <c r="J582" s="565"/>
      <c r="K582" s="565"/>
      <c r="L582" s="565"/>
      <c r="M582" s="565"/>
      <c r="N582" s="529"/>
      <c r="O582" s="529"/>
      <c r="P582" s="529"/>
      <c r="Q582" s="529"/>
      <c r="R582" s="529"/>
      <c r="S582" s="529"/>
      <c r="T582" s="529"/>
      <c r="U582" s="529"/>
      <c r="V582" s="529"/>
      <c r="W582" s="529"/>
      <c r="X582" s="529"/>
      <c r="Y582" s="529"/>
      <c r="Z582" s="529"/>
      <c r="AA582" s="529"/>
      <c r="AB582" s="529"/>
      <c r="AC582" s="529"/>
      <c r="AD582" s="529"/>
      <c r="AE582" s="529"/>
      <c r="AF582" s="529"/>
      <c r="AG582" s="556"/>
      <c r="AH582" s="528"/>
    </row>
    <row r="583">
      <c r="A583" s="564"/>
      <c r="B583" s="565"/>
      <c r="C583" s="565"/>
      <c r="D583" s="565"/>
      <c r="E583" s="565"/>
      <c r="F583" s="565"/>
      <c r="G583" s="565"/>
      <c r="H583" s="565"/>
      <c r="I583" s="565"/>
      <c r="J583" s="565"/>
      <c r="K583" s="565"/>
      <c r="L583" s="565"/>
      <c r="M583" s="565"/>
      <c r="N583" s="529"/>
      <c r="O583" s="529"/>
      <c r="P583" s="529"/>
      <c r="Q583" s="529"/>
      <c r="R583" s="529"/>
      <c r="S583" s="529"/>
      <c r="T583" s="529"/>
      <c r="U583" s="529"/>
      <c r="V583" s="529"/>
      <c r="W583" s="529"/>
      <c r="X583" s="529"/>
      <c r="Y583" s="529"/>
      <c r="Z583" s="529"/>
      <c r="AA583" s="529"/>
      <c r="AB583" s="529"/>
      <c r="AC583" s="529"/>
      <c r="AD583" s="529"/>
      <c r="AE583" s="529"/>
      <c r="AF583" s="529"/>
      <c r="AG583" s="556"/>
      <c r="AH583" s="528"/>
    </row>
    <row r="584">
      <c r="A584" s="564"/>
      <c r="B584" s="565"/>
      <c r="C584" s="565"/>
      <c r="D584" s="565"/>
      <c r="E584" s="565"/>
      <c r="F584" s="565"/>
      <c r="G584" s="565"/>
      <c r="H584" s="565"/>
      <c r="I584" s="565"/>
      <c r="J584" s="565"/>
      <c r="K584" s="565"/>
      <c r="L584" s="565"/>
      <c r="M584" s="565"/>
      <c r="N584" s="529"/>
      <c r="O584" s="529"/>
      <c r="P584" s="529"/>
      <c r="Q584" s="529"/>
      <c r="R584" s="529"/>
      <c r="S584" s="529"/>
      <c r="T584" s="529"/>
      <c r="U584" s="529"/>
      <c r="V584" s="529"/>
      <c r="W584" s="529"/>
      <c r="X584" s="529"/>
      <c r="Y584" s="529"/>
      <c r="Z584" s="529"/>
      <c r="AA584" s="529"/>
      <c r="AB584" s="529"/>
      <c r="AC584" s="529"/>
      <c r="AD584" s="529"/>
      <c r="AE584" s="529"/>
      <c r="AF584" s="529"/>
      <c r="AG584" s="556"/>
      <c r="AH584" s="528"/>
    </row>
    <row r="585">
      <c r="A585" s="564"/>
      <c r="B585" s="565"/>
      <c r="C585" s="565"/>
      <c r="D585" s="565"/>
      <c r="E585" s="565"/>
      <c r="F585" s="565"/>
      <c r="G585" s="565"/>
      <c r="H585" s="565"/>
      <c r="I585" s="565"/>
      <c r="J585" s="565"/>
      <c r="K585" s="565"/>
      <c r="L585" s="565"/>
      <c r="M585" s="565"/>
      <c r="N585" s="529"/>
      <c r="O585" s="529"/>
      <c r="P585" s="529"/>
      <c r="Q585" s="529"/>
      <c r="R585" s="529"/>
      <c r="S585" s="529"/>
      <c r="T585" s="529"/>
      <c r="U585" s="529"/>
      <c r="V585" s="529"/>
      <c r="W585" s="529"/>
      <c r="X585" s="529"/>
      <c r="Y585" s="529"/>
      <c r="Z585" s="529"/>
      <c r="AA585" s="529"/>
      <c r="AB585" s="529"/>
      <c r="AC585" s="529"/>
      <c r="AD585" s="529"/>
      <c r="AE585" s="529"/>
      <c r="AF585" s="529"/>
      <c r="AG585" s="556"/>
      <c r="AH585" s="528"/>
    </row>
    <row r="586">
      <c r="A586" s="564"/>
      <c r="B586" s="565"/>
      <c r="C586" s="565"/>
      <c r="D586" s="565"/>
      <c r="E586" s="565"/>
      <c r="F586" s="565"/>
      <c r="G586" s="565"/>
      <c r="H586" s="565"/>
      <c r="I586" s="565"/>
      <c r="J586" s="565"/>
      <c r="K586" s="565"/>
      <c r="L586" s="565"/>
      <c r="M586" s="565"/>
      <c r="N586" s="529"/>
      <c r="O586" s="529"/>
      <c r="P586" s="529"/>
      <c r="Q586" s="529"/>
      <c r="R586" s="529"/>
      <c r="S586" s="529"/>
      <c r="T586" s="529"/>
      <c r="U586" s="529"/>
      <c r="V586" s="529"/>
      <c r="W586" s="529"/>
      <c r="X586" s="529"/>
      <c r="Y586" s="529"/>
      <c r="Z586" s="529"/>
      <c r="AA586" s="529"/>
      <c r="AB586" s="529"/>
      <c r="AC586" s="529"/>
      <c r="AD586" s="529"/>
      <c r="AE586" s="529"/>
      <c r="AF586" s="529"/>
      <c r="AG586" s="556"/>
      <c r="AH586" s="528"/>
    </row>
    <row r="587">
      <c r="A587" s="564"/>
      <c r="B587" s="565"/>
      <c r="C587" s="565"/>
      <c r="D587" s="565"/>
      <c r="E587" s="565"/>
      <c r="F587" s="565"/>
      <c r="G587" s="565"/>
      <c r="H587" s="565"/>
      <c r="I587" s="565"/>
      <c r="J587" s="565"/>
      <c r="K587" s="565"/>
      <c r="L587" s="565"/>
      <c r="M587" s="565"/>
      <c r="N587" s="529"/>
      <c r="O587" s="529"/>
      <c r="P587" s="529"/>
      <c r="Q587" s="529"/>
      <c r="R587" s="529"/>
      <c r="S587" s="529"/>
      <c r="T587" s="529"/>
      <c r="U587" s="529"/>
      <c r="V587" s="529"/>
      <c r="W587" s="529"/>
      <c r="X587" s="529"/>
      <c r="Y587" s="529"/>
      <c r="Z587" s="529"/>
      <c r="AA587" s="529"/>
      <c r="AB587" s="529"/>
      <c r="AC587" s="529"/>
      <c r="AD587" s="529"/>
      <c r="AE587" s="529"/>
      <c r="AF587" s="529"/>
      <c r="AG587" s="556"/>
      <c r="AH587" s="528"/>
    </row>
    <row r="588">
      <c r="A588" s="564"/>
      <c r="B588" s="565"/>
      <c r="C588" s="565"/>
      <c r="D588" s="565"/>
      <c r="E588" s="565"/>
      <c r="F588" s="565"/>
      <c r="G588" s="565"/>
      <c r="H588" s="565"/>
      <c r="I588" s="565"/>
      <c r="J588" s="565"/>
      <c r="K588" s="565"/>
      <c r="L588" s="565"/>
      <c r="M588" s="565"/>
      <c r="N588" s="529"/>
      <c r="O588" s="529"/>
      <c r="P588" s="529"/>
      <c r="Q588" s="529"/>
      <c r="R588" s="529"/>
      <c r="S588" s="529"/>
      <c r="T588" s="529"/>
      <c r="U588" s="529"/>
      <c r="V588" s="529"/>
      <c r="W588" s="529"/>
      <c r="X588" s="529"/>
      <c r="Y588" s="529"/>
      <c r="Z588" s="529"/>
      <c r="AA588" s="529"/>
      <c r="AB588" s="529"/>
      <c r="AC588" s="529"/>
      <c r="AD588" s="529"/>
      <c r="AE588" s="529"/>
      <c r="AF588" s="529"/>
      <c r="AG588" s="556"/>
      <c r="AH588" s="528"/>
    </row>
    <row r="589">
      <c r="A589" s="564"/>
      <c r="B589" s="565"/>
      <c r="C589" s="565"/>
      <c r="D589" s="565"/>
      <c r="E589" s="565"/>
      <c r="F589" s="565"/>
      <c r="G589" s="565"/>
      <c r="H589" s="565"/>
      <c r="I589" s="565"/>
      <c r="J589" s="565"/>
      <c r="K589" s="565"/>
      <c r="L589" s="565"/>
      <c r="M589" s="565"/>
      <c r="N589" s="529"/>
      <c r="O589" s="529"/>
      <c r="P589" s="529"/>
      <c r="Q589" s="529"/>
      <c r="R589" s="529"/>
      <c r="S589" s="529"/>
      <c r="T589" s="529"/>
      <c r="U589" s="529"/>
      <c r="V589" s="529"/>
      <c r="W589" s="529"/>
      <c r="X589" s="529"/>
      <c r="Y589" s="529"/>
      <c r="Z589" s="529"/>
      <c r="AA589" s="529"/>
      <c r="AB589" s="529"/>
      <c r="AC589" s="529"/>
      <c r="AD589" s="529"/>
      <c r="AE589" s="529"/>
      <c r="AF589" s="529"/>
      <c r="AG589" s="556"/>
      <c r="AH589" s="528"/>
    </row>
    <row r="590">
      <c r="A590" s="564"/>
      <c r="B590" s="565"/>
      <c r="C590" s="565"/>
      <c r="D590" s="565"/>
      <c r="E590" s="565"/>
      <c r="F590" s="565"/>
      <c r="G590" s="565"/>
      <c r="H590" s="565"/>
      <c r="I590" s="565"/>
      <c r="J590" s="565"/>
      <c r="K590" s="565"/>
      <c r="L590" s="565"/>
      <c r="M590" s="565"/>
      <c r="N590" s="529"/>
      <c r="O590" s="529"/>
      <c r="P590" s="529"/>
      <c r="Q590" s="529"/>
      <c r="R590" s="529"/>
      <c r="S590" s="529"/>
      <c r="T590" s="529"/>
      <c r="U590" s="529"/>
      <c r="V590" s="529"/>
      <c r="W590" s="529"/>
      <c r="X590" s="529"/>
      <c r="Y590" s="529"/>
      <c r="Z590" s="529"/>
      <c r="AA590" s="529"/>
      <c r="AB590" s="529"/>
      <c r="AC590" s="529"/>
      <c r="AD590" s="529"/>
      <c r="AE590" s="529"/>
      <c r="AF590" s="529"/>
      <c r="AG590" s="556"/>
      <c r="AH590" s="528"/>
    </row>
    <row r="591">
      <c r="A591" s="564"/>
      <c r="B591" s="565"/>
      <c r="C591" s="565"/>
      <c r="D591" s="565"/>
      <c r="E591" s="565"/>
      <c r="F591" s="565"/>
      <c r="G591" s="565"/>
      <c r="H591" s="565"/>
      <c r="I591" s="565"/>
      <c r="J591" s="565"/>
      <c r="K591" s="565"/>
      <c r="L591" s="565"/>
      <c r="M591" s="565"/>
      <c r="N591" s="529"/>
      <c r="O591" s="529"/>
      <c r="P591" s="529"/>
      <c r="Q591" s="529"/>
      <c r="R591" s="529"/>
      <c r="S591" s="529"/>
      <c r="T591" s="529"/>
      <c r="U591" s="529"/>
      <c r="V591" s="529"/>
      <c r="W591" s="529"/>
      <c r="X591" s="529"/>
      <c r="Y591" s="529"/>
      <c r="Z591" s="529"/>
      <c r="AA591" s="529"/>
      <c r="AB591" s="529"/>
      <c r="AC591" s="529"/>
      <c r="AD591" s="529"/>
      <c r="AE591" s="529"/>
      <c r="AF591" s="529"/>
      <c r="AG591" s="556"/>
      <c r="AH591" s="528"/>
    </row>
    <row r="592">
      <c r="A592" s="564"/>
      <c r="B592" s="565"/>
      <c r="C592" s="565"/>
      <c r="D592" s="565"/>
      <c r="E592" s="565"/>
      <c r="F592" s="565"/>
      <c r="G592" s="565"/>
      <c r="H592" s="565"/>
      <c r="I592" s="565"/>
      <c r="J592" s="565"/>
      <c r="K592" s="565"/>
      <c r="L592" s="565"/>
      <c r="M592" s="565"/>
      <c r="N592" s="529"/>
      <c r="O592" s="529"/>
      <c r="P592" s="529"/>
      <c r="Q592" s="529"/>
      <c r="R592" s="529"/>
      <c r="S592" s="529"/>
      <c r="T592" s="529"/>
      <c r="U592" s="529"/>
      <c r="V592" s="529"/>
      <c r="W592" s="529"/>
      <c r="X592" s="529"/>
      <c r="Y592" s="529"/>
      <c r="Z592" s="529"/>
      <c r="AA592" s="529"/>
      <c r="AB592" s="529"/>
      <c r="AC592" s="529"/>
      <c r="AD592" s="529"/>
      <c r="AE592" s="529"/>
      <c r="AF592" s="529"/>
      <c r="AG592" s="556"/>
      <c r="AH592" s="528"/>
    </row>
    <row r="593">
      <c r="A593" s="564"/>
      <c r="B593" s="565"/>
      <c r="C593" s="565"/>
      <c r="D593" s="565"/>
      <c r="E593" s="565"/>
      <c r="F593" s="565"/>
      <c r="G593" s="565"/>
      <c r="H593" s="565"/>
      <c r="I593" s="565"/>
      <c r="J593" s="565"/>
      <c r="K593" s="565"/>
      <c r="L593" s="565"/>
      <c r="M593" s="565"/>
      <c r="N593" s="529"/>
      <c r="O593" s="529"/>
      <c r="P593" s="529"/>
      <c r="Q593" s="529"/>
      <c r="R593" s="529"/>
      <c r="S593" s="529"/>
      <c r="T593" s="529"/>
      <c r="U593" s="529"/>
      <c r="V593" s="529"/>
      <c r="W593" s="529"/>
      <c r="X593" s="529"/>
      <c r="Y593" s="529"/>
      <c r="Z593" s="529"/>
      <c r="AA593" s="529"/>
      <c r="AB593" s="529"/>
      <c r="AC593" s="529"/>
      <c r="AD593" s="529"/>
      <c r="AE593" s="529"/>
      <c r="AF593" s="529"/>
      <c r="AG593" s="556"/>
      <c r="AH593" s="528"/>
    </row>
    <row r="594">
      <c r="A594" s="564"/>
      <c r="B594" s="565"/>
      <c r="C594" s="565"/>
      <c r="D594" s="565"/>
      <c r="E594" s="565"/>
      <c r="F594" s="565"/>
      <c r="G594" s="565"/>
      <c r="H594" s="565"/>
      <c r="I594" s="565"/>
      <c r="J594" s="565"/>
      <c r="K594" s="565"/>
      <c r="L594" s="565"/>
      <c r="M594" s="565"/>
      <c r="N594" s="529"/>
      <c r="O594" s="529"/>
      <c r="P594" s="529"/>
      <c r="Q594" s="529"/>
      <c r="R594" s="529"/>
      <c r="S594" s="529"/>
      <c r="T594" s="529"/>
      <c r="U594" s="529"/>
      <c r="V594" s="529"/>
      <c r="W594" s="529"/>
      <c r="X594" s="529"/>
      <c r="Y594" s="529"/>
      <c r="Z594" s="529"/>
      <c r="AA594" s="529"/>
      <c r="AB594" s="529"/>
      <c r="AC594" s="529"/>
      <c r="AD594" s="529"/>
      <c r="AE594" s="529"/>
      <c r="AF594" s="529"/>
      <c r="AG594" s="556"/>
      <c r="AH594" s="528"/>
    </row>
    <row r="595">
      <c r="A595" s="564"/>
      <c r="B595" s="565"/>
      <c r="C595" s="565"/>
      <c r="D595" s="565"/>
      <c r="E595" s="565"/>
      <c r="F595" s="565"/>
      <c r="G595" s="565"/>
      <c r="H595" s="565"/>
      <c r="I595" s="565"/>
      <c r="J595" s="565"/>
      <c r="K595" s="565"/>
      <c r="L595" s="565"/>
      <c r="M595" s="565"/>
      <c r="N595" s="529"/>
      <c r="O595" s="529"/>
      <c r="P595" s="529"/>
      <c r="Q595" s="529"/>
      <c r="R595" s="529"/>
      <c r="S595" s="529"/>
      <c r="T595" s="529"/>
      <c r="U595" s="529"/>
      <c r="V595" s="529"/>
      <c r="W595" s="529"/>
      <c r="X595" s="529"/>
      <c r="Y595" s="529"/>
      <c r="Z595" s="529"/>
      <c r="AA595" s="529"/>
      <c r="AB595" s="529"/>
      <c r="AC595" s="529"/>
      <c r="AD595" s="529"/>
      <c r="AE595" s="529"/>
      <c r="AF595" s="529"/>
      <c r="AG595" s="556"/>
      <c r="AH595" s="528"/>
    </row>
    <row r="596">
      <c r="A596" s="564"/>
      <c r="B596" s="565"/>
      <c r="C596" s="565"/>
      <c r="D596" s="565"/>
      <c r="E596" s="565"/>
      <c r="F596" s="565"/>
      <c r="G596" s="565"/>
      <c r="H596" s="565"/>
      <c r="I596" s="565"/>
      <c r="J596" s="565"/>
      <c r="K596" s="565"/>
      <c r="L596" s="565"/>
      <c r="M596" s="565"/>
      <c r="N596" s="529"/>
      <c r="O596" s="529"/>
      <c r="P596" s="529"/>
      <c r="Q596" s="529"/>
      <c r="R596" s="529"/>
      <c r="S596" s="529"/>
      <c r="T596" s="529"/>
      <c r="U596" s="529"/>
      <c r="V596" s="529"/>
      <c r="W596" s="529"/>
      <c r="X596" s="529"/>
      <c r="Y596" s="529"/>
      <c r="Z596" s="529"/>
      <c r="AA596" s="529"/>
      <c r="AB596" s="529"/>
      <c r="AC596" s="529"/>
      <c r="AD596" s="529"/>
      <c r="AE596" s="529"/>
      <c r="AF596" s="529"/>
      <c r="AG596" s="556"/>
      <c r="AH596" s="528"/>
    </row>
    <row r="597">
      <c r="A597" s="564"/>
      <c r="B597" s="565"/>
      <c r="C597" s="565"/>
      <c r="D597" s="565"/>
      <c r="E597" s="565"/>
      <c r="F597" s="565"/>
      <c r="G597" s="565"/>
      <c r="H597" s="565"/>
      <c r="I597" s="565"/>
      <c r="J597" s="565"/>
      <c r="K597" s="565"/>
      <c r="L597" s="565"/>
      <c r="M597" s="565"/>
      <c r="N597" s="529"/>
      <c r="O597" s="529"/>
      <c r="P597" s="529"/>
      <c r="Q597" s="529"/>
      <c r="R597" s="529"/>
      <c r="S597" s="529"/>
      <c r="T597" s="529"/>
      <c r="U597" s="529"/>
      <c r="V597" s="529"/>
      <c r="W597" s="529"/>
      <c r="X597" s="529"/>
      <c r="Y597" s="529"/>
      <c r="Z597" s="529"/>
      <c r="AA597" s="529"/>
      <c r="AB597" s="529"/>
      <c r="AC597" s="529"/>
      <c r="AD597" s="529"/>
      <c r="AE597" s="529"/>
      <c r="AF597" s="529"/>
      <c r="AG597" s="556"/>
      <c r="AH597" s="528"/>
    </row>
    <row r="598">
      <c r="A598" s="564"/>
      <c r="B598" s="565"/>
      <c r="C598" s="565"/>
      <c r="D598" s="565"/>
      <c r="E598" s="565"/>
      <c r="F598" s="565"/>
      <c r="G598" s="565"/>
      <c r="H598" s="565"/>
      <c r="I598" s="565"/>
      <c r="J598" s="565"/>
      <c r="K598" s="565"/>
      <c r="L598" s="565"/>
      <c r="M598" s="565"/>
      <c r="N598" s="529"/>
      <c r="O598" s="529"/>
      <c r="P598" s="529"/>
      <c r="Q598" s="529"/>
      <c r="R598" s="529"/>
      <c r="S598" s="529"/>
      <c r="T598" s="529"/>
      <c r="U598" s="529"/>
      <c r="V598" s="529"/>
      <c r="W598" s="529"/>
      <c r="X598" s="529"/>
      <c r="Y598" s="529"/>
      <c r="Z598" s="529"/>
      <c r="AA598" s="529"/>
      <c r="AB598" s="529"/>
      <c r="AC598" s="529"/>
      <c r="AD598" s="529"/>
      <c r="AE598" s="529"/>
      <c r="AF598" s="529"/>
      <c r="AG598" s="556"/>
      <c r="AH598" s="528"/>
    </row>
    <row r="599">
      <c r="A599" s="564"/>
      <c r="B599" s="565"/>
      <c r="C599" s="565"/>
      <c r="D599" s="565"/>
      <c r="E599" s="565"/>
      <c r="F599" s="565"/>
      <c r="G599" s="565"/>
      <c r="H599" s="565"/>
      <c r="I599" s="565"/>
      <c r="J599" s="565"/>
      <c r="K599" s="565"/>
      <c r="L599" s="565"/>
      <c r="M599" s="565"/>
      <c r="N599" s="529"/>
      <c r="O599" s="529"/>
      <c r="P599" s="529"/>
      <c r="Q599" s="529"/>
      <c r="R599" s="529"/>
      <c r="S599" s="529"/>
      <c r="T599" s="529"/>
      <c r="U599" s="529"/>
      <c r="V599" s="529"/>
      <c r="W599" s="529"/>
      <c r="X599" s="529"/>
      <c r="Y599" s="529"/>
      <c r="Z599" s="529"/>
      <c r="AA599" s="529"/>
      <c r="AB599" s="529"/>
      <c r="AC599" s="529"/>
      <c r="AD599" s="529"/>
      <c r="AE599" s="529"/>
      <c r="AF599" s="529"/>
      <c r="AG599" s="556"/>
      <c r="AH599" s="528"/>
    </row>
    <row r="600">
      <c r="A600" s="564"/>
      <c r="B600" s="565"/>
      <c r="C600" s="565"/>
      <c r="D600" s="565"/>
      <c r="E600" s="565"/>
      <c r="F600" s="565"/>
      <c r="G600" s="565"/>
      <c r="H600" s="565"/>
      <c r="I600" s="565"/>
      <c r="J600" s="565"/>
      <c r="K600" s="565"/>
      <c r="L600" s="565"/>
      <c r="M600" s="565"/>
      <c r="N600" s="529"/>
      <c r="O600" s="529"/>
      <c r="P600" s="529"/>
      <c r="Q600" s="529"/>
      <c r="R600" s="529"/>
      <c r="S600" s="529"/>
      <c r="T600" s="529"/>
      <c r="U600" s="529"/>
      <c r="V600" s="529"/>
      <c r="W600" s="529"/>
      <c r="X600" s="529"/>
      <c r="Y600" s="529"/>
      <c r="Z600" s="529"/>
      <c r="AA600" s="529"/>
      <c r="AB600" s="529"/>
      <c r="AC600" s="529"/>
      <c r="AD600" s="529"/>
      <c r="AE600" s="529"/>
      <c r="AF600" s="529"/>
      <c r="AG600" s="556"/>
      <c r="AH600" s="528"/>
    </row>
    <row r="601">
      <c r="A601" s="564"/>
      <c r="B601" s="565"/>
      <c r="C601" s="565"/>
      <c r="D601" s="565"/>
      <c r="E601" s="565"/>
      <c r="F601" s="565"/>
      <c r="G601" s="565"/>
      <c r="H601" s="565"/>
      <c r="I601" s="565"/>
      <c r="J601" s="565"/>
      <c r="K601" s="565"/>
      <c r="L601" s="565"/>
      <c r="M601" s="565"/>
      <c r="N601" s="529"/>
      <c r="O601" s="529"/>
      <c r="P601" s="529"/>
      <c r="Q601" s="529"/>
      <c r="R601" s="529"/>
      <c r="S601" s="529"/>
      <c r="T601" s="529"/>
      <c r="U601" s="529"/>
      <c r="V601" s="529"/>
      <c r="W601" s="529"/>
      <c r="X601" s="529"/>
      <c r="Y601" s="529"/>
      <c r="Z601" s="529"/>
      <c r="AA601" s="529"/>
      <c r="AB601" s="529"/>
      <c r="AC601" s="529"/>
      <c r="AD601" s="529"/>
      <c r="AE601" s="529"/>
      <c r="AF601" s="529"/>
      <c r="AG601" s="556"/>
      <c r="AH601" s="528"/>
    </row>
    <row r="602">
      <c r="A602" s="564"/>
      <c r="B602" s="565"/>
      <c r="C602" s="565"/>
      <c r="D602" s="565"/>
      <c r="E602" s="565"/>
      <c r="F602" s="565"/>
      <c r="G602" s="565"/>
      <c r="H602" s="565"/>
      <c r="I602" s="565"/>
      <c r="J602" s="565"/>
      <c r="K602" s="565"/>
      <c r="L602" s="565"/>
      <c r="M602" s="565"/>
      <c r="N602" s="529"/>
      <c r="O602" s="529"/>
      <c r="P602" s="529"/>
      <c r="Q602" s="529"/>
      <c r="R602" s="529"/>
      <c r="S602" s="529"/>
      <c r="T602" s="529"/>
      <c r="U602" s="529"/>
      <c r="V602" s="529"/>
      <c r="W602" s="529"/>
      <c r="X602" s="529"/>
      <c r="Y602" s="529"/>
      <c r="Z602" s="529"/>
      <c r="AA602" s="529"/>
      <c r="AB602" s="529"/>
      <c r="AC602" s="529"/>
      <c r="AD602" s="529"/>
      <c r="AE602" s="529"/>
      <c r="AF602" s="529"/>
      <c r="AG602" s="556"/>
      <c r="AH602" s="528"/>
    </row>
    <row r="603">
      <c r="A603" s="564"/>
      <c r="B603" s="565"/>
      <c r="C603" s="565"/>
      <c r="D603" s="565"/>
      <c r="E603" s="565"/>
      <c r="F603" s="565"/>
      <c r="G603" s="565"/>
      <c r="H603" s="565"/>
      <c r="I603" s="565"/>
      <c r="J603" s="565"/>
      <c r="K603" s="565"/>
      <c r="L603" s="565"/>
      <c r="M603" s="565"/>
      <c r="N603" s="529"/>
      <c r="O603" s="529"/>
      <c r="P603" s="529"/>
      <c r="Q603" s="529"/>
      <c r="R603" s="529"/>
      <c r="S603" s="529"/>
      <c r="T603" s="529"/>
      <c r="U603" s="529"/>
      <c r="V603" s="529"/>
      <c r="W603" s="529"/>
      <c r="X603" s="529"/>
      <c r="Y603" s="529"/>
      <c r="Z603" s="529"/>
      <c r="AA603" s="529"/>
      <c r="AB603" s="529"/>
      <c r="AC603" s="529"/>
      <c r="AD603" s="529"/>
      <c r="AE603" s="529"/>
      <c r="AF603" s="529"/>
      <c r="AG603" s="556"/>
      <c r="AH603" s="528"/>
    </row>
    <row r="604">
      <c r="A604" s="564"/>
      <c r="B604" s="565"/>
      <c r="C604" s="565"/>
      <c r="D604" s="565"/>
      <c r="E604" s="565"/>
      <c r="F604" s="565"/>
      <c r="G604" s="565"/>
      <c r="H604" s="565"/>
      <c r="I604" s="565"/>
      <c r="J604" s="565"/>
      <c r="K604" s="565"/>
      <c r="L604" s="565"/>
      <c r="M604" s="565"/>
      <c r="N604" s="529"/>
      <c r="O604" s="529"/>
      <c r="P604" s="529"/>
      <c r="Q604" s="529"/>
      <c r="R604" s="529"/>
      <c r="S604" s="529"/>
      <c r="T604" s="529"/>
      <c r="U604" s="529"/>
      <c r="V604" s="529"/>
      <c r="W604" s="529"/>
      <c r="X604" s="529"/>
      <c r="Y604" s="529"/>
      <c r="Z604" s="529"/>
      <c r="AA604" s="529"/>
      <c r="AB604" s="529"/>
      <c r="AC604" s="529"/>
      <c r="AD604" s="529"/>
      <c r="AE604" s="529"/>
      <c r="AF604" s="529"/>
      <c r="AG604" s="556"/>
      <c r="AH604" s="528"/>
    </row>
    <row r="605">
      <c r="A605" s="564"/>
      <c r="B605" s="565"/>
      <c r="C605" s="565"/>
      <c r="D605" s="565"/>
      <c r="E605" s="565"/>
      <c r="F605" s="565"/>
      <c r="G605" s="565"/>
      <c r="H605" s="565"/>
      <c r="I605" s="565"/>
      <c r="J605" s="565"/>
      <c r="K605" s="565"/>
      <c r="L605" s="565"/>
      <c r="M605" s="565"/>
      <c r="N605" s="529"/>
      <c r="O605" s="529"/>
      <c r="P605" s="529"/>
      <c r="Q605" s="529"/>
      <c r="R605" s="529"/>
      <c r="S605" s="529"/>
      <c r="T605" s="529"/>
      <c r="U605" s="529"/>
      <c r="V605" s="529"/>
      <c r="W605" s="529"/>
      <c r="X605" s="529"/>
      <c r="Y605" s="529"/>
      <c r="Z605" s="529"/>
      <c r="AA605" s="529"/>
      <c r="AB605" s="529"/>
      <c r="AC605" s="529"/>
      <c r="AD605" s="529"/>
      <c r="AE605" s="529"/>
      <c r="AF605" s="529"/>
      <c r="AG605" s="556"/>
      <c r="AH605" s="528"/>
    </row>
    <row r="606">
      <c r="A606" s="564"/>
      <c r="B606" s="565"/>
      <c r="C606" s="565"/>
      <c r="D606" s="565"/>
      <c r="E606" s="565"/>
      <c r="F606" s="565"/>
      <c r="G606" s="565"/>
      <c r="H606" s="565"/>
      <c r="I606" s="565"/>
      <c r="J606" s="565"/>
      <c r="K606" s="565"/>
      <c r="L606" s="565"/>
      <c r="M606" s="565"/>
      <c r="N606" s="529"/>
      <c r="O606" s="529"/>
      <c r="P606" s="529"/>
      <c r="Q606" s="529"/>
      <c r="R606" s="529"/>
      <c r="S606" s="529"/>
      <c r="T606" s="529"/>
      <c r="U606" s="529"/>
      <c r="V606" s="529"/>
      <c r="W606" s="529"/>
      <c r="X606" s="529"/>
      <c r="Y606" s="529"/>
      <c r="Z606" s="529"/>
      <c r="AA606" s="529"/>
      <c r="AB606" s="529"/>
      <c r="AC606" s="529"/>
      <c r="AD606" s="529"/>
      <c r="AE606" s="529"/>
      <c r="AF606" s="529"/>
      <c r="AG606" s="556"/>
      <c r="AH606" s="528"/>
    </row>
    <row r="607">
      <c r="A607" s="564"/>
      <c r="B607" s="565"/>
      <c r="C607" s="565"/>
      <c r="D607" s="565"/>
      <c r="E607" s="565"/>
      <c r="F607" s="565"/>
      <c r="G607" s="565"/>
      <c r="H607" s="565"/>
      <c r="I607" s="565"/>
      <c r="J607" s="565"/>
      <c r="K607" s="565"/>
      <c r="L607" s="565"/>
      <c r="M607" s="565"/>
      <c r="N607" s="529"/>
      <c r="O607" s="529"/>
      <c r="P607" s="529"/>
      <c r="Q607" s="529"/>
      <c r="R607" s="529"/>
      <c r="S607" s="529"/>
      <c r="T607" s="529"/>
      <c r="U607" s="529"/>
      <c r="V607" s="529"/>
      <c r="W607" s="529"/>
      <c r="X607" s="529"/>
      <c r="Y607" s="529"/>
      <c r="Z607" s="529"/>
      <c r="AA607" s="529"/>
      <c r="AB607" s="529"/>
      <c r="AC607" s="529"/>
      <c r="AD607" s="529"/>
      <c r="AE607" s="529"/>
      <c r="AF607" s="529"/>
      <c r="AG607" s="556"/>
      <c r="AH607" s="528"/>
    </row>
    <row r="608">
      <c r="A608" s="564"/>
      <c r="B608" s="565"/>
      <c r="C608" s="565"/>
      <c r="D608" s="565"/>
      <c r="E608" s="565"/>
      <c r="F608" s="565"/>
      <c r="G608" s="565"/>
      <c r="H608" s="565"/>
      <c r="I608" s="565"/>
      <c r="J608" s="565"/>
      <c r="K608" s="565"/>
      <c r="L608" s="565"/>
      <c r="M608" s="565"/>
      <c r="N608" s="529"/>
      <c r="O608" s="529"/>
      <c r="P608" s="529"/>
      <c r="Q608" s="529"/>
      <c r="R608" s="529"/>
      <c r="S608" s="529"/>
      <c r="T608" s="529"/>
      <c r="U608" s="529"/>
      <c r="V608" s="529"/>
      <c r="W608" s="529"/>
      <c r="X608" s="529"/>
      <c r="Y608" s="529"/>
      <c r="Z608" s="529"/>
      <c r="AA608" s="529"/>
      <c r="AB608" s="529"/>
      <c r="AC608" s="529"/>
      <c r="AD608" s="529"/>
      <c r="AE608" s="529"/>
      <c r="AF608" s="529"/>
      <c r="AG608" s="556"/>
      <c r="AH608" s="528"/>
    </row>
    <row r="609">
      <c r="A609" s="564"/>
      <c r="B609" s="565"/>
      <c r="C609" s="565"/>
      <c r="D609" s="565"/>
      <c r="E609" s="565"/>
      <c r="F609" s="565"/>
      <c r="G609" s="565"/>
      <c r="H609" s="565"/>
      <c r="I609" s="565"/>
      <c r="J609" s="565"/>
      <c r="K609" s="565"/>
      <c r="L609" s="565"/>
      <c r="M609" s="565"/>
      <c r="N609" s="529"/>
      <c r="O609" s="529"/>
      <c r="P609" s="529"/>
      <c r="Q609" s="529"/>
      <c r="R609" s="529"/>
      <c r="S609" s="529"/>
      <c r="T609" s="529"/>
      <c r="U609" s="529"/>
      <c r="V609" s="529"/>
      <c r="W609" s="529"/>
      <c r="X609" s="529"/>
      <c r="Y609" s="529"/>
      <c r="Z609" s="529"/>
      <c r="AA609" s="529"/>
      <c r="AB609" s="529"/>
      <c r="AC609" s="529"/>
      <c r="AD609" s="529"/>
      <c r="AE609" s="529"/>
      <c r="AF609" s="529"/>
      <c r="AG609" s="556"/>
      <c r="AH609" s="528"/>
    </row>
    <row r="610">
      <c r="A610" s="564"/>
      <c r="B610" s="565"/>
      <c r="C610" s="565"/>
      <c r="D610" s="565"/>
      <c r="E610" s="565"/>
      <c r="F610" s="565"/>
      <c r="G610" s="565"/>
      <c r="H610" s="565"/>
      <c r="I610" s="565"/>
      <c r="J610" s="565"/>
      <c r="K610" s="565"/>
      <c r="L610" s="565"/>
      <c r="M610" s="565"/>
      <c r="N610" s="529"/>
      <c r="O610" s="529"/>
      <c r="P610" s="529"/>
      <c r="Q610" s="529"/>
      <c r="R610" s="529"/>
      <c r="S610" s="529"/>
      <c r="T610" s="529"/>
      <c r="U610" s="529"/>
      <c r="V610" s="529"/>
      <c r="W610" s="529"/>
      <c r="X610" s="529"/>
      <c r="Y610" s="529"/>
      <c r="Z610" s="529"/>
      <c r="AA610" s="529"/>
      <c r="AB610" s="529"/>
      <c r="AC610" s="529"/>
      <c r="AD610" s="529"/>
      <c r="AE610" s="529"/>
      <c r="AF610" s="529"/>
      <c r="AG610" s="556"/>
      <c r="AH610" s="528"/>
    </row>
    <row r="611">
      <c r="A611" s="564"/>
      <c r="B611" s="565"/>
      <c r="C611" s="565"/>
      <c r="D611" s="565"/>
      <c r="E611" s="565"/>
      <c r="F611" s="565"/>
      <c r="G611" s="565"/>
      <c r="H611" s="565"/>
      <c r="I611" s="565"/>
      <c r="J611" s="565"/>
      <c r="K611" s="565"/>
      <c r="L611" s="565"/>
      <c r="M611" s="565"/>
      <c r="N611" s="529"/>
      <c r="O611" s="529"/>
      <c r="P611" s="529"/>
      <c r="Q611" s="529"/>
      <c r="R611" s="529"/>
      <c r="S611" s="529"/>
      <c r="T611" s="529"/>
      <c r="U611" s="529"/>
      <c r="V611" s="529"/>
      <c r="W611" s="529"/>
      <c r="X611" s="529"/>
      <c r="Y611" s="529"/>
      <c r="Z611" s="529"/>
      <c r="AA611" s="529"/>
      <c r="AB611" s="529"/>
      <c r="AC611" s="529"/>
      <c r="AD611" s="529"/>
      <c r="AE611" s="529"/>
      <c r="AF611" s="529"/>
      <c r="AG611" s="556"/>
      <c r="AH611" s="528"/>
    </row>
    <row r="612">
      <c r="A612" s="564"/>
      <c r="B612" s="565"/>
      <c r="C612" s="565"/>
      <c r="D612" s="565"/>
      <c r="E612" s="565"/>
      <c r="F612" s="565"/>
      <c r="G612" s="565"/>
      <c r="H612" s="565"/>
      <c r="I612" s="565"/>
      <c r="J612" s="565"/>
      <c r="K612" s="565"/>
      <c r="L612" s="565"/>
      <c r="M612" s="565"/>
      <c r="N612" s="529"/>
      <c r="O612" s="529"/>
      <c r="P612" s="529"/>
      <c r="Q612" s="529"/>
      <c r="R612" s="529"/>
      <c r="S612" s="529"/>
      <c r="T612" s="529"/>
      <c r="U612" s="529"/>
      <c r="V612" s="529"/>
      <c r="W612" s="529"/>
      <c r="X612" s="529"/>
      <c r="Y612" s="529"/>
      <c r="Z612" s="529"/>
      <c r="AA612" s="529"/>
      <c r="AB612" s="529"/>
      <c r="AC612" s="529"/>
      <c r="AD612" s="529"/>
      <c r="AE612" s="529"/>
      <c r="AF612" s="529"/>
      <c r="AG612" s="556"/>
      <c r="AH612" s="528"/>
    </row>
    <row r="613">
      <c r="A613" s="564"/>
      <c r="B613" s="565"/>
      <c r="C613" s="565"/>
      <c r="D613" s="565"/>
      <c r="E613" s="565"/>
      <c r="F613" s="565"/>
      <c r="G613" s="565"/>
      <c r="H613" s="565"/>
      <c r="I613" s="565"/>
      <c r="J613" s="565"/>
      <c r="K613" s="565"/>
      <c r="L613" s="565"/>
      <c r="M613" s="565"/>
      <c r="N613" s="529"/>
      <c r="O613" s="529"/>
      <c r="P613" s="529"/>
      <c r="Q613" s="529"/>
      <c r="R613" s="529"/>
      <c r="S613" s="529"/>
      <c r="T613" s="529"/>
      <c r="U613" s="529"/>
      <c r="V613" s="529"/>
      <c r="W613" s="529"/>
      <c r="X613" s="529"/>
      <c r="Y613" s="529"/>
      <c r="Z613" s="529"/>
      <c r="AA613" s="529"/>
      <c r="AB613" s="529"/>
      <c r="AC613" s="529"/>
      <c r="AD613" s="529"/>
      <c r="AE613" s="529"/>
      <c r="AF613" s="529"/>
      <c r="AG613" s="556"/>
      <c r="AH613" s="528"/>
    </row>
    <row r="614">
      <c r="A614" s="564"/>
      <c r="B614" s="565"/>
      <c r="C614" s="565"/>
      <c r="D614" s="565"/>
      <c r="E614" s="565"/>
      <c r="F614" s="565"/>
      <c r="G614" s="565"/>
      <c r="H614" s="565"/>
      <c r="I614" s="565"/>
      <c r="J614" s="565"/>
      <c r="K614" s="565"/>
      <c r="L614" s="565"/>
      <c r="M614" s="565"/>
      <c r="N614" s="529"/>
      <c r="O614" s="529"/>
      <c r="P614" s="529"/>
      <c r="Q614" s="529"/>
      <c r="R614" s="529"/>
      <c r="S614" s="529"/>
      <c r="T614" s="529"/>
      <c r="U614" s="529"/>
      <c r="V614" s="529"/>
      <c r="W614" s="529"/>
      <c r="X614" s="529"/>
      <c r="Y614" s="529"/>
      <c r="Z614" s="529"/>
      <c r="AA614" s="529"/>
      <c r="AB614" s="529"/>
      <c r="AC614" s="529"/>
      <c r="AD614" s="529"/>
      <c r="AE614" s="529"/>
      <c r="AF614" s="529"/>
      <c r="AG614" s="556"/>
      <c r="AH614" s="528"/>
    </row>
    <row r="615">
      <c r="A615" s="564"/>
      <c r="B615" s="565"/>
      <c r="C615" s="565"/>
      <c r="D615" s="565"/>
      <c r="E615" s="565"/>
      <c r="F615" s="565"/>
      <c r="G615" s="565"/>
      <c r="H615" s="565"/>
      <c r="I615" s="565"/>
      <c r="J615" s="565"/>
      <c r="K615" s="565"/>
      <c r="L615" s="565"/>
      <c r="M615" s="565"/>
      <c r="N615" s="529"/>
      <c r="O615" s="529"/>
      <c r="P615" s="529"/>
      <c r="Q615" s="529"/>
      <c r="R615" s="529"/>
      <c r="S615" s="529"/>
      <c r="T615" s="529"/>
      <c r="U615" s="529"/>
      <c r="V615" s="529"/>
      <c r="W615" s="529"/>
      <c r="X615" s="529"/>
      <c r="Y615" s="529"/>
      <c r="Z615" s="529"/>
      <c r="AA615" s="529"/>
      <c r="AB615" s="529"/>
      <c r="AC615" s="529"/>
      <c r="AD615" s="529"/>
      <c r="AE615" s="529"/>
      <c r="AF615" s="529"/>
      <c r="AG615" s="556"/>
      <c r="AH615" s="528"/>
    </row>
    <row r="616">
      <c r="A616" s="564"/>
      <c r="B616" s="565"/>
      <c r="C616" s="565"/>
      <c r="D616" s="565"/>
      <c r="E616" s="565"/>
      <c r="F616" s="565"/>
      <c r="G616" s="565"/>
      <c r="H616" s="565"/>
      <c r="I616" s="565"/>
      <c r="J616" s="565"/>
      <c r="K616" s="565"/>
      <c r="L616" s="565"/>
      <c r="M616" s="565"/>
      <c r="N616" s="529"/>
      <c r="O616" s="529"/>
      <c r="P616" s="529"/>
      <c r="Q616" s="529"/>
      <c r="R616" s="529"/>
      <c r="S616" s="529"/>
      <c r="T616" s="529"/>
      <c r="U616" s="529"/>
      <c r="V616" s="529"/>
      <c r="W616" s="529"/>
      <c r="X616" s="529"/>
      <c r="Y616" s="529"/>
      <c r="Z616" s="529"/>
      <c r="AA616" s="529"/>
      <c r="AB616" s="529"/>
      <c r="AC616" s="529"/>
      <c r="AD616" s="529"/>
      <c r="AE616" s="529"/>
      <c r="AF616" s="529"/>
      <c r="AG616" s="556"/>
      <c r="AH616" s="528"/>
    </row>
    <row r="617">
      <c r="A617" s="564"/>
      <c r="B617" s="565"/>
      <c r="C617" s="565"/>
      <c r="D617" s="565"/>
      <c r="E617" s="565"/>
      <c r="F617" s="565"/>
      <c r="G617" s="565"/>
      <c r="H617" s="565"/>
      <c r="I617" s="565"/>
      <c r="J617" s="565"/>
      <c r="K617" s="565"/>
      <c r="L617" s="565"/>
      <c r="M617" s="565"/>
      <c r="N617" s="529"/>
      <c r="O617" s="529"/>
      <c r="P617" s="529"/>
      <c r="Q617" s="529"/>
      <c r="R617" s="529"/>
      <c r="S617" s="529"/>
      <c r="T617" s="529"/>
      <c r="U617" s="529"/>
      <c r="V617" s="529"/>
      <c r="W617" s="529"/>
      <c r="X617" s="529"/>
      <c r="Y617" s="529"/>
      <c r="Z617" s="529"/>
      <c r="AA617" s="529"/>
      <c r="AB617" s="529"/>
      <c r="AC617" s="529"/>
      <c r="AD617" s="529"/>
      <c r="AE617" s="529"/>
      <c r="AF617" s="529"/>
      <c r="AG617" s="556"/>
      <c r="AH617" s="528"/>
    </row>
    <row r="618">
      <c r="A618" s="564"/>
      <c r="B618" s="565"/>
      <c r="C618" s="565"/>
      <c r="D618" s="565"/>
      <c r="E618" s="565"/>
      <c r="F618" s="565"/>
      <c r="G618" s="565"/>
      <c r="H618" s="565"/>
      <c r="I618" s="565"/>
      <c r="J618" s="565"/>
      <c r="K618" s="565"/>
      <c r="L618" s="565"/>
      <c r="M618" s="565"/>
      <c r="N618" s="529"/>
      <c r="O618" s="529"/>
      <c r="P618" s="529"/>
      <c r="Q618" s="529"/>
      <c r="R618" s="529"/>
      <c r="S618" s="529"/>
      <c r="T618" s="529"/>
      <c r="U618" s="529"/>
      <c r="V618" s="529"/>
      <c r="W618" s="529"/>
      <c r="X618" s="529"/>
      <c r="Y618" s="529"/>
      <c r="Z618" s="529"/>
      <c r="AA618" s="529"/>
      <c r="AB618" s="529"/>
      <c r="AC618" s="529"/>
      <c r="AD618" s="529"/>
      <c r="AE618" s="529"/>
      <c r="AF618" s="529"/>
      <c r="AG618" s="556"/>
      <c r="AH618" s="528"/>
    </row>
    <row r="619">
      <c r="A619" s="564"/>
      <c r="B619" s="565"/>
      <c r="C619" s="565"/>
      <c r="D619" s="565"/>
      <c r="E619" s="565"/>
      <c r="F619" s="565"/>
      <c r="G619" s="565"/>
      <c r="H619" s="565"/>
      <c r="I619" s="565"/>
      <c r="J619" s="565"/>
      <c r="K619" s="565"/>
      <c r="L619" s="565"/>
      <c r="M619" s="565"/>
      <c r="N619" s="529"/>
      <c r="O619" s="529"/>
      <c r="P619" s="529"/>
      <c r="Q619" s="529"/>
      <c r="R619" s="529"/>
      <c r="S619" s="529"/>
      <c r="T619" s="529"/>
      <c r="U619" s="529"/>
      <c r="V619" s="529"/>
      <c r="W619" s="529"/>
      <c r="X619" s="529"/>
      <c r="Y619" s="529"/>
      <c r="Z619" s="529"/>
      <c r="AA619" s="529"/>
      <c r="AB619" s="529"/>
      <c r="AC619" s="529"/>
      <c r="AD619" s="529"/>
      <c r="AE619" s="529"/>
      <c r="AF619" s="529"/>
      <c r="AG619" s="556"/>
      <c r="AH619" s="528"/>
    </row>
    <row r="620">
      <c r="A620" s="564"/>
      <c r="B620" s="565"/>
      <c r="C620" s="565"/>
      <c r="D620" s="565"/>
      <c r="E620" s="565"/>
      <c r="F620" s="565"/>
      <c r="G620" s="565"/>
      <c r="H620" s="565"/>
      <c r="I620" s="565"/>
      <c r="J620" s="565"/>
      <c r="K620" s="565"/>
      <c r="L620" s="565"/>
      <c r="M620" s="565"/>
      <c r="N620" s="529"/>
      <c r="O620" s="529"/>
      <c r="P620" s="529"/>
      <c r="Q620" s="529"/>
      <c r="R620" s="529"/>
      <c r="S620" s="529"/>
      <c r="T620" s="529"/>
      <c r="U620" s="529"/>
      <c r="V620" s="529"/>
      <c r="W620" s="529"/>
      <c r="X620" s="529"/>
      <c r="Y620" s="529"/>
      <c r="Z620" s="529"/>
      <c r="AA620" s="529"/>
      <c r="AB620" s="529"/>
      <c r="AC620" s="529"/>
      <c r="AD620" s="529"/>
      <c r="AE620" s="529"/>
      <c r="AF620" s="529"/>
      <c r="AG620" s="556"/>
      <c r="AH620" s="528"/>
    </row>
    <row r="621">
      <c r="A621" s="564"/>
      <c r="B621" s="565"/>
      <c r="C621" s="565"/>
      <c r="D621" s="565"/>
      <c r="E621" s="565"/>
      <c r="F621" s="565"/>
      <c r="G621" s="565"/>
      <c r="H621" s="565"/>
      <c r="I621" s="565"/>
      <c r="J621" s="565"/>
      <c r="K621" s="565"/>
      <c r="L621" s="565"/>
      <c r="M621" s="565"/>
      <c r="N621" s="529"/>
      <c r="O621" s="529"/>
      <c r="P621" s="529"/>
      <c r="Q621" s="529"/>
      <c r="R621" s="529"/>
      <c r="S621" s="529"/>
      <c r="T621" s="529"/>
      <c r="U621" s="529"/>
      <c r="V621" s="529"/>
      <c r="W621" s="529"/>
      <c r="X621" s="529"/>
      <c r="Y621" s="529"/>
      <c r="Z621" s="529"/>
      <c r="AA621" s="529"/>
      <c r="AB621" s="529"/>
      <c r="AC621" s="529"/>
      <c r="AD621" s="529"/>
      <c r="AE621" s="529"/>
      <c r="AF621" s="529"/>
      <c r="AG621" s="556"/>
      <c r="AH621" s="528"/>
    </row>
    <row r="622">
      <c r="A622" s="564"/>
      <c r="B622" s="565"/>
      <c r="C622" s="565"/>
      <c r="D622" s="565"/>
      <c r="E622" s="565"/>
      <c r="F622" s="565"/>
      <c r="G622" s="565"/>
      <c r="H622" s="565"/>
      <c r="I622" s="565"/>
      <c r="J622" s="565"/>
      <c r="K622" s="565"/>
      <c r="L622" s="565"/>
      <c r="M622" s="565"/>
      <c r="N622" s="529"/>
      <c r="O622" s="529"/>
      <c r="P622" s="529"/>
      <c r="Q622" s="529"/>
      <c r="R622" s="529"/>
      <c r="S622" s="529"/>
      <c r="T622" s="529"/>
      <c r="U622" s="529"/>
      <c r="V622" s="529"/>
      <c r="W622" s="529"/>
      <c r="X622" s="529"/>
      <c r="Y622" s="529"/>
      <c r="Z622" s="529"/>
      <c r="AA622" s="529"/>
      <c r="AB622" s="529"/>
      <c r="AC622" s="529"/>
      <c r="AD622" s="529"/>
      <c r="AE622" s="529"/>
      <c r="AF622" s="529"/>
      <c r="AG622" s="556"/>
      <c r="AH622" s="528"/>
    </row>
    <row r="623">
      <c r="A623" s="564"/>
      <c r="B623" s="565"/>
      <c r="C623" s="565"/>
      <c r="D623" s="565"/>
      <c r="E623" s="565"/>
      <c r="F623" s="565"/>
      <c r="G623" s="565"/>
      <c r="H623" s="565"/>
      <c r="I623" s="565"/>
      <c r="J623" s="565"/>
      <c r="K623" s="565"/>
      <c r="L623" s="565"/>
      <c r="M623" s="565"/>
      <c r="N623" s="529"/>
      <c r="O623" s="529"/>
      <c r="P623" s="529"/>
      <c r="Q623" s="529"/>
      <c r="R623" s="529"/>
      <c r="S623" s="529"/>
      <c r="T623" s="529"/>
      <c r="U623" s="529"/>
      <c r="V623" s="529"/>
      <c r="W623" s="529"/>
      <c r="X623" s="529"/>
      <c r="Y623" s="529"/>
      <c r="Z623" s="529"/>
      <c r="AA623" s="529"/>
      <c r="AB623" s="529"/>
      <c r="AC623" s="529"/>
      <c r="AD623" s="529"/>
      <c r="AE623" s="529"/>
      <c r="AF623" s="529"/>
      <c r="AG623" s="556"/>
      <c r="AH623" s="528"/>
    </row>
    <row r="624">
      <c r="A624" s="564"/>
      <c r="B624" s="565"/>
      <c r="C624" s="565"/>
      <c r="D624" s="565"/>
      <c r="E624" s="565"/>
      <c r="F624" s="565"/>
      <c r="G624" s="565"/>
      <c r="H624" s="565"/>
      <c r="I624" s="565"/>
      <c r="J624" s="565"/>
      <c r="K624" s="565"/>
      <c r="L624" s="565"/>
      <c r="M624" s="565"/>
      <c r="N624" s="529"/>
      <c r="O624" s="529"/>
      <c r="P624" s="529"/>
      <c r="Q624" s="529"/>
      <c r="R624" s="529"/>
      <c r="S624" s="529"/>
      <c r="T624" s="529"/>
      <c r="U624" s="529"/>
      <c r="V624" s="529"/>
      <c r="W624" s="529"/>
      <c r="X624" s="529"/>
      <c r="Y624" s="529"/>
      <c r="Z624" s="529"/>
      <c r="AA624" s="529"/>
      <c r="AB624" s="529"/>
      <c r="AC624" s="529"/>
      <c r="AD624" s="529"/>
      <c r="AE624" s="529"/>
      <c r="AF624" s="529"/>
      <c r="AG624" s="556"/>
      <c r="AH624" s="528"/>
    </row>
    <row r="625">
      <c r="A625" s="564"/>
      <c r="B625" s="565"/>
      <c r="C625" s="565"/>
      <c r="D625" s="565"/>
      <c r="E625" s="565"/>
      <c r="F625" s="565"/>
      <c r="G625" s="565"/>
      <c r="H625" s="565"/>
      <c r="I625" s="565"/>
      <c r="J625" s="565"/>
      <c r="K625" s="565"/>
      <c r="L625" s="565"/>
      <c r="M625" s="565"/>
      <c r="N625" s="529"/>
      <c r="O625" s="529"/>
      <c r="P625" s="529"/>
      <c r="Q625" s="529"/>
      <c r="R625" s="529"/>
      <c r="S625" s="529"/>
      <c r="T625" s="529"/>
      <c r="U625" s="529"/>
      <c r="V625" s="529"/>
      <c r="W625" s="529"/>
      <c r="X625" s="529"/>
      <c r="Y625" s="529"/>
      <c r="Z625" s="529"/>
      <c r="AA625" s="529"/>
      <c r="AB625" s="529"/>
      <c r="AC625" s="529"/>
      <c r="AD625" s="529"/>
      <c r="AE625" s="529"/>
      <c r="AF625" s="529"/>
      <c r="AG625" s="556"/>
      <c r="AH625" s="528"/>
    </row>
    <row r="626">
      <c r="A626" s="564"/>
      <c r="B626" s="565"/>
      <c r="C626" s="565"/>
      <c r="D626" s="565"/>
      <c r="E626" s="565"/>
      <c r="F626" s="565"/>
      <c r="G626" s="565"/>
      <c r="H626" s="565"/>
      <c r="I626" s="565"/>
      <c r="J626" s="565"/>
      <c r="K626" s="565"/>
      <c r="L626" s="565"/>
      <c r="M626" s="565"/>
      <c r="N626" s="529"/>
      <c r="O626" s="529"/>
      <c r="P626" s="529"/>
      <c r="Q626" s="529"/>
      <c r="R626" s="529"/>
      <c r="S626" s="529"/>
      <c r="T626" s="529"/>
      <c r="U626" s="529"/>
      <c r="V626" s="529"/>
      <c r="W626" s="529"/>
      <c r="X626" s="529"/>
      <c r="Y626" s="529"/>
      <c r="Z626" s="529"/>
      <c r="AA626" s="529"/>
      <c r="AB626" s="529"/>
      <c r="AC626" s="529"/>
      <c r="AD626" s="529"/>
      <c r="AE626" s="529"/>
      <c r="AF626" s="529"/>
      <c r="AG626" s="556"/>
      <c r="AH626" s="528"/>
    </row>
    <row r="627">
      <c r="A627" s="564"/>
      <c r="B627" s="565"/>
      <c r="C627" s="565"/>
      <c r="D627" s="565"/>
      <c r="E627" s="565"/>
      <c r="F627" s="565"/>
      <c r="G627" s="565"/>
      <c r="H627" s="565"/>
      <c r="I627" s="565"/>
      <c r="J627" s="565"/>
      <c r="K627" s="565"/>
      <c r="L627" s="565"/>
      <c r="M627" s="565"/>
      <c r="N627" s="529"/>
      <c r="O627" s="529"/>
      <c r="P627" s="529"/>
      <c r="Q627" s="529"/>
      <c r="R627" s="529"/>
      <c r="S627" s="529"/>
      <c r="T627" s="529"/>
      <c r="U627" s="529"/>
      <c r="V627" s="529"/>
      <c r="W627" s="529"/>
      <c r="X627" s="529"/>
      <c r="Y627" s="529"/>
      <c r="Z627" s="529"/>
      <c r="AA627" s="529"/>
      <c r="AB627" s="529"/>
      <c r="AC627" s="529"/>
      <c r="AD627" s="529"/>
      <c r="AE627" s="529"/>
      <c r="AF627" s="529"/>
      <c r="AG627" s="556"/>
      <c r="AH627" s="528"/>
    </row>
    <row r="628">
      <c r="A628" s="564"/>
      <c r="B628" s="565"/>
      <c r="C628" s="565"/>
      <c r="D628" s="565"/>
      <c r="E628" s="565"/>
      <c r="F628" s="565"/>
      <c r="G628" s="565"/>
      <c r="H628" s="565"/>
      <c r="I628" s="565"/>
      <c r="J628" s="565"/>
      <c r="K628" s="565"/>
      <c r="L628" s="565"/>
      <c r="M628" s="565"/>
      <c r="N628" s="529"/>
      <c r="O628" s="529"/>
      <c r="P628" s="529"/>
      <c r="Q628" s="529"/>
      <c r="R628" s="529"/>
      <c r="S628" s="529"/>
      <c r="T628" s="529"/>
      <c r="U628" s="529"/>
      <c r="V628" s="529"/>
      <c r="W628" s="529"/>
      <c r="X628" s="529"/>
      <c r="Y628" s="529"/>
      <c r="Z628" s="529"/>
      <c r="AA628" s="529"/>
      <c r="AB628" s="529"/>
      <c r="AC628" s="529"/>
      <c r="AD628" s="529"/>
      <c r="AE628" s="529"/>
      <c r="AF628" s="529"/>
      <c r="AG628" s="556"/>
      <c r="AH628" s="528"/>
    </row>
    <row r="629">
      <c r="A629" s="564"/>
      <c r="B629" s="565"/>
      <c r="C629" s="565"/>
      <c r="D629" s="565"/>
      <c r="E629" s="565"/>
      <c r="F629" s="565"/>
      <c r="G629" s="565"/>
      <c r="H629" s="565"/>
      <c r="I629" s="565"/>
      <c r="J629" s="565"/>
      <c r="K629" s="565"/>
      <c r="L629" s="565"/>
      <c r="M629" s="565"/>
      <c r="N629" s="529"/>
      <c r="O629" s="529"/>
      <c r="P629" s="529"/>
      <c r="Q629" s="529"/>
      <c r="R629" s="529"/>
      <c r="S629" s="529"/>
      <c r="T629" s="529"/>
      <c r="U629" s="529"/>
      <c r="V629" s="529"/>
      <c r="W629" s="529"/>
      <c r="X629" s="529"/>
      <c r="Y629" s="529"/>
      <c r="Z629" s="529"/>
      <c r="AA629" s="529"/>
      <c r="AB629" s="529"/>
      <c r="AC629" s="529"/>
      <c r="AD629" s="529"/>
      <c r="AE629" s="529"/>
      <c r="AF629" s="529"/>
      <c r="AG629" s="556"/>
      <c r="AH629" s="528"/>
    </row>
    <row r="630">
      <c r="A630" s="564"/>
      <c r="B630" s="565"/>
      <c r="C630" s="565"/>
      <c r="D630" s="565"/>
      <c r="E630" s="565"/>
      <c r="F630" s="565"/>
      <c r="G630" s="565"/>
      <c r="H630" s="565"/>
      <c r="I630" s="565"/>
      <c r="J630" s="565"/>
      <c r="K630" s="565"/>
      <c r="L630" s="565"/>
      <c r="M630" s="565"/>
      <c r="N630" s="529"/>
      <c r="O630" s="529"/>
      <c r="P630" s="529"/>
      <c r="Q630" s="529"/>
      <c r="R630" s="529"/>
      <c r="S630" s="529"/>
      <c r="T630" s="529"/>
      <c r="U630" s="529"/>
      <c r="V630" s="529"/>
      <c r="W630" s="529"/>
      <c r="X630" s="529"/>
      <c r="Y630" s="529"/>
      <c r="Z630" s="529"/>
      <c r="AA630" s="529"/>
      <c r="AB630" s="529"/>
      <c r="AC630" s="529"/>
      <c r="AD630" s="529"/>
      <c r="AE630" s="529"/>
      <c r="AF630" s="529"/>
      <c r="AG630" s="556"/>
      <c r="AH630" s="528"/>
    </row>
    <row r="631">
      <c r="A631" s="564"/>
      <c r="B631" s="565"/>
      <c r="C631" s="565"/>
      <c r="D631" s="565"/>
      <c r="E631" s="565"/>
      <c r="F631" s="565"/>
      <c r="G631" s="565"/>
      <c r="H631" s="565"/>
      <c r="I631" s="565"/>
      <c r="J631" s="565"/>
      <c r="K631" s="565"/>
      <c r="L631" s="565"/>
      <c r="M631" s="565"/>
      <c r="N631" s="529"/>
      <c r="O631" s="529"/>
      <c r="P631" s="529"/>
      <c r="Q631" s="529"/>
      <c r="R631" s="529"/>
      <c r="S631" s="529"/>
      <c r="T631" s="529"/>
      <c r="U631" s="529"/>
      <c r="V631" s="529"/>
      <c r="W631" s="529"/>
      <c r="X631" s="529"/>
      <c r="Y631" s="529"/>
      <c r="Z631" s="529"/>
      <c r="AA631" s="529"/>
      <c r="AB631" s="529"/>
      <c r="AC631" s="529"/>
      <c r="AD631" s="529"/>
      <c r="AE631" s="529"/>
      <c r="AF631" s="529"/>
      <c r="AG631" s="556"/>
      <c r="AH631" s="528"/>
    </row>
    <row r="632">
      <c r="A632" s="564"/>
      <c r="B632" s="565"/>
      <c r="C632" s="565"/>
      <c r="D632" s="565"/>
      <c r="E632" s="565"/>
      <c r="F632" s="565"/>
      <c r="G632" s="565"/>
      <c r="H632" s="565"/>
      <c r="I632" s="565"/>
      <c r="J632" s="565"/>
      <c r="K632" s="565"/>
      <c r="L632" s="565"/>
      <c r="M632" s="565"/>
      <c r="N632" s="529"/>
      <c r="O632" s="529"/>
      <c r="P632" s="529"/>
      <c r="Q632" s="529"/>
      <c r="R632" s="529"/>
      <c r="S632" s="529"/>
      <c r="T632" s="529"/>
      <c r="U632" s="529"/>
      <c r="V632" s="529"/>
      <c r="W632" s="529"/>
      <c r="X632" s="529"/>
      <c r="Y632" s="529"/>
      <c r="Z632" s="529"/>
      <c r="AA632" s="529"/>
      <c r="AB632" s="529"/>
      <c r="AC632" s="529"/>
      <c r="AD632" s="529"/>
      <c r="AE632" s="529"/>
      <c r="AF632" s="529"/>
      <c r="AG632" s="556"/>
      <c r="AH632" s="528"/>
    </row>
    <row r="633">
      <c r="A633" s="564"/>
      <c r="B633" s="565"/>
      <c r="C633" s="565"/>
      <c r="D633" s="565"/>
      <c r="E633" s="565"/>
      <c r="F633" s="565"/>
      <c r="G633" s="565"/>
      <c r="H633" s="565"/>
      <c r="I633" s="565"/>
      <c r="J633" s="565"/>
      <c r="K633" s="565"/>
      <c r="L633" s="565"/>
      <c r="M633" s="565"/>
      <c r="N633" s="529"/>
      <c r="O633" s="529"/>
      <c r="P633" s="529"/>
      <c r="Q633" s="529"/>
      <c r="R633" s="529"/>
      <c r="S633" s="529"/>
      <c r="T633" s="529"/>
      <c r="U633" s="529"/>
      <c r="V633" s="529"/>
      <c r="W633" s="529"/>
      <c r="X633" s="529"/>
      <c r="Y633" s="529"/>
      <c r="Z633" s="529"/>
      <c r="AA633" s="529"/>
      <c r="AB633" s="529"/>
      <c r="AC633" s="529"/>
      <c r="AD633" s="529"/>
      <c r="AE633" s="529"/>
      <c r="AF633" s="529"/>
      <c r="AG633" s="556"/>
      <c r="AH633" s="528"/>
    </row>
    <row r="634">
      <c r="A634" s="564"/>
      <c r="B634" s="565"/>
      <c r="C634" s="565"/>
      <c r="D634" s="565"/>
      <c r="E634" s="565"/>
      <c r="F634" s="565"/>
      <c r="G634" s="565"/>
      <c r="H634" s="565"/>
      <c r="I634" s="565"/>
      <c r="J634" s="565"/>
      <c r="K634" s="565"/>
      <c r="L634" s="565"/>
      <c r="M634" s="565"/>
      <c r="N634" s="529"/>
      <c r="O634" s="529"/>
      <c r="P634" s="529"/>
      <c r="Q634" s="529"/>
      <c r="R634" s="529"/>
      <c r="S634" s="529"/>
      <c r="T634" s="529"/>
      <c r="U634" s="529"/>
      <c r="V634" s="529"/>
      <c r="W634" s="529"/>
      <c r="X634" s="529"/>
      <c r="Y634" s="529"/>
      <c r="Z634" s="529"/>
      <c r="AA634" s="529"/>
      <c r="AB634" s="529"/>
      <c r="AC634" s="529"/>
      <c r="AD634" s="529"/>
      <c r="AE634" s="529"/>
      <c r="AF634" s="529"/>
      <c r="AG634" s="556"/>
      <c r="AH634" s="528"/>
    </row>
    <row r="635">
      <c r="A635" s="564"/>
      <c r="B635" s="565"/>
      <c r="C635" s="565"/>
      <c r="D635" s="565"/>
      <c r="E635" s="565"/>
      <c r="F635" s="565"/>
      <c r="G635" s="565"/>
      <c r="H635" s="565"/>
      <c r="I635" s="565"/>
      <c r="J635" s="565"/>
      <c r="K635" s="565"/>
      <c r="L635" s="565"/>
      <c r="M635" s="565"/>
      <c r="N635" s="529"/>
      <c r="O635" s="529"/>
      <c r="P635" s="529"/>
      <c r="Q635" s="529"/>
      <c r="R635" s="529"/>
      <c r="S635" s="529"/>
      <c r="T635" s="529"/>
      <c r="U635" s="529"/>
      <c r="V635" s="529"/>
      <c r="W635" s="529"/>
      <c r="X635" s="529"/>
      <c r="Y635" s="529"/>
      <c r="Z635" s="529"/>
      <c r="AA635" s="529"/>
      <c r="AB635" s="529"/>
      <c r="AC635" s="529"/>
      <c r="AD635" s="529"/>
      <c r="AE635" s="529"/>
      <c r="AF635" s="529"/>
      <c r="AG635" s="556"/>
      <c r="AH635" s="528"/>
    </row>
    <row r="636">
      <c r="A636" s="564"/>
      <c r="B636" s="565"/>
      <c r="C636" s="565"/>
      <c r="D636" s="565"/>
      <c r="E636" s="565"/>
      <c r="F636" s="565"/>
      <c r="G636" s="565"/>
      <c r="H636" s="565"/>
      <c r="I636" s="565"/>
      <c r="J636" s="565"/>
      <c r="K636" s="565"/>
      <c r="L636" s="565"/>
      <c r="M636" s="565"/>
      <c r="N636" s="529"/>
      <c r="O636" s="529"/>
      <c r="P636" s="529"/>
      <c r="Q636" s="529"/>
      <c r="R636" s="529"/>
      <c r="S636" s="529"/>
      <c r="T636" s="529"/>
      <c r="U636" s="529"/>
      <c r="V636" s="529"/>
      <c r="W636" s="529"/>
      <c r="X636" s="529"/>
      <c r="Y636" s="529"/>
      <c r="Z636" s="529"/>
      <c r="AA636" s="529"/>
      <c r="AB636" s="529"/>
      <c r="AC636" s="529"/>
      <c r="AD636" s="529"/>
      <c r="AE636" s="529"/>
      <c r="AF636" s="529"/>
      <c r="AG636" s="556"/>
      <c r="AH636" s="528"/>
    </row>
    <row r="637">
      <c r="A637" s="564"/>
      <c r="B637" s="565"/>
      <c r="C637" s="565"/>
      <c r="D637" s="565"/>
      <c r="E637" s="565"/>
      <c r="F637" s="565"/>
      <c r="G637" s="565"/>
      <c r="H637" s="565"/>
      <c r="I637" s="565"/>
      <c r="J637" s="565"/>
      <c r="K637" s="565"/>
      <c r="L637" s="565"/>
      <c r="M637" s="565"/>
      <c r="N637" s="529"/>
      <c r="O637" s="529"/>
      <c r="P637" s="529"/>
      <c r="Q637" s="529"/>
      <c r="R637" s="529"/>
      <c r="S637" s="529"/>
      <c r="T637" s="529"/>
      <c r="U637" s="529"/>
      <c r="V637" s="529"/>
      <c r="W637" s="529"/>
      <c r="X637" s="529"/>
      <c r="Y637" s="529"/>
      <c r="Z637" s="529"/>
      <c r="AA637" s="529"/>
      <c r="AB637" s="529"/>
      <c r="AC637" s="529"/>
      <c r="AD637" s="529"/>
      <c r="AE637" s="529"/>
      <c r="AF637" s="529"/>
      <c r="AG637" s="556"/>
      <c r="AH637" s="528"/>
    </row>
    <row r="638">
      <c r="A638" s="564"/>
      <c r="B638" s="565"/>
      <c r="C638" s="565"/>
      <c r="D638" s="565"/>
      <c r="E638" s="565"/>
      <c r="F638" s="565"/>
      <c r="G638" s="565"/>
      <c r="H638" s="565"/>
      <c r="I638" s="565"/>
      <c r="J638" s="565"/>
      <c r="K638" s="565"/>
      <c r="L638" s="565"/>
      <c r="M638" s="565"/>
      <c r="N638" s="529"/>
      <c r="O638" s="529"/>
      <c r="P638" s="529"/>
      <c r="Q638" s="529"/>
      <c r="R638" s="529"/>
      <c r="S638" s="529"/>
      <c r="T638" s="529"/>
      <c r="U638" s="529"/>
      <c r="V638" s="529"/>
      <c r="W638" s="529"/>
      <c r="X638" s="529"/>
      <c r="Y638" s="529"/>
      <c r="Z638" s="529"/>
      <c r="AA638" s="529"/>
      <c r="AB638" s="529"/>
      <c r="AC638" s="529"/>
      <c r="AD638" s="529"/>
      <c r="AE638" s="529"/>
      <c r="AF638" s="529"/>
      <c r="AG638" s="556"/>
      <c r="AH638" s="528"/>
    </row>
    <row r="639">
      <c r="A639" s="564"/>
      <c r="B639" s="565"/>
      <c r="C639" s="565"/>
      <c r="D639" s="565"/>
      <c r="E639" s="565"/>
      <c r="F639" s="565"/>
      <c r="G639" s="565"/>
      <c r="H639" s="565"/>
      <c r="I639" s="565"/>
      <c r="J639" s="565"/>
      <c r="K639" s="565"/>
      <c r="L639" s="565"/>
      <c r="M639" s="565"/>
      <c r="N639" s="529"/>
      <c r="O639" s="529"/>
      <c r="P639" s="529"/>
      <c r="Q639" s="529"/>
      <c r="R639" s="529"/>
      <c r="S639" s="529"/>
      <c r="T639" s="529"/>
      <c r="U639" s="529"/>
      <c r="V639" s="529"/>
      <c r="W639" s="529"/>
      <c r="X639" s="529"/>
      <c r="Y639" s="529"/>
      <c r="Z639" s="529"/>
      <c r="AA639" s="529"/>
      <c r="AB639" s="529"/>
      <c r="AC639" s="529"/>
      <c r="AD639" s="529"/>
      <c r="AE639" s="529"/>
      <c r="AF639" s="529"/>
      <c r="AG639" s="556"/>
      <c r="AH639" s="528"/>
    </row>
    <row r="640">
      <c r="A640" s="564"/>
      <c r="B640" s="565"/>
      <c r="C640" s="565"/>
      <c r="D640" s="565"/>
      <c r="E640" s="565"/>
      <c r="F640" s="565"/>
      <c r="G640" s="565"/>
      <c r="H640" s="565"/>
      <c r="I640" s="565"/>
      <c r="J640" s="565"/>
      <c r="K640" s="565"/>
      <c r="L640" s="565"/>
      <c r="M640" s="565"/>
      <c r="N640" s="529"/>
      <c r="O640" s="529"/>
      <c r="P640" s="529"/>
      <c r="Q640" s="529"/>
      <c r="R640" s="529"/>
      <c r="S640" s="529"/>
      <c r="T640" s="529"/>
      <c r="U640" s="529"/>
      <c r="V640" s="529"/>
      <c r="W640" s="529"/>
      <c r="X640" s="529"/>
      <c r="Y640" s="529"/>
      <c r="Z640" s="529"/>
      <c r="AA640" s="529"/>
      <c r="AB640" s="529"/>
      <c r="AC640" s="529"/>
      <c r="AD640" s="529"/>
      <c r="AE640" s="529"/>
      <c r="AF640" s="529"/>
      <c r="AG640" s="556"/>
      <c r="AH640" s="528"/>
    </row>
    <row r="641">
      <c r="A641" s="564"/>
      <c r="B641" s="565"/>
      <c r="C641" s="565"/>
      <c r="D641" s="565"/>
      <c r="E641" s="565"/>
      <c r="F641" s="565"/>
      <c r="G641" s="565"/>
      <c r="H641" s="565"/>
      <c r="I641" s="565"/>
      <c r="J641" s="565"/>
      <c r="K641" s="565"/>
      <c r="L641" s="565"/>
      <c r="M641" s="565"/>
      <c r="N641" s="529"/>
      <c r="O641" s="529"/>
      <c r="P641" s="529"/>
      <c r="Q641" s="529"/>
      <c r="R641" s="529"/>
      <c r="S641" s="529"/>
      <c r="T641" s="529"/>
      <c r="U641" s="529"/>
      <c r="V641" s="529"/>
      <c r="W641" s="529"/>
      <c r="X641" s="529"/>
      <c r="Y641" s="529"/>
      <c r="Z641" s="529"/>
      <c r="AA641" s="529"/>
      <c r="AB641" s="529"/>
      <c r="AC641" s="529"/>
      <c r="AD641" s="529"/>
      <c r="AE641" s="529"/>
      <c r="AF641" s="529"/>
      <c r="AG641" s="556"/>
      <c r="AH641" s="528"/>
    </row>
    <row r="642">
      <c r="A642" s="564"/>
      <c r="B642" s="565"/>
      <c r="C642" s="565"/>
      <c r="D642" s="565"/>
      <c r="E642" s="565"/>
      <c r="F642" s="565"/>
      <c r="G642" s="565"/>
      <c r="H642" s="565"/>
      <c r="I642" s="565"/>
      <c r="J642" s="565"/>
      <c r="K642" s="565"/>
      <c r="L642" s="565"/>
      <c r="M642" s="565"/>
      <c r="N642" s="529"/>
      <c r="O642" s="529"/>
      <c r="P642" s="529"/>
      <c r="Q642" s="529"/>
      <c r="R642" s="529"/>
      <c r="S642" s="529"/>
      <c r="T642" s="529"/>
      <c r="U642" s="529"/>
      <c r="V642" s="529"/>
      <c r="W642" s="529"/>
      <c r="X642" s="529"/>
      <c r="Y642" s="529"/>
      <c r="Z642" s="529"/>
      <c r="AA642" s="529"/>
      <c r="AB642" s="529"/>
      <c r="AC642" s="529"/>
      <c r="AD642" s="529"/>
      <c r="AE642" s="529"/>
      <c r="AF642" s="529"/>
      <c r="AG642" s="556"/>
      <c r="AH642" s="528"/>
    </row>
    <row r="643">
      <c r="A643" s="564"/>
      <c r="B643" s="565"/>
      <c r="C643" s="565"/>
      <c r="D643" s="565"/>
      <c r="E643" s="565"/>
      <c r="F643" s="565"/>
      <c r="G643" s="565"/>
      <c r="H643" s="565"/>
      <c r="I643" s="565"/>
      <c r="J643" s="565"/>
      <c r="K643" s="565"/>
      <c r="L643" s="565"/>
      <c r="M643" s="565"/>
      <c r="N643" s="529"/>
      <c r="O643" s="529"/>
      <c r="P643" s="529"/>
      <c r="Q643" s="529"/>
      <c r="R643" s="529"/>
      <c r="S643" s="529"/>
      <c r="T643" s="529"/>
      <c r="U643" s="529"/>
      <c r="V643" s="529"/>
      <c r="W643" s="529"/>
      <c r="X643" s="529"/>
      <c r="Y643" s="529"/>
      <c r="Z643" s="529"/>
      <c r="AA643" s="529"/>
      <c r="AB643" s="529"/>
      <c r="AC643" s="529"/>
      <c r="AD643" s="529"/>
      <c r="AE643" s="529"/>
      <c r="AF643" s="529"/>
      <c r="AG643" s="556"/>
      <c r="AH643" s="528"/>
    </row>
    <row r="644">
      <c r="A644" s="564"/>
      <c r="B644" s="565"/>
      <c r="C644" s="565"/>
      <c r="D644" s="565"/>
      <c r="E644" s="565"/>
      <c r="F644" s="565"/>
      <c r="G644" s="565"/>
      <c r="H644" s="565"/>
      <c r="I644" s="565"/>
      <c r="J644" s="565"/>
      <c r="K644" s="565"/>
      <c r="L644" s="565"/>
      <c r="M644" s="565"/>
      <c r="N644" s="529"/>
      <c r="O644" s="529"/>
      <c r="P644" s="529"/>
      <c r="Q644" s="529"/>
      <c r="R644" s="529"/>
      <c r="S644" s="529"/>
      <c r="T644" s="529"/>
      <c r="U644" s="529"/>
      <c r="V644" s="529"/>
      <c r="W644" s="529"/>
      <c r="X644" s="529"/>
      <c r="Y644" s="529"/>
      <c r="Z644" s="529"/>
      <c r="AA644" s="529"/>
      <c r="AB644" s="529"/>
      <c r="AC644" s="529"/>
      <c r="AD644" s="529"/>
      <c r="AE644" s="529"/>
      <c r="AF644" s="529"/>
      <c r="AG644" s="556"/>
      <c r="AH644" s="528"/>
    </row>
    <row r="645">
      <c r="A645" s="564"/>
      <c r="B645" s="565"/>
      <c r="C645" s="565"/>
      <c r="D645" s="565"/>
      <c r="E645" s="565"/>
      <c r="F645" s="565"/>
      <c r="G645" s="565"/>
      <c r="H645" s="565"/>
      <c r="I645" s="565"/>
      <c r="J645" s="565"/>
      <c r="K645" s="565"/>
      <c r="L645" s="565"/>
      <c r="M645" s="565"/>
      <c r="N645" s="529"/>
      <c r="O645" s="529"/>
      <c r="P645" s="529"/>
      <c r="Q645" s="529"/>
      <c r="R645" s="529"/>
      <c r="S645" s="529"/>
      <c r="T645" s="529"/>
      <c r="U645" s="529"/>
      <c r="V645" s="529"/>
      <c r="W645" s="529"/>
      <c r="X645" s="529"/>
      <c r="Y645" s="529"/>
      <c r="Z645" s="529"/>
      <c r="AA645" s="529"/>
      <c r="AB645" s="529"/>
      <c r="AC645" s="529"/>
      <c r="AD645" s="529"/>
      <c r="AE645" s="529"/>
      <c r="AF645" s="529"/>
      <c r="AG645" s="556"/>
      <c r="AH645" s="528"/>
    </row>
    <row r="646">
      <c r="A646" s="564"/>
      <c r="B646" s="565"/>
      <c r="C646" s="565"/>
      <c r="D646" s="565"/>
      <c r="E646" s="565"/>
      <c r="F646" s="565"/>
      <c r="G646" s="565"/>
      <c r="H646" s="565"/>
      <c r="I646" s="565"/>
      <c r="J646" s="565"/>
      <c r="K646" s="565"/>
      <c r="L646" s="565"/>
      <c r="M646" s="565"/>
      <c r="N646" s="529"/>
      <c r="O646" s="529"/>
      <c r="P646" s="529"/>
      <c r="Q646" s="529"/>
      <c r="R646" s="529"/>
      <c r="S646" s="529"/>
      <c r="T646" s="529"/>
      <c r="U646" s="529"/>
      <c r="V646" s="529"/>
      <c r="W646" s="529"/>
      <c r="X646" s="529"/>
      <c r="Y646" s="529"/>
      <c r="Z646" s="529"/>
      <c r="AA646" s="529"/>
      <c r="AB646" s="529"/>
      <c r="AC646" s="529"/>
      <c r="AD646" s="529"/>
      <c r="AE646" s="529"/>
      <c r="AF646" s="529"/>
      <c r="AG646" s="556"/>
      <c r="AH646" s="528"/>
    </row>
    <row r="647">
      <c r="A647" s="564"/>
      <c r="B647" s="565"/>
      <c r="C647" s="565"/>
      <c r="D647" s="565"/>
      <c r="E647" s="565"/>
      <c r="F647" s="565"/>
      <c r="G647" s="565"/>
      <c r="H647" s="565"/>
      <c r="I647" s="565"/>
      <c r="J647" s="565"/>
      <c r="K647" s="565"/>
      <c r="L647" s="565"/>
      <c r="M647" s="565"/>
      <c r="N647" s="529"/>
      <c r="O647" s="529"/>
      <c r="P647" s="529"/>
      <c r="Q647" s="529"/>
      <c r="R647" s="529"/>
      <c r="S647" s="529"/>
      <c r="T647" s="529"/>
      <c r="U647" s="529"/>
      <c r="V647" s="529"/>
      <c r="W647" s="529"/>
      <c r="X647" s="529"/>
      <c r="Y647" s="529"/>
      <c r="Z647" s="529"/>
      <c r="AA647" s="529"/>
      <c r="AB647" s="529"/>
      <c r="AC647" s="529"/>
      <c r="AD647" s="529"/>
      <c r="AE647" s="529"/>
      <c r="AF647" s="529"/>
      <c r="AG647" s="556"/>
      <c r="AH647" s="528"/>
    </row>
    <row r="648">
      <c r="A648" s="564"/>
      <c r="B648" s="565"/>
      <c r="C648" s="565"/>
      <c r="D648" s="565"/>
      <c r="E648" s="565"/>
      <c r="F648" s="565"/>
      <c r="G648" s="565"/>
      <c r="H648" s="565"/>
      <c r="I648" s="565"/>
      <c r="J648" s="565"/>
      <c r="K648" s="565"/>
      <c r="L648" s="565"/>
      <c r="M648" s="565"/>
      <c r="N648" s="529"/>
      <c r="O648" s="529"/>
      <c r="P648" s="529"/>
      <c r="Q648" s="529"/>
      <c r="R648" s="529"/>
      <c r="S648" s="529"/>
      <c r="T648" s="529"/>
      <c r="U648" s="529"/>
      <c r="V648" s="529"/>
      <c r="W648" s="529"/>
      <c r="X648" s="529"/>
      <c r="Y648" s="529"/>
      <c r="Z648" s="529"/>
      <c r="AA648" s="529"/>
      <c r="AB648" s="529"/>
      <c r="AC648" s="529"/>
      <c r="AD648" s="529"/>
      <c r="AE648" s="529"/>
      <c r="AF648" s="529"/>
      <c r="AG648" s="556"/>
      <c r="AH648" s="528"/>
    </row>
    <row r="649">
      <c r="A649" s="564"/>
      <c r="B649" s="565"/>
      <c r="C649" s="565"/>
      <c r="D649" s="565"/>
      <c r="E649" s="565"/>
      <c r="F649" s="565"/>
      <c r="G649" s="565"/>
      <c r="H649" s="565"/>
      <c r="I649" s="565"/>
      <c r="J649" s="565"/>
      <c r="K649" s="565"/>
      <c r="L649" s="565"/>
      <c r="M649" s="565"/>
      <c r="N649" s="529"/>
      <c r="O649" s="529"/>
      <c r="P649" s="529"/>
      <c r="Q649" s="529"/>
      <c r="R649" s="529"/>
      <c r="S649" s="529"/>
      <c r="T649" s="529"/>
      <c r="U649" s="529"/>
      <c r="V649" s="529"/>
      <c r="W649" s="529"/>
      <c r="X649" s="529"/>
      <c r="Y649" s="529"/>
      <c r="Z649" s="529"/>
      <c r="AA649" s="529"/>
      <c r="AB649" s="529"/>
      <c r="AC649" s="529"/>
      <c r="AD649" s="529"/>
      <c r="AE649" s="529"/>
      <c r="AF649" s="529"/>
      <c r="AG649" s="556"/>
      <c r="AH649" s="528"/>
    </row>
    <row r="650">
      <c r="A650" s="564"/>
      <c r="B650" s="565"/>
      <c r="C650" s="565"/>
      <c r="D650" s="565"/>
      <c r="E650" s="565"/>
      <c r="F650" s="565"/>
      <c r="G650" s="565"/>
      <c r="H650" s="565"/>
      <c r="I650" s="565"/>
      <c r="J650" s="565"/>
      <c r="K650" s="565"/>
      <c r="L650" s="565"/>
      <c r="M650" s="565"/>
      <c r="N650" s="529"/>
      <c r="O650" s="529"/>
      <c r="P650" s="529"/>
      <c r="Q650" s="529"/>
      <c r="R650" s="529"/>
      <c r="S650" s="529"/>
      <c r="T650" s="529"/>
      <c r="U650" s="529"/>
      <c r="V650" s="529"/>
      <c r="W650" s="529"/>
      <c r="X650" s="529"/>
      <c r="Y650" s="529"/>
      <c r="Z650" s="529"/>
      <c r="AA650" s="529"/>
      <c r="AB650" s="529"/>
      <c r="AC650" s="529"/>
      <c r="AD650" s="529"/>
      <c r="AE650" s="529"/>
      <c r="AF650" s="529"/>
      <c r="AG650" s="556"/>
      <c r="AH650" s="528"/>
    </row>
    <row r="651">
      <c r="A651" s="564"/>
      <c r="B651" s="565"/>
      <c r="C651" s="565"/>
      <c r="D651" s="565"/>
      <c r="E651" s="565"/>
      <c r="F651" s="565"/>
      <c r="G651" s="565"/>
      <c r="H651" s="565"/>
      <c r="I651" s="565"/>
      <c r="J651" s="565"/>
      <c r="K651" s="565"/>
      <c r="L651" s="565"/>
      <c r="M651" s="565"/>
      <c r="N651" s="529"/>
      <c r="O651" s="529"/>
      <c r="P651" s="529"/>
      <c r="Q651" s="529"/>
      <c r="R651" s="529"/>
      <c r="S651" s="529"/>
      <c r="T651" s="529"/>
      <c r="U651" s="529"/>
      <c r="V651" s="529"/>
      <c r="W651" s="529"/>
      <c r="X651" s="529"/>
      <c r="Y651" s="529"/>
      <c r="Z651" s="529"/>
      <c r="AA651" s="529"/>
      <c r="AB651" s="529"/>
      <c r="AC651" s="529"/>
      <c r="AD651" s="529"/>
      <c r="AE651" s="529"/>
      <c r="AF651" s="529"/>
      <c r="AG651" s="556"/>
      <c r="AH651" s="528"/>
    </row>
    <row r="652">
      <c r="A652" s="564"/>
      <c r="B652" s="565"/>
      <c r="C652" s="565"/>
      <c r="D652" s="565"/>
      <c r="E652" s="565"/>
      <c r="F652" s="565"/>
      <c r="G652" s="565"/>
      <c r="H652" s="565"/>
      <c r="I652" s="565"/>
      <c r="J652" s="565"/>
      <c r="K652" s="565"/>
      <c r="L652" s="565"/>
      <c r="M652" s="565"/>
      <c r="N652" s="529"/>
      <c r="O652" s="529"/>
      <c r="P652" s="529"/>
      <c r="Q652" s="529"/>
      <c r="R652" s="529"/>
      <c r="S652" s="529"/>
      <c r="T652" s="529"/>
      <c r="U652" s="529"/>
      <c r="V652" s="529"/>
      <c r="W652" s="529"/>
      <c r="X652" s="529"/>
      <c r="Y652" s="529"/>
      <c r="Z652" s="529"/>
      <c r="AA652" s="529"/>
      <c r="AB652" s="529"/>
      <c r="AC652" s="529"/>
      <c r="AD652" s="529"/>
      <c r="AE652" s="529"/>
      <c r="AF652" s="529"/>
      <c r="AG652" s="556"/>
      <c r="AH652" s="528"/>
    </row>
    <row r="653">
      <c r="A653" s="564"/>
      <c r="B653" s="565"/>
      <c r="C653" s="565"/>
      <c r="D653" s="565"/>
      <c r="E653" s="565"/>
      <c r="F653" s="565"/>
      <c r="G653" s="565"/>
      <c r="H653" s="565"/>
      <c r="I653" s="565"/>
      <c r="J653" s="565"/>
      <c r="K653" s="565"/>
      <c r="L653" s="565"/>
      <c r="M653" s="565"/>
      <c r="N653" s="529"/>
      <c r="O653" s="529"/>
      <c r="P653" s="529"/>
      <c r="Q653" s="529"/>
      <c r="R653" s="529"/>
      <c r="S653" s="529"/>
      <c r="T653" s="529"/>
      <c r="U653" s="529"/>
      <c r="V653" s="529"/>
      <c r="W653" s="529"/>
      <c r="X653" s="529"/>
      <c r="Y653" s="529"/>
      <c r="Z653" s="529"/>
      <c r="AA653" s="529"/>
      <c r="AB653" s="529"/>
      <c r="AC653" s="529"/>
      <c r="AD653" s="529"/>
      <c r="AE653" s="529"/>
      <c r="AF653" s="529"/>
      <c r="AG653" s="556"/>
      <c r="AH653" s="528"/>
    </row>
    <row r="654">
      <c r="A654" s="564"/>
      <c r="B654" s="565"/>
      <c r="C654" s="565"/>
      <c r="D654" s="565"/>
      <c r="E654" s="565"/>
      <c r="F654" s="565"/>
      <c r="G654" s="565"/>
      <c r="H654" s="565"/>
      <c r="I654" s="565"/>
      <c r="J654" s="565"/>
      <c r="K654" s="565"/>
      <c r="L654" s="565"/>
      <c r="M654" s="565"/>
      <c r="N654" s="529"/>
      <c r="O654" s="529"/>
      <c r="P654" s="529"/>
      <c r="Q654" s="529"/>
      <c r="R654" s="529"/>
      <c r="S654" s="529"/>
      <c r="T654" s="529"/>
      <c r="U654" s="529"/>
      <c r="V654" s="529"/>
      <c r="W654" s="529"/>
      <c r="X654" s="529"/>
      <c r="Y654" s="529"/>
      <c r="Z654" s="529"/>
      <c r="AA654" s="529"/>
      <c r="AB654" s="529"/>
      <c r="AC654" s="529"/>
      <c r="AD654" s="529"/>
      <c r="AE654" s="529"/>
      <c r="AF654" s="529"/>
      <c r="AG654" s="556"/>
      <c r="AH654" s="528"/>
    </row>
    <row r="655">
      <c r="A655" s="564"/>
      <c r="B655" s="565"/>
      <c r="C655" s="565"/>
      <c r="D655" s="565"/>
      <c r="E655" s="565"/>
      <c r="F655" s="565"/>
      <c r="G655" s="565"/>
      <c r="H655" s="565"/>
      <c r="I655" s="565"/>
      <c r="J655" s="565"/>
      <c r="K655" s="565"/>
      <c r="L655" s="565"/>
      <c r="M655" s="565"/>
      <c r="N655" s="529"/>
      <c r="O655" s="529"/>
      <c r="P655" s="529"/>
      <c r="Q655" s="529"/>
      <c r="R655" s="529"/>
      <c r="S655" s="529"/>
      <c r="T655" s="529"/>
      <c r="U655" s="529"/>
      <c r="V655" s="529"/>
      <c r="W655" s="529"/>
      <c r="X655" s="529"/>
      <c r="Y655" s="529"/>
      <c r="Z655" s="529"/>
      <c r="AA655" s="529"/>
      <c r="AB655" s="529"/>
      <c r="AC655" s="529"/>
      <c r="AD655" s="529"/>
      <c r="AE655" s="529"/>
      <c r="AF655" s="529"/>
      <c r="AG655" s="556"/>
      <c r="AH655" s="528"/>
    </row>
    <row r="656">
      <c r="A656" s="564"/>
      <c r="B656" s="565"/>
      <c r="C656" s="565"/>
      <c r="D656" s="565"/>
      <c r="E656" s="565"/>
      <c r="F656" s="565"/>
      <c r="G656" s="565"/>
      <c r="H656" s="565"/>
      <c r="I656" s="565"/>
      <c r="J656" s="565"/>
      <c r="K656" s="565"/>
      <c r="L656" s="565"/>
      <c r="M656" s="565"/>
      <c r="N656" s="529"/>
      <c r="O656" s="529"/>
      <c r="P656" s="529"/>
      <c r="Q656" s="529"/>
      <c r="R656" s="529"/>
      <c r="S656" s="529"/>
      <c r="T656" s="529"/>
      <c r="U656" s="529"/>
      <c r="V656" s="529"/>
      <c r="W656" s="529"/>
      <c r="X656" s="529"/>
      <c r="Y656" s="529"/>
      <c r="Z656" s="529"/>
      <c r="AA656" s="529"/>
      <c r="AB656" s="529"/>
      <c r="AC656" s="529"/>
      <c r="AD656" s="529"/>
      <c r="AE656" s="529"/>
      <c r="AF656" s="529"/>
      <c r="AG656" s="556"/>
      <c r="AH656" s="528"/>
    </row>
    <row r="657">
      <c r="A657" s="564"/>
      <c r="B657" s="565"/>
      <c r="C657" s="565"/>
      <c r="D657" s="565"/>
      <c r="E657" s="565"/>
      <c r="F657" s="565"/>
      <c r="G657" s="565"/>
      <c r="H657" s="565"/>
      <c r="I657" s="565"/>
      <c r="J657" s="565"/>
      <c r="K657" s="565"/>
      <c r="L657" s="565"/>
      <c r="M657" s="565"/>
      <c r="N657" s="529"/>
      <c r="O657" s="529"/>
      <c r="P657" s="529"/>
      <c r="Q657" s="529"/>
      <c r="R657" s="529"/>
      <c r="S657" s="529"/>
      <c r="T657" s="529"/>
      <c r="U657" s="529"/>
      <c r="V657" s="529"/>
      <c r="W657" s="529"/>
      <c r="X657" s="529"/>
      <c r="Y657" s="529"/>
      <c r="Z657" s="529"/>
      <c r="AA657" s="529"/>
      <c r="AB657" s="529"/>
      <c r="AC657" s="529"/>
      <c r="AD657" s="529"/>
      <c r="AE657" s="529"/>
      <c r="AF657" s="529"/>
      <c r="AG657" s="556"/>
      <c r="AH657" s="528"/>
    </row>
    <row r="658">
      <c r="A658" s="564"/>
      <c r="B658" s="565"/>
      <c r="C658" s="565"/>
      <c r="D658" s="565"/>
      <c r="E658" s="565"/>
      <c r="F658" s="565"/>
      <c r="G658" s="565"/>
      <c r="H658" s="565"/>
      <c r="I658" s="565"/>
      <c r="J658" s="565"/>
      <c r="K658" s="565"/>
      <c r="L658" s="565"/>
      <c r="M658" s="565"/>
      <c r="N658" s="529"/>
      <c r="O658" s="529"/>
      <c r="P658" s="529"/>
      <c r="Q658" s="529"/>
      <c r="R658" s="529"/>
      <c r="S658" s="529"/>
      <c r="T658" s="529"/>
      <c r="U658" s="529"/>
      <c r="V658" s="529"/>
      <c r="W658" s="529"/>
      <c r="X658" s="529"/>
      <c r="Y658" s="529"/>
      <c r="Z658" s="529"/>
      <c r="AA658" s="529"/>
      <c r="AB658" s="529"/>
      <c r="AC658" s="529"/>
      <c r="AD658" s="529"/>
      <c r="AE658" s="529"/>
      <c r="AF658" s="529"/>
      <c r="AG658" s="556"/>
      <c r="AH658" s="528"/>
    </row>
    <row r="659">
      <c r="A659" s="564"/>
      <c r="B659" s="565"/>
      <c r="C659" s="565"/>
      <c r="D659" s="565"/>
      <c r="E659" s="565"/>
      <c r="F659" s="565"/>
      <c r="G659" s="565"/>
      <c r="H659" s="565"/>
      <c r="I659" s="565"/>
      <c r="J659" s="565"/>
      <c r="K659" s="565"/>
      <c r="L659" s="565"/>
      <c r="M659" s="565"/>
      <c r="N659" s="529"/>
      <c r="O659" s="529"/>
      <c r="P659" s="529"/>
      <c r="Q659" s="529"/>
      <c r="R659" s="529"/>
      <c r="S659" s="529"/>
      <c r="T659" s="529"/>
      <c r="U659" s="529"/>
      <c r="V659" s="529"/>
      <c r="W659" s="529"/>
      <c r="X659" s="529"/>
      <c r="Y659" s="529"/>
      <c r="Z659" s="529"/>
      <c r="AA659" s="529"/>
      <c r="AB659" s="529"/>
      <c r="AC659" s="529"/>
      <c r="AD659" s="529"/>
      <c r="AE659" s="529"/>
      <c r="AF659" s="529"/>
      <c r="AG659" s="556"/>
      <c r="AH659" s="528"/>
    </row>
    <row r="660">
      <c r="A660" s="564"/>
      <c r="B660" s="565"/>
      <c r="C660" s="565"/>
      <c r="D660" s="565"/>
      <c r="E660" s="565"/>
      <c r="F660" s="565"/>
      <c r="G660" s="565"/>
      <c r="H660" s="565"/>
      <c r="I660" s="565"/>
      <c r="J660" s="565"/>
      <c r="K660" s="565"/>
      <c r="L660" s="565"/>
      <c r="M660" s="565"/>
      <c r="N660" s="529"/>
      <c r="O660" s="529"/>
      <c r="P660" s="529"/>
      <c r="Q660" s="529"/>
      <c r="R660" s="529"/>
      <c r="S660" s="529"/>
      <c r="T660" s="529"/>
      <c r="U660" s="529"/>
      <c r="V660" s="529"/>
      <c r="W660" s="529"/>
      <c r="X660" s="529"/>
      <c r="Y660" s="529"/>
      <c r="Z660" s="529"/>
      <c r="AA660" s="529"/>
      <c r="AB660" s="529"/>
      <c r="AC660" s="529"/>
      <c r="AD660" s="529"/>
      <c r="AE660" s="529"/>
      <c r="AF660" s="529"/>
      <c r="AG660" s="556"/>
      <c r="AH660" s="528"/>
    </row>
    <row r="661">
      <c r="A661" s="564"/>
      <c r="B661" s="565"/>
      <c r="C661" s="565"/>
      <c r="D661" s="565"/>
      <c r="E661" s="565"/>
      <c r="F661" s="565"/>
      <c r="G661" s="565"/>
      <c r="H661" s="565"/>
      <c r="I661" s="565"/>
      <c r="J661" s="565"/>
      <c r="K661" s="565"/>
      <c r="L661" s="565"/>
      <c r="M661" s="565"/>
      <c r="N661" s="529"/>
      <c r="O661" s="529"/>
      <c r="P661" s="529"/>
      <c r="Q661" s="529"/>
      <c r="R661" s="529"/>
      <c r="S661" s="529"/>
      <c r="T661" s="529"/>
      <c r="U661" s="529"/>
      <c r="V661" s="529"/>
      <c r="W661" s="529"/>
      <c r="X661" s="529"/>
      <c r="Y661" s="529"/>
      <c r="Z661" s="529"/>
      <c r="AA661" s="529"/>
      <c r="AB661" s="529"/>
      <c r="AC661" s="529"/>
      <c r="AD661" s="529"/>
      <c r="AE661" s="529"/>
      <c r="AF661" s="529"/>
      <c r="AG661" s="556"/>
      <c r="AH661" s="528"/>
    </row>
    <row r="662">
      <c r="A662" s="564"/>
      <c r="B662" s="565"/>
      <c r="C662" s="565"/>
      <c r="D662" s="565"/>
      <c r="E662" s="565"/>
      <c r="F662" s="565"/>
      <c r="G662" s="565"/>
      <c r="H662" s="565"/>
      <c r="I662" s="565"/>
      <c r="J662" s="565"/>
      <c r="K662" s="565"/>
      <c r="L662" s="565"/>
      <c r="M662" s="565"/>
      <c r="N662" s="529"/>
      <c r="O662" s="529"/>
      <c r="P662" s="529"/>
      <c r="Q662" s="529"/>
      <c r="R662" s="529"/>
      <c r="S662" s="529"/>
      <c r="T662" s="529"/>
      <c r="U662" s="529"/>
      <c r="V662" s="529"/>
      <c r="W662" s="529"/>
      <c r="X662" s="529"/>
      <c r="Y662" s="529"/>
      <c r="Z662" s="529"/>
      <c r="AA662" s="529"/>
      <c r="AB662" s="529"/>
      <c r="AC662" s="529"/>
      <c r="AD662" s="529"/>
      <c r="AE662" s="529"/>
      <c r="AF662" s="529"/>
      <c r="AG662" s="556"/>
      <c r="AH662" s="528"/>
    </row>
    <row r="663">
      <c r="A663" s="564"/>
      <c r="B663" s="565"/>
      <c r="C663" s="565"/>
      <c r="D663" s="565"/>
      <c r="E663" s="565"/>
      <c r="F663" s="565"/>
      <c r="G663" s="565"/>
      <c r="H663" s="565"/>
      <c r="I663" s="565"/>
      <c r="J663" s="565"/>
      <c r="K663" s="565"/>
      <c r="L663" s="565"/>
      <c r="M663" s="565"/>
      <c r="N663" s="529"/>
      <c r="O663" s="529"/>
      <c r="P663" s="529"/>
      <c r="Q663" s="529"/>
      <c r="R663" s="529"/>
      <c r="S663" s="529"/>
      <c r="T663" s="529"/>
      <c r="U663" s="529"/>
      <c r="V663" s="529"/>
      <c r="W663" s="529"/>
      <c r="X663" s="529"/>
      <c r="Y663" s="529"/>
      <c r="Z663" s="529"/>
      <c r="AA663" s="529"/>
      <c r="AB663" s="529"/>
      <c r="AC663" s="529"/>
      <c r="AD663" s="529"/>
      <c r="AE663" s="529"/>
      <c r="AF663" s="529"/>
      <c r="AG663" s="556"/>
      <c r="AH663" s="528"/>
    </row>
    <row r="664">
      <c r="A664" s="564"/>
      <c r="B664" s="565"/>
      <c r="C664" s="565"/>
      <c r="D664" s="565"/>
      <c r="E664" s="565"/>
      <c r="F664" s="565"/>
      <c r="G664" s="565"/>
      <c r="H664" s="565"/>
      <c r="I664" s="565"/>
      <c r="J664" s="565"/>
      <c r="K664" s="565"/>
      <c r="L664" s="565"/>
      <c r="M664" s="565"/>
      <c r="N664" s="529"/>
      <c r="O664" s="529"/>
      <c r="P664" s="529"/>
      <c r="Q664" s="529"/>
      <c r="R664" s="529"/>
      <c r="S664" s="529"/>
      <c r="T664" s="529"/>
      <c r="U664" s="529"/>
      <c r="V664" s="529"/>
      <c r="W664" s="529"/>
      <c r="X664" s="529"/>
      <c r="Y664" s="529"/>
      <c r="Z664" s="529"/>
      <c r="AA664" s="529"/>
      <c r="AB664" s="529"/>
      <c r="AC664" s="529"/>
      <c r="AD664" s="529"/>
      <c r="AE664" s="529"/>
      <c r="AF664" s="529"/>
      <c r="AG664" s="556"/>
      <c r="AH664" s="528"/>
    </row>
    <row r="665">
      <c r="A665" s="564"/>
      <c r="B665" s="565"/>
      <c r="C665" s="565"/>
      <c r="D665" s="565"/>
      <c r="E665" s="565"/>
      <c r="F665" s="565"/>
      <c r="G665" s="565"/>
      <c r="H665" s="565"/>
      <c r="I665" s="565"/>
      <c r="J665" s="565"/>
      <c r="K665" s="565"/>
      <c r="L665" s="565"/>
      <c r="M665" s="565"/>
      <c r="N665" s="529"/>
      <c r="O665" s="529"/>
      <c r="P665" s="529"/>
      <c r="Q665" s="529"/>
      <c r="R665" s="529"/>
      <c r="S665" s="529"/>
      <c r="T665" s="529"/>
      <c r="U665" s="529"/>
      <c r="V665" s="529"/>
      <c r="W665" s="529"/>
      <c r="X665" s="529"/>
      <c r="Y665" s="529"/>
      <c r="Z665" s="529"/>
      <c r="AA665" s="529"/>
      <c r="AB665" s="529"/>
      <c r="AC665" s="529"/>
      <c r="AD665" s="529"/>
      <c r="AE665" s="529"/>
      <c r="AF665" s="529"/>
      <c r="AG665" s="556"/>
      <c r="AH665" s="528"/>
    </row>
    <row r="666">
      <c r="A666" s="564"/>
      <c r="B666" s="565"/>
      <c r="C666" s="565"/>
      <c r="D666" s="565"/>
      <c r="E666" s="565"/>
      <c r="F666" s="565"/>
      <c r="G666" s="565"/>
      <c r="H666" s="565"/>
      <c r="I666" s="565"/>
      <c r="J666" s="565"/>
      <c r="K666" s="565"/>
      <c r="L666" s="565"/>
      <c r="M666" s="565"/>
      <c r="N666" s="529"/>
      <c r="O666" s="529"/>
      <c r="P666" s="529"/>
      <c r="Q666" s="529"/>
      <c r="R666" s="529"/>
      <c r="S666" s="529"/>
      <c r="T666" s="529"/>
      <c r="U666" s="529"/>
      <c r="V666" s="529"/>
      <c r="W666" s="529"/>
      <c r="X666" s="529"/>
      <c r="Y666" s="529"/>
      <c r="Z666" s="529"/>
      <c r="AA666" s="529"/>
      <c r="AB666" s="529"/>
      <c r="AC666" s="529"/>
      <c r="AD666" s="529"/>
      <c r="AE666" s="529"/>
      <c r="AF666" s="529"/>
      <c r="AG666" s="556"/>
      <c r="AH666" s="528"/>
    </row>
    <row r="667">
      <c r="A667" s="564"/>
      <c r="B667" s="565"/>
      <c r="C667" s="565"/>
      <c r="D667" s="565"/>
      <c r="E667" s="565"/>
      <c r="F667" s="565"/>
      <c r="G667" s="565"/>
      <c r="H667" s="565"/>
      <c r="I667" s="565"/>
      <c r="J667" s="565"/>
      <c r="K667" s="565"/>
      <c r="L667" s="565"/>
      <c r="M667" s="565"/>
      <c r="N667" s="529"/>
      <c r="O667" s="529"/>
      <c r="P667" s="529"/>
      <c r="Q667" s="529"/>
      <c r="R667" s="529"/>
      <c r="S667" s="529"/>
      <c r="T667" s="529"/>
      <c r="U667" s="529"/>
      <c r="V667" s="529"/>
      <c r="W667" s="529"/>
      <c r="X667" s="529"/>
      <c r="Y667" s="529"/>
      <c r="Z667" s="529"/>
      <c r="AA667" s="529"/>
      <c r="AB667" s="529"/>
      <c r="AC667" s="529"/>
      <c r="AD667" s="529"/>
      <c r="AE667" s="529"/>
      <c r="AF667" s="529"/>
      <c r="AG667" s="556"/>
      <c r="AH667" s="528"/>
    </row>
    <row r="668">
      <c r="A668" s="564"/>
      <c r="B668" s="565"/>
      <c r="C668" s="565"/>
      <c r="D668" s="565"/>
      <c r="E668" s="565"/>
      <c r="F668" s="565"/>
      <c r="G668" s="565"/>
      <c r="H668" s="565"/>
      <c r="I668" s="565"/>
      <c r="J668" s="565"/>
      <c r="K668" s="565"/>
      <c r="L668" s="565"/>
      <c r="M668" s="565"/>
      <c r="N668" s="529"/>
      <c r="O668" s="529"/>
      <c r="P668" s="529"/>
      <c r="Q668" s="529"/>
      <c r="R668" s="529"/>
      <c r="S668" s="529"/>
      <c r="T668" s="529"/>
      <c r="U668" s="529"/>
      <c r="V668" s="529"/>
      <c r="W668" s="529"/>
      <c r="X668" s="529"/>
      <c r="Y668" s="529"/>
      <c r="Z668" s="529"/>
      <c r="AA668" s="529"/>
      <c r="AB668" s="529"/>
      <c r="AC668" s="529"/>
      <c r="AD668" s="529"/>
      <c r="AE668" s="529"/>
      <c r="AF668" s="529"/>
      <c r="AG668" s="556"/>
      <c r="AH668" s="528"/>
    </row>
    <row r="669">
      <c r="A669" s="564"/>
      <c r="B669" s="565"/>
      <c r="C669" s="565"/>
      <c r="D669" s="565"/>
      <c r="E669" s="565"/>
      <c r="F669" s="565"/>
      <c r="G669" s="565"/>
      <c r="H669" s="565"/>
      <c r="I669" s="565"/>
      <c r="J669" s="565"/>
      <c r="K669" s="565"/>
      <c r="L669" s="565"/>
      <c r="M669" s="565"/>
      <c r="N669" s="529"/>
      <c r="O669" s="529"/>
      <c r="P669" s="529"/>
      <c r="Q669" s="529"/>
      <c r="R669" s="529"/>
      <c r="S669" s="529"/>
      <c r="T669" s="529"/>
      <c r="U669" s="529"/>
      <c r="V669" s="529"/>
      <c r="W669" s="529"/>
      <c r="X669" s="529"/>
      <c r="Y669" s="529"/>
      <c r="Z669" s="529"/>
      <c r="AA669" s="529"/>
      <c r="AB669" s="529"/>
      <c r="AC669" s="529"/>
      <c r="AD669" s="529"/>
      <c r="AE669" s="529"/>
      <c r="AF669" s="529"/>
      <c r="AG669" s="556"/>
      <c r="AH669" s="528"/>
    </row>
    <row r="670">
      <c r="A670" s="564"/>
      <c r="B670" s="565"/>
      <c r="C670" s="565"/>
      <c r="D670" s="565"/>
      <c r="E670" s="565"/>
      <c r="F670" s="565"/>
      <c r="G670" s="565"/>
      <c r="H670" s="565"/>
      <c r="I670" s="565"/>
      <c r="J670" s="565"/>
      <c r="K670" s="565"/>
      <c r="L670" s="565"/>
      <c r="M670" s="565"/>
      <c r="N670" s="529"/>
      <c r="O670" s="529"/>
      <c r="P670" s="529"/>
      <c r="Q670" s="529"/>
      <c r="R670" s="529"/>
      <c r="S670" s="529"/>
      <c r="T670" s="529"/>
      <c r="U670" s="529"/>
      <c r="V670" s="529"/>
      <c r="W670" s="529"/>
      <c r="X670" s="529"/>
      <c r="Y670" s="529"/>
      <c r="Z670" s="529"/>
      <c r="AA670" s="529"/>
      <c r="AB670" s="529"/>
      <c r="AC670" s="529"/>
      <c r="AD670" s="529"/>
      <c r="AE670" s="529"/>
      <c r="AF670" s="529"/>
      <c r="AG670" s="556"/>
      <c r="AH670" s="528"/>
    </row>
    <row r="671">
      <c r="A671" s="564"/>
      <c r="B671" s="565"/>
      <c r="C671" s="565"/>
      <c r="D671" s="565"/>
      <c r="E671" s="565"/>
      <c r="F671" s="565"/>
      <c r="G671" s="565"/>
      <c r="H671" s="565"/>
      <c r="I671" s="565"/>
      <c r="J671" s="565"/>
      <c r="K671" s="565"/>
      <c r="L671" s="565"/>
      <c r="M671" s="565"/>
      <c r="N671" s="529"/>
      <c r="O671" s="529"/>
      <c r="P671" s="529"/>
      <c r="Q671" s="529"/>
      <c r="R671" s="529"/>
      <c r="S671" s="529"/>
      <c r="T671" s="529"/>
      <c r="U671" s="529"/>
      <c r="V671" s="529"/>
      <c r="W671" s="529"/>
      <c r="X671" s="529"/>
      <c r="Y671" s="529"/>
      <c r="Z671" s="529"/>
      <c r="AA671" s="529"/>
      <c r="AB671" s="529"/>
      <c r="AC671" s="529"/>
      <c r="AD671" s="529"/>
      <c r="AE671" s="529"/>
      <c r="AF671" s="529"/>
      <c r="AG671" s="556"/>
      <c r="AH671" s="528"/>
    </row>
    <row r="672">
      <c r="A672" s="564"/>
      <c r="B672" s="565"/>
      <c r="C672" s="565"/>
      <c r="D672" s="565"/>
      <c r="E672" s="565"/>
      <c r="F672" s="565"/>
      <c r="G672" s="565"/>
      <c r="H672" s="565"/>
      <c r="I672" s="565"/>
      <c r="J672" s="565"/>
      <c r="K672" s="565"/>
      <c r="L672" s="565"/>
      <c r="M672" s="565"/>
      <c r="N672" s="529"/>
      <c r="O672" s="529"/>
      <c r="P672" s="529"/>
      <c r="Q672" s="529"/>
      <c r="R672" s="529"/>
      <c r="S672" s="529"/>
      <c r="T672" s="529"/>
      <c r="U672" s="529"/>
      <c r="V672" s="529"/>
      <c r="W672" s="529"/>
      <c r="X672" s="529"/>
      <c r="Y672" s="529"/>
      <c r="Z672" s="529"/>
      <c r="AA672" s="529"/>
      <c r="AB672" s="529"/>
      <c r="AC672" s="529"/>
      <c r="AD672" s="529"/>
      <c r="AE672" s="529"/>
      <c r="AF672" s="529"/>
      <c r="AG672" s="556"/>
      <c r="AH672" s="528"/>
    </row>
    <row r="673">
      <c r="A673" s="564"/>
      <c r="B673" s="565"/>
      <c r="C673" s="565"/>
      <c r="D673" s="565"/>
      <c r="E673" s="565"/>
      <c r="F673" s="565"/>
      <c r="G673" s="565"/>
      <c r="H673" s="565"/>
      <c r="I673" s="565"/>
      <c r="J673" s="565"/>
      <c r="K673" s="565"/>
      <c r="L673" s="565"/>
      <c r="M673" s="565"/>
      <c r="N673" s="529"/>
      <c r="O673" s="529"/>
      <c r="P673" s="529"/>
      <c r="Q673" s="529"/>
      <c r="R673" s="529"/>
      <c r="S673" s="529"/>
      <c r="T673" s="529"/>
      <c r="U673" s="529"/>
      <c r="V673" s="529"/>
      <c r="W673" s="529"/>
      <c r="X673" s="529"/>
      <c r="Y673" s="529"/>
      <c r="Z673" s="529"/>
      <c r="AA673" s="529"/>
      <c r="AB673" s="529"/>
      <c r="AC673" s="529"/>
      <c r="AD673" s="529"/>
      <c r="AE673" s="529"/>
      <c r="AF673" s="529"/>
      <c r="AG673" s="556"/>
      <c r="AH673" s="528"/>
    </row>
    <row r="674">
      <c r="A674" s="564"/>
      <c r="B674" s="565"/>
      <c r="C674" s="565"/>
      <c r="D674" s="565"/>
      <c r="E674" s="565"/>
      <c r="F674" s="565"/>
      <c r="G674" s="565"/>
      <c r="H674" s="565"/>
      <c r="I674" s="565"/>
      <c r="J674" s="565"/>
      <c r="K674" s="565"/>
      <c r="L674" s="565"/>
      <c r="M674" s="565"/>
      <c r="N674" s="529"/>
      <c r="O674" s="529"/>
      <c r="P674" s="529"/>
      <c r="Q674" s="529"/>
      <c r="R674" s="529"/>
      <c r="S674" s="529"/>
      <c r="T674" s="529"/>
      <c r="U674" s="529"/>
      <c r="V674" s="529"/>
      <c r="W674" s="529"/>
      <c r="X674" s="529"/>
      <c r="Y674" s="529"/>
      <c r="Z674" s="529"/>
      <c r="AA674" s="529"/>
      <c r="AB674" s="529"/>
      <c r="AC674" s="529"/>
      <c r="AD674" s="529"/>
      <c r="AE674" s="529"/>
      <c r="AF674" s="529"/>
      <c r="AG674" s="556"/>
      <c r="AH674" s="528"/>
    </row>
    <row r="675">
      <c r="A675" s="564"/>
      <c r="B675" s="565"/>
      <c r="C675" s="565"/>
      <c r="D675" s="565"/>
      <c r="E675" s="565"/>
      <c r="F675" s="565"/>
      <c r="G675" s="565"/>
      <c r="H675" s="565"/>
      <c r="I675" s="565"/>
      <c r="J675" s="565"/>
      <c r="K675" s="565"/>
      <c r="L675" s="565"/>
      <c r="M675" s="565"/>
      <c r="N675" s="529"/>
      <c r="O675" s="529"/>
      <c r="P675" s="529"/>
      <c r="Q675" s="529"/>
      <c r="R675" s="529"/>
      <c r="S675" s="529"/>
      <c r="T675" s="529"/>
      <c r="U675" s="529"/>
      <c r="V675" s="529"/>
      <c r="W675" s="529"/>
      <c r="X675" s="529"/>
      <c r="Y675" s="529"/>
      <c r="Z675" s="529"/>
      <c r="AA675" s="529"/>
      <c r="AB675" s="529"/>
      <c r="AC675" s="529"/>
      <c r="AD675" s="529"/>
      <c r="AE675" s="529"/>
      <c r="AF675" s="529"/>
      <c r="AG675" s="556"/>
      <c r="AH675" s="528"/>
    </row>
    <row r="676">
      <c r="A676" s="564"/>
      <c r="B676" s="565"/>
      <c r="C676" s="565"/>
      <c r="D676" s="565"/>
      <c r="E676" s="565"/>
      <c r="F676" s="565"/>
      <c r="G676" s="565"/>
      <c r="H676" s="565"/>
      <c r="I676" s="565"/>
      <c r="J676" s="565"/>
      <c r="K676" s="565"/>
      <c r="L676" s="565"/>
      <c r="M676" s="565"/>
      <c r="N676" s="529"/>
      <c r="O676" s="529"/>
      <c r="P676" s="529"/>
      <c r="Q676" s="529"/>
      <c r="R676" s="529"/>
      <c r="S676" s="529"/>
      <c r="T676" s="529"/>
      <c r="U676" s="529"/>
      <c r="V676" s="529"/>
      <c r="W676" s="529"/>
      <c r="X676" s="529"/>
      <c r="Y676" s="529"/>
      <c r="Z676" s="529"/>
      <c r="AA676" s="529"/>
      <c r="AB676" s="529"/>
      <c r="AC676" s="529"/>
      <c r="AD676" s="529"/>
      <c r="AE676" s="529"/>
      <c r="AF676" s="529"/>
      <c r="AG676" s="556"/>
      <c r="AH676" s="528"/>
    </row>
    <row r="677">
      <c r="A677" s="564"/>
      <c r="B677" s="565"/>
      <c r="C677" s="565"/>
      <c r="D677" s="565"/>
      <c r="E677" s="565"/>
      <c r="F677" s="565"/>
      <c r="G677" s="565"/>
      <c r="H677" s="565"/>
      <c r="I677" s="565"/>
      <c r="J677" s="565"/>
      <c r="K677" s="565"/>
      <c r="L677" s="565"/>
      <c r="M677" s="565"/>
      <c r="N677" s="529"/>
      <c r="O677" s="529"/>
      <c r="P677" s="529"/>
      <c r="Q677" s="529"/>
      <c r="R677" s="529"/>
      <c r="S677" s="529"/>
      <c r="T677" s="529"/>
      <c r="U677" s="529"/>
      <c r="V677" s="529"/>
      <c r="W677" s="529"/>
      <c r="X677" s="529"/>
      <c r="Y677" s="529"/>
      <c r="Z677" s="529"/>
      <c r="AA677" s="529"/>
      <c r="AB677" s="529"/>
      <c r="AC677" s="529"/>
      <c r="AD677" s="529"/>
      <c r="AE677" s="529"/>
      <c r="AF677" s="529"/>
      <c r="AG677" s="556"/>
      <c r="AH677" s="528"/>
    </row>
    <row r="678">
      <c r="A678" s="564"/>
      <c r="B678" s="565"/>
      <c r="C678" s="565"/>
      <c r="D678" s="565"/>
      <c r="E678" s="565"/>
      <c r="F678" s="565"/>
      <c r="G678" s="565"/>
      <c r="H678" s="565"/>
      <c r="I678" s="565"/>
      <c r="J678" s="565"/>
      <c r="K678" s="565"/>
      <c r="L678" s="565"/>
      <c r="M678" s="565"/>
      <c r="N678" s="529"/>
      <c r="O678" s="529"/>
      <c r="P678" s="529"/>
      <c r="Q678" s="529"/>
      <c r="R678" s="529"/>
      <c r="S678" s="529"/>
      <c r="T678" s="529"/>
      <c r="U678" s="529"/>
      <c r="V678" s="529"/>
      <c r="W678" s="529"/>
      <c r="X678" s="529"/>
      <c r="Y678" s="529"/>
      <c r="Z678" s="529"/>
      <c r="AA678" s="529"/>
      <c r="AB678" s="529"/>
      <c r="AC678" s="529"/>
      <c r="AD678" s="529"/>
      <c r="AE678" s="529"/>
      <c r="AF678" s="529"/>
      <c r="AG678" s="556"/>
      <c r="AH678" s="528"/>
    </row>
    <row r="679">
      <c r="A679" s="564"/>
      <c r="B679" s="565"/>
      <c r="C679" s="565"/>
      <c r="D679" s="565"/>
      <c r="E679" s="565"/>
      <c r="F679" s="565"/>
      <c r="G679" s="565"/>
      <c r="H679" s="565"/>
      <c r="I679" s="565"/>
      <c r="J679" s="565"/>
      <c r="K679" s="565"/>
      <c r="L679" s="565"/>
      <c r="M679" s="565"/>
      <c r="N679" s="529"/>
      <c r="O679" s="529"/>
      <c r="P679" s="529"/>
      <c r="Q679" s="529"/>
      <c r="R679" s="529"/>
      <c r="S679" s="529"/>
      <c r="T679" s="529"/>
      <c r="U679" s="529"/>
      <c r="V679" s="529"/>
      <c r="W679" s="529"/>
      <c r="X679" s="529"/>
      <c r="Y679" s="529"/>
      <c r="Z679" s="529"/>
      <c r="AA679" s="529"/>
      <c r="AB679" s="529"/>
      <c r="AC679" s="529"/>
      <c r="AD679" s="529"/>
      <c r="AE679" s="529"/>
      <c r="AF679" s="529"/>
      <c r="AG679" s="556"/>
      <c r="AH679" s="528"/>
    </row>
    <row r="680">
      <c r="A680" s="564"/>
      <c r="B680" s="565"/>
      <c r="C680" s="565"/>
      <c r="D680" s="565"/>
      <c r="E680" s="565"/>
      <c r="F680" s="565"/>
      <c r="G680" s="565"/>
      <c r="H680" s="565"/>
      <c r="I680" s="565"/>
      <c r="J680" s="565"/>
      <c r="K680" s="565"/>
      <c r="L680" s="565"/>
      <c r="M680" s="565"/>
      <c r="N680" s="529"/>
      <c r="O680" s="529"/>
      <c r="P680" s="529"/>
      <c r="Q680" s="529"/>
      <c r="R680" s="529"/>
      <c r="S680" s="529"/>
      <c r="T680" s="529"/>
      <c r="U680" s="529"/>
      <c r="V680" s="529"/>
      <c r="W680" s="529"/>
      <c r="X680" s="529"/>
      <c r="Y680" s="529"/>
      <c r="Z680" s="529"/>
      <c r="AA680" s="529"/>
      <c r="AB680" s="529"/>
      <c r="AC680" s="529"/>
      <c r="AD680" s="529"/>
      <c r="AE680" s="529"/>
      <c r="AF680" s="529"/>
      <c r="AG680" s="556"/>
      <c r="AH680" s="528"/>
    </row>
    <row r="681">
      <c r="A681" s="564"/>
      <c r="B681" s="565"/>
      <c r="C681" s="565"/>
      <c r="D681" s="565"/>
      <c r="E681" s="565"/>
      <c r="F681" s="565"/>
      <c r="G681" s="565"/>
      <c r="H681" s="565"/>
      <c r="I681" s="565"/>
      <c r="J681" s="565"/>
      <c r="K681" s="565"/>
      <c r="L681" s="565"/>
      <c r="M681" s="565"/>
      <c r="N681" s="529"/>
      <c r="O681" s="529"/>
      <c r="P681" s="529"/>
      <c r="Q681" s="529"/>
      <c r="R681" s="529"/>
      <c r="S681" s="529"/>
      <c r="T681" s="529"/>
      <c r="U681" s="529"/>
      <c r="V681" s="529"/>
      <c r="W681" s="529"/>
      <c r="X681" s="529"/>
      <c r="Y681" s="529"/>
      <c r="Z681" s="529"/>
      <c r="AA681" s="529"/>
      <c r="AB681" s="529"/>
      <c r="AC681" s="529"/>
      <c r="AD681" s="529"/>
      <c r="AE681" s="529"/>
      <c r="AF681" s="529"/>
      <c r="AG681" s="556"/>
      <c r="AH681" s="528"/>
    </row>
    <row r="682">
      <c r="A682" s="564"/>
      <c r="B682" s="565"/>
      <c r="C682" s="565"/>
      <c r="D682" s="565"/>
      <c r="E682" s="565"/>
      <c r="F682" s="565"/>
      <c r="G682" s="565"/>
      <c r="H682" s="565"/>
      <c r="I682" s="565"/>
      <c r="J682" s="565"/>
      <c r="K682" s="565"/>
      <c r="L682" s="565"/>
      <c r="M682" s="565"/>
      <c r="N682" s="529"/>
      <c r="O682" s="529"/>
      <c r="P682" s="529"/>
      <c r="Q682" s="529"/>
      <c r="R682" s="529"/>
      <c r="S682" s="529"/>
      <c r="T682" s="529"/>
      <c r="U682" s="529"/>
      <c r="V682" s="529"/>
      <c r="W682" s="529"/>
      <c r="X682" s="529"/>
      <c r="Y682" s="529"/>
      <c r="Z682" s="529"/>
      <c r="AA682" s="529"/>
      <c r="AB682" s="529"/>
      <c r="AC682" s="529"/>
      <c r="AD682" s="529"/>
      <c r="AE682" s="529"/>
      <c r="AF682" s="529"/>
      <c r="AG682" s="556"/>
      <c r="AH682" s="528"/>
    </row>
    <row r="683">
      <c r="A683" s="564"/>
      <c r="B683" s="565"/>
      <c r="C683" s="565"/>
      <c r="D683" s="565"/>
      <c r="E683" s="565"/>
      <c r="F683" s="565"/>
      <c r="G683" s="565"/>
      <c r="H683" s="565"/>
      <c r="I683" s="565"/>
      <c r="J683" s="565"/>
      <c r="K683" s="565"/>
      <c r="L683" s="565"/>
      <c r="M683" s="565"/>
      <c r="N683" s="529"/>
      <c r="O683" s="529"/>
      <c r="P683" s="529"/>
      <c r="Q683" s="529"/>
      <c r="R683" s="529"/>
      <c r="S683" s="529"/>
      <c r="T683" s="529"/>
      <c r="U683" s="529"/>
      <c r="V683" s="529"/>
      <c r="W683" s="529"/>
      <c r="X683" s="529"/>
      <c r="Y683" s="529"/>
      <c r="Z683" s="529"/>
      <c r="AA683" s="529"/>
      <c r="AB683" s="529"/>
      <c r="AC683" s="529"/>
      <c r="AD683" s="529"/>
      <c r="AE683" s="529"/>
      <c r="AF683" s="529"/>
      <c r="AG683" s="556"/>
      <c r="AH683" s="528"/>
    </row>
    <row r="684">
      <c r="A684" s="564"/>
      <c r="B684" s="565"/>
      <c r="C684" s="565"/>
      <c r="D684" s="565"/>
      <c r="E684" s="565"/>
      <c r="F684" s="565"/>
      <c r="G684" s="565"/>
      <c r="H684" s="565"/>
      <c r="I684" s="565"/>
      <c r="J684" s="565"/>
      <c r="K684" s="565"/>
      <c r="L684" s="565"/>
      <c r="M684" s="565"/>
      <c r="N684" s="529"/>
      <c r="O684" s="529"/>
      <c r="P684" s="529"/>
      <c r="Q684" s="529"/>
      <c r="R684" s="529"/>
      <c r="S684" s="529"/>
      <c r="T684" s="529"/>
      <c r="U684" s="529"/>
      <c r="V684" s="529"/>
      <c r="W684" s="529"/>
      <c r="X684" s="529"/>
      <c r="Y684" s="529"/>
      <c r="Z684" s="529"/>
      <c r="AA684" s="529"/>
      <c r="AB684" s="529"/>
      <c r="AC684" s="529"/>
      <c r="AD684" s="529"/>
      <c r="AE684" s="529"/>
      <c r="AF684" s="529"/>
      <c r="AG684" s="556"/>
      <c r="AH684" s="528"/>
    </row>
    <row r="685">
      <c r="A685" s="564"/>
      <c r="B685" s="565"/>
      <c r="C685" s="565"/>
      <c r="D685" s="565"/>
      <c r="E685" s="565"/>
      <c r="F685" s="565"/>
      <c r="G685" s="565"/>
      <c r="H685" s="565"/>
      <c r="I685" s="565"/>
      <c r="J685" s="565"/>
      <c r="K685" s="565"/>
      <c r="L685" s="565"/>
      <c r="M685" s="565"/>
      <c r="N685" s="529"/>
      <c r="O685" s="529"/>
      <c r="P685" s="529"/>
      <c r="Q685" s="529"/>
      <c r="R685" s="529"/>
      <c r="S685" s="529"/>
      <c r="T685" s="529"/>
      <c r="U685" s="529"/>
      <c r="V685" s="529"/>
      <c r="W685" s="529"/>
      <c r="X685" s="529"/>
      <c r="Y685" s="529"/>
      <c r="Z685" s="529"/>
      <c r="AA685" s="529"/>
      <c r="AB685" s="529"/>
      <c r="AC685" s="529"/>
      <c r="AD685" s="529"/>
      <c r="AE685" s="529"/>
      <c r="AF685" s="529"/>
      <c r="AG685" s="556"/>
      <c r="AH685" s="528"/>
    </row>
    <row r="686">
      <c r="A686" s="564"/>
      <c r="B686" s="565"/>
      <c r="C686" s="565"/>
      <c r="D686" s="565"/>
      <c r="E686" s="565"/>
      <c r="F686" s="565"/>
      <c r="G686" s="565"/>
      <c r="H686" s="565"/>
      <c r="I686" s="565"/>
      <c r="J686" s="565"/>
      <c r="K686" s="565"/>
      <c r="L686" s="565"/>
      <c r="M686" s="565"/>
      <c r="N686" s="529"/>
      <c r="O686" s="529"/>
      <c r="P686" s="529"/>
      <c r="Q686" s="529"/>
      <c r="R686" s="529"/>
      <c r="S686" s="529"/>
      <c r="T686" s="529"/>
      <c r="U686" s="529"/>
      <c r="V686" s="529"/>
      <c r="W686" s="529"/>
      <c r="X686" s="529"/>
      <c r="Y686" s="529"/>
      <c r="Z686" s="529"/>
      <c r="AA686" s="529"/>
      <c r="AB686" s="529"/>
      <c r="AC686" s="529"/>
      <c r="AD686" s="529"/>
      <c r="AE686" s="529"/>
      <c r="AF686" s="529"/>
      <c r="AG686" s="556"/>
      <c r="AH686" s="528"/>
    </row>
    <row r="687">
      <c r="A687" s="564"/>
      <c r="B687" s="565"/>
      <c r="C687" s="565"/>
      <c r="D687" s="565"/>
      <c r="E687" s="565"/>
      <c r="F687" s="565"/>
      <c r="G687" s="565"/>
      <c r="H687" s="565"/>
      <c r="I687" s="565"/>
      <c r="J687" s="565"/>
      <c r="K687" s="565"/>
      <c r="L687" s="565"/>
      <c r="M687" s="565"/>
      <c r="N687" s="529"/>
      <c r="O687" s="529"/>
      <c r="P687" s="529"/>
      <c r="Q687" s="529"/>
      <c r="R687" s="529"/>
      <c r="S687" s="529"/>
      <c r="T687" s="529"/>
      <c r="U687" s="529"/>
      <c r="V687" s="529"/>
      <c r="W687" s="529"/>
      <c r="X687" s="529"/>
      <c r="Y687" s="529"/>
      <c r="Z687" s="529"/>
      <c r="AA687" s="529"/>
      <c r="AB687" s="529"/>
      <c r="AC687" s="529"/>
      <c r="AD687" s="529"/>
      <c r="AE687" s="529"/>
      <c r="AF687" s="529"/>
      <c r="AG687" s="556"/>
      <c r="AH687" s="528"/>
    </row>
    <row r="688">
      <c r="A688" s="564"/>
      <c r="B688" s="565"/>
      <c r="C688" s="565"/>
      <c r="D688" s="565"/>
      <c r="E688" s="565"/>
      <c r="F688" s="565"/>
      <c r="G688" s="565"/>
      <c r="H688" s="565"/>
      <c r="I688" s="565"/>
      <c r="J688" s="565"/>
      <c r="K688" s="565"/>
      <c r="L688" s="565"/>
      <c r="M688" s="565"/>
      <c r="N688" s="529"/>
      <c r="O688" s="529"/>
      <c r="P688" s="529"/>
      <c r="Q688" s="529"/>
      <c r="R688" s="529"/>
      <c r="S688" s="529"/>
      <c r="T688" s="529"/>
      <c r="U688" s="529"/>
      <c r="V688" s="529"/>
      <c r="W688" s="529"/>
      <c r="X688" s="529"/>
      <c r="Y688" s="529"/>
      <c r="Z688" s="529"/>
      <c r="AA688" s="529"/>
      <c r="AB688" s="529"/>
      <c r="AC688" s="529"/>
      <c r="AD688" s="529"/>
      <c r="AE688" s="529"/>
      <c r="AF688" s="529"/>
      <c r="AG688" s="556"/>
      <c r="AH688" s="528"/>
    </row>
    <row r="689">
      <c r="A689" s="564"/>
      <c r="B689" s="565"/>
      <c r="C689" s="565"/>
      <c r="D689" s="565"/>
      <c r="E689" s="565"/>
      <c r="F689" s="565"/>
      <c r="G689" s="565"/>
      <c r="H689" s="565"/>
      <c r="I689" s="565"/>
      <c r="J689" s="565"/>
      <c r="K689" s="565"/>
      <c r="L689" s="565"/>
      <c r="M689" s="565"/>
      <c r="N689" s="529"/>
      <c r="O689" s="529"/>
      <c r="P689" s="529"/>
      <c r="Q689" s="529"/>
      <c r="R689" s="529"/>
      <c r="S689" s="529"/>
      <c r="T689" s="529"/>
      <c r="U689" s="529"/>
      <c r="V689" s="529"/>
      <c r="W689" s="529"/>
      <c r="X689" s="529"/>
      <c r="Y689" s="529"/>
      <c r="Z689" s="529"/>
      <c r="AA689" s="529"/>
      <c r="AB689" s="529"/>
      <c r="AC689" s="529"/>
      <c r="AD689" s="529"/>
      <c r="AE689" s="529"/>
      <c r="AF689" s="529"/>
      <c r="AG689" s="556"/>
      <c r="AH689" s="528"/>
    </row>
    <row r="690">
      <c r="A690" s="564"/>
      <c r="B690" s="565"/>
      <c r="C690" s="565"/>
      <c r="D690" s="565"/>
      <c r="E690" s="565"/>
      <c r="F690" s="565"/>
      <c r="G690" s="565"/>
      <c r="H690" s="565"/>
      <c r="I690" s="565"/>
      <c r="J690" s="565"/>
      <c r="K690" s="565"/>
      <c r="L690" s="565"/>
      <c r="M690" s="565"/>
      <c r="N690" s="529"/>
      <c r="O690" s="529"/>
      <c r="P690" s="529"/>
      <c r="Q690" s="529"/>
      <c r="R690" s="529"/>
      <c r="S690" s="529"/>
      <c r="T690" s="529"/>
      <c r="U690" s="529"/>
      <c r="V690" s="529"/>
      <c r="W690" s="529"/>
      <c r="X690" s="529"/>
      <c r="Y690" s="529"/>
      <c r="Z690" s="529"/>
      <c r="AA690" s="529"/>
      <c r="AB690" s="529"/>
      <c r="AC690" s="529"/>
      <c r="AD690" s="529"/>
      <c r="AE690" s="529"/>
      <c r="AF690" s="529"/>
      <c r="AG690" s="556"/>
      <c r="AH690" s="528"/>
    </row>
    <row r="691">
      <c r="A691" s="564"/>
      <c r="B691" s="565"/>
      <c r="C691" s="565"/>
      <c r="D691" s="565"/>
      <c r="E691" s="565"/>
      <c r="F691" s="565"/>
      <c r="G691" s="565"/>
      <c r="H691" s="565"/>
      <c r="I691" s="565"/>
      <c r="J691" s="565"/>
      <c r="K691" s="565"/>
      <c r="L691" s="565"/>
      <c r="M691" s="565"/>
      <c r="N691" s="529"/>
      <c r="O691" s="529"/>
      <c r="P691" s="529"/>
      <c r="Q691" s="529"/>
      <c r="R691" s="529"/>
      <c r="S691" s="529"/>
      <c r="T691" s="529"/>
      <c r="U691" s="529"/>
      <c r="V691" s="529"/>
      <c r="W691" s="529"/>
      <c r="X691" s="529"/>
      <c r="Y691" s="529"/>
      <c r="Z691" s="529"/>
      <c r="AA691" s="529"/>
      <c r="AB691" s="529"/>
      <c r="AC691" s="529"/>
      <c r="AD691" s="529"/>
      <c r="AE691" s="529"/>
      <c r="AF691" s="529"/>
      <c r="AG691" s="556"/>
      <c r="AH691" s="528"/>
    </row>
    <row r="692">
      <c r="A692" s="564"/>
      <c r="B692" s="565"/>
      <c r="C692" s="565"/>
      <c r="D692" s="565"/>
      <c r="E692" s="565"/>
      <c r="F692" s="565"/>
      <c r="G692" s="565"/>
      <c r="H692" s="565"/>
      <c r="I692" s="565"/>
      <c r="J692" s="565"/>
      <c r="K692" s="565"/>
      <c r="L692" s="565"/>
      <c r="M692" s="565"/>
      <c r="N692" s="529"/>
      <c r="O692" s="529"/>
      <c r="P692" s="529"/>
      <c r="Q692" s="529"/>
      <c r="R692" s="529"/>
      <c r="S692" s="529"/>
      <c r="T692" s="529"/>
      <c r="U692" s="529"/>
      <c r="V692" s="529"/>
      <c r="W692" s="529"/>
      <c r="X692" s="529"/>
      <c r="Y692" s="529"/>
      <c r="Z692" s="529"/>
      <c r="AA692" s="529"/>
      <c r="AB692" s="529"/>
      <c r="AC692" s="529"/>
      <c r="AD692" s="529"/>
      <c r="AE692" s="529"/>
      <c r="AF692" s="529"/>
      <c r="AG692" s="556"/>
      <c r="AH692" s="528"/>
    </row>
    <row r="693">
      <c r="A693" s="564"/>
      <c r="B693" s="565"/>
      <c r="C693" s="565"/>
      <c r="D693" s="565"/>
      <c r="E693" s="565"/>
      <c r="F693" s="565"/>
      <c r="G693" s="565"/>
      <c r="H693" s="565"/>
      <c r="I693" s="565"/>
      <c r="J693" s="565"/>
      <c r="K693" s="565"/>
      <c r="L693" s="565"/>
      <c r="M693" s="565"/>
      <c r="N693" s="529"/>
      <c r="O693" s="529"/>
      <c r="P693" s="529"/>
      <c r="Q693" s="529"/>
      <c r="R693" s="529"/>
      <c r="S693" s="529"/>
      <c r="T693" s="529"/>
      <c r="U693" s="529"/>
      <c r="V693" s="529"/>
      <c r="W693" s="529"/>
      <c r="X693" s="529"/>
      <c r="Y693" s="529"/>
      <c r="Z693" s="529"/>
      <c r="AA693" s="529"/>
      <c r="AB693" s="529"/>
      <c r="AC693" s="529"/>
      <c r="AD693" s="529"/>
      <c r="AE693" s="529"/>
      <c r="AF693" s="529"/>
      <c r="AG693" s="556"/>
      <c r="AH693" s="528"/>
    </row>
    <row r="694">
      <c r="A694" s="564"/>
      <c r="B694" s="565"/>
      <c r="C694" s="565"/>
      <c r="D694" s="565"/>
      <c r="E694" s="565"/>
      <c r="F694" s="565"/>
      <c r="G694" s="565"/>
      <c r="H694" s="565"/>
      <c r="I694" s="565"/>
      <c r="J694" s="565"/>
      <c r="K694" s="565"/>
      <c r="L694" s="565"/>
      <c r="M694" s="565"/>
      <c r="N694" s="529"/>
      <c r="O694" s="529"/>
      <c r="P694" s="529"/>
      <c r="Q694" s="529"/>
      <c r="R694" s="529"/>
      <c r="S694" s="529"/>
      <c r="T694" s="529"/>
      <c r="U694" s="529"/>
      <c r="V694" s="529"/>
      <c r="W694" s="529"/>
      <c r="X694" s="529"/>
      <c r="Y694" s="529"/>
      <c r="Z694" s="529"/>
      <c r="AA694" s="529"/>
      <c r="AB694" s="529"/>
      <c r="AC694" s="529"/>
      <c r="AD694" s="529"/>
      <c r="AE694" s="529"/>
      <c r="AF694" s="529"/>
      <c r="AG694" s="556"/>
      <c r="AH694" s="528"/>
    </row>
    <row r="695">
      <c r="A695" s="564"/>
      <c r="B695" s="565"/>
      <c r="C695" s="565"/>
      <c r="D695" s="565"/>
      <c r="E695" s="565"/>
      <c r="F695" s="565"/>
      <c r="G695" s="565"/>
      <c r="H695" s="565"/>
      <c r="I695" s="565"/>
      <c r="J695" s="565"/>
      <c r="K695" s="565"/>
      <c r="L695" s="565"/>
      <c r="M695" s="565"/>
      <c r="N695" s="529"/>
      <c r="O695" s="529"/>
      <c r="P695" s="529"/>
      <c r="Q695" s="529"/>
      <c r="R695" s="529"/>
      <c r="S695" s="529"/>
      <c r="T695" s="529"/>
      <c r="U695" s="529"/>
      <c r="V695" s="529"/>
      <c r="W695" s="529"/>
      <c r="X695" s="529"/>
      <c r="Y695" s="529"/>
      <c r="Z695" s="529"/>
      <c r="AA695" s="529"/>
      <c r="AB695" s="529"/>
      <c r="AC695" s="529"/>
      <c r="AD695" s="529"/>
      <c r="AE695" s="529"/>
      <c r="AF695" s="529"/>
      <c r="AG695" s="556"/>
      <c r="AH695" s="528"/>
    </row>
    <row r="696">
      <c r="A696" s="564"/>
      <c r="B696" s="565"/>
      <c r="C696" s="565"/>
      <c r="D696" s="565"/>
      <c r="E696" s="565"/>
      <c r="F696" s="565"/>
      <c r="G696" s="565"/>
      <c r="H696" s="565"/>
      <c r="I696" s="565"/>
      <c r="J696" s="565"/>
      <c r="K696" s="565"/>
      <c r="L696" s="565"/>
      <c r="M696" s="565"/>
      <c r="N696" s="529"/>
      <c r="O696" s="529"/>
      <c r="P696" s="529"/>
      <c r="Q696" s="529"/>
      <c r="R696" s="529"/>
      <c r="S696" s="529"/>
      <c r="T696" s="529"/>
      <c r="U696" s="529"/>
      <c r="V696" s="529"/>
      <c r="W696" s="529"/>
      <c r="X696" s="529"/>
      <c r="Y696" s="529"/>
      <c r="Z696" s="529"/>
      <c r="AA696" s="529"/>
      <c r="AB696" s="529"/>
      <c r="AC696" s="529"/>
      <c r="AD696" s="529"/>
      <c r="AE696" s="529"/>
      <c r="AF696" s="529"/>
      <c r="AG696" s="556"/>
      <c r="AH696" s="528"/>
    </row>
    <row r="697">
      <c r="A697" s="564"/>
      <c r="B697" s="565"/>
      <c r="C697" s="565"/>
      <c r="D697" s="565"/>
      <c r="E697" s="565"/>
      <c r="F697" s="565"/>
      <c r="G697" s="565"/>
      <c r="H697" s="565"/>
      <c r="I697" s="565"/>
      <c r="J697" s="565"/>
      <c r="K697" s="565"/>
      <c r="L697" s="565"/>
      <c r="M697" s="565"/>
      <c r="N697" s="529"/>
      <c r="O697" s="529"/>
      <c r="P697" s="529"/>
      <c r="Q697" s="529"/>
      <c r="R697" s="529"/>
      <c r="S697" s="529"/>
      <c r="T697" s="529"/>
      <c r="U697" s="529"/>
      <c r="V697" s="529"/>
      <c r="W697" s="529"/>
      <c r="X697" s="529"/>
      <c r="Y697" s="529"/>
      <c r="Z697" s="529"/>
      <c r="AA697" s="529"/>
      <c r="AB697" s="529"/>
      <c r="AC697" s="529"/>
      <c r="AD697" s="529"/>
      <c r="AE697" s="529"/>
      <c r="AF697" s="529"/>
      <c r="AG697" s="556"/>
      <c r="AH697" s="528"/>
    </row>
    <row r="698">
      <c r="A698" s="564"/>
      <c r="B698" s="565"/>
      <c r="C698" s="565"/>
      <c r="D698" s="565"/>
      <c r="E698" s="565"/>
      <c r="F698" s="565"/>
      <c r="G698" s="565"/>
      <c r="H698" s="565"/>
      <c r="I698" s="565"/>
      <c r="J698" s="565"/>
      <c r="K698" s="565"/>
      <c r="L698" s="565"/>
      <c r="M698" s="565"/>
      <c r="N698" s="529"/>
      <c r="O698" s="529"/>
      <c r="P698" s="529"/>
      <c r="Q698" s="529"/>
      <c r="R698" s="529"/>
      <c r="S698" s="529"/>
      <c r="T698" s="529"/>
      <c r="U698" s="529"/>
      <c r="V698" s="529"/>
      <c r="W698" s="529"/>
      <c r="X698" s="529"/>
      <c r="Y698" s="529"/>
      <c r="Z698" s="529"/>
      <c r="AA698" s="529"/>
      <c r="AB698" s="529"/>
      <c r="AC698" s="529"/>
      <c r="AD698" s="529"/>
      <c r="AE698" s="529"/>
      <c r="AF698" s="529"/>
      <c r="AG698" s="556"/>
      <c r="AH698" s="528"/>
    </row>
    <row r="699">
      <c r="A699" s="564"/>
      <c r="B699" s="565"/>
      <c r="C699" s="565"/>
      <c r="D699" s="565"/>
      <c r="E699" s="565"/>
      <c r="F699" s="565"/>
      <c r="G699" s="565"/>
      <c r="H699" s="565"/>
      <c r="I699" s="565"/>
      <c r="J699" s="565"/>
      <c r="K699" s="565"/>
      <c r="L699" s="565"/>
      <c r="M699" s="565"/>
      <c r="N699" s="529"/>
      <c r="O699" s="529"/>
      <c r="P699" s="529"/>
      <c r="Q699" s="529"/>
      <c r="R699" s="529"/>
      <c r="S699" s="529"/>
      <c r="T699" s="529"/>
      <c r="U699" s="529"/>
      <c r="V699" s="529"/>
      <c r="W699" s="529"/>
      <c r="X699" s="529"/>
      <c r="Y699" s="529"/>
      <c r="Z699" s="529"/>
      <c r="AA699" s="529"/>
      <c r="AB699" s="529"/>
      <c r="AC699" s="529"/>
      <c r="AD699" s="529"/>
      <c r="AE699" s="529"/>
      <c r="AF699" s="529"/>
      <c r="AG699" s="556"/>
      <c r="AH699" s="528"/>
    </row>
    <row r="700">
      <c r="A700" s="564"/>
      <c r="B700" s="565"/>
      <c r="C700" s="565"/>
      <c r="D700" s="565"/>
      <c r="E700" s="565"/>
      <c r="F700" s="565"/>
      <c r="G700" s="565"/>
      <c r="H700" s="565"/>
      <c r="I700" s="565"/>
      <c r="J700" s="565"/>
      <c r="K700" s="565"/>
      <c r="L700" s="565"/>
      <c r="M700" s="565"/>
      <c r="N700" s="529"/>
      <c r="O700" s="529"/>
      <c r="P700" s="529"/>
      <c r="Q700" s="529"/>
      <c r="R700" s="529"/>
      <c r="S700" s="529"/>
      <c r="T700" s="529"/>
      <c r="U700" s="529"/>
      <c r="V700" s="529"/>
      <c r="W700" s="529"/>
      <c r="X700" s="529"/>
      <c r="Y700" s="529"/>
      <c r="Z700" s="529"/>
      <c r="AA700" s="529"/>
      <c r="AB700" s="529"/>
      <c r="AC700" s="529"/>
      <c r="AD700" s="529"/>
      <c r="AE700" s="529"/>
      <c r="AF700" s="529"/>
      <c r="AG700" s="556"/>
      <c r="AH700" s="528"/>
    </row>
    <row r="701">
      <c r="A701" s="564"/>
      <c r="B701" s="565"/>
      <c r="C701" s="565"/>
      <c r="D701" s="565"/>
      <c r="E701" s="565"/>
      <c r="F701" s="565"/>
      <c r="G701" s="565"/>
      <c r="H701" s="565"/>
      <c r="I701" s="565"/>
      <c r="J701" s="565"/>
      <c r="K701" s="565"/>
      <c r="L701" s="565"/>
      <c r="M701" s="565"/>
      <c r="N701" s="529"/>
      <c r="O701" s="529"/>
      <c r="P701" s="529"/>
      <c r="Q701" s="529"/>
      <c r="R701" s="529"/>
      <c r="S701" s="529"/>
      <c r="T701" s="529"/>
      <c r="U701" s="529"/>
      <c r="V701" s="529"/>
      <c r="W701" s="529"/>
      <c r="X701" s="529"/>
      <c r="Y701" s="529"/>
      <c r="Z701" s="529"/>
      <c r="AA701" s="529"/>
      <c r="AB701" s="529"/>
      <c r="AC701" s="529"/>
      <c r="AD701" s="529"/>
      <c r="AE701" s="529"/>
      <c r="AF701" s="529"/>
      <c r="AG701" s="556"/>
      <c r="AH701" s="528"/>
    </row>
    <row r="702">
      <c r="A702" s="564"/>
      <c r="B702" s="565"/>
      <c r="C702" s="565"/>
      <c r="D702" s="565"/>
      <c r="E702" s="565"/>
      <c r="F702" s="565"/>
      <c r="G702" s="565"/>
      <c r="H702" s="565"/>
      <c r="I702" s="565"/>
      <c r="J702" s="565"/>
      <c r="K702" s="565"/>
      <c r="L702" s="565"/>
      <c r="M702" s="565"/>
      <c r="N702" s="529"/>
      <c r="O702" s="529"/>
      <c r="P702" s="529"/>
      <c r="Q702" s="529"/>
      <c r="R702" s="529"/>
      <c r="S702" s="529"/>
      <c r="T702" s="529"/>
      <c r="U702" s="529"/>
      <c r="V702" s="529"/>
      <c r="W702" s="529"/>
      <c r="X702" s="529"/>
      <c r="Y702" s="529"/>
      <c r="Z702" s="529"/>
      <c r="AA702" s="529"/>
      <c r="AB702" s="529"/>
      <c r="AC702" s="529"/>
      <c r="AD702" s="529"/>
      <c r="AE702" s="529"/>
      <c r="AF702" s="529"/>
      <c r="AG702" s="556"/>
      <c r="AH702" s="528"/>
    </row>
    <row r="703">
      <c r="A703" s="564"/>
      <c r="B703" s="565"/>
      <c r="C703" s="565"/>
      <c r="D703" s="565"/>
      <c r="E703" s="565"/>
      <c r="F703" s="565"/>
      <c r="G703" s="565"/>
      <c r="H703" s="565"/>
      <c r="I703" s="565"/>
      <c r="J703" s="565"/>
      <c r="K703" s="565"/>
      <c r="L703" s="565"/>
      <c r="M703" s="565"/>
      <c r="N703" s="529"/>
      <c r="O703" s="529"/>
      <c r="P703" s="529"/>
      <c r="Q703" s="529"/>
      <c r="R703" s="529"/>
      <c r="S703" s="529"/>
      <c r="T703" s="529"/>
      <c r="U703" s="529"/>
      <c r="V703" s="529"/>
      <c r="W703" s="529"/>
      <c r="X703" s="529"/>
      <c r="Y703" s="529"/>
      <c r="Z703" s="529"/>
      <c r="AA703" s="529"/>
      <c r="AB703" s="529"/>
      <c r="AC703" s="529"/>
      <c r="AD703" s="529"/>
      <c r="AE703" s="529"/>
      <c r="AF703" s="529"/>
      <c r="AG703" s="556"/>
      <c r="AH703" s="528"/>
    </row>
    <row r="704">
      <c r="A704" s="564"/>
      <c r="B704" s="565"/>
      <c r="C704" s="565"/>
      <c r="D704" s="565"/>
      <c r="E704" s="565"/>
      <c r="F704" s="565"/>
      <c r="G704" s="565"/>
      <c r="H704" s="565"/>
      <c r="I704" s="565"/>
      <c r="J704" s="565"/>
      <c r="K704" s="565"/>
      <c r="L704" s="565"/>
      <c r="M704" s="565"/>
      <c r="N704" s="529"/>
      <c r="O704" s="529"/>
      <c r="P704" s="529"/>
      <c r="Q704" s="529"/>
      <c r="R704" s="529"/>
      <c r="S704" s="529"/>
      <c r="T704" s="529"/>
      <c r="U704" s="529"/>
      <c r="V704" s="529"/>
      <c r="W704" s="529"/>
      <c r="X704" s="529"/>
      <c r="Y704" s="529"/>
      <c r="Z704" s="529"/>
      <c r="AA704" s="529"/>
      <c r="AB704" s="529"/>
      <c r="AC704" s="529"/>
      <c r="AD704" s="529"/>
      <c r="AE704" s="529"/>
      <c r="AF704" s="529"/>
      <c r="AG704" s="556"/>
      <c r="AH704" s="528"/>
    </row>
    <row r="705">
      <c r="A705" s="564"/>
      <c r="B705" s="565"/>
      <c r="C705" s="565"/>
      <c r="D705" s="565"/>
      <c r="E705" s="565"/>
      <c r="F705" s="565"/>
      <c r="G705" s="565"/>
      <c r="H705" s="565"/>
      <c r="I705" s="565"/>
      <c r="J705" s="565"/>
      <c r="K705" s="565"/>
      <c r="L705" s="565"/>
      <c r="M705" s="565"/>
      <c r="N705" s="529"/>
      <c r="O705" s="529"/>
      <c r="P705" s="529"/>
      <c r="Q705" s="529"/>
      <c r="R705" s="529"/>
      <c r="S705" s="529"/>
      <c r="T705" s="529"/>
      <c r="U705" s="529"/>
      <c r="V705" s="529"/>
      <c r="W705" s="529"/>
      <c r="X705" s="529"/>
      <c r="Y705" s="529"/>
      <c r="Z705" s="529"/>
      <c r="AA705" s="529"/>
      <c r="AB705" s="529"/>
      <c r="AC705" s="529"/>
      <c r="AD705" s="529"/>
      <c r="AE705" s="529"/>
      <c r="AF705" s="529"/>
      <c r="AG705" s="556"/>
      <c r="AH705" s="528"/>
    </row>
    <row r="706">
      <c r="A706" s="564"/>
      <c r="B706" s="565"/>
      <c r="C706" s="565"/>
      <c r="D706" s="565"/>
      <c r="E706" s="565"/>
      <c r="F706" s="565"/>
      <c r="G706" s="565"/>
      <c r="H706" s="565"/>
      <c r="I706" s="565"/>
      <c r="J706" s="565"/>
      <c r="K706" s="565"/>
      <c r="L706" s="565"/>
      <c r="M706" s="565"/>
      <c r="N706" s="529"/>
      <c r="O706" s="529"/>
      <c r="P706" s="529"/>
      <c r="Q706" s="529"/>
      <c r="R706" s="529"/>
      <c r="S706" s="529"/>
      <c r="T706" s="529"/>
      <c r="U706" s="529"/>
      <c r="V706" s="529"/>
      <c r="W706" s="529"/>
      <c r="X706" s="529"/>
      <c r="Y706" s="529"/>
      <c r="Z706" s="529"/>
      <c r="AA706" s="529"/>
      <c r="AB706" s="529"/>
      <c r="AC706" s="529"/>
      <c r="AD706" s="529"/>
      <c r="AE706" s="529"/>
      <c r="AF706" s="529"/>
      <c r="AG706" s="556"/>
      <c r="AH706" s="528"/>
    </row>
    <row r="707">
      <c r="A707" s="564"/>
      <c r="B707" s="565"/>
      <c r="C707" s="565"/>
      <c r="D707" s="565"/>
      <c r="E707" s="565"/>
      <c r="F707" s="565"/>
      <c r="G707" s="565"/>
      <c r="H707" s="565"/>
      <c r="I707" s="565"/>
      <c r="J707" s="565"/>
      <c r="K707" s="565"/>
      <c r="L707" s="565"/>
      <c r="M707" s="565"/>
      <c r="N707" s="529"/>
      <c r="O707" s="529"/>
      <c r="P707" s="529"/>
      <c r="Q707" s="529"/>
      <c r="R707" s="529"/>
      <c r="S707" s="529"/>
      <c r="T707" s="529"/>
      <c r="U707" s="529"/>
      <c r="V707" s="529"/>
      <c r="W707" s="529"/>
      <c r="X707" s="529"/>
      <c r="Y707" s="529"/>
      <c r="Z707" s="529"/>
      <c r="AA707" s="529"/>
      <c r="AB707" s="529"/>
      <c r="AC707" s="529"/>
      <c r="AD707" s="529"/>
      <c r="AE707" s="529"/>
      <c r="AF707" s="529"/>
      <c r="AG707" s="556"/>
      <c r="AH707" s="528"/>
    </row>
    <row r="708">
      <c r="A708" s="564"/>
      <c r="B708" s="565"/>
      <c r="C708" s="565"/>
      <c r="D708" s="565"/>
      <c r="E708" s="565"/>
      <c r="F708" s="565"/>
      <c r="G708" s="565"/>
      <c r="H708" s="565"/>
      <c r="I708" s="565"/>
      <c r="J708" s="565"/>
      <c r="K708" s="565"/>
      <c r="L708" s="565"/>
      <c r="M708" s="565"/>
      <c r="N708" s="529"/>
      <c r="O708" s="529"/>
      <c r="P708" s="529"/>
      <c r="Q708" s="529"/>
      <c r="R708" s="529"/>
      <c r="S708" s="529"/>
      <c r="T708" s="529"/>
      <c r="U708" s="529"/>
      <c r="V708" s="529"/>
      <c r="W708" s="529"/>
      <c r="X708" s="529"/>
      <c r="Y708" s="529"/>
      <c r="Z708" s="529"/>
      <c r="AA708" s="529"/>
      <c r="AB708" s="529"/>
      <c r="AC708" s="529"/>
      <c r="AD708" s="529"/>
      <c r="AE708" s="529"/>
      <c r="AF708" s="529"/>
      <c r="AG708" s="556"/>
      <c r="AH708" s="528"/>
    </row>
    <row r="709">
      <c r="A709" s="564"/>
      <c r="B709" s="565"/>
      <c r="C709" s="565"/>
      <c r="D709" s="565"/>
      <c r="E709" s="565"/>
      <c r="F709" s="565"/>
      <c r="G709" s="565"/>
      <c r="H709" s="565"/>
      <c r="I709" s="565"/>
      <c r="J709" s="565"/>
      <c r="K709" s="565"/>
      <c r="L709" s="565"/>
      <c r="M709" s="565"/>
      <c r="N709" s="529"/>
      <c r="O709" s="529"/>
      <c r="P709" s="529"/>
      <c r="Q709" s="529"/>
      <c r="R709" s="529"/>
      <c r="S709" s="529"/>
      <c r="T709" s="529"/>
      <c r="U709" s="529"/>
      <c r="V709" s="529"/>
      <c r="W709" s="529"/>
      <c r="X709" s="529"/>
      <c r="Y709" s="529"/>
      <c r="Z709" s="529"/>
      <c r="AA709" s="529"/>
      <c r="AB709" s="529"/>
      <c r="AC709" s="529"/>
      <c r="AD709" s="529"/>
      <c r="AE709" s="529"/>
      <c r="AF709" s="529"/>
      <c r="AG709" s="556"/>
      <c r="AH709" s="528"/>
    </row>
    <row r="710">
      <c r="A710" s="564"/>
      <c r="B710" s="565"/>
      <c r="C710" s="565"/>
      <c r="D710" s="565"/>
      <c r="E710" s="565"/>
      <c r="F710" s="565"/>
      <c r="G710" s="565"/>
      <c r="H710" s="565"/>
      <c r="I710" s="565"/>
      <c r="J710" s="565"/>
      <c r="K710" s="565"/>
      <c r="L710" s="565"/>
      <c r="M710" s="565"/>
      <c r="N710" s="529"/>
      <c r="O710" s="529"/>
      <c r="P710" s="529"/>
      <c r="Q710" s="529"/>
      <c r="R710" s="529"/>
      <c r="S710" s="529"/>
      <c r="T710" s="529"/>
      <c r="U710" s="529"/>
      <c r="V710" s="529"/>
      <c r="W710" s="529"/>
      <c r="X710" s="529"/>
      <c r="Y710" s="529"/>
      <c r="Z710" s="529"/>
      <c r="AA710" s="529"/>
      <c r="AB710" s="529"/>
      <c r="AC710" s="529"/>
      <c r="AD710" s="529"/>
      <c r="AE710" s="529"/>
      <c r="AF710" s="529"/>
      <c r="AG710" s="556"/>
      <c r="AH710" s="528"/>
    </row>
    <row r="711">
      <c r="A711" s="564"/>
      <c r="B711" s="565"/>
      <c r="C711" s="565"/>
      <c r="D711" s="565"/>
      <c r="E711" s="565"/>
      <c r="F711" s="565"/>
      <c r="G711" s="565"/>
      <c r="H711" s="565"/>
      <c r="I711" s="565"/>
      <c r="J711" s="565"/>
      <c r="K711" s="565"/>
      <c r="L711" s="565"/>
      <c r="M711" s="565"/>
      <c r="N711" s="529"/>
      <c r="O711" s="529"/>
      <c r="P711" s="529"/>
      <c r="Q711" s="529"/>
      <c r="R711" s="529"/>
      <c r="S711" s="529"/>
      <c r="T711" s="529"/>
      <c r="U711" s="529"/>
      <c r="V711" s="529"/>
      <c r="W711" s="529"/>
      <c r="X711" s="529"/>
      <c r="Y711" s="529"/>
      <c r="Z711" s="529"/>
      <c r="AA711" s="529"/>
      <c r="AB711" s="529"/>
      <c r="AC711" s="529"/>
      <c r="AD711" s="529"/>
      <c r="AE711" s="529"/>
      <c r="AF711" s="529"/>
      <c r="AG711" s="556"/>
      <c r="AH711" s="528"/>
    </row>
    <row r="712">
      <c r="A712" s="564"/>
      <c r="B712" s="565"/>
      <c r="C712" s="565"/>
      <c r="D712" s="565"/>
      <c r="E712" s="565"/>
      <c r="F712" s="565"/>
      <c r="G712" s="565"/>
      <c r="H712" s="565"/>
      <c r="I712" s="565"/>
      <c r="J712" s="565"/>
      <c r="K712" s="565"/>
      <c r="L712" s="565"/>
      <c r="M712" s="565"/>
      <c r="N712" s="529"/>
      <c r="O712" s="529"/>
      <c r="P712" s="529"/>
      <c r="Q712" s="529"/>
      <c r="R712" s="529"/>
      <c r="S712" s="529"/>
      <c r="T712" s="529"/>
      <c r="U712" s="529"/>
      <c r="V712" s="529"/>
      <c r="W712" s="529"/>
      <c r="X712" s="529"/>
      <c r="Y712" s="529"/>
      <c r="Z712" s="529"/>
      <c r="AA712" s="529"/>
      <c r="AB712" s="529"/>
      <c r="AC712" s="529"/>
      <c r="AD712" s="529"/>
      <c r="AE712" s="529"/>
      <c r="AF712" s="529"/>
      <c r="AG712" s="556"/>
      <c r="AH712" s="528"/>
    </row>
    <row r="713">
      <c r="A713" s="564"/>
      <c r="B713" s="565"/>
      <c r="C713" s="565"/>
      <c r="D713" s="565"/>
      <c r="E713" s="565"/>
      <c r="F713" s="565"/>
      <c r="G713" s="565"/>
      <c r="H713" s="565"/>
      <c r="I713" s="565"/>
      <c r="J713" s="565"/>
      <c r="K713" s="565"/>
      <c r="L713" s="565"/>
      <c r="M713" s="565"/>
      <c r="N713" s="529"/>
      <c r="O713" s="529"/>
      <c r="P713" s="529"/>
      <c r="Q713" s="529"/>
      <c r="R713" s="529"/>
      <c r="S713" s="529"/>
      <c r="T713" s="529"/>
      <c r="U713" s="529"/>
      <c r="V713" s="529"/>
      <c r="W713" s="529"/>
      <c r="X713" s="529"/>
      <c r="Y713" s="529"/>
      <c r="Z713" s="529"/>
      <c r="AA713" s="529"/>
      <c r="AB713" s="529"/>
      <c r="AC713" s="529"/>
      <c r="AD713" s="529"/>
      <c r="AE713" s="529"/>
      <c r="AF713" s="529"/>
      <c r="AG713" s="556"/>
      <c r="AH713" s="528"/>
    </row>
    <row r="714">
      <c r="A714" s="564"/>
      <c r="B714" s="565"/>
      <c r="C714" s="565"/>
      <c r="D714" s="565"/>
      <c r="E714" s="565"/>
      <c r="F714" s="565"/>
      <c r="G714" s="565"/>
      <c r="H714" s="565"/>
      <c r="I714" s="565"/>
      <c r="J714" s="565"/>
      <c r="K714" s="565"/>
      <c r="L714" s="565"/>
      <c r="M714" s="565"/>
      <c r="N714" s="529"/>
      <c r="O714" s="529"/>
      <c r="P714" s="529"/>
      <c r="Q714" s="529"/>
      <c r="R714" s="529"/>
      <c r="S714" s="529"/>
      <c r="T714" s="529"/>
      <c r="U714" s="529"/>
      <c r="V714" s="529"/>
      <c r="W714" s="529"/>
      <c r="X714" s="529"/>
      <c r="Y714" s="529"/>
      <c r="Z714" s="529"/>
      <c r="AA714" s="529"/>
      <c r="AB714" s="529"/>
      <c r="AC714" s="529"/>
      <c r="AD714" s="529"/>
      <c r="AE714" s="529"/>
      <c r="AF714" s="529"/>
      <c r="AG714" s="556"/>
      <c r="AH714" s="528"/>
    </row>
    <row r="715">
      <c r="A715" s="564"/>
      <c r="B715" s="565"/>
      <c r="C715" s="565"/>
      <c r="D715" s="565"/>
      <c r="E715" s="565"/>
      <c r="F715" s="565"/>
      <c r="G715" s="565"/>
      <c r="H715" s="565"/>
      <c r="I715" s="565"/>
      <c r="J715" s="565"/>
      <c r="K715" s="565"/>
      <c r="L715" s="565"/>
      <c r="M715" s="565"/>
      <c r="N715" s="529"/>
      <c r="O715" s="529"/>
      <c r="P715" s="529"/>
      <c r="Q715" s="529"/>
      <c r="R715" s="529"/>
      <c r="S715" s="529"/>
      <c r="T715" s="529"/>
      <c r="U715" s="529"/>
      <c r="V715" s="529"/>
      <c r="W715" s="529"/>
      <c r="X715" s="529"/>
      <c r="Y715" s="529"/>
      <c r="Z715" s="529"/>
      <c r="AA715" s="529"/>
      <c r="AB715" s="529"/>
      <c r="AC715" s="529"/>
      <c r="AD715" s="529"/>
      <c r="AE715" s="529"/>
      <c r="AF715" s="529"/>
      <c r="AG715" s="556"/>
      <c r="AH715" s="528"/>
    </row>
    <row r="716">
      <c r="A716" s="564"/>
      <c r="B716" s="565"/>
      <c r="C716" s="565"/>
      <c r="D716" s="565"/>
      <c r="E716" s="565"/>
      <c r="F716" s="565"/>
      <c r="G716" s="565"/>
      <c r="H716" s="565"/>
      <c r="I716" s="565"/>
      <c r="J716" s="565"/>
      <c r="K716" s="565"/>
      <c r="L716" s="565"/>
      <c r="M716" s="565"/>
      <c r="N716" s="529"/>
      <c r="O716" s="529"/>
      <c r="P716" s="529"/>
      <c r="Q716" s="529"/>
      <c r="R716" s="529"/>
      <c r="S716" s="529"/>
      <c r="T716" s="529"/>
      <c r="U716" s="529"/>
      <c r="V716" s="529"/>
      <c r="W716" s="529"/>
      <c r="X716" s="529"/>
      <c r="Y716" s="529"/>
      <c r="Z716" s="529"/>
      <c r="AA716" s="529"/>
      <c r="AB716" s="529"/>
      <c r="AC716" s="529"/>
      <c r="AD716" s="529"/>
      <c r="AE716" s="529"/>
      <c r="AF716" s="529"/>
      <c r="AG716" s="556"/>
      <c r="AH716" s="528"/>
    </row>
    <row r="717">
      <c r="A717" s="564"/>
      <c r="B717" s="565"/>
      <c r="C717" s="565"/>
      <c r="D717" s="565"/>
      <c r="E717" s="565"/>
      <c r="F717" s="565"/>
      <c r="G717" s="565"/>
      <c r="H717" s="565"/>
      <c r="I717" s="565"/>
      <c r="J717" s="565"/>
      <c r="K717" s="565"/>
      <c r="L717" s="565"/>
      <c r="M717" s="565"/>
      <c r="N717" s="529"/>
      <c r="O717" s="529"/>
      <c r="P717" s="529"/>
      <c r="Q717" s="529"/>
      <c r="R717" s="529"/>
      <c r="S717" s="529"/>
      <c r="T717" s="529"/>
      <c r="U717" s="529"/>
      <c r="V717" s="529"/>
      <c r="W717" s="529"/>
      <c r="X717" s="529"/>
      <c r="Y717" s="529"/>
      <c r="Z717" s="529"/>
      <c r="AA717" s="529"/>
      <c r="AB717" s="529"/>
      <c r="AC717" s="529"/>
      <c r="AD717" s="529"/>
      <c r="AE717" s="529"/>
      <c r="AF717" s="529"/>
      <c r="AG717" s="556"/>
      <c r="AH717" s="528"/>
    </row>
    <row r="718">
      <c r="A718" s="564"/>
      <c r="B718" s="565"/>
      <c r="C718" s="565"/>
      <c r="D718" s="565"/>
      <c r="E718" s="565"/>
      <c r="F718" s="565"/>
      <c r="G718" s="565"/>
      <c r="H718" s="565"/>
      <c r="I718" s="565"/>
      <c r="J718" s="565"/>
      <c r="K718" s="565"/>
      <c r="L718" s="565"/>
      <c r="M718" s="565"/>
      <c r="N718" s="529"/>
      <c r="O718" s="529"/>
      <c r="P718" s="529"/>
      <c r="Q718" s="529"/>
      <c r="R718" s="529"/>
      <c r="S718" s="529"/>
      <c r="T718" s="529"/>
      <c r="U718" s="529"/>
      <c r="V718" s="529"/>
      <c r="W718" s="529"/>
      <c r="X718" s="529"/>
      <c r="Y718" s="529"/>
      <c r="Z718" s="529"/>
      <c r="AA718" s="529"/>
      <c r="AB718" s="529"/>
      <c r="AC718" s="529"/>
      <c r="AD718" s="529"/>
      <c r="AE718" s="529"/>
      <c r="AF718" s="529"/>
      <c r="AG718" s="556"/>
      <c r="AH718" s="528"/>
    </row>
    <row r="719">
      <c r="A719" s="564"/>
      <c r="B719" s="565"/>
      <c r="C719" s="565"/>
      <c r="D719" s="565"/>
      <c r="E719" s="565"/>
      <c r="F719" s="565"/>
      <c r="G719" s="565"/>
      <c r="H719" s="565"/>
      <c r="I719" s="565"/>
      <c r="J719" s="565"/>
      <c r="K719" s="565"/>
      <c r="L719" s="565"/>
      <c r="M719" s="565"/>
      <c r="N719" s="529"/>
      <c r="O719" s="529"/>
      <c r="P719" s="529"/>
      <c r="Q719" s="529"/>
      <c r="R719" s="529"/>
      <c r="S719" s="529"/>
      <c r="T719" s="529"/>
      <c r="U719" s="529"/>
      <c r="V719" s="529"/>
      <c r="W719" s="529"/>
      <c r="X719" s="529"/>
      <c r="Y719" s="529"/>
      <c r="Z719" s="529"/>
      <c r="AA719" s="529"/>
      <c r="AB719" s="529"/>
      <c r="AC719" s="529"/>
      <c r="AD719" s="529"/>
      <c r="AE719" s="529"/>
      <c r="AF719" s="529"/>
      <c r="AG719" s="556"/>
      <c r="AH719" s="528"/>
    </row>
    <row r="720">
      <c r="A720" s="564"/>
      <c r="B720" s="565"/>
      <c r="C720" s="565"/>
      <c r="D720" s="565"/>
      <c r="E720" s="565"/>
      <c r="F720" s="565"/>
      <c r="G720" s="565"/>
      <c r="H720" s="565"/>
      <c r="I720" s="565"/>
      <c r="J720" s="565"/>
      <c r="K720" s="565"/>
      <c r="L720" s="565"/>
      <c r="M720" s="565"/>
      <c r="N720" s="529"/>
      <c r="O720" s="529"/>
      <c r="P720" s="529"/>
      <c r="Q720" s="529"/>
      <c r="R720" s="529"/>
      <c r="S720" s="529"/>
      <c r="T720" s="529"/>
      <c r="U720" s="529"/>
      <c r="V720" s="529"/>
      <c r="W720" s="529"/>
      <c r="X720" s="529"/>
      <c r="Y720" s="529"/>
      <c r="Z720" s="529"/>
      <c r="AA720" s="529"/>
      <c r="AB720" s="529"/>
      <c r="AC720" s="529"/>
      <c r="AD720" s="529"/>
      <c r="AE720" s="529"/>
      <c r="AF720" s="529"/>
      <c r="AG720" s="556"/>
      <c r="AH720" s="528"/>
    </row>
    <row r="721">
      <c r="A721" s="564"/>
      <c r="B721" s="565"/>
      <c r="C721" s="565"/>
      <c r="D721" s="565"/>
      <c r="E721" s="565"/>
      <c r="F721" s="565"/>
      <c r="G721" s="565"/>
      <c r="H721" s="565"/>
      <c r="I721" s="565"/>
      <c r="J721" s="565"/>
      <c r="K721" s="565"/>
      <c r="L721" s="565"/>
      <c r="M721" s="565"/>
      <c r="N721" s="529"/>
      <c r="O721" s="529"/>
      <c r="P721" s="529"/>
      <c r="Q721" s="529"/>
      <c r="R721" s="529"/>
      <c r="S721" s="529"/>
      <c r="T721" s="529"/>
      <c r="U721" s="529"/>
      <c r="V721" s="529"/>
      <c r="W721" s="529"/>
      <c r="X721" s="529"/>
      <c r="Y721" s="529"/>
      <c r="Z721" s="529"/>
      <c r="AA721" s="529"/>
      <c r="AB721" s="529"/>
      <c r="AC721" s="529"/>
      <c r="AD721" s="529"/>
      <c r="AE721" s="529"/>
      <c r="AF721" s="529"/>
      <c r="AG721" s="556"/>
      <c r="AH721" s="528"/>
    </row>
    <row r="722">
      <c r="A722" s="564"/>
      <c r="B722" s="565"/>
      <c r="C722" s="565"/>
      <c r="D722" s="565"/>
      <c r="E722" s="565"/>
      <c r="F722" s="565"/>
      <c r="G722" s="565"/>
      <c r="H722" s="565"/>
      <c r="I722" s="565"/>
      <c r="J722" s="565"/>
      <c r="K722" s="565"/>
      <c r="L722" s="565"/>
      <c r="M722" s="565"/>
      <c r="N722" s="529"/>
      <c r="O722" s="529"/>
      <c r="P722" s="529"/>
      <c r="Q722" s="529"/>
      <c r="R722" s="529"/>
      <c r="S722" s="529"/>
      <c r="T722" s="529"/>
      <c r="U722" s="529"/>
      <c r="V722" s="529"/>
      <c r="W722" s="529"/>
      <c r="X722" s="529"/>
      <c r="Y722" s="529"/>
      <c r="Z722" s="529"/>
      <c r="AA722" s="529"/>
      <c r="AB722" s="529"/>
      <c r="AC722" s="529"/>
      <c r="AD722" s="529"/>
      <c r="AE722" s="529"/>
      <c r="AF722" s="529"/>
      <c r="AG722" s="556"/>
      <c r="AH722" s="528"/>
    </row>
    <row r="723">
      <c r="A723" s="564"/>
      <c r="B723" s="565"/>
      <c r="C723" s="565"/>
      <c r="D723" s="565"/>
      <c r="E723" s="565"/>
      <c r="F723" s="565"/>
      <c r="G723" s="565"/>
      <c r="H723" s="565"/>
      <c r="I723" s="565"/>
      <c r="J723" s="565"/>
      <c r="K723" s="565"/>
      <c r="L723" s="565"/>
      <c r="M723" s="565"/>
      <c r="N723" s="529"/>
      <c r="O723" s="529"/>
      <c r="P723" s="529"/>
      <c r="Q723" s="529"/>
      <c r="R723" s="529"/>
      <c r="S723" s="529"/>
      <c r="T723" s="529"/>
      <c r="U723" s="529"/>
      <c r="V723" s="529"/>
      <c r="W723" s="529"/>
      <c r="X723" s="529"/>
      <c r="Y723" s="529"/>
      <c r="Z723" s="529"/>
      <c r="AA723" s="529"/>
      <c r="AB723" s="529"/>
      <c r="AC723" s="529"/>
      <c r="AD723" s="529"/>
      <c r="AE723" s="529"/>
      <c r="AF723" s="529"/>
      <c r="AG723" s="556"/>
      <c r="AH723" s="528"/>
    </row>
    <row r="724">
      <c r="A724" s="564"/>
      <c r="B724" s="565"/>
      <c r="C724" s="565"/>
      <c r="D724" s="565"/>
      <c r="E724" s="565"/>
      <c r="F724" s="565"/>
      <c r="G724" s="565"/>
      <c r="H724" s="565"/>
      <c r="I724" s="565"/>
      <c r="J724" s="565"/>
      <c r="K724" s="565"/>
      <c r="L724" s="565"/>
      <c r="M724" s="565"/>
      <c r="N724" s="529"/>
      <c r="O724" s="529"/>
      <c r="P724" s="529"/>
      <c r="Q724" s="529"/>
      <c r="R724" s="529"/>
      <c r="S724" s="529"/>
      <c r="T724" s="529"/>
      <c r="U724" s="529"/>
      <c r="V724" s="529"/>
      <c r="W724" s="529"/>
      <c r="X724" s="529"/>
      <c r="Y724" s="529"/>
      <c r="Z724" s="529"/>
      <c r="AA724" s="529"/>
      <c r="AB724" s="529"/>
      <c r="AC724" s="529"/>
      <c r="AD724" s="529"/>
      <c r="AE724" s="529"/>
      <c r="AF724" s="529"/>
      <c r="AG724" s="556"/>
      <c r="AH724" s="528"/>
    </row>
    <row r="725">
      <c r="A725" s="564"/>
      <c r="B725" s="565"/>
      <c r="C725" s="565"/>
      <c r="D725" s="565"/>
      <c r="E725" s="565"/>
      <c r="F725" s="565"/>
      <c r="G725" s="565"/>
      <c r="H725" s="565"/>
      <c r="I725" s="565"/>
      <c r="J725" s="565"/>
      <c r="K725" s="565"/>
      <c r="L725" s="565"/>
      <c r="M725" s="565"/>
      <c r="N725" s="529"/>
      <c r="O725" s="529"/>
      <c r="P725" s="529"/>
      <c r="Q725" s="529"/>
      <c r="R725" s="529"/>
      <c r="S725" s="529"/>
      <c r="T725" s="529"/>
      <c r="U725" s="529"/>
      <c r="V725" s="529"/>
      <c r="W725" s="529"/>
      <c r="X725" s="529"/>
      <c r="Y725" s="529"/>
      <c r="Z725" s="529"/>
      <c r="AA725" s="529"/>
      <c r="AB725" s="529"/>
      <c r="AC725" s="529"/>
      <c r="AD725" s="529"/>
      <c r="AE725" s="529"/>
      <c r="AF725" s="529"/>
      <c r="AG725" s="556"/>
      <c r="AH725" s="528"/>
    </row>
    <row r="726">
      <c r="A726" s="564"/>
      <c r="B726" s="565"/>
      <c r="C726" s="565"/>
      <c r="D726" s="565"/>
      <c r="E726" s="565"/>
      <c r="F726" s="565"/>
      <c r="G726" s="565"/>
      <c r="H726" s="565"/>
      <c r="I726" s="565"/>
      <c r="J726" s="565"/>
      <c r="K726" s="565"/>
      <c r="L726" s="565"/>
      <c r="M726" s="565"/>
      <c r="N726" s="529"/>
      <c r="O726" s="529"/>
      <c r="P726" s="529"/>
      <c r="Q726" s="529"/>
      <c r="R726" s="529"/>
      <c r="S726" s="529"/>
      <c r="T726" s="529"/>
      <c r="U726" s="529"/>
      <c r="V726" s="529"/>
      <c r="W726" s="529"/>
      <c r="X726" s="529"/>
      <c r="Y726" s="529"/>
      <c r="Z726" s="529"/>
      <c r="AA726" s="529"/>
      <c r="AB726" s="529"/>
      <c r="AC726" s="529"/>
      <c r="AD726" s="529"/>
      <c r="AE726" s="529"/>
      <c r="AF726" s="529"/>
      <c r="AG726" s="556"/>
      <c r="AH726" s="528"/>
    </row>
    <row r="727">
      <c r="A727" s="564"/>
      <c r="B727" s="565"/>
      <c r="C727" s="565"/>
      <c r="D727" s="565"/>
      <c r="E727" s="565"/>
      <c r="F727" s="565"/>
      <c r="G727" s="565"/>
      <c r="H727" s="565"/>
      <c r="I727" s="565"/>
      <c r="J727" s="565"/>
      <c r="K727" s="565"/>
      <c r="L727" s="565"/>
      <c r="M727" s="565"/>
      <c r="N727" s="529"/>
      <c r="O727" s="529"/>
      <c r="P727" s="529"/>
      <c r="Q727" s="529"/>
      <c r="R727" s="529"/>
      <c r="S727" s="529"/>
      <c r="T727" s="529"/>
      <c r="U727" s="529"/>
      <c r="V727" s="529"/>
      <c r="W727" s="529"/>
      <c r="X727" s="529"/>
      <c r="Y727" s="529"/>
      <c r="Z727" s="529"/>
      <c r="AA727" s="529"/>
      <c r="AB727" s="529"/>
      <c r="AC727" s="529"/>
      <c r="AD727" s="529"/>
      <c r="AE727" s="529"/>
      <c r="AF727" s="529"/>
      <c r="AG727" s="556"/>
      <c r="AH727" s="528"/>
    </row>
    <row r="728">
      <c r="A728" s="564"/>
      <c r="B728" s="565"/>
      <c r="C728" s="565"/>
      <c r="D728" s="565"/>
      <c r="E728" s="565"/>
      <c r="F728" s="565"/>
      <c r="G728" s="565"/>
      <c r="H728" s="565"/>
      <c r="I728" s="565"/>
      <c r="J728" s="565"/>
      <c r="K728" s="565"/>
      <c r="L728" s="565"/>
      <c r="M728" s="565"/>
      <c r="N728" s="529"/>
      <c r="O728" s="529"/>
      <c r="P728" s="529"/>
      <c r="Q728" s="529"/>
      <c r="R728" s="529"/>
      <c r="S728" s="529"/>
      <c r="T728" s="529"/>
      <c r="U728" s="529"/>
      <c r="V728" s="529"/>
      <c r="W728" s="529"/>
      <c r="X728" s="529"/>
      <c r="Y728" s="529"/>
      <c r="Z728" s="529"/>
      <c r="AA728" s="529"/>
      <c r="AB728" s="529"/>
      <c r="AC728" s="529"/>
      <c r="AD728" s="529"/>
      <c r="AE728" s="529"/>
      <c r="AF728" s="529"/>
      <c r="AG728" s="556"/>
      <c r="AH728" s="528"/>
    </row>
    <row r="729">
      <c r="A729" s="564"/>
      <c r="B729" s="565"/>
      <c r="C729" s="565"/>
      <c r="D729" s="565"/>
      <c r="E729" s="565"/>
      <c r="F729" s="565"/>
      <c r="G729" s="565"/>
      <c r="H729" s="565"/>
      <c r="I729" s="565"/>
      <c r="J729" s="565"/>
      <c r="K729" s="565"/>
      <c r="L729" s="565"/>
      <c r="M729" s="565"/>
      <c r="N729" s="529"/>
      <c r="O729" s="529"/>
      <c r="P729" s="529"/>
      <c r="Q729" s="529"/>
      <c r="R729" s="529"/>
      <c r="S729" s="529"/>
      <c r="T729" s="529"/>
      <c r="U729" s="529"/>
      <c r="V729" s="529"/>
      <c r="W729" s="529"/>
      <c r="X729" s="529"/>
      <c r="Y729" s="529"/>
      <c r="Z729" s="529"/>
      <c r="AA729" s="529"/>
      <c r="AB729" s="529"/>
      <c r="AC729" s="529"/>
      <c r="AD729" s="529"/>
      <c r="AE729" s="529"/>
      <c r="AF729" s="529"/>
      <c r="AG729" s="556"/>
      <c r="AH729" s="528"/>
    </row>
    <row r="730">
      <c r="A730" s="564"/>
      <c r="B730" s="565"/>
      <c r="C730" s="565"/>
      <c r="D730" s="565"/>
      <c r="E730" s="565"/>
      <c r="F730" s="565"/>
      <c r="G730" s="565"/>
      <c r="H730" s="565"/>
      <c r="I730" s="565"/>
      <c r="J730" s="565"/>
      <c r="K730" s="565"/>
      <c r="L730" s="565"/>
      <c r="M730" s="565"/>
      <c r="N730" s="529"/>
      <c r="O730" s="529"/>
      <c r="P730" s="529"/>
      <c r="Q730" s="529"/>
      <c r="R730" s="529"/>
      <c r="S730" s="529"/>
      <c r="T730" s="529"/>
      <c r="U730" s="529"/>
      <c r="V730" s="529"/>
      <c r="W730" s="529"/>
      <c r="X730" s="529"/>
      <c r="Y730" s="529"/>
      <c r="Z730" s="529"/>
      <c r="AA730" s="529"/>
      <c r="AB730" s="529"/>
      <c r="AC730" s="529"/>
      <c r="AD730" s="529"/>
      <c r="AE730" s="529"/>
      <c r="AF730" s="529"/>
      <c r="AG730" s="556"/>
      <c r="AH730" s="528"/>
    </row>
    <row r="731">
      <c r="A731" s="564"/>
      <c r="B731" s="565"/>
      <c r="C731" s="565"/>
      <c r="D731" s="565"/>
      <c r="E731" s="565"/>
      <c r="F731" s="565"/>
      <c r="G731" s="565"/>
      <c r="H731" s="565"/>
      <c r="I731" s="565"/>
      <c r="J731" s="565"/>
      <c r="K731" s="565"/>
      <c r="L731" s="565"/>
      <c r="M731" s="565"/>
      <c r="N731" s="529"/>
      <c r="O731" s="529"/>
      <c r="P731" s="529"/>
      <c r="Q731" s="529"/>
      <c r="R731" s="529"/>
      <c r="S731" s="529"/>
      <c r="T731" s="529"/>
      <c r="U731" s="529"/>
      <c r="V731" s="529"/>
      <c r="W731" s="529"/>
      <c r="X731" s="529"/>
      <c r="Y731" s="529"/>
      <c r="Z731" s="529"/>
      <c r="AA731" s="529"/>
      <c r="AB731" s="529"/>
      <c r="AC731" s="529"/>
      <c r="AD731" s="529"/>
      <c r="AE731" s="529"/>
      <c r="AF731" s="529"/>
      <c r="AG731" s="556"/>
      <c r="AH731" s="528"/>
    </row>
    <row r="732">
      <c r="A732" s="564"/>
      <c r="B732" s="565"/>
      <c r="C732" s="565"/>
      <c r="D732" s="565"/>
      <c r="E732" s="565"/>
      <c r="F732" s="565"/>
      <c r="G732" s="565"/>
      <c r="H732" s="565"/>
      <c r="I732" s="565"/>
      <c r="J732" s="565"/>
      <c r="K732" s="565"/>
      <c r="L732" s="565"/>
      <c r="M732" s="565"/>
      <c r="N732" s="529"/>
      <c r="O732" s="529"/>
      <c r="P732" s="529"/>
      <c r="Q732" s="529"/>
      <c r="R732" s="529"/>
      <c r="S732" s="529"/>
      <c r="T732" s="529"/>
      <c r="U732" s="529"/>
      <c r="V732" s="529"/>
      <c r="W732" s="529"/>
      <c r="X732" s="529"/>
      <c r="Y732" s="529"/>
      <c r="Z732" s="529"/>
      <c r="AA732" s="529"/>
      <c r="AB732" s="529"/>
      <c r="AC732" s="529"/>
      <c r="AD732" s="529"/>
      <c r="AE732" s="529"/>
      <c r="AF732" s="529"/>
      <c r="AG732" s="556"/>
      <c r="AH732" s="528"/>
    </row>
    <row r="733">
      <c r="A733" s="564"/>
      <c r="B733" s="565"/>
      <c r="C733" s="565"/>
      <c r="D733" s="565"/>
      <c r="E733" s="565"/>
      <c r="F733" s="565"/>
      <c r="G733" s="565"/>
      <c r="H733" s="565"/>
      <c r="I733" s="565"/>
      <c r="J733" s="565"/>
      <c r="K733" s="565"/>
      <c r="L733" s="565"/>
      <c r="M733" s="565"/>
      <c r="N733" s="529"/>
      <c r="O733" s="529"/>
      <c r="P733" s="529"/>
      <c r="Q733" s="529"/>
      <c r="R733" s="529"/>
      <c r="S733" s="529"/>
      <c r="T733" s="529"/>
      <c r="U733" s="529"/>
      <c r="V733" s="529"/>
      <c r="W733" s="529"/>
      <c r="X733" s="529"/>
      <c r="Y733" s="529"/>
      <c r="Z733" s="529"/>
      <c r="AA733" s="529"/>
      <c r="AB733" s="529"/>
      <c r="AC733" s="529"/>
      <c r="AD733" s="529"/>
      <c r="AE733" s="529"/>
      <c r="AF733" s="529"/>
      <c r="AG733" s="556"/>
      <c r="AH733" s="528"/>
    </row>
    <row r="734">
      <c r="A734" s="564"/>
      <c r="B734" s="565"/>
      <c r="C734" s="565"/>
      <c r="D734" s="565"/>
      <c r="E734" s="565"/>
      <c r="F734" s="565"/>
      <c r="G734" s="565"/>
      <c r="H734" s="565"/>
      <c r="I734" s="565"/>
      <c r="J734" s="565"/>
      <c r="K734" s="565"/>
      <c r="L734" s="565"/>
      <c r="M734" s="565"/>
      <c r="N734" s="529"/>
      <c r="O734" s="529"/>
      <c r="P734" s="529"/>
      <c r="Q734" s="529"/>
      <c r="R734" s="529"/>
      <c r="S734" s="529"/>
      <c r="T734" s="529"/>
      <c r="U734" s="529"/>
      <c r="V734" s="529"/>
      <c r="W734" s="529"/>
      <c r="X734" s="529"/>
      <c r="Y734" s="529"/>
      <c r="Z734" s="529"/>
      <c r="AA734" s="529"/>
      <c r="AB734" s="529"/>
      <c r="AC734" s="529"/>
      <c r="AD734" s="529"/>
      <c r="AE734" s="529"/>
      <c r="AF734" s="529"/>
      <c r="AG734" s="556"/>
      <c r="AH734" s="528"/>
    </row>
    <row r="735">
      <c r="A735" s="564"/>
      <c r="B735" s="565"/>
      <c r="C735" s="565"/>
      <c r="D735" s="565"/>
      <c r="E735" s="565"/>
      <c r="F735" s="565"/>
      <c r="G735" s="565"/>
      <c r="H735" s="565"/>
      <c r="I735" s="565"/>
      <c r="J735" s="565"/>
      <c r="K735" s="565"/>
      <c r="L735" s="565"/>
      <c r="M735" s="565"/>
      <c r="N735" s="529"/>
      <c r="O735" s="529"/>
      <c r="P735" s="529"/>
      <c r="Q735" s="529"/>
      <c r="R735" s="529"/>
      <c r="S735" s="529"/>
      <c r="T735" s="529"/>
      <c r="U735" s="529"/>
      <c r="V735" s="529"/>
      <c r="W735" s="529"/>
      <c r="X735" s="529"/>
      <c r="Y735" s="529"/>
      <c r="Z735" s="529"/>
      <c r="AA735" s="529"/>
      <c r="AB735" s="529"/>
      <c r="AC735" s="529"/>
      <c r="AD735" s="529"/>
      <c r="AE735" s="529"/>
      <c r="AF735" s="529"/>
      <c r="AG735" s="556"/>
      <c r="AH735" s="528"/>
    </row>
    <row r="736">
      <c r="A736" s="564"/>
      <c r="B736" s="565"/>
      <c r="C736" s="565"/>
      <c r="D736" s="565"/>
      <c r="E736" s="565"/>
      <c r="F736" s="565"/>
      <c r="G736" s="565"/>
      <c r="H736" s="565"/>
      <c r="I736" s="565"/>
      <c r="J736" s="565"/>
      <c r="K736" s="565"/>
      <c r="L736" s="565"/>
      <c r="M736" s="565"/>
      <c r="N736" s="529"/>
      <c r="O736" s="529"/>
      <c r="P736" s="529"/>
      <c r="Q736" s="529"/>
      <c r="R736" s="529"/>
      <c r="S736" s="529"/>
      <c r="T736" s="529"/>
      <c r="U736" s="529"/>
      <c r="V736" s="529"/>
      <c r="W736" s="529"/>
      <c r="X736" s="529"/>
      <c r="Y736" s="529"/>
      <c r="Z736" s="529"/>
      <c r="AA736" s="529"/>
      <c r="AB736" s="529"/>
      <c r="AC736" s="529"/>
      <c r="AD736" s="529"/>
      <c r="AE736" s="529"/>
      <c r="AF736" s="529"/>
      <c r="AG736" s="556"/>
      <c r="AH736" s="528"/>
    </row>
    <row r="737">
      <c r="A737" s="564"/>
      <c r="B737" s="565"/>
      <c r="C737" s="565"/>
      <c r="D737" s="565"/>
      <c r="E737" s="565"/>
      <c r="F737" s="565"/>
      <c r="G737" s="565"/>
      <c r="H737" s="565"/>
      <c r="I737" s="565"/>
      <c r="J737" s="565"/>
      <c r="K737" s="565"/>
      <c r="L737" s="565"/>
      <c r="M737" s="565"/>
      <c r="N737" s="529"/>
      <c r="O737" s="529"/>
      <c r="P737" s="529"/>
      <c r="Q737" s="529"/>
      <c r="R737" s="529"/>
      <c r="S737" s="529"/>
      <c r="T737" s="529"/>
      <c r="U737" s="529"/>
      <c r="V737" s="529"/>
      <c r="W737" s="529"/>
      <c r="X737" s="529"/>
      <c r="Y737" s="529"/>
      <c r="Z737" s="529"/>
      <c r="AA737" s="529"/>
      <c r="AB737" s="529"/>
      <c r="AC737" s="529"/>
      <c r="AD737" s="529"/>
      <c r="AE737" s="529"/>
      <c r="AF737" s="529"/>
      <c r="AG737" s="556"/>
      <c r="AH737" s="528"/>
    </row>
    <row r="738">
      <c r="A738" s="564"/>
      <c r="B738" s="565"/>
      <c r="C738" s="565"/>
      <c r="D738" s="565"/>
      <c r="E738" s="565"/>
      <c r="F738" s="565"/>
      <c r="G738" s="565"/>
      <c r="H738" s="565"/>
      <c r="I738" s="565"/>
      <c r="J738" s="565"/>
      <c r="K738" s="565"/>
      <c r="L738" s="565"/>
      <c r="M738" s="565"/>
      <c r="N738" s="529"/>
      <c r="O738" s="529"/>
      <c r="P738" s="529"/>
      <c r="Q738" s="529"/>
      <c r="R738" s="529"/>
      <c r="S738" s="529"/>
      <c r="T738" s="529"/>
      <c r="U738" s="529"/>
      <c r="V738" s="529"/>
      <c r="W738" s="529"/>
      <c r="X738" s="529"/>
      <c r="Y738" s="529"/>
      <c r="Z738" s="529"/>
      <c r="AA738" s="529"/>
      <c r="AB738" s="529"/>
      <c r="AC738" s="529"/>
      <c r="AD738" s="529"/>
      <c r="AE738" s="529"/>
      <c r="AF738" s="529"/>
      <c r="AG738" s="556"/>
      <c r="AH738" s="528"/>
    </row>
    <row r="739">
      <c r="A739" s="564"/>
      <c r="B739" s="565"/>
      <c r="C739" s="565"/>
      <c r="D739" s="565"/>
      <c r="E739" s="565"/>
      <c r="F739" s="565"/>
      <c r="G739" s="565"/>
      <c r="H739" s="565"/>
      <c r="I739" s="565"/>
      <c r="J739" s="565"/>
      <c r="K739" s="565"/>
      <c r="L739" s="565"/>
      <c r="M739" s="565"/>
      <c r="N739" s="529"/>
      <c r="O739" s="529"/>
      <c r="P739" s="529"/>
      <c r="Q739" s="529"/>
      <c r="R739" s="529"/>
      <c r="S739" s="529"/>
      <c r="T739" s="529"/>
      <c r="U739" s="529"/>
      <c r="V739" s="529"/>
      <c r="W739" s="529"/>
      <c r="X739" s="529"/>
      <c r="Y739" s="529"/>
      <c r="Z739" s="529"/>
      <c r="AA739" s="529"/>
      <c r="AB739" s="529"/>
      <c r="AC739" s="529"/>
      <c r="AD739" s="529"/>
      <c r="AE739" s="529"/>
      <c r="AF739" s="529"/>
      <c r="AG739" s="556"/>
      <c r="AH739" s="528"/>
    </row>
    <row r="740">
      <c r="A740" s="564"/>
      <c r="B740" s="565"/>
      <c r="C740" s="565"/>
      <c r="D740" s="565"/>
      <c r="E740" s="565"/>
      <c r="F740" s="565"/>
      <c r="G740" s="565"/>
      <c r="H740" s="565"/>
      <c r="I740" s="565"/>
      <c r="J740" s="565"/>
      <c r="K740" s="565"/>
      <c r="L740" s="565"/>
      <c r="M740" s="565"/>
      <c r="N740" s="529"/>
      <c r="O740" s="529"/>
      <c r="P740" s="529"/>
      <c r="Q740" s="529"/>
      <c r="R740" s="529"/>
      <c r="S740" s="529"/>
      <c r="T740" s="529"/>
      <c r="U740" s="529"/>
      <c r="V740" s="529"/>
      <c r="W740" s="529"/>
      <c r="X740" s="529"/>
      <c r="Y740" s="529"/>
      <c r="Z740" s="529"/>
      <c r="AA740" s="529"/>
      <c r="AB740" s="529"/>
      <c r="AC740" s="529"/>
      <c r="AD740" s="529"/>
      <c r="AE740" s="529"/>
      <c r="AF740" s="529"/>
      <c r="AG740" s="556"/>
      <c r="AH740" s="528"/>
    </row>
    <row r="741">
      <c r="A741" s="564"/>
      <c r="B741" s="565"/>
      <c r="C741" s="565"/>
      <c r="D741" s="565"/>
      <c r="E741" s="565"/>
      <c r="F741" s="565"/>
      <c r="G741" s="565"/>
      <c r="H741" s="565"/>
      <c r="I741" s="565"/>
      <c r="J741" s="565"/>
      <c r="K741" s="565"/>
      <c r="L741" s="565"/>
      <c r="M741" s="565"/>
      <c r="N741" s="529"/>
      <c r="O741" s="529"/>
      <c r="P741" s="529"/>
      <c r="Q741" s="529"/>
      <c r="R741" s="529"/>
      <c r="S741" s="529"/>
      <c r="T741" s="529"/>
      <c r="U741" s="529"/>
      <c r="V741" s="529"/>
      <c r="W741" s="529"/>
      <c r="X741" s="529"/>
      <c r="Y741" s="529"/>
      <c r="Z741" s="529"/>
      <c r="AA741" s="529"/>
      <c r="AB741" s="529"/>
      <c r="AC741" s="529"/>
      <c r="AD741" s="529"/>
      <c r="AE741" s="529"/>
      <c r="AF741" s="529"/>
      <c r="AG741" s="556"/>
      <c r="AH741" s="528"/>
    </row>
    <row r="742">
      <c r="A742" s="564"/>
      <c r="B742" s="565"/>
      <c r="C742" s="565"/>
      <c r="D742" s="565"/>
      <c r="E742" s="565"/>
      <c r="F742" s="565"/>
      <c r="G742" s="565"/>
      <c r="H742" s="565"/>
      <c r="I742" s="565"/>
      <c r="J742" s="565"/>
      <c r="K742" s="565"/>
      <c r="L742" s="565"/>
      <c r="M742" s="565"/>
      <c r="N742" s="529"/>
      <c r="O742" s="529"/>
      <c r="P742" s="529"/>
      <c r="Q742" s="529"/>
      <c r="R742" s="529"/>
      <c r="S742" s="529"/>
      <c r="T742" s="529"/>
      <c r="U742" s="529"/>
      <c r="V742" s="529"/>
      <c r="W742" s="529"/>
      <c r="X742" s="529"/>
      <c r="Y742" s="529"/>
      <c r="Z742" s="529"/>
      <c r="AA742" s="529"/>
      <c r="AB742" s="529"/>
      <c r="AC742" s="529"/>
      <c r="AD742" s="529"/>
      <c r="AE742" s="529"/>
      <c r="AF742" s="529"/>
      <c r="AG742" s="556"/>
      <c r="AH742" s="528"/>
    </row>
    <row r="743">
      <c r="A743" s="564"/>
      <c r="B743" s="565"/>
      <c r="C743" s="565"/>
      <c r="D743" s="565"/>
      <c r="E743" s="565"/>
      <c r="F743" s="565"/>
      <c r="G743" s="565"/>
      <c r="H743" s="565"/>
      <c r="I743" s="565"/>
      <c r="J743" s="565"/>
      <c r="K743" s="565"/>
      <c r="L743" s="565"/>
      <c r="M743" s="565"/>
      <c r="N743" s="529"/>
      <c r="O743" s="529"/>
      <c r="P743" s="529"/>
      <c r="Q743" s="529"/>
      <c r="R743" s="529"/>
      <c r="S743" s="529"/>
      <c r="T743" s="529"/>
      <c r="U743" s="529"/>
      <c r="V743" s="529"/>
      <c r="W743" s="529"/>
      <c r="X743" s="529"/>
      <c r="Y743" s="529"/>
      <c r="Z743" s="529"/>
      <c r="AA743" s="529"/>
      <c r="AB743" s="529"/>
      <c r="AC743" s="529"/>
      <c r="AD743" s="529"/>
      <c r="AE743" s="529"/>
      <c r="AF743" s="529"/>
      <c r="AG743" s="556"/>
      <c r="AH743" s="528"/>
    </row>
    <row r="744">
      <c r="A744" s="564"/>
      <c r="B744" s="565"/>
      <c r="C744" s="565"/>
      <c r="D744" s="565"/>
      <c r="E744" s="565"/>
      <c r="F744" s="565"/>
      <c r="G744" s="565"/>
      <c r="H744" s="565"/>
      <c r="I744" s="565"/>
      <c r="J744" s="565"/>
      <c r="K744" s="565"/>
      <c r="L744" s="565"/>
      <c r="M744" s="565"/>
      <c r="N744" s="529"/>
      <c r="O744" s="529"/>
      <c r="P744" s="529"/>
      <c r="Q744" s="529"/>
      <c r="R744" s="529"/>
      <c r="S744" s="529"/>
      <c r="T744" s="529"/>
      <c r="U744" s="529"/>
      <c r="V744" s="529"/>
      <c r="W744" s="529"/>
      <c r="X744" s="529"/>
      <c r="Y744" s="529"/>
      <c r="Z744" s="529"/>
      <c r="AA744" s="529"/>
      <c r="AB744" s="529"/>
      <c r="AC744" s="529"/>
      <c r="AD744" s="529"/>
      <c r="AE744" s="529"/>
      <c r="AF744" s="529"/>
      <c r="AG744" s="556"/>
      <c r="AH744" s="528"/>
    </row>
    <row r="745">
      <c r="A745" s="564"/>
      <c r="B745" s="565"/>
      <c r="C745" s="565"/>
      <c r="D745" s="565"/>
      <c r="E745" s="565"/>
      <c r="F745" s="565"/>
      <c r="G745" s="565"/>
      <c r="H745" s="565"/>
      <c r="I745" s="565"/>
      <c r="J745" s="565"/>
      <c r="K745" s="565"/>
      <c r="L745" s="565"/>
      <c r="M745" s="565"/>
      <c r="N745" s="529"/>
      <c r="O745" s="529"/>
      <c r="P745" s="529"/>
      <c r="Q745" s="529"/>
      <c r="R745" s="529"/>
      <c r="S745" s="529"/>
      <c r="T745" s="529"/>
      <c r="U745" s="529"/>
      <c r="V745" s="529"/>
      <c r="W745" s="529"/>
      <c r="X745" s="529"/>
      <c r="Y745" s="529"/>
      <c r="Z745" s="529"/>
      <c r="AA745" s="529"/>
      <c r="AB745" s="529"/>
      <c r="AC745" s="529"/>
      <c r="AD745" s="529"/>
      <c r="AE745" s="529"/>
      <c r="AF745" s="529"/>
      <c r="AG745" s="556"/>
      <c r="AH745" s="528"/>
    </row>
    <row r="746">
      <c r="A746" s="564"/>
      <c r="B746" s="565"/>
      <c r="C746" s="565"/>
      <c r="D746" s="565"/>
      <c r="E746" s="565"/>
      <c r="F746" s="565"/>
      <c r="G746" s="565"/>
      <c r="H746" s="565"/>
      <c r="I746" s="565"/>
      <c r="J746" s="565"/>
      <c r="K746" s="565"/>
      <c r="L746" s="565"/>
      <c r="M746" s="565"/>
      <c r="N746" s="529"/>
      <c r="O746" s="529"/>
      <c r="P746" s="529"/>
      <c r="Q746" s="529"/>
      <c r="R746" s="529"/>
      <c r="S746" s="529"/>
      <c r="T746" s="529"/>
      <c r="U746" s="529"/>
      <c r="V746" s="529"/>
      <c r="W746" s="529"/>
      <c r="X746" s="529"/>
      <c r="Y746" s="529"/>
      <c r="Z746" s="529"/>
      <c r="AA746" s="529"/>
      <c r="AB746" s="529"/>
      <c r="AC746" s="529"/>
      <c r="AD746" s="529"/>
      <c r="AE746" s="529"/>
      <c r="AF746" s="529"/>
      <c r="AG746" s="556"/>
      <c r="AH746" s="528"/>
    </row>
    <row r="747">
      <c r="A747" s="564"/>
      <c r="B747" s="565"/>
      <c r="C747" s="565"/>
      <c r="D747" s="565"/>
      <c r="E747" s="565"/>
      <c r="F747" s="565"/>
      <c r="G747" s="565"/>
      <c r="H747" s="565"/>
      <c r="I747" s="565"/>
      <c r="J747" s="565"/>
      <c r="K747" s="565"/>
      <c r="L747" s="565"/>
      <c r="M747" s="565"/>
      <c r="N747" s="529"/>
      <c r="O747" s="529"/>
      <c r="P747" s="529"/>
      <c r="Q747" s="529"/>
      <c r="R747" s="529"/>
      <c r="S747" s="529"/>
      <c r="T747" s="529"/>
      <c r="U747" s="529"/>
      <c r="V747" s="529"/>
      <c r="W747" s="529"/>
      <c r="X747" s="529"/>
      <c r="Y747" s="529"/>
      <c r="Z747" s="529"/>
      <c r="AA747" s="529"/>
      <c r="AB747" s="529"/>
      <c r="AC747" s="529"/>
      <c r="AD747" s="529"/>
      <c r="AE747" s="529"/>
      <c r="AF747" s="529"/>
      <c r="AG747" s="556"/>
      <c r="AH747" s="528"/>
    </row>
    <row r="748">
      <c r="A748" s="564"/>
      <c r="B748" s="565"/>
      <c r="C748" s="565"/>
      <c r="D748" s="565"/>
      <c r="E748" s="565"/>
      <c r="F748" s="565"/>
      <c r="G748" s="565"/>
      <c r="H748" s="565"/>
      <c r="I748" s="565"/>
      <c r="J748" s="565"/>
      <c r="K748" s="565"/>
      <c r="L748" s="565"/>
      <c r="M748" s="565"/>
      <c r="N748" s="529"/>
      <c r="O748" s="529"/>
      <c r="P748" s="529"/>
      <c r="Q748" s="529"/>
      <c r="R748" s="529"/>
      <c r="S748" s="529"/>
      <c r="T748" s="529"/>
      <c r="U748" s="529"/>
      <c r="V748" s="529"/>
      <c r="W748" s="529"/>
      <c r="X748" s="529"/>
      <c r="Y748" s="529"/>
      <c r="Z748" s="529"/>
      <c r="AA748" s="529"/>
      <c r="AB748" s="529"/>
      <c r="AC748" s="529"/>
      <c r="AD748" s="529"/>
      <c r="AE748" s="529"/>
      <c r="AF748" s="529"/>
      <c r="AG748" s="556"/>
      <c r="AH748" s="528"/>
    </row>
    <row r="749">
      <c r="A749" s="564"/>
      <c r="B749" s="565"/>
      <c r="C749" s="565"/>
      <c r="D749" s="565"/>
      <c r="E749" s="565"/>
      <c r="F749" s="565"/>
      <c r="G749" s="565"/>
      <c r="H749" s="565"/>
      <c r="I749" s="565"/>
      <c r="J749" s="565"/>
      <c r="K749" s="565"/>
      <c r="L749" s="565"/>
      <c r="M749" s="565"/>
      <c r="N749" s="529"/>
      <c r="O749" s="529"/>
      <c r="P749" s="529"/>
      <c r="Q749" s="529"/>
      <c r="R749" s="529"/>
      <c r="S749" s="529"/>
      <c r="T749" s="529"/>
      <c r="U749" s="529"/>
      <c r="V749" s="529"/>
      <c r="W749" s="529"/>
      <c r="X749" s="529"/>
      <c r="Y749" s="529"/>
      <c r="Z749" s="529"/>
      <c r="AA749" s="529"/>
      <c r="AB749" s="529"/>
      <c r="AC749" s="529"/>
      <c r="AD749" s="529"/>
      <c r="AE749" s="529"/>
      <c r="AF749" s="529"/>
      <c r="AG749" s="556"/>
      <c r="AH749" s="528"/>
    </row>
    <row r="750">
      <c r="A750" s="564"/>
      <c r="B750" s="565"/>
      <c r="C750" s="565"/>
      <c r="D750" s="565"/>
      <c r="E750" s="565"/>
      <c r="F750" s="565"/>
      <c r="G750" s="565"/>
      <c r="H750" s="565"/>
      <c r="I750" s="565"/>
      <c r="J750" s="565"/>
      <c r="K750" s="565"/>
      <c r="L750" s="565"/>
      <c r="M750" s="565"/>
      <c r="N750" s="529"/>
      <c r="O750" s="529"/>
      <c r="P750" s="529"/>
      <c r="Q750" s="529"/>
      <c r="R750" s="529"/>
      <c r="S750" s="529"/>
      <c r="T750" s="529"/>
      <c r="U750" s="529"/>
      <c r="V750" s="529"/>
      <c r="W750" s="529"/>
      <c r="X750" s="529"/>
      <c r="Y750" s="529"/>
      <c r="Z750" s="529"/>
      <c r="AA750" s="529"/>
      <c r="AB750" s="529"/>
      <c r="AC750" s="529"/>
      <c r="AD750" s="529"/>
      <c r="AE750" s="529"/>
      <c r="AF750" s="529"/>
      <c r="AG750" s="556"/>
      <c r="AH750" s="528"/>
    </row>
    <row r="751">
      <c r="A751" s="564"/>
      <c r="B751" s="565"/>
      <c r="C751" s="565"/>
      <c r="D751" s="565"/>
      <c r="E751" s="565"/>
      <c r="F751" s="565"/>
      <c r="G751" s="565"/>
      <c r="H751" s="565"/>
      <c r="I751" s="565"/>
      <c r="J751" s="565"/>
      <c r="K751" s="565"/>
      <c r="L751" s="565"/>
      <c r="M751" s="565"/>
      <c r="N751" s="529"/>
      <c r="O751" s="529"/>
      <c r="P751" s="529"/>
      <c r="Q751" s="529"/>
      <c r="R751" s="529"/>
      <c r="S751" s="529"/>
      <c r="T751" s="529"/>
      <c r="U751" s="529"/>
      <c r="V751" s="529"/>
      <c r="W751" s="529"/>
      <c r="X751" s="529"/>
      <c r="Y751" s="529"/>
      <c r="Z751" s="529"/>
      <c r="AA751" s="529"/>
      <c r="AB751" s="529"/>
      <c r="AC751" s="529"/>
      <c r="AD751" s="529"/>
      <c r="AE751" s="529"/>
      <c r="AF751" s="529"/>
      <c r="AG751" s="556"/>
      <c r="AH751" s="528"/>
    </row>
    <row r="752">
      <c r="A752" s="564"/>
      <c r="B752" s="565"/>
      <c r="C752" s="565"/>
      <c r="D752" s="565"/>
      <c r="E752" s="565"/>
      <c r="F752" s="565"/>
      <c r="G752" s="565"/>
      <c r="H752" s="565"/>
      <c r="I752" s="565"/>
      <c r="J752" s="565"/>
      <c r="K752" s="565"/>
      <c r="L752" s="565"/>
      <c r="M752" s="565"/>
      <c r="N752" s="529"/>
      <c r="O752" s="529"/>
      <c r="P752" s="529"/>
      <c r="Q752" s="529"/>
      <c r="R752" s="529"/>
      <c r="S752" s="529"/>
      <c r="T752" s="529"/>
      <c r="U752" s="529"/>
      <c r="V752" s="529"/>
      <c r="W752" s="529"/>
      <c r="X752" s="529"/>
      <c r="Y752" s="529"/>
      <c r="Z752" s="529"/>
      <c r="AA752" s="529"/>
      <c r="AB752" s="529"/>
      <c r="AC752" s="529"/>
      <c r="AD752" s="529"/>
      <c r="AE752" s="529"/>
      <c r="AF752" s="529"/>
      <c r="AG752" s="556"/>
      <c r="AH752" s="528"/>
    </row>
    <row r="753">
      <c r="A753" s="564"/>
      <c r="B753" s="565"/>
      <c r="C753" s="565"/>
      <c r="D753" s="565"/>
      <c r="E753" s="565"/>
      <c r="F753" s="565"/>
      <c r="G753" s="565"/>
      <c r="H753" s="565"/>
      <c r="I753" s="565"/>
      <c r="J753" s="565"/>
      <c r="K753" s="565"/>
      <c r="L753" s="565"/>
      <c r="M753" s="565"/>
      <c r="N753" s="529"/>
      <c r="O753" s="529"/>
      <c r="P753" s="529"/>
      <c r="Q753" s="529"/>
      <c r="R753" s="529"/>
      <c r="S753" s="529"/>
      <c r="T753" s="529"/>
      <c r="U753" s="529"/>
      <c r="V753" s="529"/>
      <c r="W753" s="529"/>
      <c r="X753" s="529"/>
      <c r="Y753" s="529"/>
      <c r="Z753" s="529"/>
      <c r="AA753" s="529"/>
      <c r="AB753" s="529"/>
      <c r="AC753" s="529"/>
      <c r="AD753" s="529"/>
      <c r="AE753" s="529"/>
      <c r="AF753" s="529"/>
      <c r="AG753" s="556"/>
      <c r="AH753" s="528"/>
    </row>
    <row r="754">
      <c r="A754" s="564"/>
      <c r="B754" s="565"/>
      <c r="C754" s="565"/>
      <c r="D754" s="565"/>
      <c r="E754" s="565"/>
      <c r="F754" s="565"/>
      <c r="G754" s="565"/>
      <c r="H754" s="565"/>
      <c r="I754" s="565"/>
      <c r="J754" s="565"/>
      <c r="K754" s="565"/>
      <c r="L754" s="565"/>
      <c r="M754" s="565"/>
      <c r="N754" s="529"/>
      <c r="O754" s="529"/>
      <c r="P754" s="529"/>
      <c r="Q754" s="529"/>
      <c r="R754" s="529"/>
      <c r="S754" s="529"/>
      <c r="T754" s="529"/>
      <c r="U754" s="529"/>
      <c r="V754" s="529"/>
      <c r="W754" s="529"/>
      <c r="X754" s="529"/>
      <c r="Y754" s="529"/>
      <c r="Z754" s="529"/>
      <c r="AA754" s="529"/>
      <c r="AB754" s="529"/>
      <c r="AC754" s="529"/>
      <c r="AD754" s="529"/>
      <c r="AE754" s="529"/>
      <c r="AF754" s="529"/>
      <c r="AG754" s="556"/>
      <c r="AH754" s="528"/>
    </row>
    <row r="755">
      <c r="A755" s="564"/>
      <c r="B755" s="565"/>
      <c r="C755" s="565"/>
      <c r="D755" s="565"/>
      <c r="E755" s="565"/>
      <c r="F755" s="565"/>
      <c r="G755" s="565"/>
      <c r="H755" s="565"/>
      <c r="I755" s="565"/>
      <c r="J755" s="565"/>
      <c r="K755" s="565"/>
      <c r="L755" s="565"/>
      <c r="M755" s="565"/>
      <c r="N755" s="529"/>
      <c r="O755" s="529"/>
      <c r="P755" s="529"/>
      <c r="Q755" s="529"/>
      <c r="R755" s="529"/>
      <c r="S755" s="529"/>
      <c r="T755" s="529"/>
      <c r="U755" s="529"/>
      <c r="V755" s="529"/>
      <c r="W755" s="529"/>
      <c r="X755" s="529"/>
      <c r="Y755" s="529"/>
      <c r="Z755" s="529"/>
      <c r="AA755" s="529"/>
      <c r="AB755" s="529"/>
      <c r="AC755" s="529"/>
      <c r="AD755" s="529"/>
      <c r="AE755" s="529"/>
      <c r="AF755" s="529"/>
      <c r="AG755" s="556"/>
      <c r="AH755" s="528"/>
    </row>
    <row r="756">
      <c r="A756" s="564"/>
      <c r="B756" s="565"/>
      <c r="C756" s="565"/>
      <c r="D756" s="565"/>
      <c r="E756" s="565"/>
      <c r="F756" s="565"/>
      <c r="G756" s="565"/>
      <c r="H756" s="565"/>
      <c r="I756" s="565"/>
      <c r="J756" s="565"/>
      <c r="K756" s="565"/>
      <c r="L756" s="565"/>
      <c r="M756" s="565"/>
      <c r="N756" s="529"/>
      <c r="O756" s="529"/>
      <c r="P756" s="529"/>
      <c r="Q756" s="529"/>
      <c r="R756" s="529"/>
      <c r="S756" s="529"/>
      <c r="T756" s="529"/>
      <c r="U756" s="529"/>
      <c r="V756" s="529"/>
      <c r="W756" s="529"/>
      <c r="X756" s="529"/>
      <c r="Y756" s="529"/>
      <c r="Z756" s="529"/>
      <c r="AA756" s="529"/>
      <c r="AB756" s="529"/>
      <c r="AC756" s="529"/>
      <c r="AD756" s="529"/>
      <c r="AE756" s="529"/>
      <c r="AF756" s="529"/>
      <c r="AG756" s="556"/>
      <c r="AH756" s="528"/>
    </row>
    <row r="757">
      <c r="A757" s="564"/>
      <c r="B757" s="565"/>
      <c r="C757" s="565"/>
      <c r="D757" s="565"/>
      <c r="E757" s="565"/>
      <c r="F757" s="565"/>
      <c r="G757" s="565"/>
      <c r="H757" s="565"/>
      <c r="I757" s="565"/>
      <c r="J757" s="565"/>
      <c r="K757" s="565"/>
      <c r="L757" s="565"/>
      <c r="M757" s="565"/>
      <c r="N757" s="529"/>
      <c r="O757" s="529"/>
      <c r="P757" s="529"/>
      <c r="Q757" s="529"/>
      <c r="R757" s="529"/>
      <c r="S757" s="529"/>
      <c r="T757" s="529"/>
      <c r="U757" s="529"/>
      <c r="V757" s="529"/>
      <c r="W757" s="529"/>
      <c r="X757" s="529"/>
      <c r="Y757" s="529"/>
      <c r="Z757" s="529"/>
      <c r="AA757" s="529"/>
      <c r="AB757" s="529"/>
      <c r="AC757" s="529"/>
      <c r="AD757" s="529"/>
      <c r="AE757" s="529"/>
      <c r="AF757" s="529"/>
      <c r="AG757" s="556"/>
      <c r="AH757" s="528"/>
    </row>
    <row r="758">
      <c r="A758" s="564"/>
      <c r="B758" s="565"/>
      <c r="C758" s="565"/>
      <c r="D758" s="565"/>
      <c r="E758" s="565"/>
      <c r="F758" s="565"/>
      <c r="G758" s="565"/>
      <c r="H758" s="565"/>
      <c r="I758" s="565"/>
      <c r="J758" s="565"/>
      <c r="K758" s="565"/>
      <c r="L758" s="565"/>
      <c r="M758" s="565"/>
      <c r="N758" s="529"/>
      <c r="O758" s="529"/>
      <c r="P758" s="529"/>
      <c r="Q758" s="529"/>
      <c r="R758" s="529"/>
      <c r="S758" s="529"/>
      <c r="T758" s="529"/>
      <c r="U758" s="529"/>
      <c r="V758" s="529"/>
      <c r="W758" s="529"/>
      <c r="X758" s="529"/>
      <c r="Y758" s="529"/>
      <c r="Z758" s="529"/>
      <c r="AA758" s="529"/>
      <c r="AB758" s="529"/>
      <c r="AC758" s="529"/>
      <c r="AD758" s="529"/>
      <c r="AE758" s="529"/>
      <c r="AF758" s="529"/>
      <c r="AG758" s="556"/>
      <c r="AH758" s="528"/>
    </row>
    <row r="759">
      <c r="A759" s="564"/>
      <c r="B759" s="565"/>
      <c r="C759" s="565"/>
      <c r="D759" s="565"/>
      <c r="E759" s="565"/>
      <c r="F759" s="565"/>
      <c r="G759" s="565"/>
      <c r="H759" s="565"/>
      <c r="I759" s="565"/>
      <c r="J759" s="565"/>
      <c r="K759" s="565"/>
      <c r="L759" s="565"/>
      <c r="M759" s="565"/>
      <c r="N759" s="529"/>
      <c r="O759" s="529"/>
      <c r="P759" s="529"/>
      <c r="Q759" s="529"/>
      <c r="R759" s="529"/>
      <c r="S759" s="529"/>
      <c r="T759" s="529"/>
      <c r="U759" s="529"/>
      <c r="V759" s="529"/>
      <c r="W759" s="529"/>
      <c r="X759" s="529"/>
      <c r="Y759" s="529"/>
      <c r="Z759" s="529"/>
      <c r="AA759" s="529"/>
      <c r="AB759" s="529"/>
      <c r="AC759" s="529"/>
      <c r="AD759" s="529"/>
      <c r="AE759" s="529"/>
      <c r="AF759" s="529"/>
      <c r="AG759" s="556"/>
      <c r="AH759" s="528"/>
    </row>
    <row r="760">
      <c r="A760" s="564"/>
      <c r="B760" s="565"/>
      <c r="C760" s="565"/>
      <c r="D760" s="565"/>
      <c r="E760" s="565"/>
      <c r="F760" s="565"/>
      <c r="G760" s="565"/>
      <c r="H760" s="565"/>
      <c r="I760" s="565"/>
      <c r="J760" s="565"/>
      <c r="K760" s="565"/>
      <c r="L760" s="565"/>
      <c r="M760" s="565"/>
      <c r="N760" s="529"/>
      <c r="O760" s="529"/>
      <c r="P760" s="529"/>
      <c r="Q760" s="529"/>
      <c r="R760" s="529"/>
      <c r="S760" s="529"/>
      <c r="T760" s="529"/>
      <c r="U760" s="529"/>
      <c r="V760" s="529"/>
      <c r="W760" s="529"/>
      <c r="X760" s="529"/>
      <c r="Y760" s="529"/>
      <c r="Z760" s="529"/>
      <c r="AA760" s="529"/>
      <c r="AB760" s="529"/>
      <c r="AC760" s="529"/>
      <c r="AD760" s="529"/>
      <c r="AE760" s="529"/>
      <c r="AF760" s="529"/>
      <c r="AG760" s="556"/>
      <c r="AH760" s="528"/>
    </row>
    <row r="761">
      <c r="A761" s="564"/>
      <c r="B761" s="565"/>
      <c r="C761" s="565"/>
      <c r="D761" s="565"/>
      <c r="E761" s="565"/>
      <c r="F761" s="565"/>
      <c r="G761" s="565"/>
      <c r="H761" s="565"/>
      <c r="I761" s="565"/>
      <c r="J761" s="565"/>
      <c r="K761" s="565"/>
      <c r="L761" s="565"/>
      <c r="M761" s="565"/>
      <c r="N761" s="529"/>
      <c r="O761" s="529"/>
      <c r="P761" s="529"/>
      <c r="Q761" s="529"/>
      <c r="R761" s="529"/>
      <c r="S761" s="529"/>
      <c r="T761" s="529"/>
      <c r="U761" s="529"/>
      <c r="V761" s="529"/>
      <c r="W761" s="529"/>
      <c r="X761" s="529"/>
      <c r="Y761" s="529"/>
      <c r="Z761" s="529"/>
      <c r="AA761" s="529"/>
      <c r="AB761" s="529"/>
      <c r="AC761" s="529"/>
      <c r="AD761" s="529"/>
      <c r="AE761" s="529"/>
      <c r="AF761" s="529"/>
      <c r="AG761" s="556"/>
      <c r="AH761" s="528"/>
    </row>
    <row r="762">
      <c r="A762" s="564"/>
      <c r="B762" s="565"/>
      <c r="C762" s="565"/>
      <c r="D762" s="565"/>
      <c r="E762" s="565"/>
      <c r="F762" s="565"/>
      <c r="G762" s="565"/>
      <c r="H762" s="565"/>
      <c r="I762" s="565"/>
      <c r="J762" s="565"/>
      <c r="K762" s="565"/>
      <c r="L762" s="565"/>
      <c r="M762" s="565"/>
      <c r="N762" s="529"/>
      <c r="O762" s="529"/>
      <c r="P762" s="529"/>
      <c r="Q762" s="529"/>
      <c r="R762" s="529"/>
      <c r="S762" s="529"/>
      <c r="T762" s="529"/>
      <c r="U762" s="529"/>
      <c r="V762" s="529"/>
      <c r="W762" s="529"/>
      <c r="X762" s="529"/>
      <c r="Y762" s="529"/>
      <c r="Z762" s="529"/>
      <c r="AA762" s="529"/>
      <c r="AB762" s="529"/>
      <c r="AC762" s="529"/>
      <c r="AD762" s="529"/>
      <c r="AE762" s="529"/>
      <c r="AF762" s="529"/>
      <c r="AG762" s="556"/>
      <c r="AH762" s="528"/>
    </row>
    <row r="763">
      <c r="A763" s="564"/>
      <c r="B763" s="565"/>
      <c r="C763" s="565"/>
      <c r="D763" s="565"/>
      <c r="E763" s="565"/>
      <c r="F763" s="565"/>
      <c r="G763" s="565"/>
      <c r="H763" s="565"/>
      <c r="I763" s="565"/>
      <c r="J763" s="565"/>
      <c r="K763" s="565"/>
      <c r="L763" s="565"/>
      <c r="M763" s="565"/>
      <c r="N763" s="529"/>
      <c r="O763" s="529"/>
      <c r="P763" s="529"/>
      <c r="Q763" s="529"/>
      <c r="R763" s="529"/>
      <c r="S763" s="529"/>
      <c r="T763" s="529"/>
      <c r="U763" s="529"/>
      <c r="V763" s="529"/>
      <c r="W763" s="529"/>
      <c r="X763" s="529"/>
      <c r="Y763" s="529"/>
      <c r="Z763" s="529"/>
      <c r="AA763" s="529"/>
      <c r="AB763" s="529"/>
      <c r="AC763" s="529"/>
      <c r="AD763" s="529"/>
      <c r="AE763" s="529"/>
      <c r="AF763" s="529"/>
      <c r="AG763" s="556"/>
      <c r="AH763" s="528"/>
    </row>
    <row r="764">
      <c r="A764" s="564"/>
      <c r="B764" s="565"/>
      <c r="C764" s="565"/>
      <c r="D764" s="565"/>
      <c r="E764" s="565"/>
      <c r="F764" s="565"/>
      <c r="G764" s="565"/>
      <c r="H764" s="565"/>
      <c r="I764" s="565"/>
      <c r="J764" s="565"/>
      <c r="K764" s="565"/>
      <c r="L764" s="565"/>
      <c r="M764" s="565"/>
      <c r="N764" s="529"/>
      <c r="O764" s="529"/>
      <c r="P764" s="529"/>
      <c r="Q764" s="529"/>
      <c r="R764" s="529"/>
      <c r="S764" s="529"/>
      <c r="T764" s="529"/>
      <c r="U764" s="529"/>
      <c r="V764" s="529"/>
      <c r="W764" s="529"/>
      <c r="X764" s="529"/>
      <c r="Y764" s="529"/>
      <c r="Z764" s="529"/>
      <c r="AA764" s="529"/>
      <c r="AB764" s="529"/>
      <c r="AC764" s="529"/>
      <c r="AD764" s="529"/>
      <c r="AE764" s="529"/>
      <c r="AF764" s="529"/>
      <c r="AG764" s="556"/>
      <c r="AH764" s="528"/>
    </row>
    <row r="765">
      <c r="A765" s="564"/>
      <c r="B765" s="565"/>
      <c r="C765" s="565"/>
      <c r="D765" s="565"/>
      <c r="E765" s="565"/>
      <c r="F765" s="565"/>
      <c r="G765" s="565"/>
      <c r="H765" s="565"/>
      <c r="I765" s="565"/>
      <c r="J765" s="565"/>
      <c r="K765" s="565"/>
      <c r="L765" s="565"/>
      <c r="M765" s="565"/>
      <c r="N765" s="529"/>
      <c r="O765" s="529"/>
      <c r="P765" s="529"/>
      <c r="Q765" s="529"/>
      <c r="R765" s="529"/>
      <c r="S765" s="529"/>
      <c r="T765" s="529"/>
      <c r="U765" s="529"/>
      <c r="V765" s="529"/>
      <c r="W765" s="529"/>
      <c r="X765" s="529"/>
      <c r="Y765" s="529"/>
      <c r="Z765" s="529"/>
      <c r="AA765" s="529"/>
      <c r="AB765" s="529"/>
      <c r="AC765" s="529"/>
      <c r="AD765" s="529"/>
      <c r="AE765" s="529"/>
      <c r="AF765" s="529"/>
      <c r="AG765" s="556"/>
      <c r="AH765" s="528"/>
    </row>
    <row r="766">
      <c r="A766" s="564"/>
      <c r="B766" s="565"/>
      <c r="C766" s="565"/>
      <c r="D766" s="565"/>
      <c r="E766" s="565"/>
      <c r="F766" s="565"/>
      <c r="G766" s="565"/>
      <c r="H766" s="565"/>
      <c r="I766" s="565"/>
      <c r="J766" s="565"/>
      <c r="K766" s="565"/>
      <c r="L766" s="565"/>
      <c r="M766" s="565"/>
      <c r="N766" s="529"/>
      <c r="O766" s="529"/>
      <c r="P766" s="529"/>
      <c r="Q766" s="529"/>
      <c r="R766" s="529"/>
      <c r="S766" s="529"/>
      <c r="T766" s="529"/>
      <c r="U766" s="529"/>
      <c r="V766" s="529"/>
      <c r="W766" s="529"/>
      <c r="X766" s="529"/>
      <c r="Y766" s="529"/>
      <c r="Z766" s="529"/>
      <c r="AA766" s="529"/>
      <c r="AB766" s="529"/>
      <c r="AC766" s="529"/>
      <c r="AD766" s="529"/>
      <c r="AE766" s="529"/>
      <c r="AF766" s="529"/>
      <c r="AG766" s="556"/>
      <c r="AH766" s="528"/>
    </row>
    <row r="767">
      <c r="A767" s="564"/>
      <c r="B767" s="565"/>
      <c r="C767" s="565"/>
      <c r="D767" s="565"/>
      <c r="E767" s="565"/>
      <c r="F767" s="565"/>
      <c r="G767" s="565"/>
      <c r="H767" s="565"/>
      <c r="I767" s="565"/>
      <c r="J767" s="565"/>
      <c r="K767" s="565"/>
      <c r="L767" s="565"/>
      <c r="M767" s="565"/>
      <c r="N767" s="529"/>
      <c r="O767" s="529"/>
      <c r="P767" s="529"/>
      <c r="Q767" s="529"/>
      <c r="R767" s="529"/>
      <c r="S767" s="529"/>
      <c r="T767" s="529"/>
      <c r="U767" s="529"/>
      <c r="V767" s="529"/>
      <c r="W767" s="529"/>
      <c r="X767" s="529"/>
      <c r="Y767" s="529"/>
      <c r="Z767" s="529"/>
      <c r="AA767" s="529"/>
      <c r="AB767" s="529"/>
      <c r="AC767" s="529"/>
      <c r="AD767" s="529"/>
      <c r="AE767" s="529"/>
      <c r="AF767" s="529"/>
      <c r="AG767" s="556"/>
      <c r="AH767" s="528"/>
    </row>
    <row r="768">
      <c r="A768" s="564"/>
      <c r="B768" s="565"/>
      <c r="C768" s="565"/>
      <c r="D768" s="565"/>
      <c r="E768" s="565"/>
      <c r="F768" s="565"/>
      <c r="G768" s="565"/>
      <c r="H768" s="565"/>
      <c r="I768" s="565"/>
      <c r="J768" s="565"/>
      <c r="K768" s="565"/>
      <c r="L768" s="565"/>
      <c r="M768" s="565"/>
      <c r="N768" s="529"/>
      <c r="O768" s="529"/>
      <c r="P768" s="529"/>
      <c r="Q768" s="529"/>
      <c r="R768" s="529"/>
      <c r="S768" s="529"/>
      <c r="T768" s="529"/>
      <c r="U768" s="529"/>
      <c r="V768" s="529"/>
      <c r="W768" s="529"/>
      <c r="X768" s="529"/>
      <c r="Y768" s="529"/>
      <c r="Z768" s="529"/>
      <c r="AA768" s="529"/>
      <c r="AB768" s="529"/>
      <c r="AC768" s="529"/>
      <c r="AD768" s="529"/>
      <c r="AE768" s="529"/>
      <c r="AF768" s="529"/>
      <c r="AG768" s="556"/>
      <c r="AH768" s="528"/>
    </row>
    <row r="769">
      <c r="A769" s="564"/>
      <c r="B769" s="565"/>
      <c r="C769" s="565"/>
      <c r="D769" s="565"/>
      <c r="E769" s="565"/>
      <c r="F769" s="565"/>
      <c r="G769" s="565"/>
      <c r="H769" s="565"/>
      <c r="I769" s="565"/>
      <c r="J769" s="565"/>
      <c r="K769" s="565"/>
      <c r="L769" s="565"/>
      <c r="M769" s="565"/>
      <c r="N769" s="529"/>
      <c r="O769" s="529"/>
      <c r="P769" s="529"/>
      <c r="Q769" s="529"/>
      <c r="R769" s="529"/>
      <c r="S769" s="529"/>
      <c r="T769" s="529"/>
      <c r="U769" s="529"/>
      <c r="V769" s="529"/>
      <c r="W769" s="529"/>
      <c r="X769" s="529"/>
      <c r="Y769" s="529"/>
      <c r="Z769" s="529"/>
      <c r="AA769" s="529"/>
      <c r="AB769" s="529"/>
      <c r="AC769" s="529"/>
      <c r="AD769" s="529"/>
      <c r="AE769" s="529"/>
      <c r="AF769" s="529"/>
      <c r="AG769" s="556"/>
      <c r="AH769" s="528"/>
    </row>
    <row r="770">
      <c r="A770" s="564"/>
      <c r="B770" s="565"/>
      <c r="C770" s="565"/>
      <c r="D770" s="565"/>
      <c r="E770" s="565"/>
      <c r="F770" s="565"/>
      <c r="G770" s="565"/>
      <c r="H770" s="565"/>
      <c r="I770" s="565"/>
      <c r="J770" s="565"/>
      <c r="K770" s="565"/>
      <c r="L770" s="565"/>
      <c r="M770" s="565"/>
      <c r="N770" s="529"/>
      <c r="O770" s="529"/>
      <c r="P770" s="529"/>
      <c r="Q770" s="529"/>
      <c r="R770" s="529"/>
      <c r="S770" s="529"/>
      <c r="T770" s="529"/>
      <c r="U770" s="529"/>
      <c r="V770" s="529"/>
      <c r="W770" s="529"/>
      <c r="X770" s="529"/>
      <c r="Y770" s="529"/>
      <c r="Z770" s="529"/>
      <c r="AA770" s="529"/>
      <c r="AB770" s="529"/>
      <c r="AC770" s="529"/>
      <c r="AD770" s="529"/>
      <c r="AE770" s="529"/>
      <c r="AF770" s="529"/>
      <c r="AG770" s="556"/>
      <c r="AH770" s="528"/>
    </row>
    <row r="771">
      <c r="A771" s="564"/>
      <c r="B771" s="565"/>
      <c r="C771" s="565"/>
      <c r="D771" s="565"/>
      <c r="E771" s="565"/>
      <c r="F771" s="565"/>
      <c r="G771" s="565"/>
      <c r="H771" s="565"/>
      <c r="I771" s="565"/>
      <c r="J771" s="565"/>
      <c r="K771" s="565"/>
      <c r="L771" s="565"/>
      <c r="M771" s="565"/>
      <c r="N771" s="529"/>
      <c r="O771" s="529"/>
      <c r="P771" s="529"/>
      <c r="Q771" s="529"/>
      <c r="R771" s="529"/>
      <c r="S771" s="529"/>
      <c r="T771" s="529"/>
      <c r="U771" s="529"/>
      <c r="V771" s="529"/>
      <c r="W771" s="529"/>
      <c r="X771" s="529"/>
      <c r="Y771" s="529"/>
      <c r="Z771" s="529"/>
      <c r="AA771" s="529"/>
      <c r="AB771" s="529"/>
      <c r="AC771" s="529"/>
      <c r="AD771" s="529"/>
      <c r="AE771" s="529"/>
      <c r="AF771" s="529"/>
      <c r="AG771" s="556"/>
      <c r="AH771" s="528"/>
    </row>
    <row r="772">
      <c r="A772" s="564"/>
      <c r="B772" s="565"/>
      <c r="C772" s="565"/>
      <c r="D772" s="565"/>
      <c r="E772" s="565"/>
      <c r="F772" s="565"/>
      <c r="G772" s="565"/>
      <c r="H772" s="565"/>
      <c r="I772" s="565"/>
      <c r="J772" s="565"/>
      <c r="K772" s="565"/>
      <c r="L772" s="565"/>
      <c r="M772" s="565"/>
      <c r="N772" s="529"/>
      <c r="O772" s="529"/>
      <c r="P772" s="529"/>
      <c r="Q772" s="529"/>
      <c r="R772" s="529"/>
      <c r="S772" s="529"/>
      <c r="T772" s="529"/>
      <c r="U772" s="529"/>
      <c r="V772" s="529"/>
      <c r="W772" s="529"/>
      <c r="X772" s="529"/>
      <c r="Y772" s="529"/>
      <c r="Z772" s="529"/>
      <c r="AA772" s="529"/>
      <c r="AB772" s="529"/>
      <c r="AC772" s="529"/>
      <c r="AD772" s="529"/>
      <c r="AE772" s="529"/>
      <c r="AF772" s="529"/>
      <c r="AG772" s="556"/>
      <c r="AH772" s="528"/>
    </row>
    <row r="773">
      <c r="A773" s="564"/>
      <c r="B773" s="565"/>
      <c r="C773" s="565"/>
      <c r="D773" s="565"/>
      <c r="E773" s="565"/>
      <c r="F773" s="565"/>
      <c r="G773" s="565"/>
      <c r="H773" s="565"/>
      <c r="I773" s="565"/>
      <c r="J773" s="565"/>
      <c r="K773" s="565"/>
      <c r="L773" s="565"/>
      <c r="M773" s="565"/>
      <c r="N773" s="529"/>
      <c r="O773" s="529"/>
      <c r="P773" s="529"/>
      <c r="Q773" s="529"/>
      <c r="R773" s="529"/>
      <c r="S773" s="529"/>
      <c r="T773" s="529"/>
      <c r="U773" s="529"/>
      <c r="V773" s="529"/>
      <c r="W773" s="529"/>
      <c r="X773" s="529"/>
      <c r="Y773" s="529"/>
      <c r="Z773" s="529"/>
      <c r="AA773" s="529"/>
      <c r="AB773" s="529"/>
      <c r="AC773" s="529"/>
      <c r="AD773" s="529"/>
      <c r="AE773" s="529"/>
      <c r="AF773" s="529"/>
      <c r="AG773" s="556"/>
      <c r="AH773" s="528"/>
    </row>
    <row r="774">
      <c r="A774" s="564"/>
      <c r="B774" s="565"/>
      <c r="C774" s="565"/>
      <c r="D774" s="565"/>
      <c r="E774" s="565"/>
      <c r="F774" s="565"/>
      <c r="G774" s="565"/>
      <c r="H774" s="565"/>
      <c r="I774" s="565"/>
      <c r="J774" s="565"/>
      <c r="K774" s="565"/>
      <c r="L774" s="565"/>
      <c r="M774" s="565"/>
      <c r="N774" s="529"/>
      <c r="O774" s="529"/>
      <c r="P774" s="529"/>
      <c r="Q774" s="529"/>
      <c r="R774" s="529"/>
      <c r="S774" s="529"/>
      <c r="T774" s="529"/>
      <c r="U774" s="529"/>
      <c r="V774" s="529"/>
      <c r="W774" s="529"/>
      <c r="X774" s="529"/>
      <c r="Y774" s="529"/>
      <c r="Z774" s="529"/>
      <c r="AA774" s="529"/>
      <c r="AB774" s="529"/>
      <c r="AC774" s="529"/>
      <c r="AD774" s="529"/>
      <c r="AE774" s="529"/>
      <c r="AF774" s="529"/>
      <c r="AG774" s="556"/>
      <c r="AH774" s="528"/>
    </row>
    <row r="775">
      <c r="A775" s="564"/>
      <c r="B775" s="565"/>
      <c r="C775" s="565"/>
      <c r="D775" s="565"/>
      <c r="E775" s="565"/>
      <c r="F775" s="565"/>
      <c r="G775" s="565"/>
      <c r="H775" s="565"/>
      <c r="I775" s="565"/>
      <c r="J775" s="565"/>
      <c r="K775" s="565"/>
      <c r="L775" s="565"/>
      <c r="M775" s="565"/>
      <c r="N775" s="529"/>
      <c r="O775" s="529"/>
      <c r="P775" s="529"/>
      <c r="Q775" s="529"/>
      <c r="R775" s="529"/>
      <c r="S775" s="529"/>
      <c r="T775" s="529"/>
      <c r="U775" s="529"/>
      <c r="V775" s="529"/>
      <c r="W775" s="529"/>
      <c r="X775" s="529"/>
      <c r="Y775" s="529"/>
      <c r="Z775" s="529"/>
      <c r="AA775" s="529"/>
      <c r="AB775" s="529"/>
      <c r="AC775" s="529"/>
      <c r="AD775" s="529"/>
      <c r="AE775" s="529"/>
      <c r="AF775" s="529"/>
      <c r="AG775" s="556"/>
      <c r="AH775" s="528"/>
    </row>
    <row r="776">
      <c r="A776" s="564"/>
      <c r="B776" s="565"/>
      <c r="C776" s="565"/>
      <c r="D776" s="565"/>
      <c r="E776" s="565"/>
      <c r="F776" s="565"/>
      <c r="G776" s="565"/>
      <c r="H776" s="565"/>
      <c r="I776" s="565"/>
      <c r="J776" s="565"/>
      <c r="K776" s="565"/>
      <c r="L776" s="565"/>
      <c r="M776" s="565"/>
      <c r="N776" s="529"/>
      <c r="O776" s="529"/>
      <c r="P776" s="529"/>
      <c r="Q776" s="529"/>
      <c r="R776" s="529"/>
      <c r="S776" s="529"/>
      <c r="T776" s="529"/>
      <c r="U776" s="529"/>
      <c r="V776" s="529"/>
      <c r="W776" s="529"/>
      <c r="X776" s="529"/>
      <c r="Y776" s="529"/>
      <c r="Z776" s="529"/>
      <c r="AA776" s="529"/>
      <c r="AB776" s="529"/>
      <c r="AC776" s="529"/>
      <c r="AD776" s="529"/>
      <c r="AE776" s="529"/>
      <c r="AF776" s="529"/>
      <c r="AG776" s="556"/>
      <c r="AH776" s="528"/>
    </row>
    <row r="777">
      <c r="A777" s="564"/>
      <c r="B777" s="565"/>
      <c r="C777" s="565"/>
      <c r="D777" s="565"/>
      <c r="E777" s="565"/>
      <c r="F777" s="565"/>
      <c r="G777" s="565"/>
      <c r="H777" s="565"/>
      <c r="I777" s="565"/>
      <c r="J777" s="565"/>
      <c r="K777" s="565"/>
      <c r="L777" s="565"/>
      <c r="M777" s="565"/>
      <c r="N777" s="529"/>
      <c r="O777" s="529"/>
      <c r="P777" s="529"/>
      <c r="Q777" s="529"/>
      <c r="R777" s="529"/>
      <c r="S777" s="529"/>
      <c r="T777" s="529"/>
      <c r="U777" s="529"/>
      <c r="V777" s="529"/>
      <c r="W777" s="529"/>
      <c r="X777" s="529"/>
      <c r="Y777" s="529"/>
      <c r="Z777" s="529"/>
      <c r="AA777" s="529"/>
      <c r="AB777" s="529"/>
      <c r="AC777" s="529"/>
      <c r="AD777" s="529"/>
      <c r="AE777" s="529"/>
      <c r="AF777" s="529"/>
      <c r="AG777" s="556"/>
      <c r="AH777" s="528"/>
    </row>
    <row r="778">
      <c r="A778" s="564"/>
      <c r="B778" s="565"/>
      <c r="C778" s="565"/>
      <c r="D778" s="565"/>
      <c r="E778" s="565"/>
      <c r="F778" s="565"/>
      <c r="G778" s="565"/>
      <c r="H778" s="565"/>
      <c r="I778" s="565"/>
      <c r="J778" s="565"/>
      <c r="K778" s="565"/>
      <c r="L778" s="565"/>
      <c r="M778" s="565"/>
      <c r="N778" s="529"/>
      <c r="O778" s="529"/>
      <c r="P778" s="529"/>
      <c r="Q778" s="529"/>
      <c r="R778" s="529"/>
      <c r="S778" s="529"/>
      <c r="T778" s="529"/>
      <c r="U778" s="529"/>
      <c r="V778" s="529"/>
      <c r="W778" s="529"/>
      <c r="X778" s="529"/>
      <c r="Y778" s="529"/>
      <c r="Z778" s="529"/>
      <c r="AA778" s="529"/>
      <c r="AB778" s="529"/>
      <c r="AC778" s="529"/>
      <c r="AD778" s="529"/>
      <c r="AE778" s="529"/>
      <c r="AF778" s="529"/>
      <c r="AG778" s="556"/>
      <c r="AH778" s="528"/>
    </row>
    <row r="779">
      <c r="A779" s="564"/>
      <c r="B779" s="565"/>
      <c r="C779" s="565"/>
      <c r="D779" s="565"/>
      <c r="E779" s="565"/>
      <c r="F779" s="565"/>
      <c r="G779" s="565"/>
      <c r="H779" s="565"/>
      <c r="I779" s="565"/>
      <c r="J779" s="565"/>
      <c r="K779" s="565"/>
      <c r="L779" s="565"/>
      <c r="M779" s="565"/>
      <c r="N779" s="529"/>
      <c r="O779" s="529"/>
      <c r="P779" s="529"/>
      <c r="Q779" s="529"/>
      <c r="R779" s="529"/>
      <c r="S779" s="529"/>
      <c r="T779" s="529"/>
      <c r="U779" s="529"/>
      <c r="V779" s="529"/>
      <c r="W779" s="529"/>
      <c r="X779" s="529"/>
      <c r="Y779" s="529"/>
      <c r="Z779" s="529"/>
      <c r="AA779" s="529"/>
      <c r="AB779" s="529"/>
      <c r="AC779" s="529"/>
      <c r="AD779" s="529"/>
      <c r="AE779" s="529"/>
      <c r="AF779" s="529"/>
      <c r="AG779" s="556"/>
      <c r="AH779" s="528"/>
    </row>
    <row r="780">
      <c r="A780" s="564"/>
      <c r="B780" s="565"/>
      <c r="C780" s="565"/>
      <c r="D780" s="565"/>
      <c r="E780" s="565"/>
      <c r="F780" s="565"/>
      <c r="G780" s="565"/>
      <c r="H780" s="565"/>
      <c r="I780" s="565"/>
      <c r="J780" s="565"/>
      <c r="K780" s="565"/>
      <c r="L780" s="565"/>
      <c r="M780" s="565"/>
      <c r="N780" s="529"/>
      <c r="O780" s="529"/>
      <c r="P780" s="529"/>
      <c r="Q780" s="529"/>
      <c r="R780" s="529"/>
      <c r="S780" s="529"/>
      <c r="T780" s="529"/>
      <c r="U780" s="529"/>
      <c r="V780" s="529"/>
      <c r="W780" s="529"/>
      <c r="X780" s="529"/>
      <c r="Y780" s="529"/>
      <c r="Z780" s="529"/>
      <c r="AA780" s="529"/>
      <c r="AB780" s="529"/>
      <c r="AC780" s="529"/>
      <c r="AD780" s="529"/>
      <c r="AE780" s="529"/>
      <c r="AF780" s="529"/>
      <c r="AG780" s="556"/>
      <c r="AH780" s="528"/>
    </row>
    <row r="781">
      <c r="A781" s="564"/>
      <c r="B781" s="565"/>
      <c r="C781" s="565"/>
      <c r="D781" s="565"/>
      <c r="E781" s="565"/>
      <c r="F781" s="565"/>
      <c r="G781" s="565"/>
      <c r="H781" s="565"/>
      <c r="I781" s="565"/>
      <c r="J781" s="565"/>
      <c r="K781" s="565"/>
      <c r="L781" s="565"/>
      <c r="M781" s="565"/>
      <c r="N781" s="529"/>
      <c r="O781" s="529"/>
      <c r="P781" s="529"/>
      <c r="Q781" s="529"/>
      <c r="R781" s="529"/>
      <c r="S781" s="529"/>
      <c r="T781" s="529"/>
      <c r="U781" s="529"/>
      <c r="V781" s="529"/>
      <c r="W781" s="529"/>
      <c r="X781" s="529"/>
      <c r="Y781" s="529"/>
      <c r="Z781" s="529"/>
      <c r="AA781" s="529"/>
      <c r="AB781" s="529"/>
      <c r="AC781" s="529"/>
      <c r="AD781" s="529"/>
      <c r="AE781" s="529"/>
      <c r="AF781" s="529"/>
      <c r="AG781" s="556"/>
      <c r="AH781" s="528"/>
    </row>
    <row r="782">
      <c r="A782" s="564"/>
      <c r="B782" s="565"/>
      <c r="C782" s="565"/>
      <c r="D782" s="565"/>
      <c r="E782" s="565"/>
      <c r="F782" s="565"/>
      <c r="G782" s="565"/>
      <c r="H782" s="565"/>
      <c r="I782" s="565"/>
      <c r="J782" s="565"/>
      <c r="K782" s="565"/>
      <c r="L782" s="565"/>
      <c r="M782" s="565"/>
      <c r="N782" s="529"/>
      <c r="O782" s="529"/>
      <c r="P782" s="529"/>
      <c r="Q782" s="529"/>
      <c r="R782" s="529"/>
      <c r="S782" s="529"/>
      <c r="T782" s="529"/>
      <c r="U782" s="529"/>
      <c r="V782" s="529"/>
      <c r="W782" s="529"/>
      <c r="X782" s="529"/>
      <c r="Y782" s="529"/>
      <c r="Z782" s="529"/>
      <c r="AA782" s="529"/>
      <c r="AB782" s="529"/>
      <c r="AC782" s="529"/>
      <c r="AD782" s="529"/>
      <c r="AE782" s="529"/>
      <c r="AF782" s="529"/>
      <c r="AG782" s="556"/>
      <c r="AH782" s="528"/>
    </row>
    <row r="783">
      <c r="A783" s="564"/>
      <c r="B783" s="565"/>
      <c r="C783" s="565"/>
      <c r="D783" s="565"/>
      <c r="E783" s="565"/>
      <c r="F783" s="565"/>
      <c r="G783" s="565"/>
      <c r="H783" s="565"/>
      <c r="I783" s="565"/>
      <c r="J783" s="565"/>
      <c r="K783" s="565"/>
      <c r="L783" s="565"/>
      <c r="M783" s="565"/>
      <c r="N783" s="529"/>
      <c r="O783" s="529"/>
      <c r="P783" s="529"/>
      <c r="Q783" s="529"/>
      <c r="R783" s="529"/>
      <c r="S783" s="529"/>
      <c r="T783" s="529"/>
      <c r="U783" s="529"/>
      <c r="V783" s="529"/>
      <c r="W783" s="529"/>
      <c r="X783" s="529"/>
      <c r="Y783" s="529"/>
      <c r="Z783" s="529"/>
      <c r="AA783" s="529"/>
      <c r="AB783" s="529"/>
      <c r="AC783" s="529"/>
      <c r="AD783" s="529"/>
      <c r="AE783" s="529"/>
      <c r="AF783" s="529"/>
      <c r="AG783" s="556"/>
      <c r="AH783" s="528"/>
    </row>
    <row r="784">
      <c r="A784" s="564"/>
      <c r="B784" s="565"/>
      <c r="C784" s="565"/>
      <c r="D784" s="565"/>
      <c r="E784" s="565"/>
      <c r="F784" s="565"/>
      <c r="G784" s="565"/>
      <c r="H784" s="565"/>
      <c r="I784" s="565"/>
      <c r="J784" s="565"/>
      <c r="K784" s="565"/>
      <c r="L784" s="565"/>
      <c r="M784" s="565"/>
      <c r="N784" s="529"/>
      <c r="O784" s="529"/>
      <c r="P784" s="529"/>
      <c r="Q784" s="529"/>
      <c r="R784" s="529"/>
      <c r="S784" s="529"/>
      <c r="T784" s="529"/>
      <c r="U784" s="529"/>
      <c r="V784" s="529"/>
      <c r="W784" s="529"/>
      <c r="X784" s="529"/>
      <c r="Y784" s="529"/>
      <c r="Z784" s="529"/>
      <c r="AA784" s="529"/>
      <c r="AB784" s="529"/>
      <c r="AC784" s="529"/>
      <c r="AD784" s="529"/>
      <c r="AE784" s="529"/>
      <c r="AF784" s="529"/>
      <c r="AG784" s="556"/>
      <c r="AH784" s="528"/>
    </row>
    <row r="785">
      <c r="A785" s="564"/>
      <c r="B785" s="565"/>
      <c r="C785" s="565"/>
      <c r="D785" s="565"/>
      <c r="E785" s="565"/>
      <c r="F785" s="565"/>
      <c r="G785" s="565"/>
      <c r="H785" s="565"/>
      <c r="I785" s="565"/>
      <c r="J785" s="565"/>
      <c r="K785" s="565"/>
      <c r="L785" s="565"/>
      <c r="M785" s="565"/>
      <c r="N785" s="529"/>
      <c r="O785" s="529"/>
      <c r="P785" s="529"/>
      <c r="Q785" s="529"/>
      <c r="R785" s="529"/>
      <c r="S785" s="529"/>
      <c r="T785" s="529"/>
      <c r="U785" s="529"/>
      <c r="V785" s="529"/>
      <c r="W785" s="529"/>
      <c r="X785" s="529"/>
      <c r="Y785" s="529"/>
      <c r="Z785" s="529"/>
      <c r="AA785" s="529"/>
      <c r="AB785" s="529"/>
      <c r="AC785" s="529"/>
      <c r="AD785" s="529"/>
      <c r="AE785" s="529"/>
      <c r="AF785" s="529"/>
      <c r="AG785" s="556"/>
      <c r="AH785" s="528"/>
    </row>
    <row r="786">
      <c r="A786" s="564"/>
      <c r="B786" s="565"/>
      <c r="C786" s="565"/>
      <c r="D786" s="565"/>
      <c r="E786" s="565"/>
      <c r="F786" s="565"/>
      <c r="G786" s="565"/>
      <c r="H786" s="565"/>
      <c r="I786" s="565"/>
      <c r="J786" s="565"/>
      <c r="K786" s="565"/>
      <c r="L786" s="565"/>
      <c r="M786" s="565"/>
      <c r="N786" s="529"/>
      <c r="O786" s="529"/>
      <c r="P786" s="529"/>
      <c r="Q786" s="529"/>
      <c r="R786" s="529"/>
      <c r="S786" s="529"/>
      <c r="T786" s="529"/>
      <c r="U786" s="529"/>
      <c r="V786" s="529"/>
      <c r="W786" s="529"/>
      <c r="X786" s="529"/>
      <c r="Y786" s="529"/>
      <c r="Z786" s="529"/>
      <c r="AA786" s="529"/>
      <c r="AB786" s="529"/>
      <c r="AC786" s="529"/>
      <c r="AD786" s="529"/>
      <c r="AE786" s="529"/>
      <c r="AF786" s="529"/>
      <c r="AG786" s="556"/>
      <c r="AH786" s="528"/>
    </row>
    <row r="787">
      <c r="A787" s="564"/>
      <c r="B787" s="565"/>
      <c r="C787" s="565"/>
      <c r="D787" s="565"/>
      <c r="E787" s="565"/>
      <c r="F787" s="565"/>
      <c r="G787" s="565"/>
      <c r="H787" s="565"/>
      <c r="I787" s="565"/>
      <c r="J787" s="565"/>
      <c r="K787" s="565"/>
      <c r="L787" s="565"/>
      <c r="M787" s="565"/>
      <c r="N787" s="529"/>
      <c r="O787" s="529"/>
      <c r="P787" s="529"/>
      <c r="Q787" s="529"/>
      <c r="R787" s="529"/>
      <c r="S787" s="529"/>
      <c r="T787" s="529"/>
      <c r="U787" s="529"/>
      <c r="V787" s="529"/>
      <c r="W787" s="529"/>
      <c r="X787" s="529"/>
      <c r="Y787" s="529"/>
      <c r="Z787" s="529"/>
      <c r="AA787" s="529"/>
      <c r="AB787" s="529"/>
      <c r="AC787" s="529"/>
      <c r="AD787" s="529"/>
      <c r="AE787" s="529"/>
      <c r="AF787" s="529"/>
      <c r="AG787" s="556"/>
      <c r="AH787" s="528"/>
    </row>
    <row r="788">
      <c r="A788" s="564"/>
      <c r="B788" s="565"/>
      <c r="C788" s="565"/>
      <c r="D788" s="565"/>
      <c r="E788" s="565"/>
      <c r="F788" s="565"/>
      <c r="G788" s="565"/>
      <c r="H788" s="565"/>
      <c r="I788" s="565"/>
      <c r="J788" s="565"/>
      <c r="K788" s="565"/>
      <c r="L788" s="565"/>
      <c r="M788" s="565"/>
      <c r="N788" s="529"/>
      <c r="O788" s="529"/>
      <c r="P788" s="529"/>
      <c r="Q788" s="529"/>
      <c r="R788" s="529"/>
      <c r="S788" s="529"/>
      <c r="T788" s="529"/>
      <c r="U788" s="529"/>
      <c r="V788" s="529"/>
      <c r="W788" s="529"/>
      <c r="X788" s="529"/>
      <c r="Y788" s="529"/>
      <c r="Z788" s="529"/>
      <c r="AA788" s="529"/>
      <c r="AB788" s="529"/>
      <c r="AC788" s="529"/>
      <c r="AD788" s="529"/>
      <c r="AE788" s="529"/>
      <c r="AF788" s="529"/>
      <c r="AG788" s="556"/>
      <c r="AH788" s="528"/>
    </row>
    <row r="789">
      <c r="A789" s="564"/>
      <c r="B789" s="565"/>
      <c r="C789" s="565"/>
      <c r="D789" s="565"/>
      <c r="E789" s="565"/>
      <c r="F789" s="565"/>
      <c r="G789" s="565"/>
      <c r="H789" s="565"/>
      <c r="I789" s="565"/>
      <c r="J789" s="565"/>
      <c r="K789" s="565"/>
      <c r="L789" s="565"/>
      <c r="M789" s="565"/>
      <c r="N789" s="529"/>
      <c r="O789" s="529"/>
      <c r="P789" s="529"/>
      <c r="Q789" s="529"/>
      <c r="R789" s="529"/>
      <c r="S789" s="529"/>
      <c r="T789" s="529"/>
      <c r="U789" s="529"/>
      <c r="V789" s="529"/>
      <c r="W789" s="529"/>
      <c r="X789" s="529"/>
      <c r="Y789" s="529"/>
      <c r="Z789" s="529"/>
      <c r="AA789" s="529"/>
      <c r="AB789" s="529"/>
      <c r="AC789" s="529"/>
      <c r="AD789" s="529"/>
      <c r="AE789" s="529"/>
      <c r="AF789" s="529"/>
      <c r="AG789" s="556"/>
      <c r="AH789" s="528"/>
    </row>
    <row r="790">
      <c r="A790" s="564"/>
      <c r="B790" s="565"/>
      <c r="C790" s="565"/>
      <c r="D790" s="565"/>
      <c r="E790" s="565"/>
      <c r="F790" s="565"/>
      <c r="G790" s="565"/>
      <c r="H790" s="565"/>
      <c r="I790" s="565"/>
      <c r="J790" s="565"/>
      <c r="K790" s="565"/>
      <c r="L790" s="565"/>
      <c r="M790" s="565"/>
      <c r="N790" s="529"/>
      <c r="O790" s="529"/>
      <c r="P790" s="529"/>
      <c r="Q790" s="529"/>
      <c r="R790" s="529"/>
      <c r="S790" s="529"/>
      <c r="T790" s="529"/>
      <c r="U790" s="529"/>
      <c r="V790" s="529"/>
      <c r="W790" s="529"/>
      <c r="X790" s="529"/>
      <c r="Y790" s="529"/>
      <c r="Z790" s="529"/>
      <c r="AA790" s="529"/>
      <c r="AB790" s="529"/>
      <c r="AC790" s="529"/>
      <c r="AD790" s="529"/>
      <c r="AE790" s="529"/>
      <c r="AF790" s="529"/>
      <c r="AG790" s="556"/>
      <c r="AH790" s="528"/>
    </row>
    <row r="791">
      <c r="A791" s="564"/>
      <c r="B791" s="565"/>
      <c r="C791" s="565"/>
      <c r="D791" s="565"/>
      <c r="E791" s="565"/>
      <c r="F791" s="565"/>
      <c r="G791" s="565"/>
      <c r="H791" s="565"/>
      <c r="I791" s="565"/>
      <c r="J791" s="565"/>
      <c r="K791" s="565"/>
      <c r="L791" s="565"/>
      <c r="M791" s="565"/>
      <c r="N791" s="529"/>
      <c r="O791" s="529"/>
      <c r="P791" s="529"/>
      <c r="Q791" s="529"/>
      <c r="R791" s="529"/>
      <c r="S791" s="529"/>
      <c r="T791" s="529"/>
      <c r="U791" s="529"/>
      <c r="V791" s="529"/>
      <c r="W791" s="529"/>
      <c r="X791" s="529"/>
      <c r="Y791" s="529"/>
      <c r="Z791" s="529"/>
      <c r="AA791" s="529"/>
      <c r="AB791" s="529"/>
      <c r="AC791" s="529"/>
      <c r="AD791" s="529"/>
      <c r="AE791" s="529"/>
      <c r="AF791" s="529"/>
      <c r="AG791" s="556"/>
      <c r="AH791" s="528"/>
    </row>
    <row r="792">
      <c r="A792" s="564"/>
      <c r="B792" s="565"/>
      <c r="C792" s="565"/>
      <c r="D792" s="565"/>
      <c r="E792" s="565"/>
      <c r="F792" s="565"/>
      <c r="G792" s="565"/>
      <c r="H792" s="565"/>
      <c r="I792" s="565"/>
      <c r="J792" s="565"/>
      <c r="K792" s="565"/>
      <c r="L792" s="565"/>
      <c r="M792" s="565"/>
      <c r="N792" s="529"/>
      <c r="O792" s="529"/>
      <c r="P792" s="529"/>
      <c r="Q792" s="529"/>
      <c r="R792" s="529"/>
      <c r="S792" s="529"/>
      <c r="T792" s="529"/>
      <c r="U792" s="529"/>
      <c r="V792" s="529"/>
      <c r="W792" s="529"/>
      <c r="X792" s="529"/>
      <c r="Y792" s="529"/>
      <c r="Z792" s="529"/>
      <c r="AA792" s="529"/>
      <c r="AB792" s="529"/>
      <c r="AC792" s="529"/>
      <c r="AD792" s="529"/>
      <c r="AE792" s="529"/>
      <c r="AF792" s="529"/>
      <c r="AG792" s="556"/>
      <c r="AH792" s="528"/>
    </row>
    <row r="793">
      <c r="A793" s="564"/>
      <c r="B793" s="565"/>
      <c r="C793" s="565"/>
      <c r="D793" s="565"/>
      <c r="E793" s="565"/>
      <c r="F793" s="565"/>
      <c r="G793" s="565"/>
      <c r="H793" s="565"/>
      <c r="I793" s="565"/>
      <c r="J793" s="565"/>
      <c r="K793" s="565"/>
      <c r="L793" s="565"/>
      <c r="M793" s="565"/>
      <c r="N793" s="529"/>
      <c r="O793" s="529"/>
      <c r="P793" s="529"/>
      <c r="Q793" s="529"/>
      <c r="R793" s="529"/>
      <c r="S793" s="529"/>
      <c r="T793" s="529"/>
      <c r="U793" s="529"/>
      <c r="V793" s="529"/>
      <c r="W793" s="529"/>
      <c r="X793" s="529"/>
      <c r="Y793" s="529"/>
      <c r="Z793" s="529"/>
      <c r="AA793" s="529"/>
      <c r="AB793" s="529"/>
      <c r="AC793" s="529"/>
      <c r="AD793" s="529"/>
      <c r="AE793" s="529"/>
      <c r="AF793" s="529"/>
      <c r="AG793" s="556"/>
      <c r="AH793" s="528"/>
    </row>
    <row r="794">
      <c r="A794" s="564"/>
      <c r="B794" s="565"/>
      <c r="C794" s="565"/>
      <c r="D794" s="565"/>
      <c r="E794" s="565"/>
      <c r="F794" s="565"/>
      <c r="G794" s="565"/>
      <c r="H794" s="565"/>
      <c r="I794" s="565"/>
      <c r="J794" s="565"/>
      <c r="K794" s="565"/>
      <c r="L794" s="565"/>
      <c r="M794" s="565"/>
      <c r="N794" s="529"/>
      <c r="O794" s="529"/>
      <c r="P794" s="529"/>
      <c r="Q794" s="529"/>
      <c r="R794" s="529"/>
      <c r="S794" s="529"/>
      <c r="T794" s="529"/>
      <c r="U794" s="529"/>
      <c r="V794" s="529"/>
      <c r="W794" s="529"/>
      <c r="X794" s="529"/>
      <c r="Y794" s="529"/>
      <c r="Z794" s="529"/>
      <c r="AA794" s="529"/>
      <c r="AB794" s="529"/>
      <c r="AC794" s="529"/>
      <c r="AD794" s="529"/>
      <c r="AE794" s="529"/>
      <c r="AF794" s="529"/>
      <c r="AG794" s="556"/>
      <c r="AH794" s="528"/>
    </row>
    <row r="795">
      <c r="A795" s="564"/>
      <c r="B795" s="565"/>
      <c r="C795" s="565"/>
      <c r="D795" s="565"/>
      <c r="E795" s="565"/>
      <c r="F795" s="565"/>
      <c r="G795" s="565"/>
      <c r="H795" s="565"/>
      <c r="I795" s="565"/>
      <c r="J795" s="565"/>
      <c r="K795" s="565"/>
      <c r="L795" s="565"/>
      <c r="M795" s="565"/>
      <c r="N795" s="529"/>
      <c r="O795" s="529"/>
      <c r="P795" s="529"/>
      <c r="Q795" s="529"/>
      <c r="R795" s="529"/>
      <c r="S795" s="529"/>
      <c r="T795" s="529"/>
      <c r="U795" s="529"/>
      <c r="V795" s="529"/>
      <c r="W795" s="529"/>
      <c r="X795" s="529"/>
      <c r="Y795" s="529"/>
      <c r="Z795" s="529"/>
      <c r="AA795" s="529"/>
      <c r="AB795" s="529"/>
      <c r="AC795" s="529"/>
      <c r="AD795" s="529"/>
      <c r="AE795" s="529"/>
      <c r="AF795" s="529"/>
      <c r="AG795" s="556"/>
      <c r="AH795" s="528"/>
    </row>
    <row r="796">
      <c r="A796" s="564"/>
      <c r="B796" s="565"/>
      <c r="C796" s="565"/>
      <c r="D796" s="565"/>
      <c r="E796" s="565"/>
      <c r="F796" s="565"/>
      <c r="G796" s="565"/>
      <c r="H796" s="565"/>
      <c r="I796" s="565"/>
      <c r="J796" s="565"/>
      <c r="K796" s="565"/>
      <c r="L796" s="565"/>
      <c r="M796" s="565"/>
      <c r="N796" s="529"/>
      <c r="O796" s="529"/>
      <c r="P796" s="529"/>
      <c r="Q796" s="529"/>
      <c r="R796" s="529"/>
      <c r="S796" s="529"/>
      <c r="T796" s="529"/>
      <c r="U796" s="529"/>
      <c r="V796" s="529"/>
      <c r="W796" s="529"/>
      <c r="X796" s="529"/>
      <c r="Y796" s="529"/>
      <c r="Z796" s="529"/>
      <c r="AA796" s="529"/>
      <c r="AB796" s="529"/>
      <c r="AC796" s="529"/>
      <c r="AD796" s="529"/>
      <c r="AE796" s="529"/>
      <c r="AF796" s="529"/>
      <c r="AG796" s="556"/>
      <c r="AH796" s="528"/>
    </row>
    <row r="797">
      <c r="A797" s="564"/>
      <c r="B797" s="565"/>
      <c r="C797" s="565"/>
      <c r="D797" s="565"/>
      <c r="E797" s="565"/>
      <c r="F797" s="565"/>
      <c r="G797" s="565"/>
      <c r="H797" s="565"/>
      <c r="I797" s="565"/>
      <c r="J797" s="565"/>
      <c r="K797" s="565"/>
      <c r="L797" s="565"/>
      <c r="M797" s="565"/>
      <c r="N797" s="529"/>
      <c r="O797" s="529"/>
      <c r="P797" s="529"/>
      <c r="Q797" s="529"/>
      <c r="R797" s="529"/>
      <c r="S797" s="529"/>
      <c r="T797" s="529"/>
      <c r="U797" s="529"/>
      <c r="V797" s="529"/>
      <c r="W797" s="529"/>
      <c r="X797" s="529"/>
      <c r="Y797" s="529"/>
      <c r="Z797" s="529"/>
      <c r="AA797" s="529"/>
      <c r="AB797" s="529"/>
      <c r="AC797" s="529"/>
      <c r="AD797" s="529"/>
      <c r="AE797" s="529"/>
      <c r="AF797" s="529"/>
      <c r="AG797" s="556"/>
      <c r="AH797" s="528"/>
    </row>
    <row r="798">
      <c r="A798" s="564"/>
      <c r="B798" s="565"/>
      <c r="C798" s="565"/>
      <c r="D798" s="565"/>
      <c r="E798" s="565"/>
      <c r="F798" s="565"/>
      <c r="G798" s="565"/>
      <c r="H798" s="565"/>
      <c r="I798" s="565"/>
      <c r="J798" s="565"/>
      <c r="K798" s="565"/>
      <c r="L798" s="565"/>
      <c r="M798" s="565"/>
      <c r="N798" s="529"/>
      <c r="O798" s="529"/>
      <c r="P798" s="529"/>
      <c r="Q798" s="529"/>
      <c r="R798" s="529"/>
      <c r="S798" s="529"/>
      <c r="T798" s="529"/>
      <c r="U798" s="529"/>
      <c r="V798" s="529"/>
      <c r="W798" s="529"/>
      <c r="X798" s="529"/>
      <c r="Y798" s="529"/>
      <c r="Z798" s="529"/>
      <c r="AA798" s="529"/>
      <c r="AB798" s="529"/>
      <c r="AC798" s="529"/>
      <c r="AD798" s="529"/>
      <c r="AE798" s="529"/>
      <c r="AF798" s="529"/>
      <c r="AG798" s="556"/>
      <c r="AH798" s="528"/>
    </row>
    <row r="799">
      <c r="A799" s="564"/>
      <c r="B799" s="565"/>
      <c r="C799" s="565"/>
      <c r="D799" s="565"/>
      <c r="E799" s="565"/>
      <c r="F799" s="565"/>
      <c r="G799" s="565"/>
      <c r="H799" s="565"/>
      <c r="I799" s="565"/>
      <c r="J799" s="565"/>
      <c r="K799" s="565"/>
      <c r="L799" s="565"/>
      <c r="M799" s="565"/>
      <c r="N799" s="529"/>
      <c r="O799" s="529"/>
      <c r="P799" s="529"/>
      <c r="Q799" s="529"/>
      <c r="R799" s="529"/>
      <c r="S799" s="529"/>
      <c r="T799" s="529"/>
      <c r="U799" s="529"/>
      <c r="V799" s="529"/>
      <c r="W799" s="529"/>
      <c r="X799" s="529"/>
      <c r="Y799" s="529"/>
      <c r="Z799" s="529"/>
      <c r="AA799" s="529"/>
      <c r="AB799" s="529"/>
      <c r="AC799" s="529"/>
      <c r="AD799" s="529"/>
      <c r="AE799" s="529"/>
      <c r="AF799" s="529"/>
      <c r="AG799" s="556"/>
      <c r="AH799" s="528"/>
    </row>
    <row r="800">
      <c r="A800" s="564"/>
      <c r="B800" s="565"/>
      <c r="C800" s="565"/>
      <c r="D800" s="565"/>
      <c r="E800" s="565"/>
      <c r="F800" s="565"/>
      <c r="G800" s="565"/>
      <c r="H800" s="565"/>
      <c r="I800" s="565"/>
      <c r="J800" s="565"/>
      <c r="K800" s="565"/>
      <c r="L800" s="565"/>
      <c r="M800" s="565"/>
      <c r="N800" s="529"/>
      <c r="O800" s="529"/>
      <c r="P800" s="529"/>
      <c r="Q800" s="529"/>
      <c r="R800" s="529"/>
      <c r="S800" s="529"/>
      <c r="T800" s="529"/>
      <c r="U800" s="529"/>
      <c r="V800" s="529"/>
      <c r="W800" s="529"/>
      <c r="X800" s="529"/>
      <c r="Y800" s="529"/>
      <c r="Z800" s="529"/>
      <c r="AA800" s="529"/>
      <c r="AB800" s="529"/>
      <c r="AC800" s="529"/>
      <c r="AD800" s="529"/>
      <c r="AE800" s="529"/>
      <c r="AF800" s="529"/>
      <c r="AG800" s="556"/>
      <c r="AH800" s="528"/>
    </row>
    <row r="801">
      <c r="A801" s="564"/>
      <c r="B801" s="565"/>
      <c r="C801" s="565"/>
      <c r="D801" s="565"/>
      <c r="E801" s="565"/>
      <c r="F801" s="565"/>
      <c r="G801" s="565"/>
      <c r="H801" s="565"/>
      <c r="I801" s="565"/>
      <c r="J801" s="565"/>
      <c r="K801" s="565"/>
      <c r="L801" s="565"/>
      <c r="M801" s="565"/>
      <c r="N801" s="529"/>
      <c r="O801" s="529"/>
      <c r="P801" s="529"/>
      <c r="Q801" s="529"/>
      <c r="R801" s="529"/>
      <c r="S801" s="529"/>
      <c r="T801" s="529"/>
      <c r="U801" s="529"/>
      <c r="V801" s="529"/>
      <c r="W801" s="529"/>
      <c r="X801" s="529"/>
      <c r="Y801" s="529"/>
      <c r="Z801" s="529"/>
      <c r="AA801" s="529"/>
      <c r="AB801" s="529"/>
      <c r="AC801" s="529"/>
      <c r="AD801" s="529"/>
      <c r="AE801" s="529"/>
      <c r="AF801" s="529"/>
      <c r="AG801" s="556"/>
      <c r="AH801" s="528"/>
    </row>
    <row r="802">
      <c r="A802" s="564"/>
      <c r="B802" s="565"/>
      <c r="C802" s="565"/>
      <c r="D802" s="565"/>
      <c r="E802" s="565"/>
      <c r="F802" s="565"/>
      <c r="G802" s="565"/>
      <c r="H802" s="565"/>
      <c r="I802" s="565"/>
      <c r="J802" s="565"/>
      <c r="K802" s="565"/>
      <c r="L802" s="565"/>
      <c r="M802" s="565"/>
      <c r="N802" s="529"/>
      <c r="O802" s="529"/>
      <c r="P802" s="529"/>
      <c r="Q802" s="529"/>
      <c r="R802" s="529"/>
      <c r="S802" s="529"/>
      <c r="T802" s="529"/>
      <c r="U802" s="529"/>
      <c r="V802" s="529"/>
      <c r="W802" s="529"/>
      <c r="X802" s="529"/>
      <c r="Y802" s="529"/>
      <c r="Z802" s="529"/>
      <c r="AA802" s="529"/>
      <c r="AB802" s="529"/>
      <c r="AC802" s="529"/>
      <c r="AD802" s="529"/>
      <c r="AE802" s="529"/>
      <c r="AF802" s="529"/>
      <c r="AG802" s="556"/>
      <c r="AH802" s="528"/>
    </row>
    <row r="803">
      <c r="A803" s="564"/>
      <c r="B803" s="565"/>
      <c r="C803" s="565"/>
      <c r="D803" s="565"/>
      <c r="E803" s="565"/>
      <c r="F803" s="565"/>
      <c r="G803" s="565"/>
      <c r="H803" s="565"/>
      <c r="I803" s="565"/>
      <c r="J803" s="565"/>
      <c r="K803" s="565"/>
      <c r="L803" s="565"/>
      <c r="M803" s="565"/>
      <c r="N803" s="529"/>
      <c r="O803" s="529"/>
      <c r="P803" s="529"/>
      <c r="Q803" s="529"/>
      <c r="R803" s="529"/>
      <c r="S803" s="529"/>
      <c r="T803" s="529"/>
      <c r="U803" s="529"/>
      <c r="V803" s="529"/>
      <c r="W803" s="529"/>
      <c r="X803" s="529"/>
      <c r="Y803" s="529"/>
      <c r="Z803" s="529"/>
      <c r="AA803" s="529"/>
      <c r="AB803" s="529"/>
      <c r="AC803" s="529"/>
      <c r="AD803" s="529"/>
      <c r="AE803" s="529"/>
      <c r="AF803" s="529"/>
      <c r="AG803" s="556"/>
      <c r="AH803" s="528"/>
    </row>
    <row r="804">
      <c r="A804" s="564"/>
      <c r="B804" s="565"/>
      <c r="C804" s="565"/>
      <c r="D804" s="565"/>
      <c r="E804" s="565"/>
      <c r="F804" s="565"/>
      <c r="G804" s="565"/>
      <c r="H804" s="565"/>
      <c r="I804" s="565"/>
      <c r="J804" s="565"/>
      <c r="K804" s="565"/>
      <c r="L804" s="565"/>
      <c r="M804" s="565"/>
      <c r="N804" s="529"/>
      <c r="O804" s="529"/>
      <c r="P804" s="529"/>
      <c r="Q804" s="529"/>
      <c r="R804" s="529"/>
      <c r="S804" s="529"/>
      <c r="T804" s="529"/>
      <c r="U804" s="529"/>
      <c r="V804" s="529"/>
      <c r="W804" s="529"/>
      <c r="X804" s="529"/>
      <c r="Y804" s="529"/>
      <c r="Z804" s="529"/>
      <c r="AA804" s="529"/>
      <c r="AB804" s="529"/>
      <c r="AC804" s="529"/>
      <c r="AD804" s="529"/>
      <c r="AE804" s="529"/>
      <c r="AF804" s="529"/>
      <c r="AG804" s="556"/>
      <c r="AH804" s="528"/>
    </row>
    <row r="805">
      <c r="A805" s="564"/>
      <c r="B805" s="565"/>
      <c r="C805" s="565"/>
      <c r="D805" s="565"/>
      <c r="E805" s="565"/>
      <c r="F805" s="565"/>
      <c r="G805" s="565"/>
      <c r="H805" s="565"/>
      <c r="I805" s="565"/>
      <c r="J805" s="565"/>
      <c r="K805" s="565"/>
      <c r="L805" s="565"/>
      <c r="M805" s="565"/>
      <c r="N805" s="529"/>
      <c r="O805" s="529"/>
      <c r="P805" s="529"/>
      <c r="Q805" s="529"/>
      <c r="R805" s="529"/>
      <c r="S805" s="529"/>
      <c r="T805" s="529"/>
      <c r="U805" s="529"/>
      <c r="V805" s="529"/>
      <c r="W805" s="529"/>
      <c r="X805" s="529"/>
      <c r="Y805" s="529"/>
      <c r="Z805" s="529"/>
      <c r="AA805" s="529"/>
      <c r="AB805" s="529"/>
      <c r="AC805" s="529"/>
      <c r="AD805" s="529"/>
      <c r="AE805" s="529"/>
      <c r="AF805" s="529"/>
      <c r="AG805" s="556"/>
      <c r="AH805" s="528"/>
    </row>
    <row r="806">
      <c r="A806" s="564"/>
      <c r="B806" s="565"/>
      <c r="C806" s="565"/>
      <c r="D806" s="565"/>
      <c r="E806" s="565"/>
      <c r="F806" s="565"/>
      <c r="G806" s="565"/>
      <c r="H806" s="565"/>
      <c r="I806" s="565"/>
      <c r="J806" s="565"/>
      <c r="K806" s="565"/>
      <c r="L806" s="565"/>
      <c r="M806" s="565"/>
      <c r="N806" s="529"/>
      <c r="O806" s="529"/>
      <c r="P806" s="529"/>
      <c r="Q806" s="529"/>
      <c r="R806" s="529"/>
      <c r="S806" s="529"/>
      <c r="T806" s="529"/>
      <c r="U806" s="529"/>
      <c r="V806" s="529"/>
      <c r="W806" s="529"/>
      <c r="X806" s="529"/>
      <c r="Y806" s="529"/>
      <c r="Z806" s="529"/>
      <c r="AA806" s="529"/>
      <c r="AB806" s="529"/>
      <c r="AC806" s="529"/>
      <c r="AD806" s="529"/>
      <c r="AE806" s="529"/>
      <c r="AF806" s="529"/>
      <c r="AG806" s="556"/>
      <c r="AH806" s="528"/>
    </row>
    <row r="807">
      <c r="A807" s="564"/>
      <c r="B807" s="565"/>
      <c r="C807" s="565"/>
      <c r="D807" s="565"/>
      <c r="E807" s="565"/>
      <c r="F807" s="565"/>
      <c r="G807" s="565"/>
      <c r="H807" s="565"/>
      <c r="I807" s="565"/>
      <c r="J807" s="565"/>
      <c r="K807" s="565"/>
      <c r="L807" s="565"/>
      <c r="M807" s="565"/>
      <c r="N807" s="529"/>
      <c r="O807" s="529"/>
      <c r="P807" s="529"/>
      <c r="Q807" s="529"/>
      <c r="R807" s="529"/>
      <c r="S807" s="529"/>
      <c r="T807" s="529"/>
      <c r="U807" s="529"/>
      <c r="V807" s="529"/>
      <c r="W807" s="529"/>
      <c r="X807" s="529"/>
      <c r="Y807" s="529"/>
      <c r="Z807" s="529"/>
      <c r="AA807" s="529"/>
      <c r="AB807" s="529"/>
      <c r="AC807" s="529"/>
      <c r="AD807" s="529"/>
      <c r="AE807" s="529"/>
      <c r="AF807" s="529"/>
      <c r="AG807" s="556"/>
      <c r="AH807" s="528"/>
    </row>
    <row r="808">
      <c r="A808" s="564"/>
      <c r="B808" s="565"/>
      <c r="C808" s="565"/>
      <c r="D808" s="565"/>
      <c r="E808" s="565"/>
      <c r="F808" s="565"/>
      <c r="G808" s="565"/>
      <c r="H808" s="565"/>
      <c r="I808" s="565"/>
      <c r="J808" s="565"/>
      <c r="K808" s="565"/>
      <c r="L808" s="565"/>
      <c r="M808" s="565"/>
      <c r="N808" s="529"/>
      <c r="O808" s="529"/>
      <c r="P808" s="529"/>
      <c r="Q808" s="529"/>
      <c r="R808" s="529"/>
      <c r="S808" s="529"/>
      <c r="T808" s="529"/>
      <c r="U808" s="529"/>
      <c r="V808" s="529"/>
      <c r="W808" s="529"/>
      <c r="X808" s="529"/>
      <c r="Y808" s="529"/>
      <c r="Z808" s="529"/>
      <c r="AA808" s="529"/>
      <c r="AB808" s="529"/>
      <c r="AC808" s="529"/>
      <c r="AD808" s="529"/>
      <c r="AE808" s="529"/>
      <c r="AF808" s="529"/>
      <c r="AG808" s="556"/>
      <c r="AH808" s="528"/>
    </row>
    <row r="809">
      <c r="A809" s="564"/>
      <c r="B809" s="565"/>
      <c r="C809" s="565"/>
      <c r="D809" s="565"/>
      <c r="E809" s="565"/>
      <c r="F809" s="565"/>
      <c r="G809" s="565"/>
      <c r="H809" s="565"/>
      <c r="I809" s="565"/>
      <c r="J809" s="565"/>
      <c r="K809" s="565"/>
      <c r="L809" s="565"/>
      <c r="M809" s="565"/>
      <c r="N809" s="529"/>
      <c r="O809" s="529"/>
      <c r="P809" s="529"/>
      <c r="Q809" s="529"/>
      <c r="R809" s="529"/>
      <c r="S809" s="529"/>
      <c r="T809" s="529"/>
      <c r="U809" s="529"/>
      <c r="V809" s="529"/>
      <c r="W809" s="529"/>
      <c r="X809" s="529"/>
      <c r="Y809" s="529"/>
      <c r="Z809" s="529"/>
      <c r="AA809" s="529"/>
      <c r="AB809" s="529"/>
      <c r="AC809" s="529"/>
      <c r="AD809" s="529"/>
      <c r="AE809" s="529"/>
      <c r="AF809" s="529"/>
      <c r="AG809" s="556"/>
      <c r="AH809" s="528"/>
    </row>
    <row r="810">
      <c r="A810" s="564"/>
      <c r="B810" s="565"/>
      <c r="C810" s="565"/>
      <c r="D810" s="565"/>
      <c r="E810" s="565"/>
      <c r="F810" s="565"/>
      <c r="G810" s="565"/>
      <c r="H810" s="565"/>
      <c r="I810" s="565"/>
      <c r="J810" s="565"/>
      <c r="K810" s="565"/>
      <c r="L810" s="565"/>
      <c r="M810" s="565"/>
      <c r="N810" s="529"/>
      <c r="O810" s="529"/>
      <c r="P810" s="529"/>
      <c r="Q810" s="529"/>
      <c r="R810" s="529"/>
      <c r="S810" s="529"/>
      <c r="T810" s="529"/>
      <c r="U810" s="529"/>
      <c r="V810" s="529"/>
      <c r="W810" s="529"/>
      <c r="X810" s="529"/>
      <c r="Y810" s="529"/>
      <c r="Z810" s="529"/>
      <c r="AA810" s="529"/>
      <c r="AB810" s="529"/>
      <c r="AC810" s="529"/>
      <c r="AD810" s="529"/>
      <c r="AE810" s="529"/>
      <c r="AF810" s="529"/>
      <c r="AG810" s="556"/>
      <c r="AH810" s="528"/>
    </row>
    <row r="811">
      <c r="A811" s="564"/>
      <c r="B811" s="565"/>
      <c r="C811" s="565"/>
      <c r="D811" s="565"/>
      <c r="E811" s="565"/>
      <c r="F811" s="565"/>
      <c r="G811" s="565"/>
      <c r="H811" s="565"/>
      <c r="I811" s="565"/>
      <c r="J811" s="565"/>
      <c r="K811" s="565"/>
      <c r="L811" s="565"/>
      <c r="M811" s="565"/>
      <c r="N811" s="529"/>
      <c r="O811" s="529"/>
      <c r="P811" s="529"/>
      <c r="Q811" s="529"/>
      <c r="R811" s="529"/>
      <c r="S811" s="529"/>
      <c r="T811" s="529"/>
      <c r="U811" s="529"/>
      <c r="V811" s="529"/>
      <c r="W811" s="529"/>
      <c r="X811" s="529"/>
      <c r="Y811" s="529"/>
      <c r="Z811" s="529"/>
      <c r="AA811" s="529"/>
      <c r="AB811" s="529"/>
      <c r="AC811" s="529"/>
      <c r="AD811" s="529"/>
      <c r="AE811" s="529"/>
      <c r="AF811" s="529"/>
      <c r="AG811" s="556"/>
      <c r="AH811" s="528"/>
    </row>
    <row r="812">
      <c r="A812" s="564"/>
      <c r="B812" s="565"/>
      <c r="C812" s="565"/>
      <c r="D812" s="565"/>
      <c r="E812" s="565"/>
      <c r="F812" s="565"/>
      <c r="G812" s="565"/>
      <c r="H812" s="565"/>
      <c r="I812" s="565"/>
      <c r="J812" s="565"/>
      <c r="K812" s="565"/>
      <c r="L812" s="565"/>
      <c r="M812" s="565"/>
      <c r="N812" s="529"/>
      <c r="O812" s="529"/>
      <c r="P812" s="529"/>
      <c r="Q812" s="529"/>
      <c r="R812" s="529"/>
      <c r="S812" s="529"/>
      <c r="T812" s="529"/>
      <c r="U812" s="529"/>
      <c r="V812" s="529"/>
      <c r="W812" s="529"/>
      <c r="X812" s="529"/>
      <c r="Y812" s="529"/>
      <c r="Z812" s="529"/>
      <c r="AA812" s="529"/>
      <c r="AB812" s="529"/>
      <c r="AC812" s="529"/>
      <c r="AD812" s="529"/>
      <c r="AE812" s="529"/>
      <c r="AF812" s="529"/>
      <c r="AG812" s="556"/>
      <c r="AH812" s="528"/>
    </row>
    <row r="813">
      <c r="A813" s="564"/>
      <c r="B813" s="565"/>
      <c r="C813" s="565"/>
      <c r="D813" s="565"/>
      <c r="E813" s="565"/>
      <c r="F813" s="565"/>
      <c r="G813" s="565"/>
      <c r="H813" s="565"/>
      <c r="I813" s="565"/>
      <c r="J813" s="565"/>
      <c r="K813" s="565"/>
      <c r="L813" s="565"/>
      <c r="M813" s="565"/>
      <c r="N813" s="529"/>
      <c r="O813" s="529"/>
      <c r="P813" s="529"/>
      <c r="Q813" s="529"/>
      <c r="R813" s="529"/>
      <c r="S813" s="529"/>
      <c r="T813" s="529"/>
      <c r="U813" s="529"/>
      <c r="V813" s="529"/>
      <c r="W813" s="529"/>
      <c r="X813" s="529"/>
      <c r="Y813" s="529"/>
      <c r="Z813" s="529"/>
      <c r="AA813" s="529"/>
      <c r="AB813" s="529"/>
      <c r="AC813" s="529"/>
      <c r="AD813" s="529"/>
      <c r="AE813" s="529"/>
      <c r="AF813" s="529"/>
      <c r="AG813" s="556"/>
      <c r="AH813" s="528"/>
    </row>
    <row r="814">
      <c r="A814" s="564"/>
      <c r="B814" s="565"/>
      <c r="C814" s="565"/>
      <c r="D814" s="565"/>
      <c r="E814" s="565"/>
      <c r="F814" s="565"/>
      <c r="G814" s="565"/>
      <c r="H814" s="565"/>
      <c r="I814" s="565"/>
      <c r="J814" s="565"/>
      <c r="K814" s="565"/>
      <c r="L814" s="565"/>
      <c r="M814" s="565"/>
      <c r="N814" s="529"/>
      <c r="O814" s="529"/>
      <c r="P814" s="529"/>
      <c r="Q814" s="529"/>
      <c r="R814" s="529"/>
      <c r="S814" s="529"/>
      <c r="T814" s="529"/>
      <c r="U814" s="529"/>
      <c r="V814" s="529"/>
      <c r="W814" s="529"/>
      <c r="X814" s="529"/>
      <c r="Y814" s="529"/>
      <c r="Z814" s="529"/>
      <c r="AA814" s="529"/>
      <c r="AB814" s="529"/>
      <c r="AC814" s="529"/>
      <c r="AD814" s="529"/>
      <c r="AE814" s="529"/>
      <c r="AF814" s="529"/>
      <c r="AG814" s="556"/>
      <c r="AH814" s="528"/>
    </row>
    <row r="815">
      <c r="A815" s="564"/>
      <c r="B815" s="565"/>
      <c r="C815" s="565"/>
      <c r="D815" s="565"/>
      <c r="E815" s="565"/>
      <c r="F815" s="565"/>
      <c r="G815" s="565"/>
      <c r="H815" s="565"/>
      <c r="I815" s="565"/>
      <c r="J815" s="565"/>
      <c r="K815" s="565"/>
      <c r="L815" s="565"/>
      <c r="M815" s="565"/>
      <c r="N815" s="529"/>
      <c r="O815" s="529"/>
      <c r="P815" s="529"/>
      <c r="Q815" s="529"/>
      <c r="R815" s="529"/>
      <c r="S815" s="529"/>
      <c r="T815" s="529"/>
      <c r="U815" s="529"/>
      <c r="V815" s="529"/>
      <c r="W815" s="529"/>
      <c r="X815" s="529"/>
      <c r="Y815" s="529"/>
      <c r="Z815" s="529"/>
      <c r="AA815" s="529"/>
      <c r="AB815" s="529"/>
      <c r="AC815" s="529"/>
      <c r="AD815" s="529"/>
      <c r="AE815" s="529"/>
      <c r="AF815" s="529"/>
      <c r="AG815" s="556"/>
      <c r="AH815" s="528"/>
    </row>
    <row r="816">
      <c r="A816" s="564"/>
      <c r="B816" s="565"/>
      <c r="C816" s="565"/>
      <c r="D816" s="565"/>
      <c r="E816" s="565"/>
      <c r="F816" s="565"/>
      <c r="G816" s="565"/>
      <c r="H816" s="565"/>
      <c r="I816" s="565"/>
      <c r="J816" s="565"/>
      <c r="K816" s="565"/>
      <c r="L816" s="565"/>
      <c r="M816" s="565"/>
      <c r="N816" s="529"/>
      <c r="O816" s="529"/>
      <c r="P816" s="529"/>
      <c r="Q816" s="529"/>
      <c r="R816" s="529"/>
      <c r="S816" s="529"/>
      <c r="T816" s="529"/>
      <c r="U816" s="529"/>
      <c r="V816" s="529"/>
      <c r="W816" s="529"/>
      <c r="X816" s="529"/>
      <c r="Y816" s="529"/>
      <c r="Z816" s="529"/>
      <c r="AA816" s="529"/>
      <c r="AB816" s="529"/>
      <c r="AC816" s="529"/>
      <c r="AD816" s="529"/>
      <c r="AE816" s="529"/>
      <c r="AF816" s="529"/>
      <c r="AG816" s="556"/>
      <c r="AH816" s="528"/>
    </row>
    <row r="817">
      <c r="A817" s="564"/>
      <c r="B817" s="565"/>
      <c r="C817" s="565"/>
      <c r="D817" s="565"/>
      <c r="E817" s="565"/>
      <c r="F817" s="565"/>
      <c r="G817" s="565"/>
      <c r="H817" s="565"/>
      <c r="I817" s="565"/>
      <c r="J817" s="565"/>
      <c r="K817" s="565"/>
      <c r="L817" s="565"/>
      <c r="M817" s="565"/>
      <c r="N817" s="529"/>
      <c r="O817" s="529"/>
      <c r="P817" s="529"/>
      <c r="Q817" s="529"/>
      <c r="R817" s="529"/>
      <c r="S817" s="529"/>
      <c r="T817" s="529"/>
      <c r="U817" s="529"/>
      <c r="V817" s="529"/>
      <c r="W817" s="529"/>
      <c r="X817" s="529"/>
      <c r="Y817" s="529"/>
      <c r="Z817" s="529"/>
      <c r="AA817" s="529"/>
      <c r="AB817" s="529"/>
      <c r="AC817" s="529"/>
      <c r="AD817" s="529"/>
      <c r="AE817" s="529"/>
      <c r="AF817" s="529"/>
      <c r="AG817" s="556"/>
      <c r="AH817" s="528"/>
    </row>
    <row r="818">
      <c r="A818" s="564"/>
      <c r="B818" s="565"/>
      <c r="C818" s="565"/>
      <c r="D818" s="565"/>
      <c r="E818" s="565"/>
      <c r="F818" s="565"/>
      <c r="G818" s="565"/>
      <c r="H818" s="565"/>
      <c r="I818" s="565"/>
      <c r="J818" s="565"/>
      <c r="K818" s="565"/>
      <c r="L818" s="565"/>
      <c r="M818" s="565"/>
      <c r="N818" s="529"/>
      <c r="O818" s="529"/>
      <c r="P818" s="529"/>
      <c r="Q818" s="529"/>
      <c r="R818" s="529"/>
      <c r="S818" s="529"/>
      <c r="T818" s="529"/>
      <c r="U818" s="529"/>
      <c r="V818" s="529"/>
      <c r="W818" s="529"/>
      <c r="X818" s="529"/>
      <c r="Y818" s="529"/>
      <c r="Z818" s="529"/>
      <c r="AA818" s="529"/>
      <c r="AB818" s="529"/>
      <c r="AC818" s="529"/>
      <c r="AD818" s="529"/>
      <c r="AE818" s="529"/>
      <c r="AF818" s="529"/>
      <c r="AG818" s="556"/>
      <c r="AH818" s="528"/>
    </row>
    <row r="819">
      <c r="A819" s="564"/>
      <c r="B819" s="565"/>
      <c r="C819" s="565"/>
      <c r="D819" s="565"/>
      <c r="E819" s="565"/>
      <c r="F819" s="565"/>
      <c r="G819" s="565"/>
      <c r="H819" s="565"/>
      <c r="I819" s="565"/>
      <c r="J819" s="565"/>
      <c r="K819" s="565"/>
      <c r="L819" s="565"/>
      <c r="M819" s="565"/>
      <c r="N819" s="529"/>
      <c r="O819" s="529"/>
      <c r="P819" s="529"/>
      <c r="Q819" s="529"/>
      <c r="R819" s="529"/>
      <c r="S819" s="529"/>
      <c r="T819" s="529"/>
      <c r="U819" s="529"/>
      <c r="V819" s="529"/>
      <c r="W819" s="529"/>
      <c r="X819" s="529"/>
      <c r="Y819" s="529"/>
      <c r="Z819" s="529"/>
      <c r="AA819" s="529"/>
      <c r="AB819" s="529"/>
      <c r="AC819" s="529"/>
      <c r="AD819" s="529"/>
      <c r="AE819" s="529"/>
      <c r="AF819" s="529"/>
      <c r="AG819" s="556"/>
      <c r="AH819" s="528"/>
    </row>
    <row r="820">
      <c r="A820" s="564"/>
      <c r="B820" s="565"/>
      <c r="C820" s="565"/>
      <c r="D820" s="565"/>
      <c r="E820" s="565"/>
      <c r="F820" s="565"/>
      <c r="G820" s="565"/>
      <c r="H820" s="565"/>
      <c r="I820" s="565"/>
      <c r="J820" s="565"/>
      <c r="K820" s="565"/>
      <c r="L820" s="565"/>
      <c r="M820" s="565"/>
      <c r="N820" s="529"/>
      <c r="O820" s="529"/>
      <c r="P820" s="529"/>
      <c r="Q820" s="529"/>
      <c r="R820" s="529"/>
      <c r="S820" s="529"/>
      <c r="T820" s="529"/>
      <c r="U820" s="529"/>
      <c r="V820" s="529"/>
      <c r="W820" s="529"/>
      <c r="X820" s="529"/>
      <c r="Y820" s="529"/>
      <c r="Z820" s="529"/>
      <c r="AA820" s="529"/>
      <c r="AB820" s="529"/>
      <c r="AC820" s="529"/>
      <c r="AD820" s="529"/>
      <c r="AE820" s="529"/>
      <c r="AF820" s="529"/>
      <c r="AG820" s="556"/>
      <c r="AH820" s="528"/>
    </row>
    <row r="821">
      <c r="A821" s="564"/>
      <c r="B821" s="565"/>
      <c r="C821" s="565"/>
      <c r="D821" s="565"/>
      <c r="E821" s="565"/>
      <c r="F821" s="565"/>
      <c r="G821" s="565"/>
      <c r="H821" s="565"/>
      <c r="I821" s="565"/>
      <c r="J821" s="565"/>
      <c r="K821" s="565"/>
      <c r="L821" s="565"/>
      <c r="M821" s="565"/>
      <c r="N821" s="529"/>
      <c r="O821" s="529"/>
      <c r="P821" s="529"/>
      <c r="Q821" s="529"/>
      <c r="R821" s="529"/>
      <c r="S821" s="529"/>
      <c r="T821" s="529"/>
      <c r="U821" s="529"/>
      <c r="V821" s="529"/>
      <c r="W821" s="529"/>
      <c r="X821" s="529"/>
      <c r="Y821" s="529"/>
      <c r="Z821" s="529"/>
      <c r="AA821" s="529"/>
      <c r="AB821" s="529"/>
      <c r="AC821" s="529"/>
      <c r="AD821" s="529"/>
      <c r="AE821" s="529"/>
      <c r="AF821" s="529"/>
      <c r="AG821" s="556"/>
      <c r="AH821" s="528"/>
    </row>
    <row r="822">
      <c r="A822" s="564"/>
      <c r="B822" s="565"/>
      <c r="C822" s="565"/>
      <c r="D822" s="565"/>
      <c r="E822" s="565"/>
      <c r="F822" s="565"/>
      <c r="G822" s="565"/>
      <c r="H822" s="565"/>
      <c r="I822" s="565"/>
      <c r="J822" s="565"/>
      <c r="K822" s="565"/>
      <c r="L822" s="565"/>
      <c r="M822" s="565"/>
      <c r="N822" s="529"/>
      <c r="O822" s="529"/>
      <c r="P822" s="529"/>
      <c r="Q822" s="529"/>
      <c r="R822" s="529"/>
      <c r="S822" s="529"/>
      <c r="T822" s="529"/>
      <c r="U822" s="529"/>
      <c r="V822" s="529"/>
      <c r="W822" s="529"/>
      <c r="X822" s="529"/>
      <c r="Y822" s="529"/>
      <c r="Z822" s="529"/>
      <c r="AA822" s="529"/>
      <c r="AB822" s="529"/>
      <c r="AC822" s="529"/>
      <c r="AD822" s="529"/>
      <c r="AE822" s="529"/>
      <c r="AF822" s="529"/>
      <c r="AG822" s="556"/>
      <c r="AH822" s="528"/>
    </row>
    <row r="823">
      <c r="A823" s="564"/>
      <c r="B823" s="565"/>
      <c r="C823" s="565"/>
      <c r="D823" s="565"/>
      <c r="E823" s="565"/>
      <c r="F823" s="565"/>
      <c r="G823" s="565"/>
      <c r="H823" s="565"/>
      <c r="I823" s="565"/>
      <c r="J823" s="565"/>
      <c r="K823" s="565"/>
      <c r="L823" s="565"/>
      <c r="M823" s="565"/>
      <c r="N823" s="529"/>
      <c r="O823" s="529"/>
      <c r="P823" s="529"/>
      <c r="Q823" s="529"/>
      <c r="R823" s="529"/>
      <c r="S823" s="529"/>
      <c r="T823" s="529"/>
      <c r="U823" s="529"/>
      <c r="V823" s="529"/>
      <c r="W823" s="529"/>
      <c r="X823" s="529"/>
      <c r="Y823" s="529"/>
      <c r="Z823" s="529"/>
      <c r="AA823" s="529"/>
      <c r="AB823" s="529"/>
      <c r="AC823" s="529"/>
      <c r="AD823" s="529"/>
      <c r="AE823" s="529"/>
      <c r="AF823" s="529"/>
      <c r="AG823" s="556"/>
      <c r="AH823" s="528"/>
    </row>
    <row r="824">
      <c r="A824" s="564"/>
      <c r="B824" s="565"/>
      <c r="C824" s="565"/>
      <c r="D824" s="565"/>
      <c r="E824" s="565"/>
      <c r="F824" s="565"/>
      <c r="G824" s="565"/>
      <c r="H824" s="565"/>
      <c r="I824" s="565"/>
      <c r="J824" s="565"/>
      <c r="K824" s="565"/>
      <c r="L824" s="565"/>
      <c r="M824" s="565"/>
      <c r="N824" s="529"/>
      <c r="O824" s="529"/>
      <c r="P824" s="529"/>
      <c r="Q824" s="529"/>
      <c r="R824" s="529"/>
      <c r="S824" s="529"/>
      <c r="T824" s="529"/>
      <c r="U824" s="529"/>
      <c r="V824" s="529"/>
      <c r="W824" s="529"/>
      <c r="X824" s="529"/>
      <c r="Y824" s="529"/>
      <c r="Z824" s="529"/>
      <c r="AA824" s="529"/>
      <c r="AB824" s="529"/>
      <c r="AC824" s="529"/>
      <c r="AD824" s="529"/>
      <c r="AE824" s="529"/>
      <c r="AF824" s="529"/>
      <c r="AG824" s="556"/>
      <c r="AH824" s="528"/>
    </row>
    <row r="825">
      <c r="A825" s="564"/>
      <c r="B825" s="565"/>
      <c r="C825" s="565"/>
      <c r="D825" s="565"/>
      <c r="E825" s="565"/>
      <c r="F825" s="565"/>
      <c r="G825" s="565"/>
      <c r="H825" s="565"/>
      <c r="I825" s="565"/>
      <c r="J825" s="565"/>
      <c r="K825" s="565"/>
      <c r="L825" s="565"/>
      <c r="M825" s="565"/>
      <c r="N825" s="529"/>
      <c r="O825" s="529"/>
      <c r="P825" s="529"/>
      <c r="Q825" s="529"/>
      <c r="R825" s="529"/>
      <c r="S825" s="529"/>
      <c r="T825" s="529"/>
      <c r="U825" s="529"/>
      <c r="V825" s="529"/>
      <c r="W825" s="529"/>
      <c r="X825" s="529"/>
      <c r="Y825" s="529"/>
      <c r="Z825" s="529"/>
      <c r="AA825" s="529"/>
      <c r="AB825" s="529"/>
      <c r="AC825" s="529"/>
      <c r="AD825" s="529"/>
      <c r="AE825" s="529"/>
      <c r="AF825" s="529"/>
      <c r="AG825" s="556"/>
      <c r="AH825" s="528"/>
    </row>
    <row r="826">
      <c r="A826" s="564"/>
      <c r="B826" s="565"/>
      <c r="C826" s="565"/>
      <c r="D826" s="565"/>
      <c r="E826" s="565"/>
      <c r="F826" s="565"/>
      <c r="G826" s="565"/>
      <c r="H826" s="565"/>
      <c r="I826" s="565"/>
      <c r="J826" s="565"/>
      <c r="K826" s="565"/>
      <c r="L826" s="565"/>
      <c r="M826" s="565"/>
      <c r="N826" s="529"/>
      <c r="O826" s="529"/>
      <c r="P826" s="529"/>
      <c r="Q826" s="529"/>
      <c r="R826" s="529"/>
      <c r="S826" s="529"/>
      <c r="T826" s="529"/>
      <c r="U826" s="529"/>
      <c r="V826" s="529"/>
      <c r="W826" s="529"/>
      <c r="X826" s="529"/>
      <c r="Y826" s="529"/>
      <c r="Z826" s="529"/>
      <c r="AA826" s="529"/>
      <c r="AB826" s="529"/>
      <c r="AC826" s="529"/>
      <c r="AD826" s="529"/>
      <c r="AE826" s="529"/>
      <c r="AF826" s="529"/>
      <c r="AG826" s="556"/>
      <c r="AH826" s="528"/>
    </row>
    <row r="827">
      <c r="A827" s="564"/>
      <c r="B827" s="565"/>
      <c r="C827" s="565"/>
      <c r="D827" s="565"/>
      <c r="E827" s="565"/>
      <c r="F827" s="565"/>
      <c r="G827" s="565"/>
      <c r="H827" s="565"/>
      <c r="I827" s="565"/>
      <c r="J827" s="565"/>
      <c r="K827" s="565"/>
      <c r="L827" s="565"/>
      <c r="M827" s="565"/>
      <c r="N827" s="529"/>
      <c r="O827" s="529"/>
      <c r="P827" s="529"/>
      <c r="Q827" s="529"/>
      <c r="R827" s="529"/>
      <c r="S827" s="529"/>
      <c r="T827" s="529"/>
      <c r="U827" s="529"/>
      <c r="V827" s="529"/>
      <c r="W827" s="529"/>
      <c r="X827" s="529"/>
      <c r="Y827" s="529"/>
      <c r="Z827" s="529"/>
      <c r="AA827" s="529"/>
      <c r="AB827" s="529"/>
      <c r="AC827" s="529"/>
      <c r="AD827" s="529"/>
      <c r="AE827" s="529"/>
      <c r="AF827" s="529"/>
      <c r="AG827" s="556"/>
      <c r="AH827" s="528"/>
    </row>
    <row r="828">
      <c r="A828" s="564"/>
      <c r="B828" s="565"/>
      <c r="C828" s="565"/>
      <c r="D828" s="565"/>
      <c r="E828" s="565"/>
      <c r="F828" s="565"/>
      <c r="G828" s="565"/>
      <c r="H828" s="565"/>
      <c r="I828" s="565"/>
      <c r="J828" s="565"/>
      <c r="K828" s="565"/>
      <c r="L828" s="565"/>
      <c r="M828" s="565"/>
      <c r="N828" s="529"/>
      <c r="O828" s="529"/>
      <c r="P828" s="529"/>
      <c r="Q828" s="529"/>
      <c r="R828" s="529"/>
      <c r="S828" s="529"/>
      <c r="T828" s="529"/>
      <c r="U828" s="529"/>
      <c r="V828" s="529"/>
      <c r="W828" s="529"/>
      <c r="X828" s="529"/>
      <c r="Y828" s="529"/>
      <c r="Z828" s="529"/>
      <c r="AA828" s="529"/>
      <c r="AB828" s="529"/>
      <c r="AC828" s="529"/>
      <c r="AD828" s="529"/>
      <c r="AE828" s="529"/>
      <c r="AF828" s="529"/>
      <c r="AG828" s="556"/>
      <c r="AH828" s="528"/>
    </row>
    <row r="829">
      <c r="A829" s="564"/>
      <c r="B829" s="565"/>
      <c r="C829" s="565"/>
      <c r="D829" s="565"/>
      <c r="E829" s="565"/>
      <c r="F829" s="565"/>
      <c r="G829" s="565"/>
      <c r="H829" s="565"/>
      <c r="I829" s="565"/>
      <c r="J829" s="565"/>
      <c r="K829" s="565"/>
      <c r="L829" s="565"/>
      <c r="M829" s="565"/>
      <c r="N829" s="529"/>
      <c r="O829" s="529"/>
      <c r="P829" s="529"/>
      <c r="Q829" s="529"/>
      <c r="R829" s="529"/>
      <c r="S829" s="529"/>
      <c r="T829" s="529"/>
      <c r="U829" s="529"/>
      <c r="V829" s="529"/>
      <c r="W829" s="529"/>
      <c r="X829" s="529"/>
      <c r="Y829" s="529"/>
      <c r="Z829" s="529"/>
      <c r="AA829" s="529"/>
      <c r="AB829" s="529"/>
      <c r="AC829" s="529"/>
      <c r="AD829" s="529"/>
      <c r="AE829" s="529"/>
      <c r="AF829" s="529"/>
      <c r="AG829" s="556"/>
      <c r="AH829" s="528"/>
    </row>
    <row r="830">
      <c r="A830" s="564"/>
      <c r="B830" s="565"/>
      <c r="C830" s="565"/>
      <c r="D830" s="565"/>
      <c r="E830" s="565"/>
      <c r="F830" s="565"/>
      <c r="G830" s="565"/>
      <c r="H830" s="565"/>
      <c r="I830" s="565"/>
      <c r="J830" s="565"/>
      <c r="K830" s="565"/>
      <c r="L830" s="565"/>
      <c r="M830" s="565"/>
      <c r="N830" s="529"/>
      <c r="O830" s="529"/>
      <c r="P830" s="529"/>
      <c r="Q830" s="529"/>
      <c r="R830" s="529"/>
      <c r="S830" s="529"/>
      <c r="T830" s="529"/>
      <c r="U830" s="529"/>
      <c r="V830" s="529"/>
      <c r="W830" s="529"/>
      <c r="X830" s="529"/>
      <c r="Y830" s="529"/>
      <c r="Z830" s="529"/>
      <c r="AA830" s="529"/>
      <c r="AB830" s="529"/>
      <c r="AC830" s="529"/>
      <c r="AD830" s="529"/>
      <c r="AE830" s="529"/>
      <c r="AF830" s="529"/>
      <c r="AG830" s="556"/>
      <c r="AH830" s="528"/>
    </row>
    <row r="831">
      <c r="A831" s="564"/>
      <c r="B831" s="565"/>
      <c r="C831" s="565"/>
      <c r="D831" s="565"/>
      <c r="E831" s="565"/>
      <c r="F831" s="565"/>
      <c r="G831" s="565"/>
      <c r="H831" s="565"/>
      <c r="I831" s="565"/>
      <c r="J831" s="565"/>
      <c r="K831" s="565"/>
      <c r="L831" s="565"/>
      <c r="M831" s="565"/>
      <c r="N831" s="529"/>
      <c r="O831" s="529"/>
      <c r="P831" s="529"/>
      <c r="Q831" s="529"/>
      <c r="R831" s="529"/>
      <c r="S831" s="529"/>
      <c r="T831" s="529"/>
      <c r="U831" s="529"/>
      <c r="V831" s="529"/>
      <c r="W831" s="529"/>
      <c r="X831" s="529"/>
      <c r="Y831" s="529"/>
      <c r="Z831" s="529"/>
      <c r="AA831" s="529"/>
      <c r="AB831" s="529"/>
      <c r="AC831" s="529"/>
      <c r="AD831" s="529"/>
      <c r="AE831" s="529"/>
      <c r="AF831" s="529"/>
      <c r="AG831" s="556"/>
      <c r="AH831" s="528"/>
    </row>
    <row r="832">
      <c r="A832" s="564"/>
      <c r="B832" s="565"/>
      <c r="C832" s="565"/>
      <c r="D832" s="565"/>
      <c r="E832" s="565"/>
      <c r="F832" s="565"/>
      <c r="G832" s="565"/>
      <c r="H832" s="565"/>
      <c r="I832" s="565"/>
      <c r="J832" s="565"/>
      <c r="K832" s="565"/>
      <c r="L832" s="565"/>
      <c r="M832" s="565"/>
      <c r="N832" s="529"/>
      <c r="O832" s="529"/>
      <c r="P832" s="529"/>
      <c r="Q832" s="529"/>
      <c r="R832" s="529"/>
      <c r="S832" s="529"/>
      <c r="T832" s="529"/>
      <c r="U832" s="529"/>
      <c r="V832" s="529"/>
      <c r="W832" s="529"/>
      <c r="X832" s="529"/>
      <c r="Y832" s="529"/>
      <c r="Z832" s="529"/>
      <c r="AA832" s="529"/>
      <c r="AB832" s="529"/>
      <c r="AC832" s="529"/>
      <c r="AD832" s="529"/>
      <c r="AE832" s="529"/>
      <c r="AF832" s="529"/>
      <c r="AG832" s="556"/>
      <c r="AH832" s="528"/>
    </row>
    <row r="833">
      <c r="A833" s="564"/>
      <c r="B833" s="565"/>
      <c r="C833" s="565"/>
      <c r="D833" s="565"/>
      <c r="E833" s="565"/>
      <c r="F833" s="565"/>
      <c r="G833" s="565"/>
      <c r="H833" s="565"/>
      <c r="I833" s="565"/>
      <c r="J833" s="565"/>
      <c r="K833" s="565"/>
      <c r="L833" s="565"/>
      <c r="M833" s="565"/>
      <c r="N833" s="529"/>
      <c r="O833" s="529"/>
      <c r="P833" s="529"/>
      <c r="Q833" s="529"/>
      <c r="R833" s="529"/>
      <c r="S833" s="529"/>
      <c r="T833" s="529"/>
      <c r="U833" s="529"/>
      <c r="V833" s="529"/>
      <c r="W833" s="529"/>
      <c r="X833" s="529"/>
      <c r="Y833" s="529"/>
      <c r="Z833" s="529"/>
      <c r="AA833" s="529"/>
      <c r="AB833" s="529"/>
      <c r="AC833" s="529"/>
      <c r="AD833" s="529"/>
      <c r="AE833" s="529"/>
      <c r="AF833" s="529"/>
      <c r="AG833" s="556"/>
      <c r="AH833" s="528"/>
    </row>
    <row r="834">
      <c r="A834" s="564"/>
      <c r="B834" s="565"/>
      <c r="C834" s="565"/>
      <c r="D834" s="565"/>
      <c r="E834" s="565"/>
      <c r="F834" s="565"/>
      <c r="G834" s="565"/>
      <c r="H834" s="565"/>
      <c r="I834" s="565"/>
      <c r="J834" s="565"/>
      <c r="K834" s="565"/>
      <c r="L834" s="565"/>
      <c r="M834" s="565"/>
      <c r="N834" s="529"/>
      <c r="O834" s="529"/>
      <c r="P834" s="529"/>
      <c r="Q834" s="529"/>
      <c r="R834" s="529"/>
      <c r="S834" s="529"/>
      <c r="T834" s="529"/>
      <c r="U834" s="529"/>
      <c r="V834" s="529"/>
      <c r="W834" s="529"/>
      <c r="X834" s="529"/>
      <c r="Y834" s="529"/>
      <c r="Z834" s="529"/>
      <c r="AA834" s="529"/>
      <c r="AB834" s="529"/>
      <c r="AC834" s="529"/>
      <c r="AD834" s="529"/>
      <c r="AE834" s="529"/>
      <c r="AF834" s="529"/>
      <c r="AG834" s="556"/>
      <c r="AH834" s="528"/>
    </row>
    <row r="835">
      <c r="A835" s="564"/>
      <c r="B835" s="565"/>
      <c r="C835" s="565"/>
      <c r="D835" s="565"/>
      <c r="E835" s="565"/>
      <c r="F835" s="565"/>
      <c r="G835" s="565"/>
      <c r="H835" s="565"/>
      <c r="I835" s="565"/>
      <c r="J835" s="565"/>
      <c r="K835" s="565"/>
      <c r="L835" s="565"/>
      <c r="M835" s="565"/>
      <c r="N835" s="529"/>
      <c r="O835" s="529"/>
      <c r="P835" s="529"/>
      <c r="Q835" s="529"/>
      <c r="R835" s="529"/>
      <c r="S835" s="529"/>
      <c r="T835" s="529"/>
      <c r="U835" s="529"/>
      <c r="V835" s="529"/>
      <c r="W835" s="529"/>
      <c r="X835" s="529"/>
      <c r="Y835" s="529"/>
      <c r="Z835" s="529"/>
      <c r="AA835" s="529"/>
      <c r="AB835" s="529"/>
      <c r="AC835" s="529"/>
      <c r="AD835" s="529"/>
      <c r="AE835" s="529"/>
      <c r="AF835" s="529"/>
      <c r="AG835" s="556"/>
      <c r="AH835" s="528"/>
    </row>
    <row r="836">
      <c r="A836" s="564"/>
      <c r="B836" s="565"/>
      <c r="C836" s="565"/>
      <c r="D836" s="565"/>
      <c r="E836" s="565"/>
      <c r="F836" s="565"/>
      <c r="G836" s="565"/>
      <c r="H836" s="565"/>
      <c r="I836" s="565"/>
      <c r="J836" s="565"/>
      <c r="K836" s="565"/>
      <c r="L836" s="565"/>
      <c r="M836" s="565"/>
      <c r="N836" s="529"/>
      <c r="O836" s="529"/>
      <c r="P836" s="529"/>
      <c r="Q836" s="529"/>
      <c r="R836" s="529"/>
      <c r="S836" s="529"/>
      <c r="T836" s="529"/>
      <c r="U836" s="529"/>
      <c r="V836" s="529"/>
      <c r="W836" s="529"/>
      <c r="X836" s="529"/>
      <c r="Y836" s="529"/>
      <c r="Z836" s="529"/>
      <c r="AA836" s="529"/>
      <c r="AB836" s="529"/>
      <c r="AC836" s="529"/>
      <c r="AD836" s="529"/>
      <c r="AE836" s="529"/>
      <c r="AF836" s="529"/>
      <c r="AG836" s="556"/>
      <c r="AH836" s="528"/>
    </row>
    <row r="837">
      <c r="A837" s="564"/>
      <c r="B837" s="565"/>
      <c r="C837" s="565"/>
      <c r="D837" s="565"/>
      <c r="E837" s="565"/>
      <c r="F837" s="565"/>
      <c r="G837" s="565"/>
      <c r="H837" s="565"/>
      <c r="I837" s="565"/>
      <c r="J837" s="565"/>
      <c r="K837" s="565"/>
      <c r="L837" s="565"/>
      <c r="M837" s="565"/>
      <c r="N837" s="529"/>
      <c r="O837" s="529"/>
      <c r="P837" s="529"/>
      <c r="Q837" s="529"/>
      <c r="R837" s="529"/>
      <c r="S837" s="529"/>
      <c r="T837" s="529"/>
      <c r="U837" s="529"/>
      <c r="V837" s="529"/>
      <c r="W837" s="529"/>
      <c r="X837" s="529"/>
      <c r="Y837" s="529"/>
      <c r="Z837" s="529"/>
      <c r="AA837" s="529"/>
      <c r="AB837" s="529"/>
      <c r="AC837" s="529"/>
      <c r="AD837" s="529"/>
      <c r="AE837" s="529"/>
      <c r="AF837" s="529"/>
      <c r="AG837" s="556"/>
      <c r="AH837" s="528"/>
    </row>
    <row r="838">
      <c r="A838" s="564"/>
      <c r="B838" s="565"/>
      <c r="C838" s="565"/>
      <c r="D838" s="565"/>
      <c r="E838" s="565"/>
      <c r="F838" s="565"/>
      <c r="G838" s="565"/>
      <c r="H838" s="565"/>
      <c r="I838" s="565"/>
      <c r="J838" s="565"/>
      <c r="K838" s="565"/>
      <c r="L838" s="565"/>
      <c r="M838" s="565"/>
      <c r="N838" s="529"/>
      <c r="O838" s="529"/>
      <c r="P838" s="529"/>
      <c r="Q838" s="529"/>
      <c r="R838" s="529"/>
      <c r="S838" s="529"/>
      <c r="T838" s="529"/>
      <c r="U838" s="529"/>
      <c r="V838" s="529"/>
      <c r="W838" s="529"/>
      <c r="X838" s="529"/>
      <c r="Y838" s="529"/>
      <c r="Z838" s="529"/>
      <c r="AA838" s="529"/>
      <c r="AB838" s="529"/>
      <c r="AC838" s="529"/>
      <c r="AD838" s="529"/>
      <c r="AE838" s="529"/>
      <c r="AF838" s="529"/>
      <c r="AG838" s="556"/>
      <c r="AH838" s="528"/>
    </row>
    <row r="839">
      <c r="A839" s="564"/>
      <c r="B839" s="565"/>
      <c r="C839" s="565"/>
      <c r="D839" s="565"/>
      <c r="E839" s="565"/>
      <c r="F839" s="565"/>
      <c r="G839" s="565"/>
      <c r="H839" s="565"/>
      <c r="I839" s="565"/>
      <c r="J839" s="565"/>
      <c r="K839" s="565"/>
      <c r="L839" s="565"/>
      <c r="M839" s="565"/>
      <c r="N839" s="529"/>
      <c r="O839" s="529"/>
      <c r="P839" s="529"/>
      <c r="Q839" s="529"/>
      <c r="R839" s="529"/>
      <c r="S839" s="529"/>
      <c r="T839" s="529"/>
      <c r="U839" s="529"/>
      <c r="V839" s="529"/>
      <c r="W839" s="529"/>
      <c r="X839" s="529"/>
      <c r="Y839" s="529"/>
      <c r="Z839" s="529"/>
      <c r="AA839" s="529"/>
      <c r="AB839" s="529"/>
      <c r="AC839" s="529"/>
      <c r="AD839" s="529"/>
      <c r="AE839" s="529"/>
      <c r="AF839" s="529"/>
      <c r="AG839" s="556"/>
      <c r="AH839" s="528"/>
    </row>
    <row r="840">
      <c r="A840" s="564"/>
      <c r="B840" s="565"/>
      <c r="C840" s="565"/>
      <c r="D840" s="565"/>
      <c r="E840" s="565"/>
      <c r="F840" s="565"/>
      <c r="G840" s="565"/>
      <c r="H840" s="565"/>
      <c r="I840" s="565"/>
      <c r="J840" s="565"/>
      <c r="K840" s="565"/>
      <c r="L840" s="565"/>
      <c r="M840" s="565"/>
      <c r="N840" s="529"/>
      <c r="O840" s="529"/>
      <c r="P840" s="529"/>
      <c r="Q840" s="529"/>
      <c r="R840" s="529"/>
      <c r="S840" s="529"/>
      <c r="T840" s="529"/>
      <c r="U840" s="529"/>
      <c r="V840" s="529"/>
      <c r="W840" s="529"/>
      <c r="X840" s="529"/>
      <c r="Y840" s="529"/>
      <c r="Z840" s="529"/>
      <c r="AA840" s="529"/>
      <c r="AB840" s="529"/>
      <c r="AC840" s="529"/>
      <c r="AD840" s="529"/>
      <c r="AE840" s="529"/>
      <c r="AF840" s="529"/>
      <c r="AG840" s="556"/>
      <c r="AH840" s="528"/>
    </row>
    <row r="841">
      <c r="A841" s="564"/>
      <c r="B841" s="565"/>
      <c r="C841" s="565"/>
      <c r="D841" s="565"/>
      <c r="E841" s="565"/>
      <c r="F841" s="565"/>
      <c r="G841" s="565"/>
      <c r="H841" s="565"/>
      <c r="I841" s="565"/>
      <c r="J841" s="565"/>
      <c r="K841" s="565"/>
      <c r="L841" s="565"/>
      <c r="M841" s="565"/>
      <c r="N841" s="529"/>
      <c r="O841" s="529"/>
      <c r="P841" s="529"/>
      <c r="Q841" s="529"/>
      <c r="R841" s="529"/>
      <c r="S841" s="529"/>
      <c r="T841" s="529"/>
      <c r="U841" s="529"/>
      <c r="V841" s="529"/>
      <c r="W841" s="529"/>
      <c r="X841" s="529"/>
      <c r="Y841" s="529"/>
      <c r="Z841" s="529"/>
      <c r="AA841" s="529"/>
      <c r="AB841" s="529"/>
      <c r="AC841" s="529"/>
      <c r="AD841" s="529"/>
      <c r="AE841" s="529"/>
      <c r="AF841" s="529"/>
      <c r="AG841" s="556"/>
      <c r="AH841" s="528"/>
    </row>
    <row r="842">
      <c r="A842" s="564"/>
      <c r="B842" s="565"/>
      <c r="C842" s="565"/>
      <c r="D842" s="565"/>
      <c r="E842" s="565"/>
      <c r="F842" s="565"/>
      <c r="G842" s="565"/>
      <c r="H842" s="565"/>
      <c r="I842" s="565"/>
      <c r="J842" s="565"/>
      <c r="K842" s="565"/>
      <c r="L842" s="565"/>
      <c r="M842" s="565"/>
      <c r="N842" s="529"/>
      <c r="O842" s="529"/>
      <c r="P842" s="529"/>
      <c r="Q842" s="529"/>
      <c r="R842" s="529"/>
      <c r="S842" s="529"/>
      <c r="T842" s="529"/>
      <c r="U842" s="529"/>
      <c r="V842" s="529"/>
      <c r="W842" s="529"/>
      <c r="X842" s="529"/>
      <c r="Y842" s="529"/>
      <c r="Z842" s="529"/>
      <c r="AA842" s="529"/>
      <c r="AB842" s="529"/>
      <c r="AC842" s="529"/>
      <c r="AD842" s="529"/>
      <c r="AE842" s="529"/>
      <c r="AF842" s="529"/>
      <c r="AG842" s="556"/>
      <c r="AH842" s="528"/>
    </row>
    <row r="843">
      <c r="A843" s="564"/>
      <c r="B843" s="565"/>
      <c r="C843" s="565"/>
      <c r="D843" s="565"/>
      <c r="E843" s="565"/>
      <c r="F843" s="565"/>
      <c r="G843" s="565"/>
      <c r="H843" s="565"/>
      <c r="I843" s="565"/>
      <c r="J843" s="565"/>
      <c r="K843" s="565"/>
      <c r="L843" s="565"/>
      <c r="M843" s="565"/>
      <c r="N843" s="529"/>
      <c r="O843" s="529"/>
      <c r="P843" s="529"/>
      <c r="Q843" s="529"/>
      <c r="R843" s="529"/>
      <c r="S843" s="529"/>
      <c r="T843" s="529"/>
      <c r="U843" s="529"/>
      <c r="V843" s="529"/>
      <c r="W843" s="529"/>
      <c r="X843" s="529"/>
      <c r="Y843" s="529"/>
      <c r="Z843" s="529"/>
      <c r="AA843" s="529"/>
      <c r="AB843" s="529"/>
      <c r="AC843" s="529"/>
      <c r="AD843" s="529"/>
      <c r="AE843" s="529"/>
      <c r="AF843" s="529"/>
      <c r="AG843" s="556"/>
      <c r="AH843" s="528"/>
    </row>
    <row r="844">
      <c r="A844" s="564"/>
      <c r="B844" s="565"/>
      <c r="C844" s="565"/>
      <c r="D844" s="565"/>
      <c r="E844" s="565"/>
      <c r="F844" s="565"/>
      <c r="G844" s="565"/>
      <c r="H844" s="565"/>
      <c r="I844" s="565"/>
      <c r="J844" s="565"/>
      <c r="K844" s="565"/>
      <c r="L844" s="565"/>
      <c r="M844" s="565"/>
      <c r="N844" s="529"/>
      <c r="O844" s="529"/>
      <c r="P844" s="529"/>
      <c r="Q844" s="529"/>
      <c r="R844" s="529"/>
      <c r="S844" s="529"/>
      <c r="T844" s="529"/>
      <c r="U844" s="529"/>
      <c r="V844" s="529"/>
      <c r="W844" s="529"/>
      <c r="X844" s="529"/>
      <c r="Y844" s="529"/>
      <c r="Z844" s="529"/>
      <c r="AA844" s="529"/>
      <c r="AB844" s="529"/>
      <c r="AC844" s="529"/>
      <c r="AD844" s="529"/>
      <c r="AE844" s="529"/>
      <c r="AF844" s="529"/>
      <c r="AG844" s="556"/>
      <c r="AH844" s="528"/>
    </row>
    <row r="845">
      <c r="A845" s="564"/>
      <c r="B845" s="565"/>
      <c r="C845" s="565"/>
      <c r="D845" s="565"/>
      <c r="E845" s="565"/>
      <c r="F845" s="565"/>
      <c r="G845" s="565"/>
      <c r="H845" s="565"/>
      <c r="I845" s="565"/>
      <c r="J845" s="565"/>
      <c r="K845" s="565"/>
      <c r="L845" s="565"/>
      <c r="M845" s="565"/>
      <c r="N845" s="529"/>
      <c r="O845" s="529"/>
      <c r="P845" s="529"/>
      <c r="Q845" s="529"/>
      <c r="R845" s="529"/>
      <c r="S845" s="529"/>
      <c r="T845" s="529"/>
      <c r="U845" s="529"/>
      <c r="V845" s="529"/>
      <c r="W845" s="529"/>
      <c r="X845" s="529"/>
      <c r="Y845" s="529"/>
      <c r="Z845" s="529"/>
      <c r="AA845" s="529"/>
      <c r="AB845" s="529"/>
      <c r="AC845" s="529"/>
      <c r="AD845" s="529"/>
      <c r="AE845" s="529"/>
      <c r="AF845" s="529"/>
      <c r="AG845" s="556"/>
      <c r="AH845" s="528"/>
    </row>
    <row r="846">
      <c r="A846" s="564"/>
      <c r="B846" s="565"/>
      <c r="C846" s="565"/>
      <c r="D846" s="565"/>
      <c r="E846" s="565"/>
      <c r="F846" s="565"/>
      <c r="G846" s="565"/>
      <c r="H846" s="565"/>
      <c r="I846" s="565"/>
      <c r="J846" s="565"/>
      <c r="K846" s="565"/>
      <c r="L846" s="565"/>
      <c r="M846" s="565"/>
      <c r="N846" s="529"/>
      <c r="O846" s="529"/>
      <c r="P846" s="529"/>
      <c r="Q846" s="529"/>
      <c r="R846" s="529"/>
      <c r="S846" s="529"/>
      <c r="T846" s="529"/>
      <c r="U846" s="529"/>
      <c r="V846" s="529"/>
      <c r="W846" s="529"/>
      <c r="X846" s="529"/>
      <c r="Y846" s="529"/>
      <c r="Z846" s="529"/>
      <c r="AA846" s="529"/>
      <c r="AB846" s="529"/>
      <c r="AC846" s="529"/>
      <c r="AD846" s="529"/>
      <c r="AE846" s="529"/>
      <c r="AF846" s="529"/>
      <c r="AG846" s="556"/>
      <c r="AH846" s="528"/>
    </row>
    <row r="847">
      <c r="A847" s="564"/>
      <c r="B847" s="565"/>
      <c r="C847" s="565"/>
      <c r="D847" s="565"/>
      <c r="E847" s="565"/>
      <c r="F847" s="565"/>
      <c r="G847" s="565"/>
      <c r="H847" s="565"/>
      <c r="I847" s="565"/>
      <c r="J847" s="565"/>
      <c r="K847" s="565"/>
      <c r="L847" s="565"/>
      <c r="M847" s="565"/>
      <c r="N847" s="529"/>
      <c r="O847" s="529"/>
      <c r="P847" s="529"/>
      <c r="Q847" s="529"/>
      <c r="R847" s="529"/>
      <c r="S847" s="529"/>
      <c r="T847" s="529"/>
      <c r="U847" s="529"/>
      <c r="V847" s="529"/>
      <c r="W847" s="529"/>
      <c r="X847" s="529"/>
      <c r="Y847" s="529"/>
      <c r="Z847" s="529"/>
      <c r="AA847" s="529"/>
      <c r="AB847" s="529"/>
      <c r="AC847" s="529"/>
      <c r="AD847" s="529"/>
      <c r="AE847" s="529"/>
      <c r="AF847" s="529"/>
      <c r="AG847" s="556"/>
      <c r="AH847" s="528"/>
    </row>
    <row r="848">
      <c r="A848" s="564"/>
      <c r="B848" s="565"/>
      <c r="C848" s="565"/>
      <c r="D848" s="565"/>
      <c r="E848" s="565"/>
      <c r="F848" s="565"/>
      <c r="G848" s="565"/>
      <c r="H848" s="565"/>
      <c r="I848" s="565"/>
      <c r="J848" s="565"/>
      <c r="K848" s="565"/>
      <c r="L848" s="565"/>
      <c r="M848" s="565"/>
      <c r="N848" s="529"/>
      <c r="O848" s="529"/>
      <c r="P848" s="529"/>
      <c r="Q848" s="529"/>
      <c r="R848" s="529"/>
      <c r="S848" s="529"/>
      <c r="T848" s="529"/>
      <c r="U848" s="529"/>
      <c r="V848" s="529"/>
      <c r="W848" s="529"/>
      <c r="X848" s="529"/>
      <c r="Y848" s="529"/>
      <c r="Z848" s="529"/>
      <c r="AA848" s="529"/>
      <c r="AB848" s="529"/>
      <c r="AC848" s="529"/>
      <c r="AD848" s="529"/>
      <c r="AE848" s="529"/>
      <c r="AF848" s="529"/>
      <c r="AG848" s="556"/>
      <c r="AH848" s="528"/>
    </row>
    <row r="849">
      <c r="A849" s="564"/>
      <c r="B849" s="565"/>
      <c r="C849" s="565"/>
      <c r="D849" s="565"/>
      <c r="E849" s="565"/>
      <c r="F849" s="565"/>
      <c r="G849" s="565"/>
      <c r="H849" s="565"/>
      <c r="I849" s="565"/>
      <c r="J849" s="565"/>
      <c r="K849" s="565"/>
      <c r="L849" s="565"/>
      <c r="M849" s="565"/>
      <c r="N849" s="529"/>
      <c r="O849" s="529"/>
      <c r="P849" s="529"/>
      <c r="Q849" s="529"/>
      <c r="R849" s="529"/>
      <c r="S849" s="529"/>
      <c r="T849" s="529"/>
      <c r="U849" s="529"/>
      <c r="V849" s="529"/>
      <c r="W849" s="529"/>
      <c r="X849" s="529"/>
      <c r="Y849" s="529"/>
      <c r="Z849" s="529"/>
      <c r="AA849" s="529"/>
      <c r="AB849" s="529"/>
      <c r="AC849" s="529"/>
      <c r="AD849" s="529"/>
      <c r="AE849" s="529"/>
      <c r="AF849" s="529"/>
      <c r="AG849" s="556"/>
      <c r="AH849" s="528"/>
    </row>
    <row r="850">
      <c r="A850" s="564"/>
      <c r="B850" s="565"/>
      <c r="C850" s="565"/>
      <c r="D850" s="565"/>
      <c r="E850" s="565"/>
      <c r="F850" s="565"/>
      <c r="G850" s="565"/>
      <c r="H850" s="565"/>
      <c r="I850" s="565"/>
      <c r="J850" s="565"/>
      <c r="K850" s="565"/>
      <c r="L850" s="565"/>
      <c r="M850" s="565"/>
      <c r="N850" s="529"/>
      <c r="O850" s="529"/>
      <c r="P850" s="529"/>
      <c r="Q850" s="529"/>
      <c r="R850" s="529"/>
      <c r="S850" s="529"/>
      <c r="T850" s="529"/>
      <c r="U850" s="529"/>
      <c r="V850" s="529"/>
      <c r="W850" s="529"/>
      <c r="X850" s="529"/>
      <c r="Y850" s="529"/>
      <c r="Z850" s="529"/>
      <c r="AA850" s="529"/>
      <c r="AB850" s="529"/>
      <c r="AC850" s="529"/>
      <c r="AD850" s="529"/>
      <c r="AE850" s="529"/>
      <c r="AF850" s="529"/>
      <c r="AG850" s="556"/>
      <c r="AH850" s="528"/>
    </row>
    <row r="851">
      <c r="A851" s="564"/>
      <c r="B851" s="565"/>
      <c r="C851" s="565"/>
      <c r="D851" s="565"/>
      <c r="E851" s="565"/>
      <c r="F851" s="565"/>
      <c r="G851" s="565"/>
      <c r="H851" s="565"/>
      <c r="I851" s="565"/>
      <c r="J851" s="565"/>
      <c r="K851" s="565"/>
      <c r="L851" s="565"/>
      <c r="M851" s="565"/>
      <c r="N851" s="529"/>
      <c r="O851" s="529"/>
      <c r="P851" s="529"/>
      <c r="Q851" s="529"/>
      <c r="R851" s="529"/>
      <c r="S851" s="529"/>
      <c r="T851" s="529"/>
      <c r="U851" s="529"/>
      <c r="V851" s="529"/>
      <c r="W851" s="529"/>
      <c r="X851" s="529"/>
      <c r="Y851" s="529"/>
      <c r="Z851" s="529"/>
      <c r="AA851" s="529"/>
      <c r="AB851" s="529"/>
      <c r="AC851" s="529"/>
      <c r="AD851" s="529"/>
      <c r="AE851" s="529"/>
      <c r="AF851" s="529"/>
      <c r="AG851" s="556"/>
      <c r="AH851" s="528"/>
    </row>
    <row r="852">
      <c r="A852" s="564"/>
      <c r="B852" s="565"/>
      <c r="C852" s="565"/>
      <c r="D852" s="565"/>
      <c r="E852" s="565"/>
      <c r="F852" s="565"/>
      <c r="G852" s="565"/>
      <c r="H852" s="565"/>
      <c r="I852" s="565"/>
      <c r="J852" s="565"/>
      <c r="K852" s="565"/>
      <c r="L852" s="565"/>
      <c r="M852" s="565"/>
      <c r="N852" s="529"/>
      <c r="O852" s="529"/>
      <c r="P852" s="529"/>
      <c r="Q852" s="529"/>
      <c r="R852" s="529"/>
      <c r="S852" s="529"/>
      <c r="T852" s="529"/>
      <c r="U852" s="529"/>
      <c r="V852" s="529"/>
      <c r="W852" s="529"/>
      <c r="X852" s="529"/>
      <c r="Y852" s="529"/>
      <c r="Z852" s="529"/>
      <c r="AA852" s="529"/>
      <c r="AB852" s="529"/>
      <c r="AC852" s="529"/>
      <c r="AD852" s="529"/>
      <c r="AE852" s="529"/>
      <c r="AF852" s="529"/>
      <c r="AG852" s="556"/>
      <c r="AH852" s="528"/>
    </row>
    <row r="853">
      <c r="A853" s="564"/>
      <c r="B853" s="565"/>
      <c r="C853" s="565"/>
      <c r="D853" s="565"/>
      <c r="E853" s="565"/>
      <c r="F853" s="565"/>
      <c r="G853" s="565"/>
      <c r="H853" s="565"/>
      <c r="I853" s="565"/>
      <c r="J853" s="565"/>
      <c r="K853" s="565"/>
      <c r="L853" s="565"/>
      <c r="M853" s="565"/>
      <c r="N853" s="529"/>
      <c r="O853" s="529"/>
      <c r="P853" s="529"/>
      <c r="Q853" s="529"/>
      <c r="R853" s="529"/>
      <c r="S853" s="529"/>
      <c r="T853" s="529"/>
      <c r="U853" s="529"/>
      <c r="V853" s="529"/>
      <c r="W853" s="529"/>
      <c r="X853" s="529"/>
      <c r="Y853" s="529"/>
      <c r="Z853" s="529"/>
      <c r="AA853" s="529"/>
      <c r="AB853" s="529"/>
      <c r="AC853" s="529"/>
      <c r="AD853" s="529"/>
      <c r="AE853" s="529"/>
      <c r="AF853" s="529"/>
      <c r="AG853" s="556"/>
      <c r="AH853" s="528"/>
    </row>
    <row r="854">
      <c r="A854" s="564"/>
      <c r="B854" s="565"/>
      <c r="C854" s="565"/>
      <c r="D854" s="565"/>
      <c r="E854" s="565"/>
      <c r="F854" s="565"/>
      <c r="G854" s="565"/>
      <c r="H854" s="565"/>
      <c r="I854" s="565"/>
      <c r="J854" s="565"/>
      <c r="K854" s="565"/>
      <c r="L854" s="565"/>
      <c r="M854" s="565"/>
      <c r="N854" s="529"/>
      <c r="O854" s="529"/>
      <c r="P854" s="529"/>
      <c r="Q854" s="529"/>
      <c r="R854" s="529"/>
      <c r="S854" s="529"/>
      <c r="T854" s="529"/>
      <c r="U854" s="529"/>
      <c r="V854" s="529"/>
      <c r="W854" s="529"/>
      <c r="X854" s="529"/>
      <c r="Y854" s="529"/>
      <c r="Z854" s="529"/>
      <c r="AA854" s="529"/>
      <c r="AB854" s="529"/>
      <c r="AC854" s="529"/>
      <c r="AD854" s="529"/>
      <c r="AE854" s="529"/>
      <c r="AF854" s="529"/>
      <c r="AG854" s="556"/>
      <c r="AH854" s="528"/>
    </row>
    <row r="855">
      <c r="A855" s="564"/>
      <c r="B855" s="565"/>
      <c r="C855" s="565"/>
      <c r="D855" s="565"/>
      <c r="E855" s="565"/>
      <c r="F855" s="565"/>
      <c r="G855" s="565"/>
      <c r="H855" s="565"/>
      <c r="I855" s="565"/>
      <c r="J855" s="565"/>
      <c r="K855" s="565"/>
      <c r="L855" s="565"/>
      <c r="M855" s="565"/>
      <c r="N855" s="529"/>
      <c r="O855" s="529"/>
      <c r="P855" s="529"/>
      <c r="Q855" s="529"/>
      <c r="R855" s="529"/>
      <c r="S855" s="529"/>
      <c r="T855" s="529"/>
      <c r="U855" s="529"/>
      <c r="V855" s="529"/>
      <c r="W855" s="529"/>
      <c r="X855" s="529"/>
      <c r="Y855" s="529"/>
      <c r="Z855" s="529"/>
      <c r="AA855" s="529"/>
      <c r="AB855" s="529"/>
      <c r="AC855" s="529"/>
      <c r="AD855" s="529"/>
      <c r="AE855" s="529"/>
      <c r="AF855" s="529"/>
      <c r="AG855" s="556"/>
      <c r="AH855" s="528"/>
    </row>
    <row r="856">
      <c r="A856" s="564"/>
      <c r="B856" s="565"/>
      <c r="C856" s="565"/>
      <c r="D856" s="565"/>
      <c r="E856" s="565"/>
      <c r="F856" s="565"/>
      <c r="G856" s="565"/>
      <c r="H856" s="565"/>
      <c r="I856" s="565"/>
      <c r="J856" s="565"/>
      <c r="K856" s="565"/>
      <c r="L856" s="565"/>
      <c r="M856" s="565"/>
      <c r="N856" s="529"/>
      <c r="O856" s="529"/>
      <c r="P856" s="529"/>
      <c r="Q856" s="529"/>
      <c r="R856" s="529"/>
      <c r="S856" s="529"/>
      <c r="T856" s="529"/>
      <c r="U856" s="529"/>
      <c r="V856" s="529"/>
      <c r="W856" s="529"/>
      <c r="X856" s="529"/>
      <c r="Y856" s="529"/>
      <c r="Z856" s="529"/>
      <c r="AA856" s="529"/>
      <c r="AB856" s="529"/>
      <c r="AC856" s="529"/>
      <c r="AD856" s="529"/>
      <c r="AE856" s="529"/>
      <c r="AF856" s="529"/>
      <c r="AG856" s="556"/>
      <c r="AH856" s="528"/>
    </row>
    <row r="857">
      <c r="A857" s="564"/>
      <c r="B857" s="565"/>
      <c r="C857" s="565"/>
      <c r="D857" s="565"/>
      <c r="E857" s="565"/>
      <c r="F857" s="565"/>
      <c r="G857" s="565"/>
      <c r="H857" s="565"/>
      <c r="I857" s="565"/>
      <c r="J857" s="565"/>
      <c r="K857" s="565"/>
      <c r="L857" s="565"/>
      <c r="M857" s="565"/>
      <c r="N857" s="529"/>
      <c r="O857" s="529"/>
      <c r="P857" s="529"/>
      <c r="Q857" s="529"/>
      <c r="R857" s="529"/>
      <c r="S857" s="529"/>
      <c r="T857" s="529"/>
      <c r="U857" s="529"/>
      <c r="V857" s="529"/>
      <c r="W857" s="529"/>
      <c r="X857" s="529"/>
      <c r="Y857" s="529"/>
      <c r="Z857" s="529"/>
      <c r="AA857" s="529"/>
      <c r="AB857" s="529"/>
      <c r="AC857" s="529"/>
      <c r="AD857" s="529"/>
      <c r="AE857" s="529"/>
      <c r="AF857" s="529"/>
      <c r="AG857" s="556"/>
      <c r="AH857" s="528"/>
    </row>
    <row r="858">
      <c r="A858" s="564"/>
      <c r="B858" s="565"/>
      <c r="C858" s="565"/>
      <c r="D858" s="565"/>
      <c r="E858" s="565"/>
      <c r="F858" s="565"/>
      <c r="G858" s="565"/>
      <c r="H858" s="565"/>
      <c r="I858" s="565"/>
      <c r="J858" s="565"/>
      <c r="K858" s="565"/>
      <c r="L858" s="565"/>
      <c r="M858" s="565"/>
      <c r="N858" s="529"/>
      <c r="O858" s="529"/>
      <c r="P858" s="529"/>
      <c r="Q858" s="529"/>
      <c r="R858" s="529"/>
      <c r="S858" s="529"/>
      <c r="T858" s="529"/>
      <c r="U858" s="529"/>
      <c r="V858" s="529"/>
      <c r="W858" s="529"/>
      <c r="X858" s="529"/>
      <c r="Y858" s="529"/>
      <c r="Z858" s="529"/>
      <c r="AA858" s="529"/>
      <c r="AB858" s="529"/>
      <c r="AC858" s="529"/>
      <c r="AD858" s="529"/>
      <c r="AE858" s="529"/>
      <c r="AF858" s="529"/>
      <c r="AG858" s="556"/>
      <c r="AH858" s="528"/>
    </row>
    <row r="859">
      <c r="A859" s="564"/>
      <c r="B859" s="565"/>
      <c r="C859" s="565"/>
      <c r="D859" s="565"/>
      <c r="E859" s="565"/>
      <c r="F859" s="565"/>
      <c r="G859" s="565"/>
      <c r="H859" s="565"/>
      <c r="I859" s="565"/>
      <c r="J859" s="565"/>
      <c r="K859" s="565"/>
      <c r="L859" s="565"/>
      <c r="M859" s="565"/>
      <c r="N859" s="529"/>
      <c r="O859" s="529"/>
      <c r="P859" s="529"/>
      <c r="Q859" s="529"/>
      <c r="R859" s="529"/>
      <c r="S859" s="529"/>
      <c r="T859" s="529"/>
      <c r="U859" s="529"/>
      <c r="V859" s="529"/>
      <c r="W859" s="529"/>
      <c r="X859" s="529"/>
      <c r="Y859" s="529"/>
      <c r="Z859" s="529"/>
      <c r="AA859" s="529"/>
      <c r="AB859" s="529"/>
      <c r="AC859" s="529"/>
      <c r="AD859" s="529"/>
      <c r="AE859" s="529"/>
      <c r="AF859" s="529"/>
      <c r="AG859" s="556"/>
      <c r="AH859" s="528"/>
    </row>
    <row r="860">
      <c r="A860" s="564"/>
      <c r="B860" s="565"/>
      <c r="C860" s="565"/>
      <c r="D860" s="565"/>
      <c r="E860" s="565"/>
      <c r="F860" s="565"/>
      <c r="G860" s="565"/>
      <c r="H860" s="565"/>
      <c r="I860" s="565"/>
      <c r="J860" s="565"/>
      <c r="K860" s="565"/>
      <c r="L860" s="565"/>
      <c r="M860" s="565"/>
      <c r="N860" s="529"/>
      <c r="O860" s="529"/>
      <c r="P860" s="529"/>
      <c r="Q860" s="529"/>
      <c r="R860" s="529"/>
      <c r="S860" s="529"/>
      <c r="T860" s="529"/>
      <c r="U860" s="529"/>
      <c r="V860" s="529"/>
      <c r="W860" s="529"/>
      <c r="X860" s="529"/>
      <c r="Y860" s="529"/>
      <c r="Z860" s="529"/>
      <c r="AA860" s="529"/>
      <c r="AB860" s="529"/>
      <c r="AC860" s="529"/>
      <c r="AD860" s="529"/>
      <c r="AE860" s="529"/>
      <c r="AF860" s="529"/>
      <c r="AG860" s="556"/>
      <c r="AH860" s="528"/>
    </row>
    <row r="861">
      <c r="A861" s="564"/>
      <c r="B861" s="565"/>
      <c r="C861" s="565"/>
      <c r="D861" s="565"/>
      <c r="E861" s="565"/>
      <c r="F861" s="565"/>
      <c r="G861" s="565"/>
      <c r="H861" s="565"/>
      <c r="I861" s="565"/>
      <c r="J861" s="565"/>
      <c r="K861" s="565"/>
      <c r="L861" s="565"/>
      <c r="M861" s="565"/>
      <c r="N861" s="529"/>
      <c r="O861" s="529"/>
      <c r="P861" s="529"/>
      <c r="Q861" s="529"/>
      <c r="R861" s="529"/>
      <c r="S861" s="529"/>
      <c r="T861" s="529"/>
      <c r="U861" s="529"/>
      <c r="V861" s="529"/>
      <c r="W861" s="529"/>
      <c r="X861" s="529"/>
      <c r="Y861" s="529"/>
      <c r="Z861" s="529"/>
      <c r="AA861" s="529"/>
      <c r="AB861" s="529"/>
      <c r="AC861" s="529"/>
      <c r="AD861" s="529"/>
      <c r="AE861" s="529"/>
      <c r="AF861" s="529"/>
      <c r="AG861" s="556"/>
      <c r="AH861" s="528"/>
    </row>
    <row r="862">
      <c r="A862" s="564"/>
      <c r="B862" s="565"/>
      <c r="C862" s="565"/>
      <c r="D862" s="565"/>
      <c r="E862" s="565"/>
      <c r="F862" s="565"/>
      <c r="G862" s="565"/>
      <c r="H862" s="565"/>
      <c r="I862" s="565"/>
      <c r="J862" s="565"/>
      <c r="K862" s="565"/>
      <c r="L862" s="565"/>
      <c r="M862" s="565"/>
      <c r="N862" s="529"/>
      <c r="O862" s="529"/>
      <c r="P862" s="529"/>
      <c r="Q862" s="529"/>
      <c r="R862" s="529"/>
      <c r="S862" s="529"/>
      <c r="T862" s="529"/>
      <c r="U862" s="529"/>
      <c r="V862" s="529"/>
      <c r="W862" s="529"/>
      <c r="X862" s="529"/>
      <c r="Y862" s="529"/>
      <c r="Z862" s="529"/>
      <c r="AA862" s="529"/>
      <c r="AB862" s="529"/>
      <c r="AC862" s="529"/>
      <c r="AD862" s="529"/>
      <c r="AE862" s="529"/>
      <c r="AF862" s="529"/>
      <c r="AG862" s="556"/>
      <c r="AH862" s="528"/>
    </row>
    <row r="863">
      <c r="A863" s="564"/>
      <c r="B863" s="565"/>
      <c r="C863" s="565"/>
      <c r="D863" s="565"/>
      <c r="E863" s="565"/>
      <c r="F863" s="565"/>
      <c r="G863" s="565"/>
      <c r="H863" s="565"/>
      <c r="I863" s="565"/>
      <c r="J863" s="565"/>
      <c r="K863" s="565"/>
      <c r="L863" s="565"/>
      <c r="M863" s="565"/>
      <c r="N863" s="529"/>
      <c r="O863" s="529"/>
      <c r="P863" s="529"/>
      <c r="Q863" s="529"/>
      <c r="R863" s="529"/>
      <c r="S863" s="529"/>
      <c r="T863" s="529"/>
      <c r="U863" s="529"/>
      <c r="V863" s="529"/>
      <c r="W863" s="529"/>
      <c r="X863" s="529"/>
      <c r="Y863" s="529"/>
      <c r="Z863" s="529"/>
      <c r="AA863" s="529"/>
      <c r="AB863" s="529"/>
      <c r="AC863" s="529"/>
      <c r="AD863" s="529"/>
      <c r="AE863" s="529"/>
      <c r="AF863" s="529"/>
      <c r="AG863" s="556"/>
      <c r="AH863" s="528"/>
    </row>
    <row r="864">
      <c r="A864" s="564"/>
      <c r="B864" s="565"/>
      <c r="C864" s="565"/>
      <c r="D864" s="565"/>
      <c r="E864" s="565"/>
      <c r="F864" s="565"/>
      <c r="G864" s="565"/>
      <c r="H864" s="565"/>
      <c r="I864" s="565"/>
      <c r="J864" s="565"/>
      <c r="K864" s="565"/>
      <c r="L864" s="565"/>
      <c r="M864" s="565"/>
      <c r="N864" s="529"/>
      <c r="O864" s="529"/>
      <c r="P864" s="529"/>
      <c r="Q864" s="529"/>
      <c r="R864" s="529"/>
      <c r="S864" s="529"/>
      <c r="T864" s="529"/>
      <c r="U864" s="529"/>
      <c r="V864" s="529"/>
      <c r="W864" s="529"/>
      <c r="X864" s="529"/>
      <c r="Y864" s="529"/>
      <c r="Z864" s="529"/>
      <c r="AA864" s="529"/>
      <c r="AB864" s="529"/>
      <c r="AC864" s="529"/>
      <c r="AD864" s="529"/>
      <c r="AE864" s="529"/>
      <c r="AF864" s="529"/>
      <c r="AG864" s="556"/>
      <c r="AH864" s="528"/>
    </row>
    <row r="865">
      <c r="A865" s="564"/>
      <c r="B865" s="565"/>
      <c r="C865" s="565"/>
      <c r="D865" s="565"/>
      <c r="E865" s="565"/>
      <c r="F865" s="565"/>
      <c r="G865" s="565"/>
      <c r="H865" s="565"/>
      <c r="I865" s="565"/>
      <c r="J865" s="565"/>
      <c r="K865" s="565"/>
      <c r="L865" s="565"/>
      <c r="M865" s="565"/>
      <c r="N865" s="529"/>
      <c r="O865" s="529"/>
      <c r="P865" s="529"/>
      <c r="Q865" s="529"/>
      <c r="R865" s="529"/>
      <c r="S865" s="529"/>
      <c r="T865" s="529"/>
      <c r="U865" s="529"/>
      <c r="V865" s="529"/>
      <c r="W865" s="529"/>
      <c r="X865" s="529"/>
      <c r="Y865" s="529"/>
      <c r="Z865" s="529"/>
      <c r="AA865" s="529"/>
      <c r="AB865" s="529"/>
      <c r="AC865" s="529"/>
      <c r="AD865" s="529"/>
      <c r="AE865" s="529"/>
      <c r="AF865" s="529"/>
      <c r="AG865" s="556"/>
      <c r="AH865" s="528"/>
    </row>
    <row r="866">
      <c r="A866" s="564"/>
      <c r="B866" s="565"/>
      <c r="C866" s="565"/>
      <c r="D866" s="565"/>
      <c r="E866" s="565"/>
      <c r="F866" s="565"/>
      <c r="G866" s="565"/>
      <c r="H866" s="565"/>
      <c r="I866" s="565"/>
      <c r="J866" s="565"/>
      <c r="K866" s="565"/>
      <c r="L866" s="565"/>
      <c r="M866" s="565"/>
      <c r="N866" s="529"/>
      <c r="O866" s="529"/>
      <c r="P866" s="529"/>
      <c r="Q866" s="529"/>
      <c r="R866" s="529"/>
      <c r="S866" s="529"/>
      <c r="T866" s="529"/>
      <c r="U866" s="529"/>
      <c r="V866" s="529"/>
      <c r="W866" s="529"/>
      <c r="X866" s="529"/>
      <c r="Y866" s="529"/>
      <c r="Z866" s="529"/>
      <c r="AA866" s="529"/>
      <c r="AB866" s="529"/>
      <c r="AC866" s="529"/>
      <c r="AD866" s="529"/>
      <c r="AE866" s="529"/>
      <c r="AF866" s="529"/>
      <c r="AG866" s="556"/>
      <c r="AH866" s="528"/>
    </row>
    <row r="867">
      <c r="A867" s="564"/>
      <c r="B867" s="565"/>
      <c r="C867" s="565"/>
      <c r="D867" s="565"/>
      <c r="E867" s="565"/>
      <c r="F867" s="565"/>
      <c r="G867" s="565"/>
      <c r="H867" s="565"/>
      <c r="I867" s="565"/>
      <c r="J867" s="565"/>
      <c r="K867" s="565"/>
      <c r="L867" s="565"/>
      <c r="M867" s="565"/>
      <c r="N867" s="529"/>
      <c r="O867" s="529"/>
      <c r="P867" s="529"/>
      <c r="Q867" s="529"/>
      <c r="R867" s="529"/>
      <c r="S867" s="529"/>
      <c r="T867" s="529"/>
      <c r="U867" s="529"/>
      <c r="V867" s="529"/>
      <c r="W867" s="529"/>
      <c r="X867" s="529"/>
      <c r="Y867" s="529"/>
      <c r="Z867" s="529"/>
      <c r="AA867" s="529"/>
      <c r="AB867" s="529"/>
      <c r="AC867" s="529"/>
      <c r="AD867" s="529"/>
      <c r="AE867" s="529"/>
      <c r="AF867" s="529"/>
      <c r="AG867" s="556"/>
      <c r="AH867" s="528"/>
    </row>
    <row r="868">
      <c r="A868" s="564"/>
      <c r="B868" s="565"/>
      <c r="C868" s="565"/>
      <c r="D868" s="565"/>
      <c r="E868" s="565"/>
      <c r="F868" s="565"/>
      <c r="G868" s="565"/>
      <c r="H868" s="565"/>
      <c r="I868" s="565"/>
      <c r="J868" s="565"/>
      <c r="K868" s="565"/>
      <c r="L868" s="565"/>
      <c r="M868" s="565"/>
      <c r="N868" s="529"/>
      <c r="O868" s="529"/>
      <c r="P868" s="529"/>
      <c r="Q868" s="529"/>
      <c r="R868" s="529"/>
      <c r="S868" s="529"/>
      <c r="T868" s="529"/>
      <c r="U868" s="529"/>
      <c r="V868" s="529"/>
      <c r="W868" s="529"/>
      <c r="X868" s="529"/>
      <c r="Y868" s="529"/>
      <c r="Z868" s="529"/>
      <c r="AA868" s="529"/>
      <c r="AB868" s="529"/>
      <c r="AC868" s="529"/>
      <c r="AD868" s="529"/>
      <c r="AE868" s="529"/>
      <c r="AF868" s="529"/>
      <c r="AG868" s="556"/>
      <c r="AH868" s="528"/>
    </row>
    <row r="869">
      <c r="A869" s="564"/>
      <c r="B869" s="565"/>
      <c r="C869" s="565"/>
      <c r="D869" s="565"/>
      <c r="E869" s="565"/>
      <c r="F869" s="565"/>
      <c r="G869" s="565"/>
      <c r="H869" s="565"/>
      <c r="I869" s="565"/>
      <c r="J869" s="565"/>
      <c r="K869" s="565"/>
      <c r="L869" s="565"/>
      <c r="M869" s="565"/>
      <c r="N869" s="529"/>
      <c r="O869" s="529"/>
      <c r="P869" s="529"/>
      <c r="Q869" s="529"/>
      <c r="R869" s="529"/>
      <c r="S869" s="529"/>
      <c r="T869" s="529"/>
      <c r="U869" s="529"/>
      <c r="V869" s="529"/>
      <c r="W869" s="529"/>
      <c r="X869" s="529"/>
      <c r="Y869" s="529"/>
      <c r="Z869" s="529"/>
      <c r="AA869" s="529"/>
      <c r="AB869" s="529"/>
      <c r="AC869" s="529"/>
      <c r="AD869" s="529"/>
      <c r="AE869" s="529"/>
      <c r="AF869" s="529"/>
      <c r="AG869" s="556"/>
      <c r="AH869" s="528"/>
    </row>
    <row r="870">
      <c r="A870" s="564"/>
      <c r="B870" s="565"/>
      <c r="C870" s="565"/>
      <c r="D870" s="565"/>
      <c r="E870" s="565"/>
      <c r="F870" s="565"/>
      <c r="G870" s="565"/>
      <c r="H870" s="565"/>
      <c r="I870" s="565"/>
      <c r="J870" s="565"/>
      <c r="K870" s="565"/>
      <c r="L870" s="565"/>
      <c r="M870" s="565"/>
      <c r="N870" s="529"/>
      <c r="O870" s="529"/>
      <c r="P870" s="529"/>
      <c r="Q870" s="529"/>
      <c r="R870" s="529"/>
      <c r="S870" s="529"/>
      <c r="T870" s="529"/>
      <c r="U870" s="529"/>
      <c r="V870" s="529"/>
      <c r="W870" s="529"/>
      <c r="X870" s="529"/>
      <c r="Y870" s="529"/>
      <c r="Z870" s="529"/>
      <c r="AA870" s="529"/>
      <c r="AB870" s="529"/>
      <c r="AC870" s="529"/>
      <c r="AD870" s="529"/>
      <c r="AE870" s="529"/>
      <c r="AF870" s="529"/>
      <c r="AG870" s="556"/>
      <c r="AH870" s="528"/>
    </row>
    <row r="871">
      <c r="A871" s="564"/>
      <c r="B871" s="565"/>
      <c r="C871" s="565"/>
      <c r="D871" s="565"/>
      <c r="E871" s="565"/>
      <c r="F871" s="565"/>
      <c r="G871" s="565"/>
      <c r="H871" s="565"/>
      <c r="I871" s="565"/>
      <c r="J871" s="565"/>
      <c r="K871" s="565"/>
      <c r="L871" s="565"/>
      <c r="M871" s="565"/>
      <c r="N871" s="529"/>
      <c r="O871" s="529"/>
      <c r="P871" s="529"/>
      <c r="Q871" s="529"/>
      <c r="R871" s="529"/>
      <c r="S871" s="529"/>
      <c r="T871" s="529"/>
      <c r="U871" s="529"/>
      <c r="V871" s="529"/>
      <c r="W871" s="529"/>
      <c r="X871" s="529"/>
      <c r="Y871" s="529"/>
      <c r="Z871" s="529"/>
      <c r="AA871" s="529"/>
      <c r="AB871" s="529"/>
      <c r="AC871" s="529"/>
      <c r="AD871" s="529"/>
      <c r="AE871" s="529"/>
      <c r="AF871" s="529"/>
      <c r="AG871" s="556"/>
      <c r="AH871" s="528"/>
    </row>
    <row r="872">
      <c r="A872" s="564"/>
      <c r="B872" s="565"/>
      <c r="C872" s="565"/>
      <c r="D872" s="565"/>
      <c r="E872" s="565"/>
      <c r="F872" s="565"/>
      <c r="G872" s="565"/>
      <c r="H872" s="565"/>
      <c r="I872" s="565"/>
      <c r="J872" s="565"/>
      <c r="K872" s="565"/>
      <c r="L872" s="565"/>
      <c r="M872" s="565"/>
      <c r="N872" s="529"/>
      <c r="O872" s="529"/>
      <c r="P872" s="529"/>
      <c r="Q872" s="529"/>
      <c r="R872" s="529"/>
      <c r="S872" s="529"/>
      <c r="T872" s="529"/>
      <c r="U872" s="529"/>
      <c r="V872" s="529"/>
      <c r="W872" s="529"/>
      <c r="X872" s="529"/>
      <c r="Y872" s="529"/>
      <c r="Z872" s="529"/>
      <c r="AA872" s="529"/>
      <c r="AB872" s="529"/>
      <c r="AC872" s="529"/>
      <c r="AD872" s="529"/>
      <c r="AE872" s="529"/>
      <c r="AF872" s="529"/>
      <c r="AG872" s="556"/>
      <c r="AH872" s="528"/>
    </row>
    <row r="873">
      <c r="A873" s="564"/>
      <c r="B873" s="565"/>
      <c r="C873" s="565"/>
      <c r="D873" s="565"/>
      <c r="E873" s="565"/>
      <c r="F873" s="565"/>
      <c r="G873" s="565"/>
      <c r="H873" s="565"/>
      <c r="I873" s="565"/>
      <c r="J873" s="565"/>
      <c r="K873" s="565"/>
      <c r="L873" s="565"/>
      <c r="M873" s="565"/>
      <c r="N873" s="529"/>
      <c r="O873" s="529"/>
      <c r="P873" s="529"/>
      <c r="Q873" s="529"/>
      <c r="R873" s="529"/>
      <c r="S873" s="529"/>
      <c r="T873" s="529"/>
      <c r="U873" s="529"/>
      <c r="V873" s="529"/>
      <c r="W873" s="529"/>
      <c r="X873" s="529"/>
      <c r="Y873" s="529"/>
      <c r="Z873" s="529"/>
      <c r="AA873" s="529"/>
      <c r="AB873" s="529"/>
      <c r="AC873" s="529"/>
      <c r="AD873" s="529"/>
      <c r="AE873" s="529"/>
      <c r="AF873" s="529"/>
      <c r="AG873" s="556"/>
      <c r="AH873" s="528"/>
    </row>
    <row r="874">
      <c r="A874" s="564"/>
      <c r="B874" s="565"/>
      <c r="C874" s="565"/>
      <c r="D874" s="565"/>
      <c r="E874" s="565"/>
      <c r="F874" s="565"/>
      <c r="G874" s="565"/>
      <c r="H874" s="565"/>
      <c r="I874" s="565"/>
      <c r="J874" s="565"/>
      <c r="K874" s="565"/>
      <c r="L874" s="565"/>
      <c r="M874" s="565"/>
      <c r="N874" s="529"/>
      <c r="O874" s="529"/>
      <c r="P874" s="529"/>
      <c r="Q874" s="529"/>
      <c r="R874" s="529"/>
      <c r="S874" s="529"/>
      <c r="T874" s="529"/>
      <c r="U874" s="529"/>
      <c r="V874" s="529"/>
      <c r="W874" s="529"/>
      <c r="X874" s="529"/>
      <c r="Y874" s="529"/>
      <c r="Z874" s="529"/>
      <c r="AA874" s="529"/>
      <c r="AB874" s="529"/>
      <c r="AC874" s="529"/>
      <c r="AD874" s="529"/>
      <c r="AE874" s="529"/>
      <c r="AF874" s="529"/>
      <c r="AG874" s="556"/>
      <c r="AH874" s="528"/>
    </row>
    <row r="875">
      <c r="A875" s="564"/>
      <c r="B875" s="565"/>
      <c r="C875" s="565"/>
      <c r="D875" s="565"/>
      <c r="E875" s="565"/>
      <c r="F875" s="565"/>
      <c r="G875" s="565"/>
      <c r="H875" s="565"/>
      <c r="I875" s="565"/>
      <c r="J875" s="565"/>
      <c r="K875" s="565"/>
      <c r="L875" s="565"/>
      <c r="M875" s="565"/>
      <c r="N875" s="529"/>
      <c r="O875" s="529"/>
      <c r="P875" s="529"/>
      <c r="Q875" s="529"/>
      <c r="R875" s="529"/>
      <c r="S875" s="529"/>
      <c r="T875" s="529"/>
      <c r="U875" s="529"/>
      <c r="V875" s="529"/>
      <c r="W875" s="529"/>
      <c r="X875" s="529"/>
      <c r="Y875" s="529"/>
      <c r="Z875" s="529"/>
      <c r="AA875" s="529"/>
      <c r="AB875" s="529"/>
      <c r="AC875" s="529"/>
      <c r="AD875" s="529"/>
      <c r="AE875" s="529"/>
      <c r="AF875" s="529"/>
      <c r="AG875" s="556"/>
      <c r="AH875" s="528"/>
    </row>
    <row r="876">
      <c r="A876" s="564"/>
      <c r="B876" s="565"/>
      <c r="C876" s="565"/>
      <c r="D876" s="565"/>
      <c r="E876" s="565"/>
      <c r="F876" s="565"/>
      <c r="G876" s="565"/>
      <c r="H876" s="565"/>
      <c r="I876" s="565"/>
      <c r="J876" s="565"/>
      <c r="K876" s="565"/>
      <c r="L876" s="565"/>
      <c r="M876" s="565"/>
      <c r="N876" s="529"/>
      <c r="O876" s="529"/>
      <c r="P876" s="529"/>
      <c r="Q876" s="529"/>
      <c r="R876" s="529"/>
      <c r="S876" s="529"/>
      <c r="T876" s="529"/>
      <c r="U876" s="529"/>
      <c r="V876" s="529"/>
      <c r="W876" s="529"/>
      <c r="X876" s="529"/>
      <c r="Y876" s="529"/>
      <c r="Z876" s="529"/>
      <c r="AA876" s="529"/>
      <c r="AB876" s="529"/>
      <c r="AC876" s="529"/>
      <c r="AD876" s="529"/>
      <c r="AE876" s="529"/>
      <c r="AF876" s="529"/>
      <c r="AG876" s="556"/>
      <c r="AH876" s="528"/>
    </row>
    <row r="877">
      <c r="A877" s="564"/>
      <c r="B877" s="565"/>
      <c r="C877" s="565"/>
      <c r="D877" s="565"/>
      <c r="E877" s="565"/>
      <c r="F877" s="565"/>
      <c r="G877" s="565"/>
      <c r="H877" s="565"/>
      <c r="I877" s="565"/>
      <c r="J877" s="565"/>
      <c r="K877" s="565"/>
      <c r="L877" s="565"/>
      <c r="M877" s="565"/>
      <c r="N877" s="529"/>
      <c r="O877" s="529"/>
      <c r="P877" s="529"/>
      <c r="Q877" s="529"/>
      <c r="R877" s="529"/>
      <c r="S877" s="529"/>
      <c r="T877" s="529"/>
      <c r="U877" s="529"/>
      <c r="V877" s="529"/>
      <c r="W877" s="529"/>
      <c r="X877" s="529"/>
      <c r="Y877" s="529"/>
      <c r="Z877" s="529"/>
      <c r="AA877" s="529"/>
      <c r="AB877" s="529"/>
      <c r="AC877" s="529"/>
      <c r="AD877" s="529"/>
      <c r="AE877" s="529"/>
      <c r="AF877" s="529"/>
      <c r="AG877" s="556"/>
      <c r="AH877" s="528"/>
    </row>
    <row r="878">
      <c r="A878" s="564"/>
      <c r="B878" s="565"/>
      <c r="C878" s="565"/>
      <c r="D878" s="565"/>
      <c r="E878" s="565"/>
      <c r="F878" s="565"/>
      <c r="G878" s="565"/>
      <c r="H878" s="565"/>
      <c r="I878" s="565"/>
      <c r="J878" s="565"/>
      <c r="K878" s="565"/>
      <c r="L878" s="565"/>
      <c r="M878" s="565"/>
      <c r="N878" s="529"/>
      <c r="O878" s="529"/>
      <c r="P878" s="529"/>
      <c r="Q878" s="529"/>
      <c r="R878" s="529"/>
      <c r="S878" s="529"/>
      <c r="T878" s="529"/>
      <c r="U878" s="529"/>
      <c r="V878" s="529"/>
      <c r="W878" s="529"/>
      <c r="X878" s="529"/>
      <c r="Y878" s="529"/>
      <c r="Z878" s="529"/>
      <c r="AA878" s="529"/>
      <c r="AB878" s="529"/>
      <c r="AC878" s="529"/>
      <c r="AD878" s="529"/>
      <c r="AE878" s="529"/>
      <c r="AF878" s="529"/>
      <c r="AG878" s="556"/>
      <c r="AH878" s="528"/>
    </row>
    <row r="879">
      <c r="A879" s="564"/>
      <c r="B879" s="565"/>
      <c r="C879" s="565"/>
      <c r="D879" s="565"/>
      <c r="E879" s="565"/>
      <c r="F879" s="565"/>
      <c r="G879" s="565"/>
      <c r="H879" s="565"/>
      <c r="I879" s="565"/>
      <c r="J879" s="565"/>
      <c r="K879" s="565"/>
      <c r="L879" s="565"/>
      <c r="M879" s="565"/>
      <c r="N879" s="529"/>
      <c r="O879" s="529"/>
      <c r="P879" s="529"/>
      <c r="Q879" s="529"/>
      <c r="R879" s="529"/>
      <c r="S879" s="529"/>
      <c r="T879" s="529"/>
      <c r="U879" s="529"/>
      <c r="V879" s="529"/>
      <c r="W879" s="529"/>
      <c r="X879" s="529"/>
      <c r="Y879" s="529"/>
      <c r="Z879" s="529"/>
      <c r="AA879" s="529"/>
      <c r="AB879" s="529"/>
      <c r="AC879" s="529"/>
      <c r="AD879" s="529"/>
      <c r="AE879" s="529"/>
      <c r="AF879" s="529"/>
      <c r="AG879" s="556"/>
      <c r="AH879" s="528"/>
    </row>
    <row r="880">
      <c r="A880" s="564"/>
      <c r="B880" s="565"/>
      <c r="C880" s="565"/>
      <c r="D880" s="565"/>
      <c r="E880" s="565"/>
      <c r="F880" s="565"/>
      <c r="G880" s="565"/>
      <c r="H880" s="565"/>
      <c r="I880" s="565"/>
      <c r="J880" s="565"/>
      <c r="K880" s="565"/>
      <c r="L880" s="565"/>
      <c r="M880" s="565"/>
      <c r="N880" s="529"/>
      <c r="O880" s="529"/>
      <c r="P880" s="529"/>
      <c r="Q880" s="529"/>
      <c r="R880" s="529"/>
      <c r="S880" s="529"/>
      <c r="T880" s="529"/>
      <c r="U880" s="529"/>
      <c r="V880" s="529"/>
      <c r="W880" s="529"/>
      <c r="X880" s="529"/>
      <c r="Y880" s="529"/>
      <c r="Z880" s="529"/>
      <c r="AA880" s="529"/>
      <c r="AB880" s="529"/>
      <c r="AC880" s="529"/>
      <c r="AD880" s="529"/>
      <c r="AE880" s="529"/>
      <c r="AF880" s="529"/>
      <c r="AG880" s="556"/>
      <c r="AH880" s="528"/>
    </row>
    <row r="881">
      <c r="A881" s="564"/>
      <c r="B881" s="565"/>
      <c r="C881" s="565"/>
      <c r="D881" s="565"/>
      <c r="E881" s="565"/>
      <c r="F881" s="565"/>
      <c r="G881" s="565"/>
      <c r="H881" s="565"/>
      <c r="I881" s="565"/>
      <c r="J881" s="565"/>
      <c r="K881" s="565"/>
      <c r="L881" s="565"/>
      <c r="M881" s="565"/>
      <c r="N881" s="529"/>
      <c r="O881" s="529"/>
      <c r="P881" s="529"/>
      <c r="Q881" s="529"/>
      <c r="R881" s="529"/>
      <c r="S881" s="529"/>
      <c r="T881" s="529"/>
      <c r="U881" s="529"/>
      <c r="V881" s="529"/>
      <c r="W881" s="529"/>
      <c r="X881" s="529"/>
      <c r="Y881" s="529"/>
      <c r="Z881" s="529"/>
      <c r="AA881" s="529"/>
      <c r="AB881" s="529"/>
      <c r="AC881" s="529"/>
      <c r="AD881" s="529"/>
      <c r="AE881" s="529"/>
      <c r="AF881" s="529"/>
      <c r="AG881" s="556"/>
      <c r="AH881" s="528"/>
    </row>
    <row r="882">
      <c r="A882" s="564"/>
      <c r="B882" s="565"/>
      <c r="C882" s="565"/>
      <c r="D882" s="565"/>
      <c r="E882" s="565"/>
      <c r="F882" s="565"/>
      <c r="G882" s="565"/>
      <c r="H882" s="565"/>
      <c r="I882" s="565"/>
      <c r="J882" s="565"/>
      <c r="K882" s="565"/>
      <c r="L882" s="565"/>
      <c r="M882" s="565"/>
      <c r="N882" s="529"/>
      <c r="O882" s="529"/>
      <c r="P882" s="529"/>
      <c r="Q882" s="529"/>
      <c r="R882" s="529"/>
      <c r="S882" s="529"/>
      <c r="T882" s="529"/>
      <c r="U882" s="529"/>
      <c r="V882" s="529"/>
      <c r="W882" s="529"/>
      <c r="X882" s="529"/>
      <c r="Y882" s="529"/>
      <c r="Z882" s="529"/>
      <c r="AA882" s="529"/>
      <c r="AB882" s="529"/>
      <c r="AC882" s="529"/>
      <c r="AD882" s="529"/>
      <c r="AE882" s="529"/>
      <c r="AF882" s="529"/>
      <c r="AG882" s="556"/>
      <c r="AH882" s="528"/>
    </row>
    <row r="883">
      <c r="A883" s="564"/>
      <c r="B883" s="565"/>
      <c r="C883" s="565"/>
      <c r="D883" s="565"/>
      <c r="E883" s="565"/>
      <c r="F883" s="565"/>
      <c r="G883" s="565"/>
      <c r="H883" s="565"/>
      <c r="I883" s="565"/>
      <c r="J883" s="565"/>
      <c r="K883" s="565"/>
      <c r="L883" s="565"/>
      <c r="M883" s="565"/>
      <c r="N883" s="529"/>
      <c r="O883" s="529"/>
      <c r="P883" s="529"/>
      <c r="Q883" s="529"/>
      <c r="R883" s="529"/>
      <c r="S883" s="529"/>
      <c r="T883" s="529"/>
      <c r="U883" s="529"/>
      <c r="V883" s="529"/>
      <c r="W883" s="529"/>
      <c r="X883" s="529"/>
      <c r="Y883" s="529"/>
      <c r="Z883" s="529"/>
      <c r="AA883" s="529"/>
      <c r="AB883" s="529"/>
      <c r="AC883" s="529"/>
      <c r="AD883" s="529"/>
      <c r="AE883" s="529"/>
      <c r="AF883" s="529"/>
      <c r="AG883" s="556"/>
      <c r="AH883" s="528"/>
    </row>
    <row r="884">
      <c r="A884" s="564"/>
      <c r="B884" s="565"/>
      <c r="C884" s="565"/>
      <c r="D884" s="565"/>
      <c r="E884" s="565"/>
      <c r="F884" s="565"/>
      <c r="G884" s="565"/>
      <c r="H884" s="565"/>
      <c r="I884" s="565"/>
      <c r="J884" s="565"/>
      <c r="K884" s="565"/>
      <c r="L884" s="565"/>
      <c r="M884" s="565"/>
      <c r="N884" s="529"/>
      <c r="O884" s="529"/>
      <c r="P884" s="529"/>
      <c r="Q884" s="529"/>
      <c r="R884" s="529"/>
      <c r="S884" s="529"/>
      <c r="T884" s="529"/>
      <c r="U884" s="529"/>
      <c r="V884" s="529"/>
      <c r="W884" s="529"/>
      <c r="X884" s="529"/>
      <c r="Y884" s="529"/>
      <c r="Z884" s="529"/>
      <c r="AA884" s="529"/>
      <c r="AB884" s="529"/>
      <c r="AC884" s="529"/>
      <c r="AD884" s="529"/>
      <c r="AE884" s="529"/>
      <c r="AF884" s="529"/>
      <c r="AG884" s="556"/>
      <c r="AH884" s="528"/>
    </row>
    <row r="885">
      <c r="A885" s="564"/>
      <c r="B885" s="565"/>
      <c r="C885" s="565"/>
      <c r="D885" s="565"/>
      <c r="E885" s="565"/>
      <c r="F885" s="565"/>
      <c r="G885" s="565"/>
      <c r="H885" s="565"/>
      <c r="I885" s="565"/>
      <c r="J885" s="565"/>
      <c r="K885" s="565"/>
      <c r="L885" s="565"/>
      <c r="M885" s="565"/>
      <c r="N885" s="529"/>
      <c r="O885" s="529"/>
      <c r="P885" s="529"/>
      <c r="Q885" s="529"/>
      <c r="R885" s="529"/>
      <c r="S885" s="529"/>
      <c r="T885" s="529"/>
      <c r="U885" s="529"/>
      <c r="V885" s="529"/>
      <c r="W885" s="529"/>
      <c r="X885" s="529"/>
      <c r="Y885" s="529"/>
      <c r="Z885" s="529"/>
      <c r="AA885" s="529"/>
      <c r="AB885" s="529"/>
      <c r="AC885" s="529"/>
      <c r="AD885" s="529"/>
      <c r="AE885" s="529"/>
      <c r="AF885" s="529"/>
      <c r="AG885" s="556"/>
      <c r="AH885" s="528"/>
    </row>
    <row r="886">
      <c r="A886" s="564"/>
      <c r="B886" s="565"/>
      <c r="C886" s="565"/>
      <c r="D886" s="565"/>
      <c r="E886" s="565"/>
      <c r="F886" s="565"/>
      <c r="G886" s="565"/>
      <c r="H886" s="565"/>
      <c r="I886" s="565"/>
      <c r="J886" s="565"/>
      <c r="K886" s="565"/>
      <c r="L886" s="565"/>
      <c r="M886" s="565"/>
      <c r="N886" s="529"/>
      <c r="O886" s="529"/>
      <c r="P886" s="529"/>
      <c r="Q886" s="529"/>
      <c r="R886" s="529"/>
      <c r="S886" s="529"/>
      <c r="T886" s="529"/>
      <c r="U886" s="529"/>
      <c r="V886" s="529"/>
      <c r="W886" s="529"/>
      <c r="X886" s="529"/>
      <c r="Y886" s="529"/>
      <c r="Z886" s="529"/>
      <c r="AA886" s="529"/>
      <c r="AB886" s="529"/>
      <c r="AC886" s="529"/>
      <c r="AD886" s="529"/>
      <c r="AE886" s="529"/>
      <c r="AF886" s="529"/>
      <c r="AG886" s="556"/>
      <c r="AH886" s="528"/>
    </row>
    <row r="887">
      <c r="A887" s="564"/>
      <c r="B887" s="565"/>
      <c r="C887" s="565"/>
      <c r="D887" s="565"/>
      <c r="E887" s="565"/>
      <c r="F887" s="565"/>
      <c r="G887" s="565"/>
      <c r="H887" s="565"/>
      <c r="I887" s="565"/>
      <c r="J887" s="565"/>
      <c r="K887" s="565"/>
      <c r="L887" s="565"/>
      <c r="M887" s="565"/>
      <c r="N887" s="529"/>
      <c r="O887" s="529"/>
      <c r="P887" s="529"/>
      <c r="Q887" s="529"/>
      <c r="R887" s="529"/>
      <c r="S887" s="529"/>
      <c r="T887" s="529"/>
      <c r="U887" s="529"/>
      <c r="V887" s="529"/>
      <c r="W887" s="529"/>
      <c r="X887" s="529"/>
      <c r="Y887" s="529"/>
      <c r="Z887" s="529"/>
      <c r="AA887" s="529"/>
      <c r="AB887" s="529"/>
      <c r="AC887" s="529"/>
      <c r="AD887" s="529"/>
      <c r="AE887" s="529"/>
      <c r="AF887" s="529"/>
      <c r="AG887" s="556"/>
      <c r="AH887" s="528"/>
    </row>
    <row r="888">
      <c r="A888" s="564"/>
      <c r="B888" s="565"/>
      <c r="C888" s="565"/>
      <c r="D888" s="565"/>
      <c r="E888" s="565"/>
      <c r="F888" s="565"/>
      <c r="G888" s="565"/>
      <c r="H888" s="565"/>
      <c r="I888" s="565"/>
      <c r="J888" s="565"/>
      <c r="K888" s="565"/>
      <c r="L888" s="565"/>
      <c r="M888" s="565"/>
      <c r="N888" s="529"/>
      <c r="O888" s="529"/>
      <c r="P888" s="529"/>
      <c r="Q888" s="529"/>
      <c r="R888" s="529"/>
      <c r="S888" s="529"/>
      <c r="T888" s="529"/>
      <c r="U888" s="529"/>
      <c r="V888" s="529"/>
      <c r="W888" s="529"/>
      <c r="X888" s="529"/>
      <c r="Y888" s="529"/>
      <c r="Z888" s="529"/>
      <c r="AA888" s="529"/>
      <c r="AB888" s="529"/>
      <c r="AC888" s="529"/>
      <c r="AD888" s="529"/>
      <c r="AE888" s="529"/>
      <c r="AF888" s="529"/>
      <c r="AG888" s="556"/>
      <c r="AH888" s="528"/>
    </row>
    <row r="889">
      <c r="A889" s="564"/>
      <c r="B889" s="565"/>
      <c r="C889" s="565"/>
      <c r="D889" s="565"/>
      <c r="E889" s="565"/>
      <c r="F889" s="565"/>
      <c r="G889" s="565"/>
      <c r="H889" s="565"/>
      <c r="I889" s="565"/>
      <c r="J889" s="565"/>
      <c r="K889" s="565"/>
      <c r="L889" s="565"/>
      <c r="M889" s="565"/>
      <c r="N889" s="529"/>
      <c r="O889" s="529"/>
      <c r="P889" s="529"/>
      <c r="Q889" s="529"/>
      <c r="R889" s="529"/>
      <c r="S889" s="529"/>
      <c r="T889" s="529"/>
      <c r="U889" s="529"/>
      <c r="V889" s="529"/>
      <c r="W889" s="529"/>
      <c r="X889" s="529"/>
      <c r="Y889" s="529"/>
      <c r="Z889" s="529"/>
      <c r="AA889" s="529"/>
      <c r="AB889" s="529"/>
      <c r="AC889" s="529"/>
      <c r="AD889" s="529"/>
      <c r="AE889" s="529"/>
      <c r="AF889" s="529"/>
      <c r="AG889" s="556"/>
      <c r="AH889" s="528"/>
    </row>
    <row r="890">
      <c r="A890" s="564"/>
      <c r="B890" s="565"/>
      <c r="C890" s="565"/>
      <c r="D890" s="565"/>
      <c r="E890" s="565"/>
      <c r="F890" s="565"/>
      <c r="G890" s="565"/>
      <c r="H890" s="565"/>
      <c r="I890" s="565"/>
      <c r="J890" s="565"/>
      <c r="K890" s="565"/>
      <c r="L890" s="565"/>
      <c r="M890" s="565"/>
      <c r="N890" s="529"/>
      <c r="O890" s="529"/>
      <c r="P890" s="529"/>
      <c r="Q890" s="529"/>
      <c r="R890" s="529"/>
      <c r="S890" s="529"/>
      <c r="T890" s="529"/>
      <c r="U890" s="529"/>
      <c r="V890" s="529"/>
      <c r="W890" s="529"/>
      <c r="X890" s="529"/>
      <c r="Y890" s="529"/>
      <c r="Z890" s="529"/>
      <c r="AA890" s="529"/>
      <c r="AB890" s="529"/>
      <c r="AC890" s="529"/>
      <c r="AD890" s="529"/>
      <c r="AE890" s="529"/>
      <c r="AF890" s="529"/>
      <c r="AG890" s="556"/>
      <c r="AH890" s="528"/>
    </row>
    <row r="891">
      <c r="A891" s="564"/>
      <c r="B891" s="565"/>
      <c r="C891" s="565"/>
      <c r="D891" s="565"/>
      <c r="E891" s="565"/>
      <c r="F891" s="565"/>
      <c r="G891" s="565"/>
      <c r="H891" s="565"/>
      <c r="I891" s="565"/>
      <c r="J891" s="565"/>
      <c r="K891" s="565"/>
      <c r="L891" s="565"/>
      <c r="M891" s="565"/>
      <c r="N891" s="529"/>
      <c r="O891" s="529"/>
      <c r="P891" s="529"/>
      <c r="Q891" s="529"/>
      <c r="R891" s="529"/>
      <c r="S891" s="529"/>
      <c r="T891" s="529"/>
      <c r="U891" s="529"/>
      <c r="V891" s="529"/>
      <c r="W891" s="529"/>
      <c r="X891" s="529"/>
      <c r="Y891" s="529"/>
      <c r="Z891" s="529"/>
      <c r="AA891" s="529"/>
      <c r="AB891" s="529"/>
      <c r="AC891" s="529"/>
      <c r="AD891" s="529"/>
      <c r="AE891" s="529"/>
      <c r="AF891" s="529"/>
      <c r="AG891" s="556"/>
      <c r="AH891" s="528"/>
    </row>
    <row r="892">
      <c r="A892" s="564"/>
      <c r="B892" s="565"/>
      <c r="C892" s="565"/>
      <c r="D892" s="565"/>
      <c r="E892" s="565"/>
      <c r="F892" s="565"/>
      <c r="G892" s="565"/>
      <c r="H892" s="565"/>
      <c r="I892" s="565"/>
      <c r="J892" s="565"/>
      <c r="K892" s="565"/>
      <c r="L892" s="565"/>
      <c r="M892" s="565"/>
      <c r="N892" s="529"/>
      <c r="O892" s="529"/>
      <c r="P892" s="529"/>
      <c r="Q892" s="529"/>
      <c r="R892" s="529"/>
      <c r="S892" s="529"/>
      <c r="T892" s="529"/>
      <c r="U892" s="529"/>
      <c r="V892" s="529"/>
      <c r="W892" s="529"/>
      <c r="X892" s="529"/>
      <c r="Y892" s="529"/>
      <c r="Z892" s="529"/>
      <c r="AA892" s="529"/>
      <c r="AB892" s="529"/>
      <c r="AC892" s="529"/>
      <c r="AD892" s="529"/>
      <c r="AE892" s="529"/>
      <c r="AF892" s="529"/>
      <c r="AG892" s="556"/>
      <c r="AH892" s="528"/>
    </row>
    <row r="893">
      <c r="A893" s="564"/>
      <c r="B893" s="565"/>
      <c r="C893" s="565"/>
      <c r="D893" s="565"/>
      <c r="E893" s="565"/>
      <c r="F893" s="565"/>
      <c r="G893" s="565"/>
      <c r="H893" s="565"/>
      <c r="I893" s="565"/>
      <c r="J893" s="565"/>
      <c r="K893" s="565"/>
      <c r="L893" s="565"/>
      <c r="M893" s="565"/>
      <c r="N893" s="529"/>
      <c r="O893" s="529"/>
      <c r="P893" s="529"/>
      <c r="Q893" s="529"/>
      <c r="R893" s="529"/>
      <c r="S893" s="529"/>
      <c r="T893" s="529"/>
      <c r="U893" s="529"/>
      <c r="V893" s="529"/>
      <c r="W893" s="529"/>
      <c r="X893" s="529"/>
      <c r="Y893" s="529"/>
      <c r="Z893" s="529"/>
      <c r="AA893" s="529"/>
      <c r="AB893" s="529"/>
      <c r="AC893" s="529"/>
      <c r="AD893" s="529"/>
      <c r="AE893" s="529"/>
      <c r="AF893" s="529"/>
      <c r="AG893" s="556"/>
      <c r="AH893" s="528"/>
    </row>
    <row r="894">
      <c r="A894" s="564"/>
      <c r="B894" s="565"/>
      <c r="C894" s="565"/>
      <c r="D894" s="565"/>
      <c r="E894" s="565"/>
      <c r="F894" s="565"/>
      <c r="G894" s="565"/>
      <c r="H894" s="565"/>
      <c r="I894" s="565"/>
      <c r="J894" s="565"/>
      <c r="K894" s="565"/>
      <c r="L894" s="565"/>
      <c r="M894" s="565"/>
      <c r="N894" s="529"/>
      <c r="O894" s="529"/>
      <c r="P894" s="529"/>
      <c r="Q894" s="529"/>
      <c r="R894" s="529"/>
      <c r="S894" s="529"/>
      <c r="T894" s="529"/>
      <c r="U894" s="529"/>
      <c r="V894" s="529"/>
      <c r="W894" s="529"/>
      <c r="X894" s="529"/>
      <c r="Y894" s="529"/>
      <c r="Z894" s="529"/>
      <c r="AA894" s="529"/>
      <c r="AB894" s="529"/>
      <c r="AC894" s="529"/>
      <c r="AD894" s="529"/>
      <c r="AE894" s="529"/>
      <c r="AF894" s="529"/>
      <c r="AG894" s="556"/>
      <c r="AH894" s="528"/>
    </row>
    <row r="895">
      <c r="A895" s="564"/>
      <c r="B895" s="565"/>
      <c r="C895" s="565"/>
      <c r="D895" s="565"/>
      <c r="E895" s="565"/>
      <c r="F895" s="565"/>
      <c r="G895" s="565"/>
      <c r="H895" s="565"/>
      <c r="I895" s="565"/>
      <c r="J895" s="565"/>
      <c r="K895" s="565"/>
      <c r="L895" s="565"/>
      <c r="M895" s="565"/>
      <c r="N895" s="529"/>
      <c r="O895" s="529"/>
      <c r="P895" s="529"/>
      <c r="Q895" s="529"/>
      <c r="R895" s="529"/>
      <c r="S895" s="529"/>
      <c r="T895" s="529"/>
      <c r="U895" s="529"/>
      <c r="V895" s="529"/>
      <c r="W895" s="529"/>
      <c r="X895" s="529"/>
      <c r="Y895" s="529"/>
      <c r="Z895" s="529"/>
      <c r="AA895" s="529"/>
      <c r="AB895" s="529"/>
      <c r="AC895" s="529"/>
      <c r="AD895" s="529"/>
      <c r="AE895" s="529"/>
      <c r="AF895" s="529"/>
      <c r="AG895" s="556"/>
      <c r="AH895" s="528"/>
    </row>
    <row r="896">
      <c r="A896" s="564"/>
      <c r="B896" s="565"/>
      <c r="C896" s="565"/>
      <c r="D896" s="565"/>
      <c r="E896" s="565"/>
      <c r="F896" s="565"/>
      <c r="G896" s="565"/>
      <c r="H896" s="565"/>
      <c r="I896" s="565"/>
      <c r="J896" s="565"/>
      <c r="K896" s="565"/>
      <c r="L896" s="565"/>
      <c r="M896" s="565"/>
      <c r="N896" s="529"/>
      <c r="O896" s="529"/>
      <c r="P896" s="529"/>
      <c r="Q896" s="529"/>
      <c r="R896" s="529"/>
      <c r="S896" s="529"/>
      <c r="T896" s="529"/>
      <c r="U896" s="529"/>
      <c r="V896" s="529"/>
      <c r="W896" s="529"/>
      <c r="X896" s="529"/>
      <c r="Y896" s="529"/>
      <c r="Z896" s="529"/>
      <c r="AA896" s="529"/>
      <c r="AB896" s="529"/>
      <c r="AC896" s="529"/>
      <c r="AD896" s="529"/>
      <c r="AE896" s="529"/>
      <c r="AF896" s="529"/>
      <c r="AG896" s="556"/>
      <c r="AH896" s="528"/>
    </row>
    <row r="897">
      <c r="A897" s="564"/>
      <c r="B897" s="565"/>
      <c r="C897" s="565"/>
      <c r="D897" s="565"/>
      <c r="E897" s="565"/>
      <c r="F897" s="565"/>
      <c r="G897" s="565"/>
      <c r="H897" s="565"/>
      <c r="I897" s="565"/>
      <c r="J897" s="565"/>
      <c r="K897" s="565"/>
      <c r="L897" s="565"/>
      <c r="M897" s="565"/>
      <c r="N897" s="529"/>
      <c r="O897" s="529"/>
      <c r="P897" s="529"/>
      <c r="Q897" s="529"/>
      <c r="R897" s="529"/>
      <c r="S897" s="529"/>
      <c r="T897" s="529"/>
      <c r="U897" s="529"/>
      <c r="V897" s="529"/>
      <c r="W897" s="529"/>
      <c r="X897" s="529"/>
      <c r="Y897" s="529"/>
      <c r="Z897" s="529"/>
      <c r="AA897" s="529"/>
      <c r="AB897" s="529"/>
      <c r="AC897" s="529"/>
      <c r="AD897" s="529"/>
      <c r="AE897" s="529"/>
      <c r="AF897" s="529"/>
      <c r="AG897" s="556"/>
      <c r="AH897" s="528"/>
    </row>
    <row r="898">
      <c r="A898" s="564"/>
      <c r="B898" s="565"/>
      <c r="C898" s="565"/>
      <c r="D898" s="565"/>
      <c r="E898" s="565"/>
      <c r="F898" s="565"/>
      <c r="G898" s="565"/>
      <c r="H898" s="565"/>
      <c r="I898" s="565"/>
      <c r="J898" s="565"/>
      <c r="K898" s="565"/>
      <c r="L898" s="565"/>
      <c r="M898" s="565"/>
      <c r="N898" s="529"/>
      <c r="O898" s="529"/>
      <c r="P898" s="529"/>
      <c r="Q898" s="529"/>
      <c r="R898" s="529"/>
      <c r="S898" s="529"/>
      <c r="T898" s="529"/>
      <c r="U898" s="529"/>
      <c r="V898" s="529"/>
      <c r="W898" s="529"/>
      <c r="X898" s="529"/>
      <c r="Y898" s="529"/>
      <c r="Z898" s="529"/>
      <c r="AA898" s="529"/>
      <c r="AB898" s="529"/>
      <c r="AC898" s="529"/>
      <c r="AD898" s="529"/>
      <c r="AE898" s="529"/>
      <c r="AF898" s="529"/>
      <c r="AG898" s="556"/>
      <c r="AH898" s="528"/>
    </row>
    <row r="899">
      <c r="A899" s="564"/>
      <c r="B899" s="565"/>
      <c r="C899" s="565"/>
      <c r="D899" s="565"/>
      <c r="E899" s="565"/>
      <c r="F899" s="565"/>
      <c r="G899" s="565"/>
      <c r="H899" s="565"/>
      <c r="I899" s="565"/>
      <c r="J899" s="565"/>
      <c r="K899" s="565"/>
      <c r="L899" s="565"/>
      <c r="M899" s="565"/>
      <c r="N899" s="529"/>
      <c r="O899" s="529"/>
      <c r="P899" s="529"/>
      <c r="Q899" s="529"/>
      <c r="R899" s="529"/>
      <c r="S899" s="529"/>
      <c r="T899" s="529"/>
      <c r="U899" s="529"/>
      <c r="V899" s="529"/>
      <c r="W899" s="529"/>
      <c r="X899" s="529"/>
      <c r="Y899" s="529"/>
      <c r="Z899" s="529"/>
      <c r="AA899" s="529"/>
      <c r="AB899" s="529"/>
      <c r="AC899" s="529"/>
      <c r="AD899" s="529"/>
      <c r="AE899" s="529"/>
      <c r="AF899" s="529"/>
      <c r="AG899" s="556"/>
      <c r="AH899" s="528"/>
    </row>
    <row r="900">
      <c r="A900" s="564"/>
      <c r="B900" s="565"/>
      <c r="C900" s="565"/>
      <c r="D900" s="565"/>
      <c r="E900" s="565"/>
      <c r="F900" s="565"/>
      <c r="G900" s="565"/>
      <c r="H900" s="565"/>
      <c r="I900" s="565"/>
      <c r="J900" s="565"/>
      <c r="K900" s="565"/>
      <c r="L900" s="565"/>
      <c r="M900" s="565"/>
      <c r="N900" s="529"/>
      <c r="O900" s="529"/>
      <c r="P900" s="529"/>
      <c r="Q900" s="529"/>
      <c r="R900" s="529"/>
      <c r="S900" s="529"/>
      <c r="T900" s="529"/>
      <c r="U900" s="529"/>
      <c r="V900" s="529"/>
      <c r="W900" s="529"/>
      <c r="X900" s="529"/>
      <c r="Y900" s="529"/>
      <c r="Z900" s="529"/>
      <c r="AA900" s="529"/>
      <c r="AB900" s="529"/>
      <c r="AC900" s="529"/>
      <c r="AD900" s="529"/>
      <c r="AE900" s="529"/>
      <c r="AF900" s="529"/>
      <c r="AG900" s="556"/>
      <c r="AH900" s="528"/>
    </row>
    <row r="901">
      <c r="A901" s="564"/>
      <c r="B901" s="565"/>
      <c r="C901" s="565"/>
      <c r="D901" s="565"/>
      <c r="E901" s="565"/>
      <c r="F901" s="565"/>
      <c r="G901" s="565"/>
      <c r="H901" s="565"/>
      <c r="I901" s="565"/>
      <c r="J901" s="565"/>
      <c r="K901" s="565"/>
      <c r="L901" s="565"/>
      <c r="M901" s="565"/>
      <c r="N901" s="529"/>
      <c r="O901" s="529"/>
      <c r="P901" s="529"/>
      <c r="Q901" s="529"/>
      <c r="R901" s="529"/>
      <c r="S901" s="529"/>
      <c r="T901" s="529"/>
      <c r="U901" s="529"/>
      <c r="V901" s="529"/>
      <c r="W901" s="529"/>
      <c r="X901" s="529"/>
      <c r="Y901" s="529"/>
      <c r="Z901" s="529"/>
      <c r="AA901" s="529"/>
      <c r="AB901" s="529"/>
      <c r="AC901" s="529"/>
      <c r="AD901" s="529"/>
      <c r="AE901" s="529"/>
      <c r="AF901" s="529"/>
      <c r="AG901" s="556"/>
      <c r="AH901" s="528"/>
    </row>
    <row r="902">
      <c r="A902" s="564"/>
      <c r="B902" s="565"/>
      <c r="C902" s="565"/>
      <c r="D902" s="565"/>
      <c r="E902" s="565"/>
      <c r="F902" s="565"/>
      <c r="G902" s="565"/>
      <c r="H902" s="565"/>
      <c r="I902" s="565"/>
      <c r="J902" s="565"/>
      <c r="K902" s="565"/>
      <c r="L902" s="565"/>
      <c r="M902" s="565"/>
      <c r="N902" s="529"/>
      <c r="O902" s="529"/>
      <c r="P902" s="529"/>
      <c r="Q902" s="529"/>
      <c r="R902" s="529"/>
      <c r="S902" s="529"/>
      <c r="T902" s="529"/>
      <c r="U902" s="529"/>
      <c r="V902" s="529"/>
      <c r="W902" s="529"/>
      <c r="X902" s="529"/>
      <c r="Y902" s="529"/>
      <c r="Z902" s="529"/>
      <c r="AA902" s="529"/>
      <c r="AB902" s="529"/>
      <c r="AC902" s="529"/>
      <c r="AD902" s="529"/>
      <c r="AE902" s="529"/>
      <c r="AF902" s="529"/>
      <c r="AG902" s="556"/>
      <c r="AH902" s="528"/>
    </row>
    <row r="903">
      <c r="A903" s="564"/>
      <c r="B903" s="565"/>
      <c r="C903" s="565"/>
      <c r="D903" s="565"/>
      <c r="E903" s="565"/>
      <c r="F903" s="565"/>
      <c r="G903" s="565"/>
      <c r="H903" s="565"/>
      <c r="I903" s="565"/>
      <c r="J903" s="565"/>
      <c r="K903" s="565"/>
      <c r="L903" s="565"/>
      <c r="M903" s="565"/>
      <c r="N903" s="529"/>
      <c r="O903" s="529"/>
      <c r="P903" s="529"/>
      <c r="Q903" s="529"/>
      <c r="R903" s="529"/>
      <c r="S903" s="529"/>
      <c r="T903" s="529"/>
      <c r="U903" s="529"/>
      <c r="V903" s="529"/>
      <c r="W903" s="529"/>
      <c r="X903" s="529"/>
      <c r="Y903" s="529"/>
      <c r="Z903" s="529"/>
      <c r="AA903" s="529"/>
      <c r="AB903" s="529"/>
      <c r="AC903" s="529"/>
      <c r="AD903" s="529"/>
      <c r="AE903" s="529"/>
      <c r="AF903" s="529"/>
      <c r="AG903" s="556"/>
      <c r="AH903" s="528"/>
    </row>
    <row r="904">
      <c r="A904" s="564"/>
      <c r="B904" s="565"/>
      <c r="C904" s="565"/>
      <c r="D904" s="565"/>
      <c r="E904" s="565"/>
      <c r="F904" s="565"/>
      <c r="G904" s="565"/>
      <c r="H904" s="565"/>
      <c r="I904" s="565"/>
      <c r="J904" s="565"/>
      <c r="K904" s="565"/>
      <c r="L904" s="565"/>
      <c r="M904" s="565"/>
      <c r="N904" s="529"/>
      <c r="O904" s="529"/>
      <c r="P904" s="529"/>
      <c r="Q904" s="529"/>
      <c r="R904" s="529"/>
      <c r="S904" s="529"/>
      <c r="T904" s="529"/>
      <c r="U904" s="529"/>
      <c r="V904" s="529"/>
      <c r="W904" s="529"/>
      <c r="X904" s="529"/>
      <c r="Y904" s="529"/>
      <c r="Z904" s="529"/>
      <c r="AA904" s="529"/>
      <c r="AB904" s="529"/>
      <c r="AC904" s="529"/>
      <c r="AD904" s="529"/>
      <c r="AE904" s="529"/>
      <c r="AF904" s="529"/>
      <c r="AG904" s="556"/>
      <c r="AH904" s="528"/>
    </row>
    <row r="905">
      <c r="A905" s="564"/>
      <c r="B905" s="565"/>
      <c r="C905" s="565"/>
      <c r="D905" s="565"/>
      <c r="E905" s="565"/>
      <c r="F905" s="565"/>
      <c r="G905" s="565"/>
      <c r="H905" s="565"/>
      <c r="I905" s="565"/>
      <c r="J905" s="565"/>
      <c r="K905" s="565"/>
      <c r="L905" s="565"/>
      <c r="M905" s="565"/>
      <c r="N905" s="529"/>
      <c r="O905" s="529"/>
      <c r="P905" s="529"/>
      <c r="Q905" s="529"/>
      <c r="R905" s="529"/>
      <c r="S905" s="529"/>
      <c r="T905" s="529"/>
      <c r="U905" s="529"/>
      <c r="V905" s="529"/>
      <c r="W905" s="529"/>
      <c r="X905" s="529"/>
      <c r="Y905" s="529"/>
      <c r="Z905" s="529"/>
      <c r="AA905" s="529"/>
      <c r="AB905" s="529"/>
      <c r="AC905" s="529"/>
      <c r="AD905" s="529"/>
      <c r="AE905" s="529"/>
      <c r="AF905" s="529"/>
      <c r="AG905" s="556"/>
      <c r="AH905" s="528"/>
    </row>
    <row r="906">
      <c r="A906" s="564"/>
      <c r="B906" s="565"/>
      <c r="C906" s="565"/>
      <c r="D906" s="565"/>
      <c r="E906" s="565"/>
      <c r="F906" s="565"/>
      <c r="G906" s="565"/>
      <c r="H906" s="565"/>
      <c r="I906" s="565"/>
      <c r="J906" s="565"/>
      <c r="K906" s="565"/>
      <c r="L906" s="565"/>
      <c r="M906" s="565"/>
      <c r="N906" s="529"/>
      <c r="O906" s="529"/>
      <c r="P906" s="529"/>
      <c r="Q906" s="529"/>
      <c r="R906" s="529"/>
      <c r="S906" s="529"/>
      <c r="T906" s="529"/>
      <c r="U906" s="529"/>
      <c r="V906" s="529"/>
      <c r="W906" s="529"/>
      <c r="X906" s="529"/>
      <c r="Y906" s="529"/>
      <c r="Z906" s="529"/>
      <c r="AA906" s="529"/>
      <c r="AB906" s="529"/>
      <c r="AC906" s="529"/>
      <c r="AD906" s="529"/>
      <c r="AE906" s="529"/>
      <c r="AF906" s="529"/>
      <c r="AG906" s="556"/>
      <c r="AH906" s="528"/>
    </row>
    <row r="907">
      <c r="A907" s="564"/>
      <c r="B907" s="565"/>
      <c r="C907" s="565"/>
      <c r="D907" s="565"/>
      <c r="E907" s="565"/>
      <c r="F907" s="565"/>
      <c r="G907" s="565"/>
      <c r="H907" s="565"/>
      <c r="I907" s="565"/>
      <c r="J907" s="565"/>
      <c r="K907" s="565"/>
      <c r="L907" s="565"/>
      <c r="M907" s="565"/>
      <c r="N907" s="529"/>
      <c r="O907" s="529"/>
      <c r="P907" s="529"/>
      <c r="Q907" s="529"/>
      <c r="R907" s="529"/>
      <c r="S907" s="529"/>
      <c r="T907" s="529"/>
      <c r="U907" s="529"/>
      <c r="V907" s="529"/>
      <c r="W907" s="529"/>
      <c r="X907" s="529"/>
      <c r="Y907" s="529"/>
      <c r="Z907" s="529"/>
      <c r="AA907" s="529"/>
      <c r="AB907" s="529"/>
      <c r="AC907" s="529"/>
      <c r="AD907" s="529"/>
      <c r="AE907" s="529"/>
      <c r="AF907" s="529"/>
      <c r="AG907" s="556"/>
      <c r="AH907" s="528"/>
    </row>
    <row r="908">
      <c r="A908" s="564"/>
      <c r="B908" s="565"/>
      <c r="C908" s="565"/>
      <c r="D908" s="565"/>
      <c r="E908" s="565"/>
      <c r="F908" s="565"/>
      <c r="G908" s="565"/>
      <c r="H908" s="565"/>
      <c r="I908" s="565"/>
      <c r="J908" s="565"/>
      <c r="K908" s="565"/>
      <c r="L908" s="565"/>
      <c r="M908" s="565"/>
      <c r="N908" s="529"/>
      <c r="O908" s="529"/>
      <c r="P908" s="529"/>
      <c r="Q908" s="529"/>
      <c r="R908" s="529"/>
      <c r="S908" s="529"/>
      <c r="T908" s="529"/>
      <c r="U908" s="529"/>
      <c r="V908" s="529"/>
      <c r="W908" s="529"/>
      <c r="X908" s="529"/>
      <c r="Y908" s="529"/>
      <c r="Z908" s="529"/>
      <c r="AA908" s="529"/>
      <c r="AB908" s="529"/>
      <c r="AC908" s="529"/>
      <c r="AD908" s="529"/>
      <c r="AE908" s="529"/>
      <c r="AF908" s="529"/>
      <c r="AG908" s="556"/>
      <c r="AH908" s="528"/>
    </row>
    <row r="909">
      <c r="A909" s="564"/>
      <c r="B909" s="565"/>
      <c r="C909" s="565"/>
      <c r="D909" s="565"/>
      <c r="E909" s="565"/>
      <c r="F909" s="565"/>
      <c r="G909" s="565"/>
      <c r="H909" s="565"/>
      <c r="I909" s="565"/>
      <c r="J909" s="565"/>
      <c r="K909" s="565"/>
      <c r="L909" s="565"/>
      <c r="M909" s="565"/>
      <c r="N909" s="529"/>
      <c r="O909" s="529"/>
      <c r="P909" s="529"/>
      <c r="Q909" s="529"/>
      <c r="R909" s="529"/>
      <c r="S909" s="529"/>
      <c r="T909" s="529"/>
      <c r="U909" s="529"/>
      <c r="V909" s="529"/>
      <c r="W909" s="529"/>
      <c r="X909" s="529"/>
      <c r="Y909" s="529"/>
      <c r="Z909" s="529"/>
      <c r="AA909" s="529"/>
      <c r="AB909" s="529"/>
      <c r="AC909" s="529"/>
      <c r="AD909" s="529"/>
      <c r="AE909" s="529"/>
      <c r="AF909" s="529"/>
      <c r="AG909" s="556"/>
      <c r="AH909" s="528"/>
    </row>
    <row r="910">
      <c r="A910" s="564"/>
      <c r="B910" s="565"/>
      <c r="C910" s="565"/>
      <c r="D910" s="565"/>
      <c r="E910" s="565"/>
      <c r="F910" s="565"/>
      <c r="G910" s="565"/>
      <c r="H910" s="565"/>
      <c r="I910" s="565"/>
      <c r="J910" s="565"/>
      <c r="K910" s="565"/>
      <c r="L910" s="565"/>
      <c r="M910" s="565"/>
      <c r="N910" s="529"/>
      <c r="O910" s="529"/>
      <c r="P910" s="529"/>
      <c r="Q910" s="529"/>
      <c r="R910" s="529"/>
      <c r="S910" s="529"/>
      <c r="T910" s="529"/>
      <c r="U910" s="529"/>
      <c r="V910" s="529"/>
      <c r="W910" s="529"/>
      <c r="X910" s="529"/>
      <c r="Y910" s="529"/>
      <c r="Z910" s="529"/>
      <c r="AA910" s="529"/>
      <c r="AB910" s="529"/>
      <c r="AC910" s="529"/>
      <c r="AD910" s="529"/>
      <c r="AE910" s="529"/>
      <c r="AF910" s="529"/>
      <c r="AG910" s="556"/>
      <c r="AH910" s="528"/>
    </row>
    <row r="911">
      <c r="A911" s="564"/>
      <c r="B911" s="565"/>
      <c r="C911" s="565"/>
      <c r="D911" s="565"/>
      <c r="E911" s="565"/>
      <c r="F911" s="565"/>
      <c r="G911" s="565"/>
      <c r="H911" s="565"/>
      <c r="I911" s="565"/>
      <c r="J911" s="565"/>
      <c r="K911" s="565"/>
      <c r="L911" s="565"/>
      <c r="M911" s="565"/>
      <c r="N911" s="529"/>
      <c r="O911" s="529"/>
      <c r="P911" s="529"/>
      <c r="Q911" s="529"/>
      <c r="R911" s="529"/>
      <c r="S911" s="529"/>
      <c r="T911" s="529"/>
      <c r="U911" s="529"/>
      <c r="V911" s="529"/>
      <c r="W911" s="529"/>
      <c r="X911" s="529"/>
      <c r="Y911" s="529"/>
      <c r="Z911" s="529"/>
      <c r="AA911" s="529"/>
      <c r="AB911" s="529"/>
      <c r="AC911" s="529"/>
      <c r="AD911" s="529"/>
      <c r="AE911" s="529"/>
      <c r="AF911" s="529"/>
      <c r="AG911" s="556"/>
      <c r="AH911" s="528"/>
    </row>
    <row r="912">
      <c r="A912" s="564"/>
      <c r="B912" s="565"/>
      <c r="C912" s="565"/>
      <c r="D912" s="565"/>
      <c r="E912" s="565"/>
      <c r="F912" s="565"/>
      <c r="G912" s="565"/>
      <c r="H912" s="565"/>
      <c r="I912" s="565"/>
      <c r="J912" s="565"/>
      <c r="K912" s="565"/>
      <c r="L912" s="565"/>
      <c r="M912" s="565"/>
      <c r="N912" s="529"/>
      <c r="O912" s="529"/>
      <c r="P912" s="529"/>
      <c r="Q912" s="529"/>
      <c r="R912" s="529"/>
      <c r="S912" s="529"/>
      <c r="T912" s="529"/>
      <c r="U912" s="529"/>
      <c r="V912" s="529"/>
      <c r="W912" s="529"/>
      <c r="X912" s="529"/>
      <c r="Y912" s="529"/>
      <c r="Z912" s="529"/>
      <c r="AA912" s="529"/>
      <c r="AB912" s="529"/>
      <c r="AC912" s="529"/>
      <c r="AD912" s="529"/>
      <c r="AE912" s="529"/>
      <c r="AF912" s="529"/>
      <c r="AG912" s="556"/>
      <c r="AH912" s="528"/>
    </row>
    <row r="913">
      <c r="A913" s="564"/>
      <c r="B913" s="565"/>
      <c r="C913" s="565"/>
      <c r="D913" s="565"/>
      <c r="E913" s="565"/>
      <c r="F913" s="565"/>
      <c r="G913" s="565"/>
      <c r="H913" s="565"/>
      <c r="I913" s="565"/>
      <c r="J913" s="565"/>
      <c r="K913" s="565"/>
      <c r="L913" s="565"/>
      <c r="M913" s="565"/>
      <c r="N913" s="529"/>
      <c r="O913" s="529"/>
      <c r="P913" s="529"/>
      <c r="Q913" s="529"/>
      <c r="R913" s="529"/>
      <c r="S913" s="529"/>
      <c r="T913" s="529"/>
      <c r="U913" s="529"/>
      <c r="V913" s="529"/>
      <c r="W913" s="529"/>
      <c r="X913" s="529"/>
      <c r="Y913" s="529"/>
      <c r="Z913" s="529"/>
      <c r="AA913" s="529"/>
      <c r="AB913" s="529"/>
      <c r="AC913" s="529"/>
      <c r="AD913" s="529"/>
      <c r="AE913" s="529"/>
      <c r="AF913" s="529"/>
      <c r="AG913" s="556"/>
      <c r="AH913" s="528"/>
    </row>
    <row r="914">
      <c r="A914" s="564"/>
      <c r="B914" s="565"/>
      <c r="C914" s="565"/>
      <c r="D914" s="565"/>
      <c r="E914" s="565"/>
      <c r="F914" s="565"/>
      <c r="G914" s="565"/>
      <c r="H914" s="565"/>
      <c r="I914" s="565"/>
      <c r="J914" s="565"/>
      <c r="K914" s="565"/>
      <c r="L914" s="565"/>
      <c r="M914" s="565"/>
      <c r="N914" s="529"/>
      <c r="O914" s="529"/>
      <c r="P914" s="529"/>
      <c r="Q914" s="529"/>
      <c r="R914" s="529"/>
      <c r="S914" s="529"/>
      <c r="T914" s="529"/>
      <c r="U914" s="529"/>
      <c r="V914" s="529"/>
      <c r="W914" s="529"/>
      <c r="X914" s="529"/>
      <c r="Y914" s="529"/>
      <c r="Z914" s="529"/>
      <c r="AA914" s="529"/>
      <c r="AB914" s="529"/>
      <c r="AC914" s="529"/>
      <c r="AD914" s="529"/>
      <c r="AE914" s="529"/>
      <c r="AF914" s="529"/>
      <c r="AG914" s="556"/>
      <c r="AH914" s="528"/>
    </row>
    <row r="915">
      <c r="A915" s="564"/>
      <c r="B915" s="565"/>
      <c r="C915" s="565"/>
      <c r="D915" s="565"/>
      <c r="E915" s="565"/>
      <c r="F915" s="565"/>
      <c r="G915" s="565"/>
      <c r="H915" s="565"/>
      <c r="I915" s="565"/>
      <c r="J915" s="565"/>
      <c r="K915" s="565"/>
      <c r="L915" s="565"/>
      <c r="M915" s="565"/>
      <c r="N915" s="529"/>
      <c r="O915" s="529"/>
      <c r="P915" s="529"/>
      <c r="Q915" s="529"/>
      <c r="R915" s="529"/>
      <c r="S915" s="529"/>
      <c r="T915" s="529"/>
      <c r="U915" s="529"/>
      <c r="V915" s="529"/>
      <c r="W915" s="529"/>
      <c r="X915" s="529"/>
      <c r="Y915" s="529"/>
      <c r="Z915" s="529"/>
      <c r="AA915" s="529"/>
      <c r="AB915" s="529"/>
      <c r="AC915" s="529"/>
      <c r="AD915" s="529"/>
      <c r="AE915" s="529"/>
      <c r="AF915" s="529"/>
      <c r="AG915" s="556"/>
      <c r="AH915" s="528"/>
    </row>
    <row r="916">
      <c r="A916" s="564"/>
      <c r="B916" s="565"/>
      <c r="C916" s="565"/>
      <c r="D916" s="565"/>
      <c r="E916" s="565"/>
      <c r="F916" s="565"/>
      <c r="G916" s="565"/>
      <c r="H916" s="565"/>
      <c r="I916" s="565"/>
      <c r="J916" s="565"/>
      <c r="K916" s="565"/>
      <c r="L916" s="565"/>
      <c r="M916" s="565"/>
      <c r="N916" s="529"/>
      <c r="O916" s="529"/>
      <c r="P916" s="529"/>
      <c r="Q916" s="529"/>
      <c r="R916" s="529"/>
      <c r="S916" s="529"/>
      <c r="T916" s="529"/>
      <c r="U916" s="529"/>
      <c r="V916" s="529"/>
      <c r="W916" s="529"/>
      <c r="X916" s="529"/>
      <c r="Y916" s="529"/>
      <c r="Z916" s="529"/>
      <c r="AA916" s="529"/>
      <c r="AB916" s="529"/>
      <c r="AC916" s="529"/>
      <c r="AD916" s="529"/>
      <c r="AE916" s="529"/>
      <c r="AF916" s="529"/>
      <c r="AG916" s="556"/>
      <c r="AH916" s="528"/>
    </row>
    <row r="917">
      <c r="A917" s="564"/>
      <c r="B917" s="565"/>
      <c r="C917" s="565"/>
      <c r="D917" s="565"/>
      <c r="E917" s="565"/>
      <c r="F917" s="565"/>
      <c r="G917" s="565"/>
      <c r="H917" s="565"/>
      <c r="I917" s="565"/>
      <c r="J917" s="565"/>
      <c r="K917" s="565"/>
      <c r="L917" s="565"/>
      <c r="M917" s="565"/>
      <c r="N917" s="529"/>
      <c r="O917" s="529"/>
      <c r="P917" s="529"/>
      <c r="Q917" s="529"/>
      <c r="R917" s="529"/>
      <c r="S917" s="529"/>
      <c r="T917" s="529"/>
      <c r="U917" s="529"/>
      <c r="V917" s="529"/>
      <c r="W917" s="529"/>
      <c r="X917" s="529"/>
      <c r="Y917" s="529"/>
      <c r="Z917" s="529"/>
      <c r="AA917" s="529"/>
      <c r="AB917" s="529"/>
      <c r="AC917" s="529"/>
      <c r="AD917" s="529"/>
      <c r="AE917" s="529"/>
      <c r="AF917" s="529"/>
      <c r="AG917" s="556"/>
      <c r="AH917" s="528"/>
    </row>
    <row r="918">
      <c r="A918" s="564"/>
      <c r="B918" s="565"/>
      <c r="C918" s="565"/>
      <c r="D918" s="565"/>
      <c r="E918" s="565"/>
      <c r="F918" s="565"/>
      <c r="G918" s="565"/>
      <c r="H918" s="565"/>
      <c r="I918" s="565"/>
      <c r="J918" s="565"/>
      <c r="K918" s="565"/>
      <c r="L918" s="565"/>
      <c r="M918" s="565"/>
      <c r="N918" s="529"/>
      <c r="O918" s="529"/>
      <c r="P918" s="529"/>
      <c r="Q918" s="529"/>
      <c r="R918" s="529"/>
      <c r="S918" s="529"/>
      <c r="T918" s="529"/>
      <c r="U918" s="529"/>
      <c r="V918" s="529"/>
      <c r="W918" s="529"/>
      <c r="X918" s="529"/>
      <c r="Y918" s="529"/>
      <c r="Z918" s="529"/>
      <c r="AA918" s="529"/>
      <c r="AB918" s="529"/>
      <c r="AC918" s="529"/>
      <c r="AD918" s="529"/>
      <c r="AE918" s="529"/>
      <c r="AF918" s="529"/>
      <c r="AG918" s="556"/>
      <c r="AH918" s="528"/>
    </row>
    <row r="919">
      <c r="A919" s="564"/>
      <c r="B919" s="565"/>
      <c r="C919" s="565"/>
      <c r="D919" s="565"/>
      <c r="E919" s="565"/>
      <c r="F919" s="565"/>
      <c r="G919" s="565"/>
      <c r="H919" s="565"/>
      <c r="I919" s="565"/>
      <c r="J919" s="565"/>
      <c r="K919" s="565"/>
      <c r="L919" s="565"/>
      <c r="M919" s="565"/>
      <c r="N919" s="529"/>
      <c r="O919" s="529"/>
      <c r="P919" s="529"/>
      <c r="Q919" s="529"/>
      <c r="R919" s="529"/>
      <c r="S919" s="529"/>
      <c r="T919" s="529"/>
      <c r="U919" s="529"/>
      <c r="V919" s="529"/>
      <c r="W919" s="529"/>
      <c r="X919" s="529"/>
      <c r="Y919" s="529"/>
      <c r="Z919" s="529"/>
      <c r="AA919" s="529"/>
      <c r="AB919" s="529"/>
      <c r="AC919" s="529"/>
      <c r="AD919" s="529"/>
      <c r="AE919" s="529"/>
      <c r="AF919" s="529"/>
      <c r="AG919" s="556"/>
      <c r="AH919" s="528"/>
    </row>
    <row r="920">
      <c r="A920" s="564"/>
      <c r="B920" s="565"/>
      <c r="C920" s="565"/>
      <c r="D920" s="565"/>
      <c r="E920" s="565"/>
      <c r="F920" s="565"/>
      <c r="G920" s="565"/>
      <c r="H920" s="565"/>
      <c r="I920" s="565"/>
      <c r="J920" s="565"/>
      <c r="K920" s="565"/>
      <c r="L920" s="565"/>
      <c r="M920" s="565"/>
      <c r="N920" s="529"/>
      <c r="O920" s="529"/>
      <c r="P920" s="529"/>
      <c r="Q920" s="529"/>
      <c r="R920" s="529"/>
      <c r="S920" s="529"/>
      <c r="T920" s="529"/>
      <c r="U920" s="529"/>
      <c r="V920" s="529"/>
      <c r="W920" s="529"/>
      <c r="X920" s="529"/>
      <c r="Y920" s="529"/>
      <c r="Z920" s="529"/>
      <c r="AA920" s="529"/>
      <c r="AB920" s="529"/>
      <c r="AC920" s="529"/>
      <c r="AD920" s="529"/>
      <c r="AE920" s="529"/>
      <c r="AF920" s="529"/>
      <c r="AG920" s="556"/>
      <c r="AH920" s="528"/>
    </row>
    <row r="921">
      <c r="A921" s="564"/>
      <c r="B921" s="565"/>
      <c r="C921" s="565"/>
      <c r="D921" s="565"/>
      <c r="E921" s="565"/>
      <c r="F921" s="565"/>
      <c r="G921" s="565"/>
      <c r="H921" s="565"/>
      <c r="I921" s="565"/>
      <c r="J921" s="565"/>
      <c r="K921" s="565"/>
      <c r="L921" s="565"/>
      <c r="M921" s="565"/>
      <c r="N921" s="529"/>
      <c r="O921" s="529"/>
      <c r="P921" s="529"/>
      <c r="Q921" s="529"/>
      <c r="R921" s="529"/>
      <c r="S921" s="529"/>
      <c r="T921" s="529"/>
      <c r="U921" s="529"/>
      <c r="V921" s="529"/>
      <c r="W921" s="529"/>
      <c r="X921" s="529"/>
      <c r="Y921" s="529"/>
      <c r="Z921" s="529"/>
      <c r="AA921" s="529"/>
      <c r="AB921" s="529"/>
      <c r="AC921" s="529"/>
      <c r="AD921" s="529"/>
      <c r="AE921" s="529"/>
      <c r="AF921" s="529"/>
      <c r="AG921" s="556"/>
      <c r="AH921" s="528"/>
    </row>
    <row r="922">
      <c r="A922" s="564"/>
      <c r="B922" s="565"/>
      <c r="C922" s="565"/>
      <c r="D922" s="565"/>
      <c r="E922" s="565"/>
      <c r="F922" s="565"/>
      <c r="G922" s="565"/>
      <c r="H922" s="565"/>
      <c r="I922" s="565"/>
      <c r="J922" s="565"/>
      <c r="K922" s="565"/>
      <c r="L922" s="565"/>
      <c r="M922" s="565"/>
      <c r="N922" s="529"/>
      <c r="O922" s="529"/>
      <c r="P922" s="529"/>
      <c r="Q922" s="529"/>
      <c r="R922" s="529"/>
      <c r="S922" s="529"/>
      <c r="T922" s="529"/>
      <c r="U922" s="529"/>
      <c r="V922" s="529"/>
      <c r="W922" s="529"/>
      <c r="X922" s="529"/>
      <c r="Y922" s="529"/>
      <c r="Z922" s="529"/>
      <c r="AA922" s="529"/>
      <c r="AB922" s="529"/>
      <c r="AC922" s="529"/>
      <c r="AD922" s="529"/>
      <c r="AE922" s="529"/>
      <c r="AF922" s="529"/>
      <c r="AG922" s="556"/>
      <c r="AH922" s="528"/>
    </row>
    <row r="923">
      <c r="A923" s="564"/>
      <c r="B923" s="565"/>
      <c r="C923" s="565"/>
      <c r="D923" s="565"/>
      <c r="E923" s="565"/>
      <c r="F923" s="565"/>
      <c r="G923" s="565"/>
      <c r="H923" s="565"/>
      <c r="I923" s="565"/>
      <c r="J923" s="565"/>
      <c r="K923" s="565"/>
      <c r="L923" s="565"/>
      <c r="M923" s="565"/>
      <c r="N923" s="529"/>
      <c r="O923" s="529"/>
      <c r="P923" s="529"/>
      <c r="Q923" s="529"/>
      <c r="R923" s="529"/>
      <c r="S923" s="529"/>
      <c r="T923" s="529"/>
      <c r="U923" s="529"/>
      <c r="V923" s="529"/>
      <c r="W923" s="529"/>
      <c r="X923" s="529"/>
      <c r="Y923" s="529"/>
      <c r="Z923" s="529"/>
      <c r="AA923" s="529"/>
      <c r="AB923" s="529"/>
      <c r="AC923" s="529"/>
      <c r="AD923" s="529"/>
      <c r="AE923" s="529"/>
      <c r="AF923" s="529"/>
      <c r="AG923" s="556"/>
      <c r="AH923" s="528"/>
    </row>
    <row r="924">
      <c r="A924" s="564"/>
      <c r="B924" s="565"/>
      <c r="C924" s="565"/>
      <c r="D924" s="565"/>
      <c r="E924" s="565"/>
      <c r="F924" s="565"/>
      <c r="G924" s="565"/>
      <c r="H924" s="565"/>
      <c r="I924" s="565"/>
      <c r="J924" s="565"/>
      <c r="K924" s="565"/>
      <c r="L924" s="565"/>
      <c r="M924" s="565"/>
      <c r="N924" s="529"/>
      <c r="O924" s="529"/>
      <c r="P924" s="529"/>
      <c r="Q924" s="529"/>
      <c r="R924" s="529"/>
      <c r="S924" s="529"/>
      <c r="T924" s="529"/>
      <c r="U924" s="529"/>
      <c r="V924" s="529"/>
      <c r="W924" s="529"/>
      <c r="X924" s="529"/>
      <c r="Y924" s="529"/>
      <c r="Z924" s="529"/>
      <c r="AA924" s="529"/>
      <c r="AB924" s="529"/>
      <c r="AC924" s="529"/>
      <c r="AD924" s="529"/>
      <c r="AE924" s="529"/>
      <c r="AF924" s="529"/>
      <c r="AG924" s="556"/>
      <c r="AH924" s="528"/>
    </row>
    <row r="925">
      <c r="A925" s="564"/>
      <c r="B925" s="565"/>
      <c r="C925" s="565"/>
      <c r="D925" s="565"/>
      <c r="E925" s="565"/>
      <c r="F925" s="565"/>
      <c r="G925" s="565"/>
      <c r="H925" s="565"/>
      <c r="I925" s="565"/>
      <c r="J925" s="565"/>
      <c r="K925" s="565"/>
      <c r="L925" s="565"/>
      <c r="M925" s="565"/>
      <c r="N925" s="529"/>
      <c r="O925" s="529"/>
      <c r="P925" s="529"/>
      <c r="Q925" s="529"/>
      <c r="R925" s="529"/>
      <c r="S925" s="529"/>
      <c r="T925" s="529"/>
      <c r="U925" s="529"/>
      <c r="V925" s="529"/>
      <c r="W925" s="529"/>
      <c r="X925" s="529"/>
      <c r="Y925" s="529"/>
      <c r="Z925" s="529"/>
      <c r="AA925" s="529"/>
      <c r="AB925" s="529"/>
      <c r="AC925" s="529"/>
      <c r="AD925" s="529"/>
      <c r="AE925" s="529"/>
      <c r="AF925" s="529"/>
      <c r="AG925" s="556"/>
      <c r="AH925" s="528"/>
    </row>
    <row r="926">
      <c r="A926" s="564"/>
      <c r="B926" s="565"/>
      <c r="C926" s="565"/>
      <c r="D926" s="565"/>
      <c r="E926" s="565"/>
      <c r="F926" s="565"/>
      <c r="G926" s="565"/>
      <c r="H926" s="565"/>
      <c r="I926" s="565"/>
      <c r="J926" s="565"/>
      <c r="K926" s="565"/>
      <c r="L926" s="565"/>
      <c r="M926" s="565"/>
      <c r="N926" s="529"/>
      <c r="O926" s="529"/>
      <c r="P926" s="529"/>
      <c r="Q926" s="529"/>
      <c r="R926" s="529"/>
      <c r="S926" s="529"/>
      <c r="T926" s="529"/>
      <c r="U926" s="529"/>
      <c r="V926" s="529"/>
      <c r="W926" s="529"/>
      <c r="X926" s="529"/>
      <c r="Y926" s="529"/>
      <c r="Z926" s="529"/>
      <c r="AA926" s="529"/>
      <c r="AB926" s="529"/>
      <c r="AC926" s="529"/>
      <c r="AD926" s="529"/>
      <c r="AE926" s="529"/>
      <c r="AF926" s="529"/>
      <c r="AG926" s="556"/>
      <c r="AH926" s="528"/>
    </row>
    <row r="927">
      <c r="A927" s="564"/>
      <c r="B927" s="565"/>
      <c r="C927" s="565"/>
      <c r="D927" s="565"/>
      <c r="E927" s="565"/>
      <c r="F927" s="565"/>
      <c r="G927" s="565"/>
      <c r="H927" s="565"/>
      <c r="I927" s="565"/>
      <c r="J927" s="565"/>
      <c r="K927" s="565"/>
      <c r="L927" s="565"/>
      <c r="M927" s="565"/>
      <c r="N927" s="529"/>
      <c r="O927" s="529"/>
      <c r="P927" s="529"/>
      <c r="Q927" s="529"/>
      <c r="R927" s="529"/>
      <c r="S927" s="529"/>
      <c r="T927" s="529"/>
      <c r="U927" s="529"/>
      <c r="V927" s="529"/>
      <c r="W927" s="529"/>
      <c r="X927" s="529"/>
      <c r="Y927" s="529"/>
      <c r="Z927" s="529"/>
      <c r="AA927" s="529"/>
      <c r="AB927" s="529"/>
      <c r="AC927" s="529"/>
      <c r="AD927" s="529"/>
      <c r="AE927" s="529"/>
      <c r="AF927" s="529"/>
      <c r="AG927" s="556"/>
      <c r="AH927" s="528"/>
    </row>
    <row r="928">
      <c r="A928" s="564"/>
      <c r="B928" s="565"/>
      <c r="C928" s="565"/>
      <c r="D928" s="565"/>
      <c r="E928" s="565"/>
      <c r="F928" s="565"/>
      <c r="G928" s="565"/>
      <c r="H928" s="565"/>
      <c r="I928" s="565"/>
      <c r="J928" s="565"/>
      <c r="K928" s="565"/>
      <c r="L928" s="565"/>
      <c r="M928" s="565"/>
      <c r="N928" s="529"/>
      <c r="O928" s="529"/>
      <c r="P928" s="529"/>
      <c r="Q928" s="529"/>
      <c r="R928" s="529"/>
      <c r="S928" s="529"/>
      <c r="T928" s="529"/>
      <c r="U928" s="529"/>
      <c r="V928" s="529"/>
      <c r="W928" s="529"/>
      <c r="X928" s="529"/>
      <c r="Y928" s="529"/>
      <c r="Z928" s="529"/>
      <c r="AA928" s="529"/>
      <c r="AB928" s="529"/>
      <c r="AC928" s="529"/>
      <c r="AD928" s="529"/>
      <c r="AE928" s="529"/>
      <c r="AF928" s="529"/>
      <c r="AG928" s="556"/>
      <c r="AH928" s="528"/>
    </row>
    <row r="929">
      <c r="A929" s="564"/>
      <c r="B929" s="565"/>
      <c r="C929" s="565"/>
      <c r="D929" s="565"/>
      <c r="E929" s="565"/>
      <c r="F929" s="565"/>
      <c r="G929" s="565"/>
      <c r="H929" s="565"/>
      <c r="I929" s="565"/>
      <c r="J929" s="565"/>
      <c r="K929" s="565"/>
      <c r="L929" s="565"/>
      <c r="M929" s="565"/>
      <c r="N929" s="529"/>
      <c r="O929" s="529"/>
      <c r="P929" s="529"/>
      <c r="Q929" s="529"/>
      <c r="R929" s="529"/>
      <c r="S929" s="529"/>
      <c r="T929" s="529"/>
      <c r="U929" s="529"/>
      <c r="V929" s="529"/>
      <c r="W929" s="529"/>
      <c r="X929" s="529"/>
      <c r="Y929" s="529"/>
      <c r="Z929" s="529"/>
      <c r="AA929" s="529"/>
      <c r="AB929" s="529"/>
      <c r="AC929" s="529"/>
      <c r="AD929" s="529"/>
      <c r="AE929" s="529"/>
      <c r="AF929" s="529"/>
      <c r="AG929" s="556"/>
      <c r="AH929" s="528"/>
    </row>
    <row r="930">
      <c r="A930" s="564"/>
      <c r="B930" s="565"/>
      <c r="C930" s="565"/>
      <c r="D930" s="565"/>
      <c r="E930" s="565"/>
      <c r="F930" s="565"/>
      <c r="G930" s="565"/>
      <c r="H930" s="565"/>
      <c r="I930" s="565"/>
      <c r="J930" s="565"/>
      <c r="K930" s="565"/>
      <c r="L930" s="565"/>
      <c r="M930" s="565"/>
      <c r="N930" s="529"/>
      <c r="O930" s="529"/>
      <c r="P930" s="529"/>
      <c r="Q930" s="529"/>
      <c r="R930" s="529"/>
      <c r="S930" s="529"/>
      <c r="T930" s="529"/>
      <c r="U930" s="529"/>
      <c r="V930" s="529"/>
      <c r="W930" s="529"/>
      <c r="X930" s="529"/>
      <c r="Y930" s="529"/>
      <c r="Z930" s="529"/>
      <c r="AA930" s="529"/>
      <c r="AB930" s="529"/>
      <c r="AC930" s="529"/>
      <c r="AD930" s="529"/>
      <c r="AE930" s="529"/>
      <c r="AF930" s="529"/>
      <c r="AG930" s="556"/>
      <c r="AH930" s="528"/>
    </row>
    <row r="931">
      <c r="A931" s="564"/>
      <c r="B931" s="565"/>
      <c r="C931" s="565"/>
      <c r="D931" s="565"/>
      <c r="E931" s="565"/>
      <c r="F931" s="565"/>
      <c r="G931" s="565"/>
      <c r="H931" s="565"/>
      <c r="I931" s="565"/>
      <c r="J931" s="565"/>
      <c r="K931" s="565"/>
      <c r="L931" s="565"/>
      <c r="M931" s="565"/>
      <c r="N931" s="529"/>
      <c r="O931" s="529"/>
      <c r="P931" s="529"/>
      <c r="Q931" s="529"/>
      <c r="R931" s="529"/>
      <c r="S931" s="529"/>
      <c r="T931" s="529"/>
      <c r="U931" s="529"/>
      <c r="V931" s="529"/>
      <c r="W931" s="529"/>
      <c r="X931" s="529"/>
      <c r="Y931" s="529"/>
      <c r="Z931" s="529"/>
      <c r="AA931" s="529"/>
      <c r="AB931" s="529"/>
      <c r="AC931" s="529"/>
      <c r="AD931" s="529"/>
      <c r="AE931" s="529"/>
      <c r="AF931" s="529"/>
      <c r="AG931" s="556"/>
      <c r="AH931" s="528"/>
    </row>
    <row r="932">
      <c r="A932" s="564"/>
      <c r="B932" s="565"/>
      <c r="C932" s="565"/>
      <c r="D932" s="565"/>
      <c r="E932" s="565"/>
      <c r="F932" s="565"/>
      <c r="G932" s="565"/>
      <c r="H932" s="565"/>
      <c r="I932" s="565"/>
      <c r="J932" s="565"/>
      <c r="K932" s="565"/>
      <c r="L932" s="565"/>
      <c r="M932" s="565"/>
      <c r="N932" s="529"/>
      <c r="O932" s="529"/>
      <c r="P932" s="529"/>
      <c r="Q932" s="529"/>
      <c r="R932" s="529"/>
      <c r="S932" s="529"/>
      <c r="T932" s="529"/>
      <c r="U932" s="529"/>
      <c r="V932" s="529"/>
      <c r="W932" s="529"/>
      <c r="X932" s="529"/>
      <c r="Y932" s="529"/>
      <c r="Z932" s="529"/>
      <c r="AA932" s="529"/>
      <c r="AB932" s="529"/>
      <c r="AC932" s="529"/>
      <c r="AD932" s="529"/>
      <c r="AE932" s="529"/>
      <c r="AF932" s="529"/>
      <c r="AG932" s="556"/>
      <c r="AH932" s="528"/>
    </row>
    <row r="933">
      <c r="A933" s="564"/>
      <c r="B933" s="565"/>
      <c r="C933" s="565"/>
      <c r="D933" s="565"/>
      <c r="E933" s="565"/>
      <c r="F933" s="565"/>
      <c r="G933" s="565"/>
      <c r="H933" s="565"/>
      <c r="I933" s="565"/>
      <c r="J933" s="565"/>
      <c r="K933" s="565"/>
      <c r="L933" s="565"/>
      <c r="M933" s="565"/>
      <c r="N933" s="529"/>
      <c r="O933" s="529"/>
      <c r="P933" s="529"/>
      <c r="Q933" s="529"/>
      <c r="R933" s="529"/>
      <c r="S933" s="529"/>
      <c r="T933" s="529"/>
      <c r="U933" s="529"/>
      <c r="V933" s="529"/>
      <c r="W933" s="529"/>
      <c r="X933" s="529"/>
      <c r="Y933" s="529"/>
      <c r="Z933" s="529"/>
      <c r="AA933" s="529"/>
      <c r="AB933" s="529"/>
      <c r="AC933" s="529"/>
      <c r="AD933" s="529"/>
      <c r="AE933" s="529"/>
      <c r="AF933" s="529"/>
      <c r="AG933" s="556"/>
      <c r="AH933" s="528"/>
    </row>
    <row r="934">
      <c r="A934" s="564"/>
      <c r="B934" s="565"/>
      <c r="C934" s="565"/>
      <c r="D934" s="565"/>
      <c r="E934" s="565"/>
      <c r="F934" s="565"/>
      <c r="G934" s="565"/>
      <c r="H934" s="565"/>
      <c r="I934" s="565"/>
      <c r="J934" s="565"/>
      <c r="K934" s="565"/>
      <c r="L934" s="565"/>
      <c r="M934" s="565"/>
      <c r="N934" s="529"/>
      <c r="O934" s="529"/>
      <c r="P934" s="529"/>
      <c r="Q934" s="529"/>
      <c r="R934" s="529"/>
      <c r="S934" s="529"/>
      <c r="T934" s="529"/>
      <c r="U934" s="529"/>
      <c r="V934" s="529"/>
      <c r="W934" s="529"/>
      <c r="X934" s="529"/>
      <c r="Y934" s="529"/>
      <c r="Z934" s="529"/>
      <c r="AA934" s="529"/>
      <c r="AB934" s="529"/>
      <c r="AC934" s="529"/>
      <c r="AD934" s="529"/>
      <c r="AE934" s="529"/>
      <c r="AF934" s="529"/>
      <c r="AG934" s="556"/>
      <c r="AH934" s="528"/>
    </row>
    <row r="935">
      <c r="A935" s="564"/>
      <c r="B935" s="565"/>
      <c r="C935" s="565"/>
      <c r="D935" s="565"/>
      <c r="E935" s="565"/>
      <c r="F935" s="565"/>
      <c r="G935" s="565"/>
      <c r="H935" s="565"/>
      <c r="I935" s="565"/>
      <c r="J935" s="565"/>
      <c r="K935" s="565"/>
      <c r="L935" s="565"/>
      <c r="M935" s="565"/>
      <c r="N935" s="529"/>
      <c r="O935" s="529"/>
      <c r="P935" s="529"/>
      <c r="Q935" s="529"/>
      <c r="R935" s="529"/>
      <c r="S935" s="529"/>
      <c r="T935" s="529"/>
      <c r="U935" s="529"/>
      <c r="V935" s="529"/>
      <c r="W935" s="529"/>
      <c r="X935" s="529"/>
      <c r="Y935" s="529"/>
      <c r="Z935" s="529"/>
      <c r="AA935" s="529"/>
      <c r="AB935" s="529"/>
      <c r="AC935" s="529"/>
      <c r="AD935" s="529"/>
      <c r="AE935" s="529"/>
      <c r="AF935" s="529"/>
      <c r="AG935" s="556"/>
      <c r="AH935" s="528"/>
    </row>
    <row r="936">
      <c r="A936" s="564"/>
      <c r="B936" s="565"/>
      <c r="C936" s="565"/>
      <c r="D936" s="565"/>
      <c r="E936" s="565"/>
      <c r="F936" s="565"/>
      <c r="G936" s="565"/>
      <c r="H936" s="565"/>
      <c r="I936" s="565"/>
      <c r="J936" s="565"/>
      <c r="K936" s="565"/>
      <c r="L936" s="565"/>
      <c r="M936" s="565"/>
      <c r="N936" s="529"/>
      <c r="O936" s="529"/>
      <c r="P936" s="529"/>
      <c r="Q936" s="529"/>
      <c r="R936" s="529"/>
      <c r="S936" s="529"/>
      <c r="T936" s="529"/>
      <c r="U936" s="529"/>
      <c r="V936" s="529"/>
      <c r="W936" s="529"/>
      <c r="X936" s="529"/>
      <c r="Y936" s="529"/>
      <c r="Z936" s="529"/>
      <c r="AA936" s="529"/>
      <c r="AB936" s="529"/>
      <c r="AC936" s="529"/>
      <c r="AD936" s="529"/>
      <c r="AE936" s="529"/>
      <c r="AF936" s="529"/>
      <c r="AG936" s="556"/>
      <c r="AH936" s="528"/>
    </row>
    <row r="937">
      <c r="A937" s="564"/>
      <c r="B937" s="565"/>
      <c r="C937" s="565"/>
      <c r="D937" s="565"/>
      <c r="E937" s="565"/>
      <c r="F937" s="565"/>
      <c r="G937" s="565"/>
      <c r="H937" s="565"/>
      <c r="I937" s="565"/>
      <c r="J937" s="565"/>
      <c r="K937" s="565"/>
      <c r="L937" s="565"/>
      <c r="M937" s="565"/>
      <c r="N937" s="529"/>
      <c r="O937" s="529"/>
      <c r="P937" s="529"/>
      <c r="Q937" s="529"/>
      <c r="R937" s="529"/>
      <c r="S937" s="529"/>
      <c r="T937" s="529"/>
      <c r="U937" s="529"/>
      <c r="V937" s="529"/>
      <c r="W937" s="529"/>
      <c r="X937" s="529"/>
      <c r="Y937" s="529"/>
      <c r="Z937" s="529"/>
      <c r="AA937" s="529"/>
      <c r="AB937" s="529"/>
      <c r="AC937" s="529"/>
      <c r="AD937" s="529"/>
      <c r="AE937" s="529"/>
      <c r="AF937" s="529"/>
      <c r="AG937" s="556"/>
      <c r="AH937" s="528"/>
    </row>
    <row r="938">
      <c r="A938" s="564"/>
      <c r="B938" s="565"/>
      <c r="C938" s="565"/>
      <c r="D938" s="565"/>
      <c r="E938" s="565"/>
      <c r="F938" s="565"/>
      <c r="G938" s="565"/>
      <c r="H938" s="565"/>
      <c r="I938" s="565"/>
      <c r="J938" s="565"/>
      <c r="K938" s="565"/>
      <c r="L938" s="565"/>
      <c r="M938" s="565"/>
      <c r="N938" s="529"/>
      <c r="O938" s="529"/>
      <c r="P938" s="529"/>
      <c r="Q938" s="529"/>
      <c r="R938" s="529"/>
      <c r="S938" s="529"/>
      <c r="T938" s="529"/>
      <c r="U938" s="529"/>
      <c r="V938" s="529"/>
      <c r="W938" s="529"/>
      <c r="X938" s="529"/>
      <c r="Y938" s="529"/>
      <c r="Z938" s="529"/>
      <c r="AA938" s="529"/>
      <c r="AB938" s="529"/>
      <c r="AC938" s="529"/>
      <c r="AD938" s="529"/>
      <c r="AE938" s="529"/>
      <c r="AF938" s="529"/>
      <c r="AG938" s="556"/>
      <c r="AH938" s="528"/>
    </row>
    <row r="939">
      <c r="A939" s="564"/>
      <c r="B939" s="565"/>
      <c r="C939" s="565"/>
      <c r="D939" s="565"/>
      <c r="E939" s="565"/>
      <c r="F939" s="565"/>
      <c r="G939" s="565"/>
      <c r="H939" s="565"/>
      <c r="I939" s="565"/>
      <c r="J939" s="565"/>
      <c r="K939" s="565"/>
      <c r="L939" s="565"/>
      <c r="M939" s="565"/>
      <c r="N939" s="529"/>
      <c r="O939" s="529"/>
      <c r="P939" s="529"/>
      <c r="Q939" s="529"/>
      <c r="R939" s="529"/>
      <c r="S939" s="529"/>
      <c r="T939" s="529"/>
      <c r="U939" s="529"/>
      <c r="V939" s="529"/>
      <c r="W939" s="529"/>
      <c r="X939" s="529"/>
      <c r="Y939" s="529"/>
      <c r="Z939" s="529"/>
      <c r="AA939" s="529"/>
      <c r="AB939" s="529"/>
      <c r="AC939" s="529"/>
      <c r="AD939" s="529"/>
      <c r="AE939" s="529"/>
      <c r="AF939" s="529"/>
      <c r="AG939" s="556"/>
      <c r="AH939" s="528"/>
    </row>
    <row r="940">
      <c r="A940" s="564"/>
      <c r="B940" s="565"/>
      <c r="C940" s="565"/>
      <c r="D940" s="565"/>
      <c r="E940" s="565"/>
      <c r="F940" s="565"/>
      <c r="G940" s="565"/>
      <c r="H940" s="565"/>
      <c r="I940" s="565"/>
      <c r="J940" s="565"/>
      <c r="K940" s="565"/>
      <c r="L940" s="565"/>
      <c r="M940" s="565"/>
      <c r="N940" s="529"/>
      <c r="O940" s="529"/>
      <c r="P940" s="529"/>
      <c r="Q940" s="529"/>
      <c r="R940" s="529"/>
      <c r="S940" s="529"/>
      <c r="T940" s="529"/>
      <c r="U940" s="529"/>
      <c r="V940" s="529"/>
      <c r="W940" s="529"/>
      <c r="X940" s="529"/>
      <c r="Y940" s="529"/>
      <c r="Z940" s="529"/>
      <c r="AA940" s="529"/>
      <c r="AB940" s="529"/>
      <c r="AC940" s="529"/>
      <c r="AD940" s="529"/>
      <c r="AE940" s="529"/>
      <c r="AF940" s="529"/>
      <c r="AG940" s="556"/>
      <c r="AH940" s="528"/>
    </row>
    <row r="941">
      <c r="A941" s="564"/>
      <c r="B941" s="565"/>
      <c r="C941" s="565"/>
      <c r="D941" s="565"/>
      <c r="E941" s="565"/>
      <c r="F941" s="565"/>
      <c r="G941" s="565"/>
      <c r="H941" s="565"/>
      <c r="I941" s="565"/>
      <c r="J941" s="565"/>
      <c r="K941" s="565"/>
      <c r="L941" s="565"/>
      <c r="M941" s="565"/>
      <c r="N941" s="529"/>
      <c r="O941" s="529"/>
      <c r="P941" s="529"/>
      <c r="Q941" s="529"/>
      <c r="R941" s="529"/>
      <c r="S941" s="529"/>
      <c r="T941" s="529"/>
      <c r="U941" s="529"/>
      <c r="V941" s="529"/>
      <c r="W941" s="529"/>
      <c r="X941" s="529"/>
      <c r="Y941" s="529"/>
      <c r="Z941" s="529"/>
      <c r="AA941" s="529"/>
      <c r="AB941" s="529"/>
      <c r="AC941" s="529"/>
      <c r="AD941" s="529"/>
      <c r="AE941" s="529"/>
      <c r="AF941" s="529"/>
      <c r="AG941" s="556"/>
      <c r="AH941" s="528"/>
    </row>
    <row r="942">
      <c r="A942" s="564"/>
      <c r="B942" s="565"/>
      <c r="C942" s="565"/>
      <c r="D942" s="565"/>
      <c r="E942" s="565"/>
      <c r="F942" s="565"/>
      <c r="G942" s="565"/>
      <c r="H942" s="565"/>
      <c r="I942" s="565"/>
      <c r="J942" s="565"/>
      <c r="K942" s="565"/>
      <c r="L942" s="565"/>
      <c r="M942" s="565"/>
      <c r="N942" s="529"/>
      <c r="O942" s="529"/>
      <c r="P942" s="529"/>
      <c r="Q942" s="529"/>
      <c r="R942" s="529"/>
      <c r="S942" s="529"/>
      <c r="T942" s="529"/>
      <c r="U942" s="529"/>
      <c r="V942" s="529"/>
      <c r="W942" s="529"/>
      <c r="X942" s="529"/>
      <c r="Y942" s="529"/>
      <c r="Z942" s="529"/>
      <c r="AA942" s="529"/>
      <c r="AB942" s="529"/>
      <c r="AC942" s="529"/>
      <c r="AD942" s="529"/>
      <c r="AE942" s="529"/>
      <c r="AF942" s="529"/>
      <c r="AG942" s="556"/>
      <c r="AH942" s="528"/>
    </row>
    <row r="943">
      <c r="A943" s="564"/>
      <c r="B943" s="565"/>
      <c r="C943" s="565"/>
      <c r="D943" s="565"/>
      <c r="E943" s="565"/>
      <c r="F943" s="565"/>
      <c r="G943" s="565"/>
      <c r="H943" s="565"/>
      <c r="I943" s="565"/>
      <c r="J943" s="565"/>
      <c r="K943" s="565"/>
      <c r="L943" s="565"/>
      <c r="M943" s="565"/>
      <c r="N943" s="529"/>
      <c r="O943" s="529"/>
      <c r="P943" s="529"/>
      <c r="Q943" s="529"/>
      <c r="R943" s="529"/>
      <c r="S943" s="529"/>
      <c r="T943" s="529"/>
      <c r="U943" s="529"/>
      <c r="V943" s="529"/>
      <c r="W943" s="529"/>
      <c r="X943" s="529"/>
      <c r="Y943" s="529"/>
      <c r="Z943" s="529"/>
      <c r="AA943" s="529"/>
      <c r="AB943" s="529"/>
      <c r="AC943" s="529"/>
      <c r="AD943" s="529"/>
      <c r="AE943" s="529"/>
      <c r="AF943" s="529"/>
      <c r="AG943" s="556"/>
      <c r="AH943" s="528"/>
    </row>
    <row r="944">
      <c r="A944" s="564"/>
      <c r="B944" s="565"/>
      <c r="C944" s="565"/>
      <c r="D944" s="565"/>
      <c r="E944" s="565"/>
      <c r="F944" s="565"/>
      <c r="G944" s="565"/>
      <c r="H944" s="565"/>
      <c r="I944" s="565"/>
      <c r="J944" s="565"/>
      <c r="K944" s="565"/>
      <c r="L944" s="565"/>
      <c r="M944" s="565"/>
      <c r="N944" s="529"/>
      <c r="O944" s="529"/>
      <c r="P944" s="529"/>
      <c r="Q944" s="529"/>
      <c r="R944" s="529"/>
      <c r="S944" s="529"/>
      <c r="T944" s="529"/>
      <c r="U944" s="529"/>
      <c r="V944" s="529"/>
      <c r="W944" s="529"/>
      <c r="X944" s="529"/>
      <c r="Y944" s="529"/>
      <c r="Z944" s="529"/>
      <c r="AA944" s="529"/>
      <c r="AB944" s="529"/>
      <c r="AC944" s="529"/>
      <c r="AD944" s="529"/>
      <c r="AE944" s="529"/>
      <c r="AF944" s="529"/>
      <c r="AG944" s="556"/>
      <c r="AH944" s="528"/>
    </row>
    <row r="945">
      <c r="A945" s="564"/>
      <c r="B945" s="565"/>
      <c r="C945" s="565"/>
      <c r="D945" s="565"/>
      <c r="E945" s="565"/>
      <c r="F945" s="565"/>
      <c r="G945" s="565"/>
      <c r="H945" s="565"/>
      <c r="I945" s="565"/>
      <c r="J945" s="565"/>
      <c r="K945" s="565"/>
      <c r="L945" s="565"/>
      <c r="M945" s="565"/>
      <c r="N945" s="529"/>
      <c r="O945" s="529"/>
      <c r="P945" s="529"/>
      <c r="Q945" s="529"/>
      <c r="R945" s="529"/>
      <c r="S945" s="529"/>
      <c r="T945" s="529"/>
      <c r="U945" s="529"/>
      <c r="V945" s="529"/>
      <c r="W945" s="529"/>
      <c r="X945" s="529"/>
      <c r="Y945" s="529"/>
      <c r="Z945" s="529"/>
      <c r="AA945" s="529"/>
      <c r="AB945" s="529"/>
      <c r="AC945" s="529"/>
      <c r="AD945" s="529"/>
      <c r="AE945" s="529"/>
      <c r="AF945" s="529"/>
      <c r="AG945" s="556"/>
      <c r="AH945" s="528"/>
    </row>
    <row r="946">
      <c r="A946" s="564"/>
      <c r="B946" s="565"/>
      <c r="C946" s="565"/>
      <c r="D946" s="565"/>
      <c r="E946" s="565"/>
      <c r="F946" s="565"/>
      <c r="G946" s="565"/>
      <c r="H946" s="565"/>
      <c r="I946" s="565"/>
      <c r="J946" s="565"/>
      <c r="K946" s="565"/>
      <c r="L946" s="565"/>
      <c r="M946" s="565"/>
      <c r="N946" s="529"/>
      <c r="O946" s="529"/>
      <c r="P946" s="529"/>
      <c r="Q946" s="529"/>
      <c r="R946" s="529"/>
      <c r="S946" s="529"/>
      <c r="T946" s="529"/>
      <c r="U946" s="529"/>
      <c r="V946" s="529"/>
      <c r="W946" s="529"/>
      <c r="X946" s="529"/>
      <c r="Y946" s="529"/>
      <c r="Z946" s="529"/>
      <c r="AA946" s="529"/>
      <c r="AB946" s="529"/>
      <c r="AC946" s="529"/>
      <c r="AD946" s="529"/>
      <c r="AE946" s="529"/>
      <c r="AF946" s="529"/>
      <c r="AG946" s="556"/>
      <c r="AH946" s="528"/>
    </row>
    <row r="947">
      <c r="A947" s="564"/>
      <c r="B947" s="565"/>
      <c r="C947" s="565"/>
      <c r="D947" s="565"/>
      <c r="E947" s="565"/>
      <c r="F947" s="565"/>
      <c r="G947" s="565"/>
      <c r="H947" s="565"/>
      <c r="I947" s="565"/>
      <c r="J947" s="565"/>
      <c r="K947" s="565"/>
      <c r="L947" s="565"/>
      <c r="M947" s="565"/>
      <c r="N947" s="529"/>
      <c r="O947" s="529"/>
      <c r="P947" s="529"/>
      <c r="Q947" s="529"/>
      <c r="R947" s="529"/>
      <c r="S947" s="529"/>
      <c r="T947" s="529"/>
      <c r="U947" s="529"/>
      <c r="V947" s="529"/>
      <c r="W947" s="529"/>
      <c r="X947" s="529"/>
      <c r="Y947" s="529"/>
      <c r="Z947" s="529"/>
      <c r="AA947" s="529"/>
      <c r="AB947" s="529"/>
      <c r="AC947" s="529"/>
      <c r="AD947" s="529"/>
      <c r="AE947" s="529"/>
      <c r="AF947" s="529"/>
      <c r="AG947" s="556"/>
      <c r="AH947" s="528"/>
    </row>
    <row r="948">
      <c r="A948" s="564"/>
      <c r="B948" s="565"/>
      <c r="C948" s="565"/>
      <c r="D948" s="565"/>
      <c r="E948" s="565"/>
      <c r="F948" s="565"/>
      <c r="G948" s="565"/>
      <c r="H948" s="565"/>
      <c r="I948" s="565"/>
      <c r="J948" s="565"/>
      <c r="K948" s="565"/>
      <c r="L948" s="565"/>
      <c r="M948" s="565"/>
      <c r="N948" s="529"/>
      <c r="O948" s="529"/>
      <c r="P948" s="529"/>
      <c r="Q948" s="529"/>
      <c r="R948" s="529"/>
      <c r="S948" s="529"/>
      <c r="T948" s="529"/>
      <c r="U948" s="529"/>
      <c r="V948" s="529"/>
      <c r="W948" s="529"/>
      <c r="X948" s="529"/>
      <c r="Y948" s="529"/>
      <c r="Z948" s="529"/>
      <c r="AA948" s="529"/>
      <c r="AB948" s="529"/>
      <c r="AC948" s="529"/>
      <c r="AD948" s="529"/>
      <c r="AE948" s="529"/>
      <c r="AF948" s="529"/>
      <c r="AG948" s="556"/>
      <c r="AH948" s="528"/>
    </row>
    <row r="949">
      <c r="A949" s="564"/>
      <c r="B949" s="565"/>
      <c r="C949" s="565"/>
      <c r="D949" s="565"/>
      <c r="E949" s="565"/>
      <c r="F949" s="565"/>
      <c r="G949" s="565"/>
      <c r="H949" s="565"/>
      <c r="I949" s="565"/>
      <c r="J949" s="565"/>
      <c r="K949" s="565"/>
      <c r="L949" s="565"/>
      <c r="M949" s="565"/>
      <c r="N949" s="529"/>
      <c r="O949" s="529"/>
      <c r="P949" s="529"/>
      <c r="Q949" s="529"/>
      <c r="R949" s="529"/>
      <c r="S949" s="529"/>
      <c r="T949" s="529"/>
      <c r="U949" s="529"/>
      <c r="V949" s="529"/>
      <c r="W949" s="529"/>
      <c r="X949" s="529"/>
      <c r="Y949" s="529"/>
      <c r="Z949" s="529"/>
      <c r="AA949" s="529"/>
      <c r="AB949" s="529"/>
      <c r="AC949" s="529"/>
      <c r="AD949" s="529"/>
      <c r="AE949" s="529"/>
      <c r="AF949" s="529"/>
      <c r="AG949" s="556"/>
      <c r="AH949" s="528"/>
    </row>
    <row r="950">
      <c r="A950" s="564"/>
      <c r="B950" s="565"/>
      <c r="C950" s="565"/>
      <c r="D950" s="565"/>
      <c r="E950" s="565"/>
      <c r="F950" s="565"/>
      <c r="G950" s="565"/>
      <c r="H950" s="565"/>
      <c r="I950" s="565"/>
      <c r="J950" s="565"/>
      <c r="K950" s="565"/>
      <c r="L950" s="565"/>
      <c r="M950" s="565"/>
      <c r="N950" s="529"/>
      <c r="O950" s="529"/>
      <c r="P950" s="529"/>
      <c r="Q950" s="529"/>
      <c r="R950" s="529"/>
      <c r="S950" s="529"/>
      <c r="T950" s="529"/>
      <c r="U950" s="529"/>
      <c r="V950" s="529"/>
      <c r="W950" s="529"/>
      <c r="X950" s="529"/>
      <c r="Y950" s="529"/>
      <c r="Z950" s="529"/>
      <c r="AA950" s="529"/>
      <c r="AB950" s="529"/>
      <c r="AC950" s="529"/>
      <c r="AD950" s="529"/>
      <c r="AE950" s="529"/>
      <c r="AF950" s="529"/>
      <c r="AG950" s="556"/>
      <c r="AH950" s="528"/>
    </row>
    <row r="951">
      <c r="A951" s="564"/>
      <c r="B951" s="565"/>
      <c r="C951" s="565"/>
      <c r="D951" s="565"/>
      <c r="E951" s="565"/>
      <c r="F951" s="565"/>
      <c r="G951" s="565"/>
      <c r="H951" s="565"/>
      <c r="I951" s="565"/>
      <c r="J951" s="565"/>
      <c r="K951" s="565"/>
      <c r="L951" s="565"/>
      <c r="M951" s="565"/>
      <c r="N951" s="529"/>
      <c r="O951" s="529"/>
      <c r="P951" s="529"/>
      <c r="Q951" s="529"/>
      <c r="R951" s="529"/>
      <c r="S951" s="529"/>
      <c r="T951" s="529"/>
      <c r="U951" s="529"/>
      <c r="V951" s="529"/>
      <c r="W951" s="529"/>
      <c r="X951" s="529"/>
      <c r="Y951" s="529"/>
      <c r="Z951" s="529"/>
      <c r="AA951" s="529"/>
      <c r="AB951" s="529"/>
      <c r="AC951" s="529"/>
      <c r="AD951" s="529"/>
      <c r="AE951" s="529"/>
      <c r="AF951" s="529"/>
      <c r="AG951" s="556"/>
      <c r="AH951" s="528"/>
    </row>
    <row r="952">
      <c r="A952" s="564"/>
      <c r="B952" s="565"/>
      <c r="C952" s="565"/>
      <c r="D952" s="565"/>
      <c r="E952" s="565"/>
      <c r="F952" s="565"/>
      <c r="G952" s="565"/>
      <c r="H952" s="565"/>
      <c r="I952" s="565"/>
      <c r="J952" s="565"/>
      <c r="K952" s="565"/>
      <c r="L952" s="565"/>
      <c r="M952" s="565"/>
      <c r="N952" s="529"/>
      <c r="O952" s="529"/>
      <c r="P952" s="529"/>
      <c r="Q952" s="529"/>
      <c r="R952" s="529"/>
      <c r="S952" s="529"/>
      <c r="T952" s="529"/>
      <c r="U952" s="529"/>
      <c r="V952" s="529"/>
      <c r="W952" s="529"/>
      <c r="X952" s="529"/>
      <c r="Y952" s="529"/>
      <c r="Z952" s="529"/>
      <c r="AA952" s="529"/>
      <c r="AB952" s="529"/>
      <c r="AC952" s="529"/>
      <c r="AD952" s="529"/>
      <c r="AE952" s="529"/>
      <c r="AF952" s="529"/>
      <c r="AG952" s="556"/>
      <c r="AH952" s="528"/>
    </row>
    <row r="953">
      <c r="A953" s="564"/>
      <c r="B953" s="565"/>
      <c r="C953" s="565"/>
      <c r="D953" s="565"/>
      <c r="E953" s="565"/>
      <c r="F953" s="565"/>
      <c r="G953" s="565"/>
      <c r="H953" s="565"/>
      <c r="I953" s="565"/>
      <c r="J953" s="565"/>
      <c r="K953" s="565"/>
      <c r="L953" s="565"/>
      <c r="M953" s="565"/>
      <c r="N953" s="529"/>
      <c r="O953" s="529"/>
      <c r="P953" s="529"/>
      <c r="Q953" s="529"/>
      <c r="R953" s="529"/>
      <c r="S953" s="529"/>
      <c r="T953" s="529"/>
      <c r="U953" s="529"/>
      <c r="V953" s="529"/>
      <c r="W953" s="529"/>
      <c r="X953" s="529"/>
      <c r="Y953" s="529"/>
      <c r="Z953" s="529"/>
      <c r="AA953" s="529"/>
      <c r="AB953" s="529"/>
      <c r="AC953" s="529"/>
      <c r="AD953" s="529"/>
      <c r="AE953" s="529"/>
      <c r="AF953" s="529"/>
      <c r="AG953" s="556"/>
      <c r="AH953" s="528"/>
    </row>
    <row r="954">
      <c r="A954" s="564"/>
      <c r="B954" s="565"/>
      <c r="C954" s="565"/>
      <c r="D954" s="565"/>
      <c r="E954" s="565"/>
      <c r="F954" s="565"/>
      <c r="G954" s="565"/>
      <c r="H954" s="565"/>
      <c r="I954" s="565"/>
      <c r="J954" s="565"/>
      <c r="K954" s="565"/>
      <c r="L954" s="565"/>
      <c r="M954" s="565"/>
      <c r="N954" s="529"/>
      <c r="O954" s="529"/>
      <c r="P954" s="529"/>
      <c r="Q954" s="529"/>
      <c r="R954" s="529"/>
      <c r="S954" s="529"/>
      <c r="T954" s="529"/>
      <c r="U954" s="529"/>
      <c r="V954" s="529"/>
      <c r="W954" s="529"/>
      <c r="X954" s="529"/>
      <c r="Y954" s="529"/>
      <c r="Z954" s="529"/>
      <c r="AA954" s="529"/>
      <c r="AB954" s="529"/>
      <c r="AC954" s="529"/>
      <c r="AD954" s="529"/>
      <c r="AE954" s="529"/>
      <c r="AF954" s="529"/>
      <c r="AG954" s="556"/>
      <c r="AH954" s="528"/>
    </row>
    <row r="955">
      <c r="A955" s="564"/>
      <c r="B955" s="565"/>
      <c r="C955" s="565"/>
      <c r="D955" s="565"/>
      <c r="E955" s="565"/>
      <c r="F955" s="565"/>
      <c r="G955" s="565"/>
      <c r="H955" s="565"/>
      <c r="I955" s="565"/>
      <c r="J955" s="565"/>
      <c r="K955" s="565"/>
      <c r="L955" s="565"/>
      <c r="M955" s="565"/>
      <c r="N955" s="529"/>
      <c r="O955" s="529"/>
      <c r="P955" s="529"/>
      <c r="Q955" s="529"/>
      <c r="R955" s="529"/>
      <c r="S955" s="529"/>
      <c r="T955" s="529"/>
      <c r="U955" s="529"/>
      <c r="V955" s="529"/>
      <c r="W955" s="529"/>
      <c r="X955" s="529"/>
      <c r="Y955" s="529"/>
      <c r="Z955" s="529"/>
      <c r="AA955" s="529"/>
      <c r="AB955" s="529"/>
      <c r="AC955" s="529"/>
      <c r="AD955" s="529"/>
      <c r="AE955" s="529"/>
      <c r="AF955" s="529"/>
      <c r="AG955" s="556"/>
      <c r="AH955" s="528"/>
    </row>
    <row r="956">
      <c r="A956" s="564"/>
      <c r="B956" s="565"/>
      <c r="C956" s="565"/>
      <c r="D956" s="565"/>
      <c r="E956" s="565"/>
      <c r="F956" s="565"/>
      <c r="G956" s="565"/>
      <c r="H956" s="565"/>
      <c r="I956" s="565"/>
      <c r="J956" s="565"/>
      <c r="K956" s="565"/>
      <c r="L956" s="565"/>
      <c r="M956" s="565"/>
      <c r="N956" s="529"/>
      <c r="O956" s="529"/>
      <c r="P956" s="529"/>
      <c r="Q956" s="529"/>
      <c r="R956" s="529"/>
      <c r="S956" s="529"/>
      <c r="T956" s="529"/>
      <c r="U956" s="529"/>
      <c r="V956" s="529"/>
      <c r="W956" s="529"/>
      <c r="X956" s="529"/>
      <c r="Y956" s="529"/>
      <c r="Z956" s="529"/>
      <c r="AA956" s="529"/>
      <c r="AB956" s="529"/>
      <c r="AC956" s="529"/>
      <c r="AD956" s="529"/>
      <c r="AE956" s="529"/>
      <c r="AF956" s="529"/>
      <c r="AG956" s="556"/>
      <c r="AH956" s="528"/>
    </row>
    <row r="957">
      <c r="A957" s="564"/>
      <c r="B957" s="565"/>
      <c r="C957" s="565"/>
      <c r="D957" s="565"/>
      <c r="E957" s="565"/>
      <c r="F957" s="565"/>
      <c r="G957" s="565"/>
      <c r="H957" s="565"/>
      <c r="I957" s="565"/>
      <c r="J957" s="565"/>
      <c r="K957" s="565"/>
      <c r="L957" s="565"/>
      <c r="M957" s="565"/>
      <c r="N957" s="529"/>
      <c r="O957" s="529"/>
      <c r="P957" s="529"/>
      <c r="Q957" s="529"/>
      <c r="R957" s="529"/>
      <c r="S957" s="529"/>
      <c r="T957" s="529"/>
      <c r="U957" s="529"/>
      <c r="V957" s="529"/>
      <c r="W957" s="529"/>
      <c r="X957" s="529"/>
      <c r="Y957" s="529"/>
      <c r="Z957" s="529"/>
      <c r="AA957" s="529"/>
      <c r="AB957" s="529"/>
      <c r="AC957" s="529"/>
      <c r="AD957" s="529"/>
      <c r="AE957" s="529"/>
      <c r="AF957" s="529"/>
      <c r="AG957" s="556"/>
      <c r="AH957" s="528"/>
    </row>
    <row r="958">
      <c r="A958" s="564"/>
      <c r="B958" s="565"/>
      <c r="C958" s="565"/>
      <c r="D958" s="565"/>
      <c r="E958" s="565"/>
      <c r="F958" s="565"/>
      <c r="G958" s="565"/>
      <c r="H958" s="565"/>
      <c r="I958" s="565"/>
      <c r="J958" s="565"/>
      <c r="K958" s="565"/>
      <c r="L958" s="565"/>
      <c r="M958" s="565"/>
      <c r="N958" s="529"/>
      <c r="O958" s="529"/>
      <c r="P958" s="529"/>
      <c r="Q958" s="529"/>
      <c r="R958" s="529"/>
      <c r="S958" s="529"/>
      <c r="T958" s="529"/>
      <c r="U958" s="529"/>
      <c r="V958" s="529"/>
      <c r="W958" s="529"/>
      <c r="X958" s="529"/>
      <c r="Y958" s="529"/>
      <c r="Z958" s="529"/>
      <c r="AA958" s="529"/>
      <c r="AB958" s="529"/>
      <c r="AC958" s="529"/>
      <c r="AD958" s="529"/>
      <c r="AE958" s="529"/>
      <c r="AF958" s="529"/>
      <c r="AG958" s="556"/>
      <c r="AH958" s="528"/>
    </row>
    <row r="959">
      <c r="A959" s="564"/>
      <c r="B959" s="565"/>
      <c r="C959" s="565"/>
      <c r="D959" s="565"/>
      <c r="E959" s="565"/>
      <c r="F959" s="565"/>
      <c r="G959" s="565"/>
      <c r="H959" s="565"/>
      <c r="I959" s="565"/>
      <c r="J959" s="565"/>
      <c r="K959" s="565"/>
      <c r="L959" s="565"/>
      <c r="M959" s="565"/>
      <c r="N959" s="529"/>
      <c r="O959" s="529"/>
      <c r="P959" s="529"/>
      <c r="Q959" s="529"/>
      <c r="R959" s="529"/>
      <c r="S959" s="529"/>
      <c r="T959" s="529"/>
      <c r="U959" s="529"/>
      <c r="V959" s="529"/>
      <c r="W959" s="529"/>
      <c r="X959" s="529"/>
      <c r="Y959" s="529"/>
      <c r="Z959" s="529"/>
      <c r="AA959" s="529"/>
      <c r="AB959" s="529"/>
      <c r="AC959" s="529"/>
      <c r="AD959" s="529"/>
      <c r="AE959" s="529"/>
      <c r="AF959" s="529"/>
      <c r="AG959" s="556"/>
      <c r="AH959" s="528"/>
    </row>
    <row r="960">
      <c r="A960" s="564"/>
      <c r="B960" s="565"/>
      <c r="C960" s="565"/>
      <c r="D960" s="565"/>
      <c r="E960" s="565"/>
      <c r="F960" s="565"/>
      <c r="G960" s="565"/>
      <c r="H960" s="565"/>
      <c r="I960" s="565"/>
      <c r="J960" s="565"/>
      <c r="K960" s="565"/>
      <c r="L960" s="565"/>
      <c r="M960" s="565"/>
      <c r="N960" s="529"/>
      <c r="O960" s="529"/>
      <c r="P960" s="529"/>
      <c r="Q960" s="529"/>
      <c r="R960" s="529"/>
      <c r="S960" s="529"/>
      <c r="T960" s="529"/>
      <c r="U960" s="529"/>
      <c r="V960" s="529"/>
      <c r="W960" s="529"/>
      <c r="X960" s="529"/>
      <c r="Y960" s="529"/>
      <c r="Z960" s="529"/>
      <c r="AA960" s="529"/>
      <c r="AB960" s="529"/>
      <c r="AC960" s="529"/>
      <c r="AD960" s="529"/>
      <c r="AE960" s="529"/>
      <c r="AF960" s="529"/>
      <c r="AG960" s="556"/>
      <c r="AH960" s="528"/>
    </row>
    <row r="961">
      <c r="A961" s="564"/>
      <c r="B961" s="565"/>
      <c r="C961" s="565"/>
      <c r="D961" s="565"/>
      <c r="E961" s="565"/>
      <c r="F961" s="565"/>
      <c r="G961" s="565"/>
      <c r="H961" s="565"/>
      <c r="I961" s="565"/>
      <c r="J961" s="565"/>
      <c r="K961" s="565"/>
      <c r="L961" s="565"/>
      <c r="M961" s="565"/>
      <c r="N961" s="529"/>
      <c r="O961" s="529"/>
      <c r="P961" s="529"/>
      <c r="Q961" s="529"/>
      <c r="R961" s="529"/>
      <c r="S961" s="529"/>
      <c r="T961" s="529"/>
      <c r="U961" s="529"/>
      <c r="V961" s="529"/>
      <c r="W961" s="529"/>
      <c r="X961" s="529"/>
      <c r="Y961" s="529"/>
      <c r="Z961" s="529"/>
      <c r="AA961" s="529"/>
      <c r="AB961" s="529"/>
      <c r="AC961" s="529"/>
      <c r="AD961" s="529"/>
      <c r="AE961" s="529"/>
      <c r="AF961" s="529"/>
      <c r="AG961" s="556"/>
      <c r="AH961" s="528"/>
    </row>
    <row r="962">
      <c r="A962" s="564"/>
      <c r="B962" s="565"/>
      <c r="C962" s="565"/>
      <c r="D962" s="565"/>
      <c r="E962" s="565"/>
      <c r="F962" s="565"/>
      <c r="G962" s="565"/>
      <c r="H962" s="565"/>
      <c r="I962" s="565"/>
      <c r="J962" s="565"/>
      <c r="K962" s="565"/>
      <c r="L962" s="565"/>
      <c r="M962" s="565"/>
      <c r="N962" s="529"/>
      <c r="O962" s="529"/>
      <c r="P962" s="529"/>
      <c r="Q962" s="529"/>
      <c r="R962" s="529"/>
      <c r="S962" s="529"/>
      <c r="T962" s="529"/>
      <c r="U962" s="529"/>
      <c r="V962" s="529"/>
      <c r="W962" s="529"/>
      <c r="X962" s="529"/>
      <c r="Y962" s="529"/>
      <c r="Z962" s="529"/>
      <c r="AA962" s="529"/>
      <c r="AB962" s="529"/>
      <c r="AC962" s="529"/>
      <c r="AD962" s="529"/>
      <c r="AE962" s="529"/>
      <c r="AF962" s="529"/>
      <c r="AG962" s="556"/>
      <c r="AH962" s="528"/>
    </row>
    <row r="963">
      <c r="A963" s="564"/>
      <c r="B963" s="565"/>
      <c r="C963" s="565"/>
      <c r="D963" s="565"/>
      <c r="E963" s="565"/>
      <c r="F963" s="565"/>
      <c r="G963" s="565"/>
      <c r="H963" s="565"/>
      <c r="I963" s="565"/>
      <c r="J963" s="565"/>
      <c r="K963" s="565"/>
      <c r="L963" s="565"/>
      <c r="M963" s="565"/>
      <c r="N963" s="529"/>
      <c r="O963" s="529"/>
      <c r="P963" s="529"/>
      <c r="Q963" s="529"/>
      <c r="R963" s="529"/>
      <c r="S963" s="529"/>
      <c r="T963" s="529"/>
      <c r="U963" s="529"/>
      <c r="V963" s="529"/>
      <c r="W963" s="529"/>
      <c r="X963" s="529"/>
      <c r="Y963" s="529"/>
      <c r="Z963" s="529"/>
      <c r="AA963" s="529"/>
      <c r="AB963" s="529"/>
      <c r="AC963" s="529"/>
      <c r="AD963" s="529"/>
      <c r="AE963" s="529"/>
      <c r="AF963" s="529"/>
      <c r="AG963" s="556"/>
      <c r="AH963" s="528"/>
    </row>
    <row r="964">
      <c r="A964" s="564"/>
      <c r="B964" s="565"/>
      <c r="C964" s="565"/>
      <c r="D964" s="565"/>
      <c r="E964" s="565"/>
      <c r="F964" s="565"/>
      <c r="G964" s="565"/>
      <c r="H964" s="565"/>
      <c r="I964" s="565"/>
      <c r="J964" s="565"/>
      <c r="K964" s="565"/>
      <c r="L964" s="565"/>
      <c r="M964" s="565"/>
      <c r="N964" s="529"/>
      <c r="O964" s="529"/>
      <c r="P964" s="529"/>
      <c r="Q964" s="529"/>
      <c r="R964" s="529"/>
      <c r="S964" s="529"/>
      <c r="T964" s="529"/>
      <c r="U964" s="529"/>
      <c r="V964" s="529"/>
      <c r="W964" s="529"/>
      <c r="X964" s="529"/>
      <c r="Y964" s="529"/>
      <c r="Z964" s="529"/>
      <c r="AA964" s="529"/>
      <c r="AB964" s="529"/>
      <c r="AC964" s="529"/>
      <c r="AD964" s="529"/>
      <c r="AE964" s="529"/>
      <c r="AF964" s="529"/>
      <c r="AG964" s="556"/>
      <c r="AH964" s="528"/>
    </row>
    <row r="965">
      <c r="A965" s="564"/>
      <c r="B965" s="565"/>
      <c r="C965" s="565"/>
      <c r="D965" s="565"/>
      <c r="E965" s="565"/>
      <c r="F965" s="565"/>
      <c r="G965" s="565"/>
      <c r="H965" s="565"/>
      <c r="I965" s="565"/>
      <c r="J965" s="565"/>
      <c r="K965" s="565"/>
      <c r="L965" s="565"/>
      <c r="M965" s="565"/>
      <c r="N965" s="529"/>
      <c r="O965" s="529"/>
      <c r="P965" s="529"/>
      <c r="Q965" s="529"/>
      <c r="R965" s="529"/>
      <c r="S965" s="529"/>
      <c r="T965" s="529"/>
      <c r="U965" s="529"/>
      <c r="V965" s="529"/>
      <c r="W965" s="529"/>
      <c r="X965" s="529"/>
      <c r="Y965" s="529"/>
      <c r="Z965" s="529"/>
      <c r="AA965" s="529"/>
      <c r="AB965" s="529"/>
      <c r="AC965" s="529"/>
      <c r="AD965" s="529"/>
      <c r="AE965" s="529"/>
      <c r="AF965" s="529"/>
      <c r="AG965" s="556"/>
      <c r="AH965" s="528"/>
    </row>
    <row r="966">
      <c r="A966" s="564"/>
      <c r="B966" s="565"/>
      <c r="C966" s="565"/>
      <c r="D966" s="565"/>
      <c r="E966" s="565"/>
      <c r="F966" s="565"/>
      <c r="G966" s="565"/>
      <c r="H966" s="565"/>
      <c r="I966" s="565"/>
      <c r="J966" s="565"/>
      <c r="K966" s="565"/>
      <c r="L966" s="565"/>
      <c r="M966" s="565"/>
      <c r="N966" s="529"/>
      <c r="O966" s="529"/>
      <c r="P966" s="529"/>
      <c r="Q966" s="529"/>
      <c r="R966" s="529"/>
      <c r="S966" s="529"/>
      <c r="T966" s="529"/>
      <c r="U966" s="529"/>
      <c r="V966" s="529"/>
      <c r="W966" s="529"/>
      <c r="X966" s="529"/>
      <c r="Y966" s="529"/>
      <c r="Z966" s="529"/>
      <c r="AA966" s="529"/>
      <c r="AB966" s="529"/>
      <c r="AC966" s="529"/>
      <c r="AD966" s="529"/>
      <c r="AE966" s="529"/>
      <c r="AF966" s="529"/>
      <c r="AG966" s="556"/>
      <c r="AH966" s="528"/>
    </row>
    <row r="967">
      <c r="A967" s="564"/>
      <c r="B967" s="565"/>
      <c r="C967" s="565"/>
      <c r="D967" s="565"/>
      <c r="E967" s="565"/>
      <c r="F967" s="565"/>
      <c r="G967" s="565"/>
      <c r="H967" s="565"/>
      <c r="I967" s="565"/>
      <c r="J967" s="565"/>
      <c r="K967" s="565"/>
      <c r="L967" s="565"/>
      <c r="M967" s="565"/>
      <c r="N967" s="529"/>
      <c r="O967" s="529"/>
      <c r="P967" s="529"/>
      <c r="Q967" s="529"/>
      <c r="R967" s="529"/>
      <c r="S967" s="529"/>
      <c r="T967" s="529"/>
      <c r="U967" s="529"/>
      <c r="V967" s="529"/>
      <c r="W967" s="529"/>
      <c r="X967" s="529"/>
      <c r="Y967" s="529"/>
      <c r="Z967" s="529"/>
      <c r="AA967" s="529"/>
      <c r="AB967" s="529"/>
      <c r="AC967" s="529"/>
      <c r="AD967" s="529"/>
      <c r="AE967" s="529"/>
      <c r="AF967" s="529"/>
      <c r="AG967" s="556"/>
      <c r="AH967" s="528"/>
    </row>
    <row r="968">
      <c r="A968" s="564"/>
      <c r="B968" s="565"/>
      <c r="C968" s="565"/>
      <c r="D968" s="565"/>
      <c r="E968" s="565"/>
      <c r="F968" s="565"/>
      <c r="G968" s="565"/>
      <c r="H968" s="565"/>
      <c r="I968" s="565"/>
      <c r="J968" s="565"/>
      <c r="K968" s="565"/>
      <c r="L968" s="565"/>
      <c r="M968" s="565"/>
      <c r="N968" s="529"/>
      <c r="O968" s="529"/>
      <c r="P968" s="529"/>
      <c r="Q968" s="529"/>
      <c r="R968" s="529"/>
      <c r="S968" s="529"/>
      <c r="T968" s="529"/>
      <c r="U968" s="529"/>
      <c r="V968" s="529"/>
      <c r="W968" s="529"/>
      <c r="X968" s="529"/>
      <c r="Y968" s="529"/>
      <c r="Z968" s="529"/>
      <c r="AA968" s="529"/>
      <c r="AB968" s="529"/>
      <c r="AC968" s="529"/>
      <c r="AD968" s="529"/>
      <c r="AE968" s="529"/>
      <c r="AF968" s="529"/>
      <c r="AG968" s="556"/>
      <c r="AH968" s="528"/>
    </row>
    <row r="969">
      <c r="A969" s="564"/>
      <c r="B969" s="565"/>
      <c r="C969" s="565"/>
      <c r="D969" s="565"/>
      <c r="E969" s="565"/>
      <c r="F969" s="565"/>
      <c r="G969" s="565"/>
      <c r="H969" s="565"/>
      <c r="I969" s="565"/>
      <c r="J969" s="565"/>
      <c r="K969" s="565"/>
      <c r="L969" s="565"/>
      <c r="M969" s="565"/>
      <c r="N969" s="529"/>
      <c r="O969" s="529"/>
      <c r="P969" s="529"/>
      <c r="Q969" s="529"/>
      <c r="R969" s="529"/>
      <c r="S969" s="529"/>
      <c r="T969" s="529"/>
      <c r="U969" s="529"/>
      <c r="V969" s="529"/>
      <c r="W969" s="529"/>
      <c r="X969" s="529"/>
      <c r="Y969" s="529"/>
      <c r="Z969" s="529"/>
      <c r="AA969" s="529"/>
      <c r="AB969" s="529"/>
      <c r="AC969" s="529"/>
      <c r="AD969" s="529"/>
      <c r="AE969" s="529"/>
      <c r="AF969" s="529"/>
      <c r="AG969" s="556"/>
      <c r="AH969" s="528"/>
    </row>
    <row r="970">
      <c r="A970" s="564"/>
      <c r="B970" s="565"/>
      <c r="C970" s="565"/>
      <c r="D970" s="565"/>
      <c r="E970" s="565"/>
      <c r="F970" s="565"/>
      <c r="G970" s="565"/>
      <c r="H970" s="565"/>
      <c r="I970" s="565"/>
      <c r="J970" s="565"/>
      <c r="K970" s="565"/>
      <c r="L970" s="565"/>
      <c r="M970" s="565"/>
      <c r="N970" s="529"/>
      <c r="O970" s="529"/>
      <c r="P970" s="529"/>
      <c r="Q970" s="529"/>
      <c r="R970" s="529"/>
      <c r="S970" s="529"/>
      <c r="T970" s="529"/>
      <c r="U970" s="529"/>
      <c r="V970" s="529"/>
      <c r="W970" s="529"/>
      <c r="X970" s="529"/>
      <c r="Y970" s="529"/>
      <c r="Z970" s="529"/>
      <c r="AA970" s="529"/>
      <c r="AB970" s="529"/>
      <c r="AC970" s="529"/>
      <c r="AD970" s="529"/>
      <c r="AE970" s="529"/>
      <c r="AF970" s="529"/>
      <c r="AG970" s="556"/>
      <c r="AH970" s="528"/>
    </row>
    <row r="971">
      <c r="A971" s="564"/>
      <c r="B971" s="565"/>
      <c r="C971" s="565"/>
      <c r="D971" s="565"/>
      <c r="E971" s="565"/>
      <c r="F971" s="565"/>
      <c r="G971" s="565"/>
      <c r="H971" s="565"/>
      <c r="I971" s="565"/>
      <c r="J971" s="565"/>
      <c r="K971" s="565"/>
      <c r="L971" s="565"/>
      <c r="M971" s="565"/>
      <c r="N971" s="529"/>
      <c r="O971" s="529"/>
      <c r="P971" s="529"/>
      <c r="Q971" s="529"/>
      <c r="R971" s="529"/>
      <c r="S971" s="529"/>
      <c r="T971" s="529"/>
      <c r="U971" s="529"/>
      <c r="V971" s="529"/>
      <c r="W971" s="529"/>
      <c r="X971" s="529"/>
      <c r="Y971" s="529"/>
      <c r="Z971" s="529"/>
      <c r="AA971" s="529"/>
      <c r="AB971" s="529"/>
      <c r="AC971" s="529"/>
      <c r="AD971" s="529"/>
      <c r="AE971" s="529"/>
      <c r="AF971" s="529"/>
      <c r="AG971" s="556"/>
      <c r="AH971" s="528"/>
    </row>
    <row r="972">
      <c r="A972" s="564"/>
      <c r="B972" s="565"/>
      <c r="C972" s="565"/>
      <c r="D972" s="565"/>
      <c r="E972" s="565"/>
      <c r="F972" s="565"/>
      <c r="G972" s="565"/>
      <c r="H972" s="565"/>
      <c r="I972" s="565"/>
      <c r="J972" s="565"/>
      <c r="K972" s="565"/>
      <c r="L972" s="565"/>
      <c r="M972" s="565"/>
      <c r="N972" s="529"/>
      <c r="O972" s="529"/>
      <c r="P972" s="529"/>
      <c r="Q972" s="529"/>
      <c r="R972" s="529"/>
      <c r="S972" s="529"/>
      <c r="T972" s="529"/>
      <c r="U972" s="529"/>
      <c r="V972" s="529"/>
      <c r="W972" s="529"/>
      <c r="X972" s="529"/>
      <c r="Y972" s="529"/>
      <c r="Z972" s="529"/>
      <c r="AA972" s="529"/>
      <c r="AB972" s="529"/>
      <c r="AC972" s="529"/>
      <c r="AD972" s="529"/>
      <c r="AE972" s="529"/>
      <c r="AF972" s="529"/>
      <c r="AG972" s="556"/>
      <c r="AH972" s="528"/>
    </row>
    <row r="973">
      <c r="A973" s="564"/>
      <c r="B973" s="565"/>
      <c r="C973" s="565"/>
      <c r="D973" s="565"/>
      <c r="E973" s="565"/>
      <c r="F973" s="565"/>
      <c r="G973" s="565"/>
      <c r="H973" s="565"/>
      <c r="I973" s="565"/>
      <c r="J973" s="565"/>
      <c r="K973" s="565"/>
      <c r="L973" s="565"/>
      <c r="M973" s="565"/>
      <c r="N973" s="529"/>
      <c r="O973" s="529"/>
      <c r="P973" s="529"/>
      <c r="Q973" s="529"/>
      <c r="R973" s="529"/>
      <c r="S973" s="529"/>
      <c r="T973" s="529"/>
      <c r="U973" s="529"/>
      <c r="V973" s="529"/>
      <c r="W973" s="529"/>
      <c r="X973" s="529"/>
      <c r="Y973" s="529"/>
      <c r="Z973" s="529"/>
      <c r="AA973" s="529"/>
      <c r="AB973" s="529"/>
      <c r="AC973" s="529"/>
      <c r="AD973" s="529"/>
      <c r="AE973" s="529"/>
      <c r="AF973" s="529"/>
      <c r="AG973" s="556"/>
      <c r="AH973" s="528"/>
    </row>
    <row r="974">
      <c r="A974" s="564"/>
      <c r="B974" s="565"/>
      <c r="C974" s="565"/>
      <c r="D974" s="565"/>
      <c r="E974" s="565"/>
      <c r="F974" s="565"/>
      <c r="G974" s="565"/>
      <c r="H974" s="565"/>
      <c r="I974" s="565"/>
      <c r="J974" s="565"/>
      <c r="K974" s="565"/>
      <c r="L974" s="565"/>
      <c r="M974" s="565"/>
      <c r="N974" s="529"/>
      <c r="O974" s="529"/>
      <c r="P974" s="529"/>
      <c r="Q974" s="529"/>
      <c r="R974" s="529"/>
      <c r="S974" s="529"/>
      <c r="T974" s="529"/>
      <c r="U974" s="529"/>
      <c r="V974" s="529"/>
      <c r="W974" s="529"/>
      <c r="X974" s="529"/>
      <c r="Y974" s="529"/>
      <c r="Z974" s="529"/>
      <c r="AA974" s="529"/>
      <c r="AB974" s="529"/>
      <c r="AC974" s="529"/>
      <c r="AD974" s="529"/>
      <c r="AE974" s="529"/>
      <c r="AF974" s="529"/>
      <c r="AG974" s="556"/>
      <c r="AH974" s="528"/>
    </row>
    <row r="975">
      <c r="A975" s="564"/>
      <c r="B975" s="565"/>
      <c r="C975" s="565"/>
      <c r="D975" s="565"/>
      <c r="E975" s="565"/>
      <c r="F975" s="565"/>
      <c r="G975" s="565"/>
      <c r="H975" s="565"/>
      <c r="I975" s="565"/>
      <c r="J975" s="565"/>
      <c r="K975" s="565"/>
      <c r="L975" s="565"/>
      <c r="M975" s="565"/>
      <c r="N975" s="529"/>
      <c r="O975" s="529"/>
      <c r="P975" s="529"/>
      <c r="Q975" s="529"/>
      <c r="R975" s="529"/>
      <c r="S975" s="529"/>
      <c r="T975" s="529"/>
      <c r="U975" s="529"/>
      <c r="V975" s="529"/>
      <c r="W975" s="529"/>
      <c r="X975" s="529"/>
      <c r="Y975" s="529"/>
      <c r="Z975" s="529"/>
      <c r="AA975" s="529"/>
      <c r="AB975" s="529"/>
      <c r="AC975" s="529"/>
      <c r="AD975" s="529"/>
      <c r="AE975" s="529"/>
      <c r="AF975" s="529"/>
      <c r="AG975" s="556"/>
      <c r="AH975" s="528"/>
    </row>
    <row r="976">
      <c r="A976" s="564"/>
      <c r="B976" s="565"/>
      <c r="C976" s="565"/>
      <c r="D976" s="565"/>
      <c r="E976" s="565"/>
      <c r="F976" s="565"/>
      <c r="G976" s="565"/>
      <c r="H976" s="565"/>
      <c r="I976" s="565"/>
      <c r="J976" s="565"/>
      <c r="K976" s="565"/>
      <c r="L976" s="565"/>
      <c r="M976" s="565"/>
      <c r="N976" s="529"/>
      <c r="O976" s="529"/>
      <c r="P976" s="529"/>
      <c r="Q976" s="529"/>
      <c r="R976" s="529"/>
      <c r="S976" s="529"/>
      <c r="T976" s="529"/>
      <c r="U976" s="529"/>
      <c r="V976" s="529"/>
      <c r="W976" s="529"/>
      <c r="X976" s="529"/>
      <c r="Y976" s="529"/>
      <c r="Z976" s="529"/>
      <c r="AA976" s="529"/>
      <c r="AB976" s="529"/>
      <c r="AC976" s="529"/>
      <c r="AD976" s="529"/>
      <c r="AE976" s="529"/>
      <c r="AF976" s="529"/>
      <c r="AG976" s="556"/>
      <c r="AH976" s="528"/>
    </row>
    <row r="977">
      <c r="A977" s="564"/>
      <c r="B977" s="565"/>
      <c r="C977" s="565"/>
      <c r="D977" s="565"/>
      <c r="E977" s="565"/>
      <c r="F977" s="565"/>
      <c r="G977" s="565"/>
      <c r="H977" s="565"/>
      <c r="I977" s="565"/>
      <c r="J977" s="565"/>
      <c r="K977" s="565"/>
      <c r="L977" s="565"/>
      <c r="M977" s="565"/>
      <c r="N977" s="529"/>
      <c r="O977" s="529"/>
      <c r="P977" s="529"/>
      <c r="Q977" s="529"/>
      <c r="R977" s="529"/>
      <c r="S977" s="529"/>
      <c r="T977" s="529"/>
      <c r="U977" s="529"/>
      <c r="V977" s="529"/>
      <c r="W977" s="529"/>
      <c r="X977" s="529"/>
      <c r="Y977" s="529"/>
      <c r="Z977" s="529"/>
      <c r="AA977" s="529"/>
      <c r="AB977" s="529"/>
      <c r="AC977" s="529"/>
      <c r="AD977" s="529"/>
      <c r="AE977" s="529"/>
      <c r="AF977" s="529"/>
      <c r="AG977" s="556"/>
      <c r="AH977" s="528"/>
    </row>
    <row r="978">
      <c r="A978" s="564"/>
      <c r="B978" s="565"/>
      <c r="C978" s="565"/>
      <c r="D978" s="565"/>
      <c r="E978" s="565"/>
      <c r="F978" s="565"/>
      <c r="G978" s="565"/>
      <c r="H978" s="565"/>
      <c r="I978" s="565"/>
      <c r="J978" s="565"/>
      <c r="K978" s="565"/>
      <c r="L978" s="565"/>
      <c r="M978" s="565"/>
      <c r="N978" s="529"/>
      <c r="O978" s="529"/>
      <c r="P978" s="529"/>
      <c r="Q978" s="529"/>
      <c r="R978" s="529"/>
      <c r="S978" s="529"/>
      <c r="T978" s="529"/>
      <c r="U978" s="529"/>
      <c r="V978" s="529"/>
      <c r="W978" s="529"/>
      <c r="X978" s="529"/>
      <c r="Y978" s="529"/>
      <c r="Z978" s="529"/>
      <c r="AA978" s="529"/>
      <c r="AB978" s="529"/>
      <c r="AC978" s="529"/>
      <c r="AD978" s="529"/>
      <c r="AE978" s="529"/>
      <c r="AF978" s="529"/>
      <c r="AG978" s="556"/>
      <c r="AH978" s="528"/>
    </row>
    <row r="979">
      <c r="A979" s="564"/>
      <c r="B979" s="565"/>
      <c r="C979" s="565"/>
      <c r="D979" s="565"/>
      <c r="E979" s="565"/>
      <c r="F979" s="565"/>
      <c r="G979" s="565"/>
      <c r="H979" s="565"/>
      <c r="I979" s="565"/>
      <c r="J979" s="565"/>
      <c r="K979" s="565"/>
      <c r="L979" s="565"/>
      <c r="M979" s="565"/>
      <c r="N979" s="529"/>
      <c r="O979" s="529"/>
      <c r="P979" s="529"/>
      <c r="Q979" s="529"/>
      <c r="R979" s="529"/>
      <c r="S979" s="529"/>
      <c r="T979" s="529"/>
      <c r="U979" s="529"/>
      <c r="V979" s="529"/>
      <c r="W979" s="529"/>
      <c r="X979" s="529"/>
      <c r="Y979" s="529"/>
      <c r="Z979" s="529"/>
      <c r="AA979" s="529"/>
      <c r="AB979" s="529"/>
      <c r="AC979" s="529"/>
      <c r="AD979" s="529"/>
      <c r="AE979" s="529"/>
      <c r="AF979" s="529"/>
      <c r="AG979" s="556"/>
      <c r="AH979" s="528"/>
    </row>
    <row r="980">
      <c r="A980" s="564"/>
      <c r="B980" s="565"/>
      <c r="C980" s="565"/>
      <c r="D980" s="565"/>
      <c r="E980" s="565"/>
      <c r="F980" s="565"/>
      <c r="G980" s="565"/>
      <c r="H980" s="565"/>
      <c r="I980" s="565"/>
      <c r="J980" s="565"/>
      <c r="K980" s="565"/>
      <c r="L980" s="565"/>
      <c r="M980" s="565"/>
      <c r="N980" s="529"/>
      <c r="O980" s="529"/>
      <c r="P980" s="529"/>
      <c r="Q980" s="529"/>
      <c r="R980" s="529"/>
      <c r="S980" s="529"/>
      <c r="T980" s="529"/>
      <c r="U980" s="529"/>
      <c r="V980" s="529"/>
      <c r="W980" s="529"/>
      <c r="X980" s="529"/>
      <c r="Y980" s="529"/>
      <c r="Z980" s="529"/>
      <c r="AA980" s="529"/>
      <c r="AB980" s="529"/>
      <c r="AC980" s="529"/>
      <c r="AD980" s="529"/>
      <c r="AE980" s="529"/>
      <c r="AF980" s="529"/>
      <c r="AG980" s="556"/>
      <c r="AH980" s="528"/>
    </row>
    <row r="981">
      <c r="A981" s="564"/>
      <c r="B981" s="565"/>
      <c r="C981" s="565"/>
      <c r="D981" s="565"/>
      <c r="E981" s="565"/>
      <c r="F981" s="565"/>
      <c r="G981" s="565"/>
      <c r="H981" s="565"/>
      <c r="I981" s="565"/>
      <c r="J981" s="565"/>
      <c r="K981" s="565"/>
      <c r="L981" s="565"/>
      <c r="M981" s="565"/>
      <c r="N981" s="529"/>
      <c r="O981" s="529"/>
      <c r="P981" s="529"/>
      <c r="Q981" s="529"/>
      <c r="R981" s="529"/>
      <c r="S981" s="529"/>
      <c r="T981" s="529"/>
      <c r="U981" s="529"/>
      <c r="V981" s="529"/>
      <c r="W981" s="529"/>
      <c r="X981" s="529"/>
      <c r="Y981" s="529"/>
      <c r="Z981" s="529"/>
      <c r="AA981" s="529"/>
      <c r="AB981" s="529"/>
      <c r="AC981" s="529"/>
      <c r="AD981" s="529"/>
      <c r="AE981" s="529"/>
      <c r="AF981" s="529"/>
      <c r="AG981" s="556"/>
      <c r="AH981" s="528"/>
    </row>
    <row r="982">
      <c r="A982" s="564"/>
      <c r="B982" s="565"/>
      <c r="C982" s="565"/>
      <c r="D982" s="565"/>
      <c r="E982" s="565"/>
      <c r="F982" s="565"/>
      <c r="G982" s="565"/>
      <c r="H982" s="565"/>
      <c r="I982" s="565"/>
      <c r="J982" s="565"/>
      <c r="K982" s="565"/>
      <c r="L982" s="565"/>
      <c r="M982" s="565"/>
      <c r="N982" s="529"/>
      <c r="O982" s="529"/>
      <c r="P982" s="529"/>
      <c r="Q982" s="529"/>
      <c r="R982" s="529"/>
      <c r="S982" s="529"/>
      <c r="T982" s="529"/>
      <c r="U982" s="529"/>
      <c r="V982" s="529"/>
      <c r="W982" s="529"/>
      <c r="X982" s="529"/>
      <c r="Y982" s="529"/>
      <c r="Z982" s="529"/>
      <c r="AA982" s="529"/>
      <c r="AB982" s="529"/>
      <c r="AC982" s="529"/>
      <c r="AD982" s="529"/>
      <c r="AE982" s="529"/>
      <c r="AF982" s="529"/>
      <c r="AG982" s="556"/>
      <c r="AH982" s="528"/>
    </row>
    <row r="983">
      <c r="A983" s="564"/>
      <c r="B983" s="565"/>
      <c r="C983" s="565"/>
      <c r="D983" s="565"/>
      <c r="E983" s="565"/>
      <c r="F983" s="565"/>
      <c r="G983" s="565"/>
      <c r="H983" s="565"/>
      <c r="I983" s="565"/>
      <c r="J983" s="565"/>
      <c r="K983" s="565"/>
      <c r="L983" s="565"/>
      <c r="M983" s="565"/>
      <c r="N983" s="529"/>
      <c r="O983" s="529"/>
      <c r="P983" s="529"/>
      <c r="Q983" s="529"/>
      <c r="R983" s="529"/>
      <c r="S983" s="529"/>
      <c r="T983" s="529"/>
      <c r="U983" s="529"/>
      <c r="V983" s="529"/>
      <c r="W983" s="529"/>
      <c r="X983" s="529"/>
      <c r="Y983" s="529"/>
      <c r="Z983" s="529"/>
      <c r="AA983" s="529"/>
      <c r="AB983" s="529"/>
      <c r="AC983" s="529"/>
      <c r="AD983" s="529"/>
      <c r="AE983" s="529"/>
      <c r="AF983" s="529"/>
      <c r="AG983" s="556"/>
      <c r="AH983" s="528"/>
    </row>
    <row r="984">
      <c r="A984" s="564"/>
      <c r="B984" s="565"/>
      <c r="C984" s="565"/>
      <c r="D984" s="565"/>
      <c r="E984" s="565"/>
      <c r="F984" s="565"/>
      <c r="G984" s="565"/>
      <c r="H984" s="565"/>
      <c r="I984" s="565"/>
      <c r="J984" s="565"/>
      <c r="K984" s="565"/>
      <c r="L984" s="565"/>
      <c r="M984" s="565"/>
      <c r="N984" s="529"/>
      <c r="O984" s="529"/>
      <c r="P984" s="529"/>
      <c r="Q984" s="529"/>
      <c r="R984" s="529"/>
      <c r="S984" s="529"/>
      <c r="T984" s="529"/>
      <c r="U984" s="529"/>
      <c r="V984" s="529"/>
      <c r="W984" s="529"/>
      <c r="X984" s="529"/>
      <c r="Y984" s="529"/>
      <c r="Z984" s="529"/>
      <c r="AA984" s="529"/>
      <c r="AB984" s="529"/>
      <c r="AC984" s="529"/>
      <c r="AD984" s="529"/>
      <c r="AE984" s="529"/>
      <c r="AF984" s="529"/>
      <c r="AG984" s="556"/>
      <c r="AH984" s="528"/>
    </row>
    <row r="985">
      <c r="A985" s="564"/>
      <c r="B985" s="565"/>
      <c r="C985" s="565"/>
      <c r="D985" s="565"/>
      <c r="E985" s="565"/>
      <c r="F985" s="565"/>
      <c r="G985" s="565"/>
      <c r="H985" s="565"/>
      <c r="I985" s="565"/>
      <c r="J985" s="565"/>
      <c r="K985" s="565"/>
      <c r="L985" s="565"/>
      <c r="M985" s="565"/>
      <c r="N985" s="529"/>
      <c r="O985" s="529"/>
      <c r="P985" s="529"/>
      <c r="Q985" s="529"/>
      <c r="R985" s="529"/>
      <c r="S985" s="529"/>
      <c r="T985" s="529"/>
      <c r="U985" s="529"/>
      <c r="V985" s="529"/>
      <c r="W985" s="529"/>
      <c r="X985" s="529"/>
      <c r="Y985" s="529"/>
      <c r="Z985" s="529"/>
      <c r="AA985" s="529"/>
      <c r="AB985" s="529"/>
      <c r="AC985" s="529"/>
      <c r="AD985" s="529"/>
      <c r="AE985" s="529"/>
      <c r="AF985" s="529"/>
      <c r="AG985" s="556"/>
      <c r="AH985" s="528"/>
    </row>
    <row r="986">
      <c r="A986" s="564"/>
      <c r="B986" s="565"/>
      <c r="C986" s="565"/>
      <c r="D986" s="565"/>
      <c r="E986" s="565"/>
      <c r="F986" s="565"/>
      <c r="G986" s="565"/>
      <c r="H986" s="565"/>
      <c r="I986" s="565"/>
      <c r="J986" s="565"/>
      <c r="K986" s="565"/>
      <c r="L986" s="565"/>
      <c r="M986" s="565"/>
      <c r="N986" s="529"/>
      <c r="O986" s="529"/>
      <c r="P986" s="529"/>
      <c r="Q986" s="529"/>
      <c r="R986" s="529"/>
      <c r="S986" s="529"/>
      <c r="T986" s="529"/>
      <c r="U986" s="529"/>
      <c r="V986" s="529"/>
      <c r="W986" s="529"/>
      <c r="X986" s="529"/>
      <c r="Y986" s="529"/>
      <c r="Z986" s="529"/>
      <c r="AA986" s="529"/>
      <c r="AB986" s="529"/>
      <c r="AC986" s="529"/>
      <c r="AD986" s="529"/>
      <c r="AE986" s="529"/>
      <c r="AF986" s="529"/>
      <c r="AG986" s="556"/>
      <c r="AH986" s="528"/>
    </row>
    <row r="987">
      <c r="A987" s="564"/>
      <c r="B987" s="565"/>
      <c r="C987" s="565"/>
      <c r="D987" s="565"/>
      <c r="E987" s="565"/>
      <c r="F987" s="565"/>
      <c r="G987" s="565"/>
      <c r="H987" s="565"/>
      <c r="I987" s="565"/>
      <c r="J987" s="565"/>
      <c r="K987" s="565"/>
      <c r="L987" s="565"/>
      <c r="M987" s="565"/>
      <c r="N987" s="529"/>
      <c r="O987" s="529"/>
      <c r="P987" s="529"/>
      <c r="Q987" s="529"/>
      <c r="R987" s="529"/>
      <c r="S987" s="529"/>
      <c r="T987" s="529"/>
      <c r="U987" s="529"/>
      <c r="V987" s="529"/>
      <c r="W987" s="529"/>
      <c r="X987" s="529"/>
      <c r="Y987" s="529"/>
      <c r="Z987" s="529"/>
      <c r="AA987" s="529"/>
      <c r="AB987" s="529"/>
      <c r="AC987" s="529"/>
      <c r="AD987" s="529"/>
      <c r="AE987" s="529"/>
      <c r="AF987" s="529"/>
      <c r="AG987" s="556"/>
      <c r="AH987" s="528"/>
    </row>
    <row r="988">
      <c r="A988" s="564"/>
      <c r="B988" s="565"/>
      <c r="C988" s="565"/>
      <c r="D988" s="565"/>
      <c r="E988" s="565"/>
      <c r="F988" s="565"/>
      <c r="G988" s="565"/>
      <c r="H988" s="565"/>
      <c r="I988" s="565"/>
      <c r="J988" s="565"/>
      <c r="K988" s="565"/>
      <c r="L988" s="565"/>
      <c r="M988" s="565"/>
      <c r="N988" s="529"/>
      <c r="O988" s="529"/>
      <c r="P988" s="529"/>
      <c r="Q988" s="529"/>
      <c r="R988" s="529"/>
      <c r="S988" s="529"/>
      <c r="T988" s="529"/>
      <c r="U988" s="529"/>
      <c r="V988" s="529"/>
      <c r="W988" s="529"/>
      <c r="X988" s="529"/>
      <c r="Y988" s="529"/>
      <c r="Z988" s="529"/>
      <c r="AA988" s="529"/>
      <c r="AB988" s="529"/>
      <c r="AC988" s="529"/>
      <c r="AD988" s="529"/>
      <c r="AE988" s="529"/>
      <c r="AF988" s="529"/>
      <c r="AG988" s="556"/>
      <c r="AH988" s="528"/>
    </row>
    <row r="989">
      <c r="A989" s="564"/>
      <c r="B989" s="565"/>
      <c r="C989" s="565"/>
      <c r="D989" s="565"/>
      <c r="E989" s="565"/>
      <c r="F989" s="565"/>
      <c r="G989" s="565"/>
      <c r="H989" s="565"/>
      <c r="I989" s="565"/>
      <c r="J989" s="565"/>
      <c r="K989" s="565"/>
      <c r="L989" s="565"/>
      <c r="M989" s="565"/>
      <c r="N989" s="529"/>
      <c r="O989" s="529"/>
      <c r="P989" s="529"/>
      <c r="Q989" s="529"/>
      <c r="R989" s="529"/>
      <c r="S989" s="529"/>
      <c r="T989" s="529"/>
      <c r="U989" s="529"/>
      <c r="V989" s="529"/>
      <c r="W989" s="529"/>
      <c r="X989" s="529"/>
      <c r="Y989" s="529"/>
      <c r="Z989" s="529"/>
      <c r="AA989" s="529"/>
      <c r="AB989" s="529"/>
      <c r="AC989" s="529"/>
      <c r="AD989" s="529"/>
      <c r="AE989" s="529"/>
      <c r="AF989" s="529"/>
      <c r="AG989" s="556"/>
      <c r="AH989" s="528"/>
    </row>
    <row r="990">
      <c r="A990" s="564"/>
      <c r="B990" s="565"/>
      <c r="C990" s="565"/>
      <c r="D990" s="565"/>
      <c r="E990" s="565"/>
      <c r="F990" s="565"/>
      <c r="G990" s="565"/>
      <c r="H990" s="565"/>
      <c r="I990" s="565"/>
      <c r="J990" s="565"/>
      <c r="K990" s="565"/>
      <c r="L990" s="565"/>
      <c r="M990" s="565"/>
      <c r="N990" s="529"/>
      <c r="O990" s="529"/>
      <c r="P990" s="529"/>
      <c r="Q990" s="529"/>
      <c r="R990" s="529"/>
      <c r="S990" s="529"/>
      <c r="T990" s="529"/>
      <c r="U990" s="529"/>
      <c r="V990" s="529"/>
      <c r="W990" s="529"/>
      <c r="X990" s="529"/>
      <c r="Y990" s="529"/>
      <c r="Z990" s="529"/>
      <c r="AA990" s="529"/>
      <c r="AB990" s="529"/>
      <c r="AC990" s="529"/>
      <c r="AD990" s="529"/>
      <c r="AE990" s="529"/>
      <c r="AF990" s="529"/>
      <c r="AG990" s="556"/>
      <c r="AH990" s="528"/>
    </row>
    <row r="991">
      <c r="A991" s="564"/>
      <c r="B991" s="565"/>
      <c r="C991" s="565"/>
      <c r="D991" s="565"/>
      <c r="E991" s="565"/>
      <c r="F991" s="565"/>
      <c r="G991" s="565"/>
      <c r="H991" s="565"/>
      <c r="I991" s="565"/>
      <c r="J991" s="565"/>
      <c r="K991" s="565"/>
      <c r="L991" s="565"/>
      <c r="M991" s="565"/>
      <c r="N991" s="529"/>
      <c r="O991" s="529"/>
      <c r="P991" s="529"/>
      <c r="Q991" s="529"/>
      <c r="R991" s="529"/>
      <c r="S991" s="529"/>
      <c r="T991" s="529"/>
      <c r="U991" s="529"/>
      <c r="V991" s="529"/>
      <c r="W991" s="529"/>
      <c r="X991" s="529"/>
      <c r="Y991" s="529"/>
      <c r="Z991" s="529"/>
      <c r="AA991" s="529"/>
      <c r="AB991" s="529"/>
      <c r="AC991" s="529"/>
      <c r="AD991" s="529"/>
      <c r="AE991" s="529"/>
      <c r="AF991" s="529"/>
      <c r="AG991" s="556"/>
      <c r="AH991" s="528"/>
    </row>
    <row r="992">
      <c r="A992" s="564"/>
      <c r="B992" s="565"/>
      <c r="C992" s="565"/>
      <c r="D992" s="565"/>
      <c r="E992" s="565"/>
      <c r="F992" s="565"/>
      <c r="G992" s="565"/>
      <c r="H992" s="565"/>
      <c r="I992" s="565"/>
      <c r="J992" s="565"/>
      <c r="K992" s="565"/>
      <c r="L992" s="565"/>
      <c r="M992" s="565"/>
      <c r="N992" s="529"/>
      <c r="O992" s="529"/>
      <c r="P992" s="529"/>
      <c r="Q992" s="529"/>
      <c r="R992" s="529"/>
      <c r="S992" s="529"/>
      <c r="T992" s="529"/>
      <c r="U992" s="529"/>
      <c r="V992" s="529"/>
      <c r="W992" s="529"/>
      <c r="X992" s="529"/>
      <c r="Y992" s="529"/>
      <c r="Z992" s="529"/>
      <c r="AA992" s="529"/>
      <c r="AB992" s="529"/>
      <c r="AC992" s="529"/>
      <c r="AD992" s="529"/>
      <c r="AE992" s="529"/>
      <c r="AF992" s="529"/>
      <c r="AG992" s="556"/>
      <c r="AH992" s="528"/>
    </row>
    <row r="993">
      <c r="A993" s="564"/>
      <c r="B993" s="565"/>
      <c r="C993" s="565"/>
      <c r="D993" s="565"/>
      <c r="E993" s="565"/>
      <c r="F993" s="565"/>
      <c r="G993" s="565"/>
      <c r="H993" s="565"/>
      <c r="I993" s="565"/>
      <c r="J993" s="565"/>
      <c r="K993" s="565"/>
      <c r="L993" s="565"/>
      <c r="M993" s="565"/>
      <c r="N993" s="529"/>
      <c r="O993" s="529"/>
      <c r="P993" s="529"/>
      <c r="Q993" s="529"/>
      <c r="R993" s="529"/>
      <c r="S993" s="529"/>
      <c r="T993" s="529"/>
      <c r="U993" s="529"/>
      <c r="V993" s="529"/>
      <c r="W993" s="529"/>
      <c r="X993" s="529"/>
      <c r="Y993" s="529"/>
      <c r="Z993" s="529"/>
      <c r="AA993" s="529"/>
      <c r="AB993" s="529"/>
      <c r="AC993" s="529"/>
      <c r="AD993" s="529"/>
      <c r="AE993" s="529"/>
      <c r="AF993" s="529"/>
      <c r="AG993" s="556"/>
      <c r="AH993" s="528"/>
    </row>
    <row r="994">
      <c r="A994" s="564"/>
      <c r="B994" s="565"/>
      <c r="C994" s="565"/>
      <c r="D994" s="565"/>
      <c r="E994" s="565"/>
      <c r="F994" s="565"/>
      <c r="G994" s="565"/>
      <c r="H994" s="565"/>
      <c r="I994" s="565"/>
      <c r="J994" s="565"/>
      <c r="K994" s="565"/>
      <c r="L994" s="565"/>
      <c r="M994" s="565"/>
      <c r="N994" s="529"/>
      <c r="O994" s="529"/>
      <c r="P994" s="529"/>
      <c r="Q994" s="529"/>
      <c r="R994" s="529"/>
      <c r="S994" s="529"/>
      <c r="T994" s="529"/>
      <c r="U994" s="529"/>
      <c r="V994" s="529"/>
      <c r="W994" s="529"/>
      <c r="X994" s="529"/>
      <c r="Y994" s="529"/>
      <c r="Z994" s="529"/>
      <c r="AA994" s="529"/>
      <c r="AB994" s="529"/>
      <c r="AC994" s="529"/>
      <c r="AD994" s="529"/>
      <c r="AE994" s="529"/>
      <c r="AF994" s="529"/>
      <c r="AG994" s="556"/>
      <c r="AH994" s="528"/>
    </row>
    <row r="995">
      <c r="A995" s="564"/>
      <c r="B995" s="565"/>
      <c r="C995" s="565"/>
      <c r="D995" s="565"/>
      <c r="E995" s="565"/>
      <c r="F995" s="565"/>
      <c r="G995" s="565"/>
      <c r="H995" s="565"/>
      <c r="I995" s="565"/>
      <c r="J995" s="565"/>
      <c r="K995" s="565"/>
      <c r="L995" s="565"/>
      <c r="M995" s="565"/>
      <c r="N995" s="529"/>
      <c r="O995" s="529"/>
      <c r="P995" s="529"/>
      <c r="Q995" s="529"/>
      <c r="R995" s="529"/>
      <c r="S995" s="529"/>
      <c r="T995" s="529"/>
      <c r="U995" s="529"/>
      <c r="V995" s="529"/>
      <c r="W995" s="529"/>
      <c r="X995" s="529"/>
      <c r="Y995" s="529"/>
      <c r="Z995" s="529"/>
      <c r="AA995" s="529"/>
      <c r="AB995" s="529"/>
      <c r="AC995" s="529"/>
      <c r="AD995" s="529"/>
      <c r="AE995" s="529"/>
      <c r="AF995" s="529"/>
      <c r="AG995" s="556"/>
      <c r="AH995" s="528"/>
    </row>
    <row r="996">
      <c r="A996" s="564"/>
      <c r="B996" s="565"/>
      <c r="C996" s="565"/>
      <c r="D996" s="565"/>
      <c r="E996" s="565"/>
      <c r="F996" s="565"/>
      <c r="G996" s="565"/>
      <c r="H996" s="565"/>
      <c r="I996" s="565"/>
      <c r="J996" s="565"/>
      <c r="K996" s="565"/>
      <c r="L996" s="565"/>
      <c r="M996" s="565"/>
      <c r="N996" s="529"/>
      <c r="O996" s="529"/>
      <c r="P996" s="529"/>
      <c r="Q996" s="529"/>
      <c r="R996" s="529"/>
      <c r="S996" s="529"/>
      <c r="T996" s="529"/>
      <c r="U996" s="529"/>
      <c r="V996" s="529"/>
      <c r="W996" s="529"/>
      <c r="X996" s="529"/>
      <c r="Y996" s="529"/>
      <c r="Z996" s="529"/>
      <c r="AA996" s="529"/>
      <c r="AB996" s="529"/>
      <c r="AC996" s="529"/>
      <c r="AD996" s="529"/>
      <c r="AE996" s="529"/>
      <c r="AF996" s="529"/>
      <c r="AG996" s="556"/>
      <c r="AH996" s="528"/>
    </row>
    <row r="997">
      <c r="A997" s="564"/>
      <c r="B997" s="565"/>
      <c r="C997" s="565"/>
      <c r="D997" s="565"/>
      <c r="E997" s="565"/>
      <c r="F997" s="565"/>
      <c r="G997" s="565"/>
      <c r="H997" s="565"/>
      <c r="I997" s="565"/>
      <c r="J997" s="565"/>
      <c r="K997" s="565"/>
      <c r="L997" s="565"/>
      <c r="M997" s="565"/>
      <c r="N997" s="529"/>
      <c r="O997" s="529"/>
      <c r="P997" s="529"/>
      <c r="Q997" s="529"/>
      <c r="R997" s="529"/>
      <c r="S997" s="529"/>
      <c r="T997" s="529"/>
      <c r="U997" s="529"/>
      <c r="V997" s="529"/>
      <c r="W997" s="529"/>
      <c r="X997" s="529"/>
      <c r="Y997" s="529"/>
      <c r="Z997" s="529"/>
      <c r="AA997" s="529"/>
      <c r="AB997" s="529"/>
      <c r="AC997" s="529"/>
      <c r="AD997" s="529"/>
      <c r="AE997" s="529"/>
      <c r="AF997" s="529"/>
      <c r="AG997" s="556"/>
      <c r="AH997" s="528"/>
    </row>
    <row r="998">
      <c r="A998" s="564"/>
      <c r="B998" s="565"/>
      <c r="C998" s="565"/>
      <c r="D998" s="565"/>
      <c r="E998" s="565"/>
      <c r="F998" s="565"/>
      <c r="G998" s="565"/>
      <c r="H998" s="565"/>
      <c r="I998" s="565"/>
      <c r="J998" s="565"/>
      <c r="K998" s="565"/>
      <c r="L998" s="565"/>
      <c r="M998" s="565"/>
      <c r="N998" s="529"/>
      <c r="O998" s="529"/>
      <c r="P998" s="529"/>
      <c r="Q998" s="529"/>
      <c r="R998" s="529"/>
      <c r="S998" s="529"/>
      <c r="T998" s="529"/>
      <c r="U998" s="529"/>
      <c r="V998" s="529"/>
      <c r="W998" s="529"/>
      <c r="X998" s="529"/>
      <c r="Y998" s="529"/>
      <c r="Z998" s="529"/>
      <c r="AA998" s="529"/>
      <c r="AB998" s="529"/>
      <c r="AC998" s="529"/>
      <c r="AD998" s="529"/>
      <c r="AE998" s="529"/>
      <c r="AF998" s="529"/>
      <c r="AG998" s="556"/>
      <c r="AH998" s="528"/>
    </row>
    <row r="999">
      <c r="A999" s="564"/>
      <c r="B999" s="565"/>
      <c r="C999" s="565"/>
      <c r="D999" s="565"/>
      <c r="E999" s="565"/>
      <c r="F999" s="565"/>
      <c r="G999" s="565"/>
      <c r="H999" s="565"/>
      <c r="I999" s="565"/>
      <c r="J999" s="565"/>
      <c r="K999" s="565"/>
      <c r="L999" s="565"/>
      <c r="M999" s="565"/>
      <c r="N999" s="529"/>
      <c r="O999" s="529"/>
      <c r="P999" s="529"/>
      <c r="Q999" s="529"/>
      <c r="R999" s="529"/>
      <c r="S999" s="529"/>
      <c r="T999" s="529"/>
      <c r="U999" s="529"/>
      <c r="V999" s="529"/>
      <c r="W999" s="529"/>
      <c r="X999" s="529"/>
      <c r="Y999" s="529"/>
      <c r="Z999" s="529"/>
      <c r="AA999" s="529"/>
      <c r="AB999" s="529"/>
      <c r="AC999" s="529"/>
      <c r="AD999" s="529"/>
      <c r="AE999" s="529"/>
      <c r="AF999" s="529"/>
      <c r="AG999" s="556"/>
      <c r="AH999" s="528"/>
    </row>
    <row r="1000">
      <c r="A1000" s="564"/>
      <c r="B1000" s="565"/>
      <c r="C1000" s="565"/>
      <c r="D1000" s="565"/>
      <c r="E1000" s="565"/>
      <c r="F1000" s="565"/>
      <c r="G1000" s="565"/>
      <c r="H1000" s="565"/>
      <c r="I1000" s="565"/>
      <c r="J1000" s="565"/>
      <c r="K1000" s="565"/>
      <c r="L1000" s="565"/>
      <c r="M1000" s="565"/>
      <c r="N1000" s="529"/>
      <c r="O1000" s="529"/>
      <c r="P1000" s="529"/>
      <c r="Q1000" s="529"/>
      <c r="R1000" s="529"/>
      <c r="S1000" s="529"/>
      <c r="T1000" s="529"/>
      <c r="U1000" s="529"/>
      <c r="V1000" s="529"/>
      <c r="W1000" s="529"/>
      <c r="X1000" s="529"/>
      <c r="Y1000" s="529"/>
      <c r="Z1000" s="529"/>
      <c r="AA1000" s="529"/>
      <c r="AB1000" s="529"/>
      <c r="AC1000" s="529"/>
      <c r="AD1000" s="529"/>
      <c r="AE1000" s="529"/>
      <c r="AF1000" s="529"/>
      <c r="AG1000" s="556"/>
      <c r="AH1000" s="528"/>
    </row>
    <row r="1001">
      <c r="A1001" s="564"/>
      <c r="B1001" s="565"/>
      <c r="C1001" s="565"/>
      <c r="D1001" s="565"/>
      <c r="E1001" s="565"/>
      <c r="F1001" s="565"/>
      <c r="G1001" s="565"/>
      <c r="H1001" s="565"/>
      <c r="I1001" s="565"/>
      <c r="J1001" s="565"/>
      <c r="K1001" s="565"/>
      <c r="L1001" s="565"/>
      <c r="M1001" s="565"/>
      <c r="N1001" s="529"/>
      <c r="O1001" s="529"/>
      <c r="P1001" s="529"/>
      <c r="Q1001" s="529"/>
      <c r="R1001" s="529"/>
      <c r="S1001" s="529"/>
      <c r="T1001" s="529"/>
      <c r="U1001" s="529"/>
      <c r="V1001" s="529"/>
      <c r="W1001" s="529"/>
      <c r="X1001" s="529"/>
      <c r="Y1001" s="529"/>
      <c r="Z1001" s="529"/>
      <c r="AA1001" s="529"/>
      <c r="AB1001" s="529"/>
      <c r="AC1001" s="529"/>
      <c r="AD1001" s="529"/>
      <c r="AE1001" s="529"/>
      <c r="AF1001" s="529"/>
      <c r="AG1001" s="556"/>
      <c r="AH1001" s="528"/>
    </row>
    <row r="1002">
      <c r="A1002" s="564"/>
      <c r="B1002" s="565"/>
      <c r="C1002" s="565"/>
      <c r="D1002" s="565"/>
      <c r="E1002" s="565"/>
      <c r="F1002" s="565"/>
      <c r="G1002" s="565"/>
      <c r="H1002" s="565"/>
      <c r="I1002" s="565"/>
      <c r="J1002" s="565"/>
      <c r="K1002" s="565"/>
      <c r="L1002" s="565"/>
      <c r="M1002" s="565"/>
      <c r="N1002" s="529"/>
      <c r="O1002" s="529"/>
      <c r="P1002" s="529"/>
      <c r="Q1002" s="529"/>
      <c r="R1002" s="529"/>
      <c r="S1002" s="529"/>
      <c r="T1002" s="529"/>
      <c r="U1002" s="529"/>
      <c r="V1002" s="529"/>
      <c r="W1002" s="529"/>
      <c r="X1002" s="529"/>
      <c r="Y1002" s="529"/>
      <c r="Z1002" s="529"/>
      <c r="AA1002" s="529"/>
      <c r="AB1002" s="529"/>
      <c r="AC1002" s="529"/>
      <c r="AD1002" s="529"/>
      <c r="AE1002" s="529"/>
      <c r="AF1002" s="529"/>
      <c r="AG1002" s="556"/>
      <c r="AH1002" s="528"/>
    </row>
    <row r="1003">
      <c r="A1003" s="564"/>
      <c r="B1003" s="565"/>
      <c r="C1003" s="565"/>
      <c r="D1003" s="565"/>
      <c r="E1003" s="565"/>
      <c r="F1003" s="565"/>
      <c r="G1003" s="565"/>
      <c r="H1003" s="565"/>
      <c r="I1003" s="565"/>
      <c r="J1003" s="565"/>
      <c r="K1003" s="565"/>
      <c r="L1003" s="565"/>
      <c r="M1003" s="565"/>
      <c r="N1003" s="529"/>
      <c r="O1003" s="529"/>
      <c r="P1003" s="529"/>
      <c r="Q1003" s="529"/>
      <c r="R1003" s="529"/>
      <c r="S1003" s="529"/>
      <c r="T1003" s="529"/>
      <c r="U1003" s="529"/>
      <c r="V1003" s="529"/>
      <c r="W1003" s="529"/>
      <c r="X1003" s="529"/>
      <c r="Y1003" s="529"/>
      <c r="Z1003" s="529"/>
      <c r="AA1003" s="529"/>
      <c r="AB1003" s="529"/>
      <c r="AC1003" s="529"/>
      <c r="AD1003" s="529"/>
      <c r="AE1003" s="529"/>
      <c r="AF1003" s="529"/>
      <c r="AG1003" s="556"/>
      <c r="AH1003" s="528"/>
    </row>
    <row r="1004">
      <c r="A1004" s="564"/>
      <c r="B1004" s="565"/>
      <c r="C1004" s="565"/>
      <c r="D1004" s="565"/>
      <c r="E1004" s="565"/>
      <c r="F1004" s="565"/>
      <c r="G1004" s="565"/>
      <c r="H1004" s="565"/>
      <c r="I1004" s="565"/>
      <c r="J1004" s="565"/>
      <c r="K1004" s="565"/>
      <c r="L1004" s="565"/>
      <c r="M1004" s="565"/>
      <c r="N1004" s="529"/>
      <c r="O1004" s="529"/>
      <c r="P1004" s="529"/>
      <c r="Q1004" s="529"/>
      <c r="R1004" s="529"/>
      <c r="S1004" s="529"/>
      <c r="T1004" s="529"/>
      <c r="U1004" s="529"/>
      <c r="V1004" s="529"/>
      <c r="W1004" s="529"/>
      <c r="X1004" s="529"/>
      <c r="Y1004" s="529"/>
      <c r="Z1004" s="529"/>
      <c r="AA1004" s="529"/>
      <c r="AB1004" s="529"/>
      <c r="AC1004" s="529"/>
      <c r="AD1004" s="529"/>
      <c r="AE1004" s="529"/>
      <c r="AF1004" s="529"/>
      <c r="AG1004" s="556"/>
      <c r="AH1004" s="528"/>
    </row>
    <row r="1005">
      <c r="A1005" s="564"/>
      <c r="B1005" s="565"/>
      <c r="C1005" s="565"/>
      <c r="D1005" s="565"/>
      <c r="E1005" s="565"/>
      <c r="F1005" s="565"/>
      <c r="G1005" s="565"/>
      <c r="H1005" s="565"/>
      <c r="I1005" s="565"/>
      <c r="J1005" s="565"/>
      <c r="K1005" s="565"/>
      <c r="L1005" s="565"/>
      <c r="M1005" s="565"/>
      <c r="N1005" s="529"/>
      <c r="O1005" s="529"/>
      <c r="P1005" s="529"/>
      <c r="Q1005" s="529"/>
      <c r="R1005" s="529"/>
      <c r="S1005" s="529"/>
      <c r="T1005" s="529"/>
      <c r="U1005" s="529"/>
      <c r="V1005" s="529"/>
      <c r="W1005" s="529"/>
      <c r="X1005" s="529"/>
      <c r="Y1005" s="529"/>
      <c r="Z1005" s="529"/>
      <c r="AA1005" s="529"/>
      <c r="AB1005" s="529"/>
      <c r="AC1005" s="529"/>
      <c r="AD1005" s="529"/>
      <c r="AE1005" s="529"/>
      <c r="AF1005" s="529"/>
      <c r="AG1005" s="556"/>
      <c r="AH1005" s="528"/>
    </row>
    <row r="1006">
      <c r="A1006" s="564"/>
      <c r="B1006" s="565"/>
      <c r="C1006" s="565"/>
      <c r="D1006" s="565"/>
      <c r="E1006" s="565"/>
      <c r="F1006" s="565"/>
      <c r="G1006" s="565"/>
      <c r="H1006" s="565"/>
      <c r="I1006" s="565"/>
      <c r="J1006" s="565"/>
      <c r="K1006" s="565"/>
      <c r="L1006" s="565"/>
      <c r="M1006" s="565"/>
      <c r="N1006" s="529"/>
      <c r="O1006" s="529"/>
      <c r="P1006" s="529"/>
      <c r="Q1006" s="529"/>
      <c r="R1006" s="529"/>
      <c r="S1006" s="529"/>
      <c r="T1006" s="529"/>
      <c r="U1006" s="529"/>
      <c r="V1006" s="529"/>
      <c r="W1006" s="529"/>
      <c r="X1006" s="529"/>
      <c r="Y1006" s="529"/>
      <c r="Z1006" s="529"/>
      <c r="AA1006" s="529"/>
      <c r="AB1006" s="529"/>
      <c r="AC1006" s="529"/>
      <c r="AD1006" s="529"/>
      <c r="AE1006" s="529"/>
      <c r="AF1006" s="529"/>
      <c r="AG1006" s="556"/>
      <c r="AH1006" s="528"/>
    </row>
    <row r="1007">
      <c r="A1007" s="564"/>
      <c r="B1007" s="565"/>
      <c r="C1007" s="565"/>
      <c r="D1007" s="565"/>
      <c r="E1007" s="565"/>
      <c r="F1007" s="565"/>
      <c r="G1007" s="565"/>
      <c r="H1007" s="565"/>
      <c r="I1007" s="565"/>
      <c r="J1007" s="565"/>
      <c r="K1007" s="565"/>
      <c r="L1007" s="565"/>
      <c r="M1007" s="565"/>
      <c r="N1007" s="529"/>
      <c r="O1007" s="529"/>
      <c r="P1007" s="529"/>
      <c r="Q1007" s="529"/>
      <c r="R1007" s="529"/>
      <c r="S1007" s="529"/>
      <c r="T1007" s="529"/>
      <c r="U1007" s="529"/>
      <c r="V1007" s="529"/>
      <c r="W1007" s="529"/>
      <c r="X1007" s="529"/>
      <c r="Y1007" s="529"/>
      <c r="Z1007" s="529"/>
      <c r="AA1007" s="529"/>
      <c r="AB1007" s="529"/>
      <c r="AC1007" s="529"/>
      <c r="AD1007" s="529"/>
      <c r="AE1007" s="529"/>
      <c r="AF1007" s="529"/>
      <c r="AG1007" s="556"/>
      <c r="AH1007" s="528"/>
    </row>
    <row r="1008">
      <c r="A1008" s="564"/>
      <c r="B1008" s="565"/>
      <c r="C1008" s="565"/>
      <c r="D1008" s="565"/>
      <c r="E1008" s="565"/>
      <c r="F1008" s="565"/>
      <c r="G1008" s="565"/>
      <c r="H1008" s="565"/>
      <c r="I1008" s="565"/>
      <c r="J1008" s="565"/>
      <c r="K1008" s="565"/>
      <c r="L1008" s="565"/>
      <c r="M1008" s="565"/>
      <c r="N1008" s="529"/>
      <c r="O1008" s="529"/>
      <c r="P1008" s="529"/>
      <c r="Q1008" s="529"/>
      <c r="R1008" s="529"/>
      <c r="S1008" s="529"/>
      <c r="T1008" s="529"/>
      <c r="U1008" s="529"/>
      <c r="V1008" s="529"/>
      <c r="W1008" s="529"/>
      <c r="X1008" s="529"/>
      <c r="Y1008" s="529"/>
      <c r="Z1008" s="529"/>
      <c r="AA1008" s="529"/>
      <c r="AB1008" s="529"/>
      <c r="AC1008" s="529"/>
      <c r="AD1008" s="529"/>
      <c r="AE1008" s="529"/>
      <c r="AF1008" s="529"/>
      <c r="AG1008" s="556"/>
      <c r="AH1008" s="528"/>
    </row>
    <row r="1009">
      <c r="A1009" s="564"/>
      <c r="B1009" s="565"/>
      <c r="C1009" s="565"/>
      <c r="D1009" s="565"/>
      <c r="E1009" s="565"/>
      <c r="F1009" s="565"/>
      <c r="G1009" s="565"/>
      <c r="H1009" s="565"/>
      <c r="I1009" s="565"/>
      <c r="J1009" s="565"/>
      <c r="K1009" s="565"/>
      <c r="L1009" s="565"/>
      <c r="M1009" s="565"/>
      <c r="N1009" s="529"/>
      <c r="O1009" s="529"/>
      <c r="P1009" s="529"/>
      <c r="Q1009" s="529"/>
      <c r="R1009" s="529"/>
      <c r="S1009" s="529"/>
      <c r="T1009" s="529"/>
      <c r="U1009" s="529"/>
      <c r="V1009" s="529"/>
      <c r="W1009" s="529"/>
      <c r="X1009" s="529"/>
      <c r="Y1009" s="529"/>
      <c r="Z1009" s="529"/>
      <c r="AA1009" s="529"/>
      <c r="AB1009" s="529"/>
      <c r="AC1009" s="529"/>
      <c r="AD1009" s="529"/>
      <c r="AE1009" s="529"/>
      <c r="AF1009" s="529"/>
      <c r="AG1009" s="556"/>
      <c r="AH1009" s="528"/>
    </row>
    <row r="1010">
      <c r="A1010" s="564"/>
      <c r="B1010" s="565"/>
      <c r="C1010" s="565"/>
      <c r="D1010" s="565"/>
      <c r="E1010" s="565"/>
      <c r="F1010" s="565"/>
      <c r="G1010" s="565"/>
      <c r="H1010" s="565"/>
      <c r="I1010" s="565"/>
      <c r="J1010" s="565"/>
      <c r="K1010" s="565"/>
      <c r="L1010" s="565"/>
      <c r="M1010" s="565"/>
      <c r="N1010" s="529"/>
      <c r="O1010" s="529"/>
      <c r="P1010" s="529"/>
      <c r="Q1010" s="529"/>
      <c r="R1010" s="529"/>
      <c r="S1010" s="529"/>
      <c r="T1010" s="529"/>
      <c r="U1010" s="529"/>
      <c r="V1010" s="529"/>
      <c r="W1010" s="529"/>
      <c r="X1010" s="529"/>
      <c r="Y1010" s="529"/>
      <c r="Z1010" s="529"/>
      <c r="AA1010" s="529"/>
      <c r="AB1010" s="529"/>
      <c r="AC1010" s="529"/>
      <c r="AD1010" s="529"/>
      <c r="AE1010" s="529"/>
      <c r="AF1010" s="529"/>
      <c r="AG1010" s="556"/>
      <c r="AH1010" s="528"/>
    </row>
    <row r="1011">
      <c r="A1011" s="564"/>
      <c r="B1011" s="565"/>
      <c r="C1011" s="565"/>
      <c r="D1011" s="565"/>
      <c r="E1011" s="565"/>
      <c r="F1011" s="565"/>
      <c r="G1011" s="565"/>
      <c r="H1011" s="565"/>
      <c r="I1011" s="565"/>
      <c r="J1011" s="565"/>
      <c r="K1011" s="565"/>
      <c r="L1011" s="565"/>
      <c r="M1011" s="565"/>
      <c r="N1011" s="529"/>
      <c r="O1011" s="529"/>
      <c r="P1011" s="529"/>
      <c r="Q1011" s="529"/>
      <c r="R1011" s="529"/>
      <c r="S1011" s="529"/>
      <c r="T1011" s="529"/>
      <c r="U1011" s="529"/>
      <c r="V1011" s="529"/>
      <c r="W1011" s="529"/>
      <c r="X1011" s="529"/>
      <c r="Y1011" s="529"/>
      <c r="Z1011" s="529"/>
      <c r="AA1011" s="529"/>
      <c r="AB1011" s="529"/>
      <c r="AC1011" s="529"/>
      <c r="AD1011" s="529"/>
      <c r="AE1011" s="529"/>
      <c r="AF1011" s="529"/>
      <c r="AG1011" s="556"/>
      <c r="AH1011" s="528"/>
    </row>
    <row r="1012">
      <c r="A1012" s="564"/>
      <c r="B1012" s="565"/>
      <c r="C1012" s="565"/>
      <c r="D1012" s="565"/>
      <c r="E1012" s="565"/>
      <c r="F1012" s="565"/>
      <c r="G1012" s="565"/>
      <c r="H1012" s="565"/>
      <c r="I1012" s="565"/>
      <c r="J1012" s="565"/>
      <c r="K1012" s="565"/>
      <c r="L1012" s="565"/>
      <c r="M1012" s="565"/>
      <c r="N1012" s="529"/>
      <c r="O1012" s="529"/>
      <c r="P1012" s="529"/>
      <c r="Q1012" s="529"/>
      <c r="R1012" s="529"/>
      <c r="S1012" s="529"/>
      <c r="T1012" s="529"/>
      <c r="U1012" s="529"/>
      <c r="V1012" s="529"/>
      <c r="W1012" s="529"/>
      <c r="X1012" s="529"/>
      <c r="Y1012" s="529"/>
      <c r="Z1012" s="529"/>
      <c r="AA1012" s="529"/>
      <c r="AB1012" s="529"/>
      <c r="AC1012" s="529"/>
      <c r="AD1012" s="529"/>
      <c r="AE1012" s="529"/>
      <c r="AF1012" s="529"/>
      <c r="AG1012" s="556"/>
      <c r="AH1012" s="528"/>
    </row>
    <row r="1013">
      <c r="A1013" s="564"/>
      <c r="B1013" s="565"/>
      <c r="C1013" s="565"/>
      <c r="D1013" s="565"/>
      <c r="E1013" s="565"/>
      <c r="F1013" s="565"/>
      <c r="G1013" s="565"/>
      <c r="H1013" s="565"/>
      <c r="I1013" s="565"/>
      <c r="J1013" s="565"/>
      <c r="K1013" s="565"/>
      <c r="L1013" s="565"/>
      <c r="M1013" s="565"/>
      <c r="N1013" s="529"/>
      <c r="O1013" s="529"/>
      <c r="P1013" s="529"/>
      <c r="Q1013" s="529"/>
      <c r="R1013" s="529"/>
      <c r="S1013" s="529"/>
      <c r="T1013" s="529"/>
      <c r="U1013" s="529"/>
      <c r="V1013" s="529"/>
      <c r="W1013" s="529"/>
      <c r="X1013" s="529"/>
      <c r="Y1013" s="529"/>
      <c r="Z1013" s="529"/>
      <c r="AA1013" s="529"/>
      <c r="AB1013" s="529"/>
      <c r="AC1013" s="529"/>
      <c r="AD1013" s="529"/>
      <c r="AE1013" s="529"/>
      <c r="AF1013" s="529"/>
      <c r="AG1013" s="556"/>
      <c r="AH1013" s="528"/>
    </row>
    <row r="1014">
      <c r="A1014" s="564"/>
      <c r="B1014" s="565"/>
      <c r="C1014" s="565"/>
      <c r="D1014" s="565"/>
      <c r="E1014" s="565"/>
      <c r="F1014" s="565"/>
      <c r="G1014" s="565"/>
      <c r="H1014" s="565"/>
      <c r="I1014" s="565"/>
      <c r="J1014" s="565"/>
      <c r="K1014" s="565"/>
      <c r="L1014" s="565"/>
      <c r="M1014" s="565"/>
      <c r="N1014" s="529"/>
      <c r="O1014" s="529"/>
      <c r="P1014" s="529"/>
      <c r="Q1014" s="529"/>
      <c r="R1014" s="529"/>
      <c r="S1014" s="529"/>
      <c r="T1014" s="529"/>
      <c r="U1014" s="529"/>
      <c r="V1014" s="529"/>
      <c r="W1014" s="529"/>
      <c r="X1014" s="529"/>
      <c r="Y1014" s="529"/>
      <c r="Z1014" s="529"/>
      <c r="AA1014" s="529"/>
      <c r="AB1014" s="529"/>
      <c r="AC1014" s="529"/>
      <c r="AD1014" s="529"/>
      <c r="AE1014" s="529"/>
      <c r="AF1014" s="529"/>
      <c r="AG1014" s="556"/>
      <c r="AH1014" s="528"/>
    </row>
    <row r="1015">
      <c r="A1015" s="564"/>
      <c r="B1015" s="565"/>
      <c r="C1015" s="565"/>
      <c r="D1015" s="565"/>
      <c r="E1015" s="565"/>
      <c r="F1015" s="565"/>
      <c r="G1015" s="565"/>
      <c r="H1015" s="565"/>
      <c r="I1015" s="565"/>
      <c r="J1015" s="565"/>
      <c r="K1015" s="565"/>
      <c r="L1015" s="565"/>
      <c r="M1015" s="565"/>
      <c r="N1015" s="529"/>
      <c r="O1015" s="529"/>
      <c r="P1015" s="529"/>
      <c r="Q1015" s="529"/>
      <c r="R1015" s="529"/>
      <c r="S1015" s="529"/>
      <c r="T1015" s="529"/>
      <c r="U1015" s="529"/>
      <c r="V1015" s="529"/>
      <c r="W1015" s="529"/>
      <c r="X1015" s="529"/>
      <c r="Y1015" s="529"/>
      <c r="Z1015" s="529"/>
      <c r="AA1015" s="529"/>
      <c r="AB1015" s="529"/>
      <c r="AC1015" s="529"/>
      <c r="AD1015" s="529"/>
      <c r="AE1015" s="529"/>
      <c r="AF1015" s="529"/>
      <c r="AG1015" s="556"/>
      <c r="AH1015" s="528"/>
    </row>
    <row r="1016">
      <c r="A1016" s="564"/>
      <c r="B1016" s="565"/>
      <c r="C1016" s="565"/>
      <c r="D1016" s="565"/>
      <c r="E1016" s="565"/>
      <c r="F1016" s="565"/>
      <c r="G1016" s="565"/>
      <c r="H1016" s="565"/>
      <c r="I1016" s="565"/>
      <c r="J1016" s="565"/>
      <c r="K1016" s="565"/>
      <c r="L1016" s="565"/>
      <c r="M1016" s="565"/>
      <c r="N1016" s="529"/>
      <c r="O1016" s="529"/>
      <c r="P1016" s="529"/>
      <c r="Q1016" s="529"/>
      <c r="R1016" s="529"/>
      <c r="S1016" s="529"/>
      <c r="T1016" s="529"/>
      <c r="U1016" s="529"/>
      <c r="V1016" s="529"/>
      <c r="W1016" s="529"/>
      <c r="X1016" s="529"/>
      <c r="Y1016" s="529"/>
      <c r="Z1016" s="529"/>
      <c r="AA1016" s="529"/>
      <c r="AB1016" s="529"/>
      <c r="AC1016" s="529"/>
      <c r="AD1016" s="529"/>
      <c r="AE1016" s="529"/>
      <c r="AF1016" s="529"/>
      <c r="AG1016" s="556"/>
      <c r="AH1016" s="528"/>
    </row>
    <row r="1017">
      <c r="A1017" s="564"/>
      <c r="B1017" s="565"/>
      <c r="C1017" s="565"/>
      <c r="D1017" s="565"/>
      <c r="E1017" s="565"/>
      <c r="F1017" s="565"/>
      <c r="G1017" s="565"/>
      <c r="H1017" s="565"/>
      <c r="I1017" s="565"/>
      <c r="J1017" s="565"/>
      <c r="K1017" s="565"/>
      <c r="L1017" s="565"/>
      <c r="M1017" s="565"/>
      <c r="N1017" s="529"/>
      <c r="O1017" s="529"/>
      <c r="P1017" s="529"/>
      <c r="Q1017" s="529"/>
      <c r="R1017" s="529"/>
      <c r="S1017" s="529"/>
      <c r="T1017" s="529"/>
      <c r="U1017" s="529"/>
      <c r="V1017" s="529"/>
      <c r="W1017" s="529"/>
      <c r="X1017" s="529"/>
      <c r="Y1017" s="529"/>
      <c r="Z1017" s="529"/>
      <c r="AA1017" s="529"/>
      <c r="AB1017" s="529"/>
      <c r="AC1017" s="529"/>
      <c r="AD1017" s="529"/>
      <c r="AE1017" s="529"/>
      <c r="AF1017" s="529"/>
      <c r="AG1017" s="556"/>
      <c r="AH1017" s="528"/>
    </row>
    <row r="1018">
      <c r="A1018" s="564"/>
      <c r="B1018" s="565"/>
      <c r="C1018" s="565"/>
      <c r="D1018" s="565"/>
      <c r="E1018" s="565"/>
      <c r="F1018" s="565"/>
      <c r="G1018" s="565"/>
      <c r="H1018" s="565"/>
      <c r="I1018" s="565"/>
      <c r="J1018" s="565"/>
      <c r="K1018" s="565"/>
      <c r="L1018" s="565"/>
      <c r="M1018" s="565"/>
      <c r="N1018" s="529"/>
      <c r="O1018" s="529"/>
      <c r="P1018" s="529"/>
      <c r="Q1018" s="529"/>
      <c r="R1018" s="529"/>
      <c r="S1018" s="529"/>
      <c r="T1018" s="529"/>
      <c r="U1018" s="529"/>
      <c r="V1018" s="529"/>
      <c r="W1018" s="529"/>
      <c r="X1018" s="529"/>
      <c r="Y1018" s="529"/>
      <c r="Z1018" s="529"/>
      <c r="AA1018" s="529"/>
      <c r="AB1018" s="529"/>
      <c r="AC1018" s="529"/>
      <c r="AD1018" s="529"/>
      <c r="AE1018" s="529"/>
      <c r="AF1018" s="529"/>
      <c r="AG1018" s="556"/>
      <c r="AH1018" s="528"/>
    </row>
    <row r="1019">
      <c r="A1019" s="564"/>
      <c r="B1019" s="565"/>
      <c r="C1019" s="565"/>
      <c r="D1019" s="565"/>
      <c r="E1019" s="565"/>
      <c r="F1019" s="565"/>
      <c r="G1019" s="565"/>
      <c r="H1019" s="565"/>
      <c r="I1019" s="565"/>
      <c r="J1019" s="565"/>
      <c r="K1019" s="565"/>
      <c r="L1019" s="565"/>
      <c r="M1019" s="565"/>
      <c r="N1019" s="529"/>
      <c r="O1019" s="529"/>
      <c r="P1019" s="529"/>
      <c r="Q1019" s="529"/>
      <c r="R1019" s="529"/>
      <c r="S1019" s="529"/>
      <c r="T1019" s="529"/>
      <c r="U1019" s="529"/>
      <c r="V1019" s="529"/>
      <c r="W1019" s="529"/>
      <c r="X1019" s="529"/>
      <c r="Y1019" s="529"/>
      <c r="Z1019" s="529"/>
      <c r="AA1019" s="529"/>
      <c r="AB1019" s="529"/>
      <c r="AC1019" s="529"/>
      <c r="AD1019" s="529"/>
      <c r="AE1019" s="529"/>
      <c r="AF1019" s="529"/>
      <c r="AG1019" s="556"/>
      <c r="AH1019" s="528"/>
    </row>
    <row r="1020">
      <c r="A1020" s="564"/>
      <c r="B1020" s="565"/>
      <c r="C1020" s="565"/>
      <c r="D1020" s="565"/>
      <c r="E1020" s="565"/>
      <c r="F1020" s="565"/>
      <c r="G1020" s="565"/>
      <c r="H1020" s="565"/>
      <c r="I1020" s="565"/>
      <c r="J1020" s="565"/>
      <c r="K1020" s="565"/>
      <c r="L1020" s="565"/>
      <c r="M1020" s="565"/>
      <c r="N1020" s="529"/>
      <c r="O1020" s="529"/>
      <c r="P1020" s="529"/>
      <c r="Q1020" s="529"/>
      <c r="R1020" s="529"/>
      <c r="S1020" s="529"/>
      <c r="T1020" s="529"/>
      <c r="U1020" s="529"/>
      <c r="V1020" s="529"/>
      <c r="W1020" s="529"/>
      <c r="X1020" s="529"/>
      <c r="Y1020" s="529"/>
      <c r="Z1020" s="529"/>
      <c r="AA1020" s="529"/>
      <c r="AB1020" s="529"/>
      <c r="AC1020" s="529"/>
      <c r="AD1020" s="529"/>
      <c r="AE1020" s="529"/>
      <c r="AF1020" s="529"/>
      <c r="AG1020" s="556"/>
      <c r="AH1020" s="528"/>
    </row>
    <row r="1021">
      <c r="A1021" s="564"/>
      <c r="B1021" s="565"/>
      <c r="C1021" s="565"/>
      <c r="D1021" s="565"/>
      <c r="E1021" s="565"/>
      <c r="F1021" s="565"/>
      <c r="G1021" s="565"/>
      <c r="H1021" s="565"/>
      <c r="I1021" s="565"/>
      <c r="J1021" s="565"/>
      <c r="K1021" s="565"/>
      <c r="L1021" s="565"/>
      <c r="M1021" s="565"/>
      <c r="N1021" s="529"/>
      <c r="O1021" s="529"/>
      <c r="P1021" s="529"/>
      <c r="Q1021" s="529"/>
      <c r="R1021" s="529"/>
      <c r="S1021" s="529"/>
      <c r="T1021" s="529"/>
      <c r="U1021" s="529"/>
      <c r="V1021" s="529"/>
      <c r="W1021" s="529"/>
      <c r="X1021" s="529"/>
      <c r="Y1021" s="529"/>
      <c r="Z1021" s="529"/>
      <c r="AA1021" s="529"/>
      <c r="AB1021" s="529"/>
      <c r="AC1021" s="529"/>
      <c r="AD1021" s="529"/>
      <c r="AE1021" s="529"/>
      <c r="AF1021" s="529"/>
      <c r="AG1021" s="556"/>
      <c r="AH1021" s="528"/>
    </row>
    <row r="1022">
      <c r="A1022" s="564"/>
      <c r="B1022" s="565"/>
      <c r="C1022" s="565"/>
      <c r="D1022" s="565"/>
      <c r="E1022" s="565"/>
      <c r="F1022" s="565"/>
      <c r="G1022" s="565"/>
      <c r="H1022" s="565"/>
      <c r="I1022" s="565"/>
      <c r="J1022" s="565"/>
      <c r="K1022" s="565"/>
      <c r="L1022" s="565"/>
      <c r="M1022" s="565"/>
      <c r="N1022" s="529"/>
      <c r="O1022" s="529"/>
      <c r="P1022" s="529"/>
      <c r="Q1022" s="529"/>
      <c r="R1022" s="529"/>
      <c r="S1022" s="529"/>
      <c r="T1022" s="529"/>
      <c r="U1022" s="529"/>
      <c r="V1022" s="529"/>
      <c r="W1022" s="529"/>
      <c r="X1022" s="529"/>
      <c r="Y1022" s="529"/>
      <c r="Z1022" s="529"/>
      <c r="AA1022" s="529"/>
      <c r="AB1022" s="529"/>
      <c r="AC1022" s="529"/>
      <c r="AD1022" s="529"/>
      <c r="AE1022" s="529"/>
      <c r="AF1022" s="529"/>
      <c r="AG1022" s="556"/>
      <c r="AH1022" s="528"/>
    </row>
    <row r="1023">
      <c r="A1023" s="564"/>
      <c r="B1023" s="565"/>
      <c r="C1023" s="565"/>
      <c r="D1023" s="565"/>
      <c r="E1023" s="565"/>
      <c r="F1023" s="565"/>
      <c r="G1023" s="565"/>
      <c r="H1023" s="565"/>
      <c r="I1023" s="565"/>
      <c r="J1023" s="565"/>
      <c r="K1023" s="565"/>
      <c r="L1023" s="565"/>
      <c r="M1023" s="565"/>
      <c r="N1023" s="529"/>
      <c r="O1023" s="529"/>
      <c r="P1023" s="529"/>
      <c r="Q1023" s="529"/>
      <c r="R1023" s="529"/>
      <c r="S1023" s="529"/>
      <c r="T1023" s="529"/>
      <c r="U1023" s="529"/>
      <c r="V1023" s="529"/>
      <c r="W1023" s="529"/>
      <c r="X1023" s="529"/>
      <c r="Y1023" s="529"/>
      <c r="Z1023" s="529"/>
      <c r="AA1023" s="529"/>
      <c r="AB1023" s="529"/>
      <c r="AC1023" s="529"/>
      <c r="AD1023" s="529"/>
      <c r="AE1023" s="529"/>
      <c r="AF1023" s="529"/>
      <c r="AG1023" s="556"/>
      <c r="AH1023" s="528"/>
    </row>
    <row r="1024">
      <c r="A1024" s="564"/>
      <c r="B1024" s="565"/>
      <c r="C1024" s="565"/>
      <c r="D1024" s="565"/>
      <c r="E1024" s="565"/>
      <c r="F1024" s="565"/>
      <c r="G1024" s="565"/>
      <c r="H1024" s="565"/>
      <c r="I1024" s="565"/>
      <c r="J1024" s="565"/>
      <c r="K1024" s="565"/>
      <c r="L1024" s="565"/>
      <c r="M1024" s="565"/>
      <c r="N1024" s="529"/>
      <c r="O1024" s="529"/>
      <c r="P1024" s="529"/>
      <c r="Q1024" s="529"/>
      <c r="R1024" s="529"/>
      <c r="S1024" s="529"/>
      <c r="T1024" s="529"/>
      <c r="U1024" s="529"/>
      <c r="V1024" s="529"/>
      <c r="W1024" s="529"/>
      <c r="X1024" s="529"/>
      <c r="Y1024" s="529"/>
      <c r="Z1024" s="529"/>
      <c r="AA1024" s="529"/>
      <c r="AB1024" s="529"/>
      <c r="AC1024" s="529"/>
      <c r="AD1024" s="529"/>
      <c r="AE1024" s="529"/>
      <c r="AF1024" s="529"/>
      <c r="AG1024" s="556"/>
      <c r="AH1024" s="528"/>
    </row>
    <row r="1025">
      <c r="A1025" s="564"/>
      <c r="B1025" s="565"/>
      <c r="C1025" s="565"/>
      <c r="D1025" s="565"/>
      <c r="E1025" s="565"/>
      <c r="F1025" s="565"/>
      <c r="G1025" s="565"/>
      <c r="H1025" s="565"/>
      <c r="I1025" s="565"/>
      <c r="J1025" s="565"/>
      <c r="K1025" s="565"/>
      <c r="L1025" s="565"/>
      <c r="M1025" s="565"/>
      <c r="N1025" s="529"/>
      <c r="O1025" s="529"/>
      <c r="P1025" s="529"/>
      <c r="Q1025" s="529"/>
      <c r="R1025" s="529"/>
      <c r="S1025" s="529"/>
      <c r="T1025" s="529"/>
      <c r="U1025" s="529"/>
      <c r="V1025" s="529"/>
      <c r="W1025" s="529"/>
      <c r="X1025" s="529"/>
      <c r="Y1025" s="529"/>
      <c r="Z1025" s="529"/>
      <c r="AA1025" s="529"/>
      <c r="AB1025" s="529"/>
      <c r="AC1025" s="529"/>
      <c r="AD1025" s="529"/>
      <c r="AE1025" s="529"/>
      <c r="AF1025" s="529"/>
      <c r="AG1025" s="556"/>
      <c r="AH1025" s="528"/>
    </row>
    <row r="1026">
      <c r="A1026" s="564"/>
      <c r="B1026" s="565"/>
      <c r="C1026" s="565"/>
      <c r="D1026" s="565"/>
      <c r="E1026" s="565"/>
      <c r="F1026" s="565"/>
      <c r="G1026" s="565"/>
      <c r="H1026" s="565"/>
      <c r="I1026" s="565"/>
      <c r="J1026" s="565"/>
      <c r="K1026" s="565"/>
      <c r="L1026" s="565"/>
      <c r="M1026" s="565"/>
      <c r="N1026" s="529"/>
      <c r="O1026" s="529"/>
      <c r="P1026" s="529"/>
      <c r="Q1026" s="529"/>
      <c r="R1026" s="529"/>
      <c r="S1026" s="529"/>
      <c r="T1026" s="529"/>
      <c r="U1026" s="529"/>
      <c r="V1026" s="529"/>
      <c r="W1026" s="529"/>
      <c r="X1026" s="529"/>
      <c r="Y1026" s="529"/>
      <c r="Z1026" s="529"/>
      <c r="AA1026" s="529"/>
      <c r="AB1026" s="529"/>
      <c r="AC1026" s="529"/>
      <c r="AD1026" s="529"/>
      <c r="AE1026" s="529"/>
      <c r="AF1026" s="529"/>
      <c r="AG1026" s="556"/>
      <c r="AH1026" s="528"/>
    </row>
    <row r="1027">
      <c r="A1027" s="564"/>
      <c r="B1027" s="565"/>
      <c r="C1027" s="565"/>
      <c r="D1027" s="565"/>
      <c r="E1027" s="565"/>
      <c r="F1027" s="565"/>
      <c r="G1027" s="565"/>
      <c r="H1027" s="565"/>
      <c r="I1027" s="565"/>
      <c r="J1027" s="565"/>
      <c r="K1027" s="565"/>
      <c r="L1027" s="565"/>
      <c r="M1027" s="565"/>
      <c r="N1027" s="529"/>
      <c r="O1027" s="529"/>
      <c r="P1027" s="529"/>
      <c r="Q1027" s="529"/>
      <c r="R1027" s="529"/>
      <c r="S1027" s="529"/>
      <c r="T1027" s="529"/>
      <c r="U1027" s="529"/>
      <c r="V1027" s="529"/>
      <c r="W1027" s="529"/>
      <c r="X1027" s="529"/>
      <c r="Y1027" s="529"/>
      <c r="Z1027" s="529"/>
      <c r="AA1027" s="529"/>
      <c r="AB1027" s="529"/>
      <c r="AC1027" s="529"/>
      <c r="AD1027" s="529"/>
      <c r="AE1027" s="529"/>
      <c r="AF1027" s="529"/>
      <c r="AG1027" s="556"/>
      <c r="AH1027" s="528"/>
    </row>
    <row r="1028">
      <c r="A1028" s="564"/>
      <c r="B1028" s="565"/>
      <c r="C1028" s="565"/>
      <c r="D1028" s="565"/>
      <c r="E1028" s="565"/>
      <c r="F1028" s="565"/>
      <c r="G1028" s="565"/>
      <c r="H1028" s="565"/>
      <c r="I1028" s="565"/>
      <c r="J1028" s="565"/>
      <c r="K1028" s="565"/>
      <c r="L1028" s="565"/>
      <c r="M1028" s="565"/>
      <c r="N1028" s="529"/>
      <c r="O1028" s="529"/>
      <c r="P1028" s="529"/>
      <c r="Q1028" s="529"/>
      <c r="R1028" s="529"/>
      <c r="S1028" s="529"/>
      <c r="T1028" s="529"/>
      <c r="U1028" s="529"/>
      <c r="V1028" s="529"/>
      <c r="W1028" s="529"/>
      <c r="X1028" s="529"/>
      <c r="Y1028" s="529"/>
      <c r="Z1028" s="529"/>
      <c r="AA1028" s="529"/>
      <c r="AB1028" s="529"/>
      <c r="AC1028" s="529"/>
      <c r="AD1028" s="529"/>
      <c r="AE1028" s="529"/>
      <c r="AF1028" s="529"/>
      <c r="AG1028" s="556"/>
      <c r="AH1028" s="528"/>
    </row>
    <row r="1029">
      <c r="A1029" s="564"/>
      <c r="B1029" s="565"/>
      <c r="C1029" s="565"/>
      <c r="D1029" s="565"/>
      <c r="E1029" s="565"/>
      <c r="F1029" s="565"/>
      <c r="G1029" s="565"/>
      <c r="H1029" s="565"/>
      <c r="I1029" s="565"/>
      <c r="J1029" s="565"/>
      <c r="K1029" s="565"/>
      <c r="L1029" s="565"/>
      <c r="M1029" s="565"/>
      <c r="N1029" s="529"/>
      <c r="O1029" s="529"/>
      <c r="P1029" s="529"/>
      <c r="Q1029" s="529"/>
      <c r="R1029" s="529"/>
      <c r="S1029" s="529"/>
      <c r="T1029" s="529"/>
      <c r="U1029" s="529"/>
      <c r="V1029" s="529"/>
      <c r="W1029" s="529"/>
      <c r="X1029" s="529"/>
      <c r="Y1029" s="529"/>
      <c r="Z1029" s="529"/>
      <c r="AA1029" s="529"/>
      <c r="AB1029" s="529"/>
      <c r="AC1029" s="529"/>
      <c r="AD1029" s="529"/>
      <c r="AE1029" s="529"/>
      <c r="AF1029" s="529"/>
      <c r="AG1029" s="556"/>
      <c r="AH1029" s="528"/>
    </row>
    <row r="1030">
      <c r="A1030" s="564"/>
      <c r="B1030" s="565"/>
      <c r="C1030" s="565"/>
      <c r="D1030" s="565"/>
      <c r="E1030" s="565"/>
      <c r="F1030" s="565"/>
      <c r="G1030" s="565"/>
      <c r="H1030" s="565"/>
      <c r="I1030" s="565"/>
      <c r="J1030" s="565"/>
      <c r="K1030" s="565"/>
      <c r="L1030" s="565"/>
      <c r="M1030" s="565"/>
      <c r="N1030" s="529"/>
      <c r="O1030" s="529"/>
      <c r="P1030" s="529"/>
      <c r="Q1030" s="529"/>
      <c r="R1030" s="529"/>
      <c r="S1030" s="529"/>
      <c r="T1030" s="529"/>
      <c r="U1030" s="529"/>
      <c r="V1030" s="529"/>
      <c r="W1030" s="529"/>
      <c r="X1030" s="529"/>
      <c r="Y1030" s="529"/>
      <c r="Z1030" s="529"/>
      <c r="AA1030" s="529"/>
      <c r="AB1030" s="529"/>
      <c r="AC1030" s="529"/>
      <c r="AD1030" s="529"/>
      <c r="AE1030" s="529"/>
      <c r="AF1030" s="529"/>
      <c r="AG1030" s="556"/>
      <c r="AH1030" s="528"/>
    </row>
    <row r="1031">
      <c r="A1031" s="564"/>
      <c r="B1031" s="565"/>
      <c r="C1031" s="565"/>
      <c r="D1031" s="565"/>
      <c r="E1031" s="565"/>
      <c r="F1031" s="565"/>
      <c r="G1031" s="565"/>
      <c r="H1031" s="565"/>
      <c r="I1031" s="565"/>
      <c r="J1031" s="565"/>
      <c r="K1031" s="565"/>
      <c r="L1031" s="565"/>
      <c r="M1031" s="565"/>
      <c r="N1031" s="529"/>
      <c r="O1031" s="529"/>
      <c r="P1031" s="529"/>
      <c r="Q1031" s="529"/>
      <c r="R1031" s="529"/>
      <c r="S1031" s="529"/>
      <c r="T1031" s="529"/>
      <c r="U1031" s="529"/>
      <c r="V1031" s="529"/>
      <c r="W1031" s="529"/>
      <c r="X1031" s="529"/>
      <c r="Y1031" s="529"/>
      <c r="Z1031" s="529"/>
      <c r="AA1031" s="529"/>
      <c r="AB1031" s="529"/>
      <c r="AC1031" s="529"/>
      <c r="AD1031" s="529"/>
      <c r="AE1031" s="529"/>
      <c r="AF1031" s="529"/>
      <c r="AG1031" s="556"/>
      <c r="AH1031" s="528"/>
    </row>
    <row r="1032">
      <c r="A1032" s="564"/>
      <c r="B1032" s="565"/>
      <c r="C1032" s="565"/>
      <c r="D1032" s="565"/>
      <c r="E1032" s="565"/>
      <c r="F1032" s="565"/>
      <c r="G1032" s="565"/>
      <c r="H1032" s="565"/>
      <c r="I1032" s="565"/>
      <c r="J1032" s="565"/>
      <c r="K1032" s="565"/>
      <c r="L1032" s="565"/>
      <c r="M1032" s="565"/>
      <c r="N1032" s="529"/>
      <c r="O1032" s="529"/>
      <c r="P1032" s="529"/>
      <c r="Q1032" s="529"/>
      <c r="R1032" s="529"/>
      <c r="S1032" s="529"/>
      <c r="T1032" s="529"/>
      <c r="U1032" s="529"/>
      <c r="V1032" s="529"/>
      <c r="W1032" s="529"/>
      <c r="X1032" s="529"/>
      <c r="Y1032" s="529"/>
      <c r="Z1032" s="529"/>
      <c r="AA1032" s="529"/>
      <c r="AB1032" s="529"/>
      <c r="AC1032" s="529"/>
      <c r="AD1032" s="529"/>
      <c r="AE1032" s="529"/>
      <c r="AF1032" s="529"/>
      <c r="AG1032" s="556"/>
      <c r="AH1032" s="528"/>
    </row>
    <row r="1033">
      <c r="A1033" s="564"/>
      <c r="B1033" s="565"/>
      <c r="C1033" s="565"/>
      <c r="D1033" s="565"/>
      <c r="E1033" s="565"/>
      <c r="F1033" s="565"/>
      <c r="G1033" s="565"/>
      <c r="H1033" s="565"/>
      <c r="I1033" s="565"/>
      <c r="J1033" s="565"/>
      <c r="K1033" s="565"/>
      <c r="L1033" s="565"/>
      <c r="M1033" s="565"/>
      <c r="N1033" s="529"/>
      <c r="O1033" s="529"/>
      <c r="P1033" s="529"/>
      <c r="Q1033" s="529"/>
      <c r="R1033" s="529"/>
      <c r="S1033" s="529"/>
      <c r="T1033" s="529"/>
      <c r="U1033" s="529"/>
      <c r="V1033" s="529"/>
      <c r="W1033" s="529"/>
      <c r="X1033" s="529"/>
      <c r="Y1033" s="529"/>
      <c r="Z1033" s="529"/>
      <c r="AA1033" s="529"/>
      <c r="AB1033" s="529"/>
      <c r="AC1033" s="529"/>
      <c r="AD1033" s="529"/>
      <c r="AE1033" s="529"/>
      <c r="AF1033" s="529"/>
      <c r="AG1033" s="556"/>
      <c r="AH1033" s="528"/>
    </row>
    <row r="1034">
      <c r="A1034" s="564"/>
      <c r="B1034" s="565"/>
      <c r="C1034" s="565"/>
      <c r="D1034" s="565"/>
      <c r="E1034" s="565"/>
      <c r="F1034" s="565"/>
      <c r="G1034" s="565"/>
      <c r="H1034" s="565"/>
      <c r="I1034" s="565"/>
      <c r="J1034" s="565"/>
      <c r="K1034" s="565"/>
      <c r="L1034" s="565"/>
      <c r="M1034" s="565"/>
      <c r="N1034" s="529"/>
      <c r="O1034" s="529"/>
      <c r="P1034" s="529"/>
      <c r="Q1034" s="529"/>
      <c r="R1034" s="529"/>
      <c r="S1034" s="529"/>
      <c r="T1034" s="529"/>
      <c r="U1034" s="529"/>
      <c r="V1034" s="529"/>
      <c r="W1034" s="529"/>
      <c r="X1034" s="529"/>
      <c r="Y1034" s="529"/>
      <c r="Z1034" s="529"/>
      <c r="AA1034" s="529"/>
      <c r="AB1034" s="529"/>
      <c r="AC1034" s="529"/>
      <c r="AD1034" s="529"/>
      <c r="AE1034" s="529"/>
      <c r="AF1034" s="529"/>
      <c r="AG1034" s="556"/>
      <c r="AH1034" s="528"/>
    </row>
    <row r="1035">
      <c r="A1035" s="564"/>
      <c r="B1035" s="565"/>
      <c r="C1035" s="565"/>
      <c r="D1035" s="565"/>
      <c r="E1035" s="565"/>
      <c r="F1035" s="565"/>
      <c r="G1035" s="565"/>
      <c r="H1035" s="565"/>
      <c r="I1035" s="565"/>
      <c r="J1035" s="565"/>
      <c r="K1035" s="565"/>
      <c r="L1035" s="565"/>
      <c r="M1035" s="565"/>
      <c r="N1035" s="529"/>
      <c r="O1035" s="529"/>
      <c r="P1035" s="529"/>
      <c r="Q1035" s="529"/>
      <c r="R1035" s="529"/>
      <c r="S1035" s="529"/>
      <c r="T1035" s="529"/>
      <c r="U1035" s="529"/>
      <c r="V1035" s="529"/>
      <c r="W1035" s="529"/>
      <c r="X1035" s="529"/>
      <c r="Y1035" s="529"/>
      <c r="Z1035" s="529"/>
      <c r="AA1035" s="529"/>
      <c r="AB1035" s="529"/>
      <c r="AC1035" s="529"/>
      <c r="AD1035" s="529"/>
      <c r="AE1035" s="529"/>
      <c r="AF1035" s="529"/>
      <c r="AG1035" s="556"/>
      <c r="AH1035" s="528"/>
    </row>
    <row r="1036">
      <c r="A1036" s="564"/>
      <c r="B1036" s="565"/>
      <c r="C1036" s="565"/>
      <c r="D1036" s="565"/>
      <c r="E1036" s="565"/>
      <c r="F1036" s="565"/>
      <c r="G1036" s="565"/>
      <c r="H1036" s="565"/>
      <c r="I1036" s="565"/>
      <c r="J1036" s="565"/>
      <c r="K1036" s="565"/>
      <c r="L1036" s="565"/>
      <c r="M1036" s="565"/>
      <c r="N1036" s="529"/>
      <c r="O1036" s="529"/>
      <c r="P1036" s="529"/>
      <c r="Q1036" s="529"/>
      <c r="R1036" s="529"/>
      <c r="S1036" s="529"/>
      <c r="T1036" s="529"/>
      <c r="U1036" s="529"/>
      <c r="V1036" s="529"/>
      <c r="W1036" s="529"/>
      <c r="X1036" s="529"/>
      <c r="Y1036" s="529"/>
      <c r="Z1036" s="529"/>
      <c r="AA1036" s="529"/>
      <c r="AB1036" s="529"/>
      <c r="AC1036" s="529"/>
      <c r="AD1036" s="529"/>
      <c r="AE1036" s="529"/>
      <c r="AF1036" s="529"/>
      <c r="AG1036" s="556"/>
      <c r="AH1036" s="528"/>
    </row>
    <row r="1037">
      <c r="A1037" s="564"/>
      <c r="B1037" s="565"/>
      <c r="C1037" s="565"/>
      <c r="D1037" s="565"/>
      <c r="E1037" s="565"/>
      <c r="F1037" s="565"/>
      <c r="G1037" s="565"/>
      <c r="H1037" s="565"/>
      <c r="I1037" s="565"/>
      <c r="J1037" s="565"/>
      <c r="K1037" s="565"/>
      <c r="L1037" s="565"/>
      <c r="M1037" s="565"/>
      <c r="N1037" s="529"/>
      <c r="O1037" s="529"/>
      <c r="P1037" s="529"/>
      <c r="Q1037" s="529"/>
      <c r="R1037" s="529"/>
      <c r="S1037" s="529"/>
      <c r="T1037" s="529"/>
      <c r="U1037" s="529"/>
      <c r="V1037" s="529"/>
      <c r="W1037" s="529"/>
      <c r="X1037" s="529"/>
      <c r="Y1037" s="529"/>
      <c r="Z1037" s="529"/>
      <c r="AA1037" s="529"/>
      <c r="AB1037" s="529"/>
      <c r="AC1037" s="529"/>
      <c r="AD1037" s="529"/>
      <c r="AE1037" s="529"/>
      <c r="AF1037" s="529"/>
      <c r="AG1037" s="556"/>
      <c r="AH1037" s="528"/>
    </row>
    <row r="1038">
      <c r="A1038" s="564"/>
      <c r="B1038" s="565"/>
      <c r="C1038" s="565"/>
      <c r="D1038" s="565"/>
      <c r="E1038" s="565"/>
      <c r="F1038" s="565"/>
      <c r="G1038" s="565"/>
      <c r="H1038" s="565"/>
      <c r="I1038" s="565"/>
      <c r="J1038" s="565"/>
      <c r="K1038" s="565"/>
      <c r="L1038" s="565"/>
      <c r="M1038" s="565"/>
      <c r="N1038" s="529"/>
      <c r="O1038" s="529"/>
      <c r="P1038" s="529"/>
      <c r="Q1038" s="529"/>
      <c r="R1038" s="529"/>
      <c r="S1038" s="529"/>
      <c r="T1038" s="529"/>
      <c r="U1038" s="529"/>
      <c r="V1038" s="529"/>
      <c r="W1038" s="529"/>
      <c r="X1038" s="529"/>
      <c r="Y1038" s="529"/>
      <c r="Z1038" s="529"/>
      <c r="AA1038" s="529"/>
      <c r="AB1038" s="529"/>
      <c r="AC1038" s="529"/>
      <c r="AD1038" s="529"/>
      <c r="AE1038" s="529"/>
      <c r="AF1038" s="529"/>
      <c r="AG1038" s="556"/>
      <c r="AH1038" s="528"/>
    </row>
    <row r="1039">
      <c r="A1039" s="564"/>
      <c r="B1039" s="565"/>
      <c r="C1039" s="565"/>
      <c r="D1039" s="565"/>
      <c r="E1039" s="565"/>
      <c r="F1039" s="565"/>
      <c r="G1039" s="565"/>
      <c r="H1039" s="565"/>
      <c r="I1039" s="565"/>
      <c r="J1039" s="565"/>
      <c r="K1039" s="565"/>
      <c r="L1039" s="565"/>
      <c r="M1039" s="565"/>
      <c r="N1039" s="529"/>
      <c r="O1039" s="529"/>
      <c r="P1039" s="529"/>
      <c r="Q1039" s="529"/>
      <c r="R1039" s="529"/>
      <c r="S1039" s="529"/>
      <c r="T1039" s="529"/>
      <c r="U1039" s="529"/>
      <c r="V1039" s="529"/>
      <c r="W1039" s="529"/>
      <c r="X1039" s="529"/>
      <c r="Y1039" s="529"/>
      <c r="Z1039" s="529"/>
      <c r="AA1039" s="529"/>
      <c r="AB1039" s="529"/>
      <c r="AC1039" s="529"/>
      <c r="AD1039" s="529"/>
      <c r="AE1039" s="529"/>
      <c r="AF1039" s="529"/>
      <c r="AG1039" s="556"/>
      <c r="AH1039" s="528"/>
    </row>
    <row r="1040">
      <c r="AG1040" s="576"/>
      <c r="AH1040" s="577"/>
    </row>
    <row r="1041">
      <c r="AG1041" s="576"/>
      <c r="AH1041" s="577"/>
    </row>
    <row r="1042">
      <c r="AG1042" s="576"/>
      <c r="AH1042" s="577"/>
    </row>
    <row r="1043">
      <c r="AG1043" s="576"/>
      <c r="AH1043" s="577"/>
    </row>
    <row r="1044">
      <c r="AG1044" s="576"/>
      <c r="AH1044" s="577"/>
    </row>
    <row r="1045">
      <c r="AG1045" s="576"/>
      <c r="AH1045" s="577"/>
    </row>
    <row r="1046">
      <c r="AG1046" s="576"/>
      <c r="AH1046" s="577"/>
    </row>
    <row r="1047">
      <c r="AG1047" s="578"/>
      <c r="AH1047" s="57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31"/>
      <c r="B1" s="579" t="s">
        <v>814</v>
      </c>
      <c r="S1" s="579"/>
      <c r="T1" s="579"/>
      <c r="U1" s="579"/>
      <c r="V1" s="579"/>
    </row>
    <row r="2">
      <c r="A2" s="580" t="s">
        <v>815</v>
      </c>
      <c r="B2" s="581" t="s">
        <v>816</v>
      </c>
      <c r="C2" s="582"/>
      <c r="E2" s="583" t="s">
        <v>817</v>
      </c>
      <c r="F2" s="582"/>
      <c r="G2" s="584"/>
      <c r="H2" s="583" t="s">
        <v>818</v>
      </c>
      <c r="I2" s="582"/>
      <c r="J2" s="585"/>
      <c r="K2" s="583" t="s">
        <v>819</v>
      </c>
      <c r="L2" s="582"/>
      <c r="N2" s="583" t="s">
        <v>820</v>
      </c>
      <c r="O2" s="582"/>
      <c r="Q2" s="583" t="s">
        <v>821</v>
      </c>
      <c r="R2" s="582"/>
      <c r="S2" s="586"/>
      <c r="T2" s="587" t="s">
        <v>822</v>
      </c>
      <c r="U2" s="582"/>
      <c r="V2" s="588"/>
    </row>
    <row r="3">
      <c r="A3" s="589"/>
      <c r="B3" s="590" t="s">
        <v>823</v>
      </c>
      <c r="C3" s="591">
        <v>86.9</v>
      </c>
      <c r="D3" s="592">
        <v>86.9</v>
      </c>
      <c r="E3" s="593" t="s">
        <v>824</v>
      </c>
      <c r="F3" s="594">
        <f>(('DTC - P&amp;L'!AG105+'DTC - P&amp;L'!AG106)/'DTC - P&amp;L'!AG95)</f>
        <v>0.1275233875</v>
      </c>
      <c r="G3" s="595"/>
      <c r="H3" s="596" t="s">
        <v>816</v>
      </c>
      <c r="I3" s="597">
        <f>(C3*F9)+(C4*F8)+(C5*F3)+(C6*F4)+(C7*F5)+(C8*F6)+(C9*F7)+(C10*F10)</f>
        <v>104.5935352</v>
      </c>
      <c r="J3" s="598">
        <f>(D3*F9)+(D4*F8)+(D5*F3)+(D6*F4)+(D7*F5)+(D8*F6)+(D9*F7)</f>
        <v>101.5950123</v>
      </c>
      <c r="K3" s="599" t="s">
        <v>825</v>
      </c>
      <c r="L3" s="600">
        <v>0.029</v>
      </c>
      <c r="N3" s="590" t="s">
        <v>826</v>
      </c>
      <c r="O3" s="601">
        <v>0.22</v>
      </c>
      <c r="Q3" s="593" t="s">
        <v>827</v>
      </c>
      <c r="R3" s="602">
        <v>15.0</v>
      </c>
      <c r="S3" s="603"/>
      <c r="T3" s="604" t="s">
        <v>828</v>
      </c>
      <c r="U3" s="605">
        <v>0.0614</v>
      </c>
      <c r="V3" s="606" t="s">
        <v>815</v>
      </c>
    </row>
    <row r="4">
      <c r="A4" s="589"/>
      <c r="B4" s="590" t="s">
        <v>829</v>
      </c>
      <c r="C4" s="591">
        <v>97.61</v>
      </c>
      <c r="D4" s="592">
        <v>97.61</v>
      </c>
      <c r="E4" s="593" t="s">
        <v>131</v>
      </c>
      <c r="F4" s="594">
        <f>('DTC - P&amp;L'!AG101/'DTC - P&amp;L'!AG95)</f>
        <v>0.6341703594</v>
      </c>
      <c r="G4" s="595"/>
      <c r="H4" s="596" t="s">
        <v>830</v>
      </c>
      <c r="I4" s="597">
        <f>C38+('DTC - P&amp;L'!AG111/'DTC - P&amp;L'!AG95)*D38</f>
        <v>14.29845889</v>
      </c>
      <c r="J4" s="607"/>
      <c r="K4" s="593" t="s">
        <v>831</v>
      </c>
      <c r="L4" s="608">
        <v>0.034</v>
      </c>
      <c r="N4" s="590" t="s">
        <v>832</v>
      </c>
      <c r="O4" s="601">
        <v>0.13</v>
      </c>
      <c r="Q4" s="593" t="s">
        <v>833</v>
      </c>
      <c r="R4" s="602">
        <v>40.0</v>
      </c>
      <c r="S4" s="603"/>
      <c r="T4" s="603"/>
      <c r="U4" s="603"/>
      <c r="V4" s="603"/>
    </row>
    <row r="5">
      <c r="A5" s="589"/>
      <c r="B5" s="590" t="s">
        <v>834</v>
      </c>
      <c r="C5" s="597">
        <v>13.44</v>
      </c>
      <c r="D5" s="592">
        <v>13.44</v>
      </c>
      <c r="E5" s="609" t="s">
        <v>835</v>
      </c>
      <c r="F5" s="610">
        <v>0.0</v>
      </c>
      <c r="G5" s="595"/>
      <c r="H5" s="590" t="s">
        <v>836</v>
      </c>
      <c r="I5" s="597">
        <f>C34+('DTC - P&amp;L'!AG111/'DTC - P&amp;L'!AG95)*D34</f>
        <v>45.74279665</v>
      </c>
      <c r="K5" s="593" t="s">
        <v>837</v>
      </c>
      <c r="L5" s="608">
        <v>0.075</v>
      </c>
      <c r="N5" s="590" t="s">
        <v>838</v>
      </c>
      <c r="O5" s="611"/>
      <c r="Q5" s="593" t="s">
        <v>839</v>
      </c>
      <c r="R5" s="602">
        <v>20.0</v>
      </c>
      <c r="S5" s="603"/>
      <c r="T5" s="603"/>
      <c r="U5" s="603"/>
      <c r="V5" s="603"/>
    </row>
    <row r="6">
      <c r="A6" s="589"/>
      <c r="B6" s="590" t="s">
        <v>131</v>
      </c>
      <c r="C6" s="597">
        <v>5.49</v>
      </c>
      <c r="D6" s="592">
        <v>5.49</v>
      </c>
      <c r="E6" s="593" t="s">
        <v>132</v>
      </c>
      <c r="F6" s="594">
        <f>('DTC - P&amp;L'!AG102)/'DTC - P&amp;L'!AG95</f>
        <v>0.1708517971</v>
      </c>
      <c r="G6" s="595"/>
      <c r="H6" s="599" t="s">
        <v>840</v>
      </c>
      <c r="I6" s="597">
        <v>16.81</v>
      </c>
      <c r="K6" s="593" t="s">
        <v>841</v>
      </c>
      <c r="L6" s="612">
        <v>0.00125</v>
      </c>
      <c r="Q6" s="593" t="s">
        <v>842</v>
      </c>
      <c r="R6" s="613">
        <v>1.0</v>
      </c>
      <c r="S6" s="614"/>
      <c r="T6" s="614"/>
      <c r="U6" s="614"/>
      <c r="V6" s="614"/>
    </row>
    <row r="7">
      <c r="A7" s="589"/>
      <c r="B7" s="615" t="s">
        <v>835</v>
      </c>
      <c r="C7" s="616">
        <v>6.37</v>
      </c>
      <c r="D7" s="617"/>
      <c r="E7" s="593" t="s">
        <v>843</v>
      </c>
      <c r="F7" s="594">
        <f>('DTC - P&amp;L'!AG103+'DTC - P&amp;L'!AG104)/'DTC - P&amp;L'!AG95</f>
        <v>0.1733136386</v>
      </c>
      <c r="G7" s="595"/>
      <c r="H7" s="593" t="s">
        <v>844</v>
      </c>
      <c r="I7" s="597">
        <v>0.0</v>
      </c>
      <c r="K7" s="593" t="s">
        <v>845</v>
      </c>
      <c r="L7" s="618">
        <v>0.003464</v>
      </c>
      <c r="N7" s="13"/>
      <c r="O7" s="619"/>
    </row>
    <row r="8">
      <c r="A8" s="589"/>
      <c r="B8" s="590" t="s">
        <v>132</v>
      </c>
      <c r="C8" s="597">
        <v>1.19</v>
      </c>
      <c r="D8" s="592">
        <v>1.19</v>
      </c>
      <c r="E8" s="593" t="s">
        <v>846</v>
      </c>
      <c r="F8" s="594">
        <f>('DTC - P&amp;L'!AG93+'DTC - P&amp;L'!AG94)/'DTC - P&amp;L'!AG95</f>
        <v>0.760216642</v>
      </c>
      <c r="G8" s="595"/>
      <c r="H8" s="593" t="s">
        <v>847</v>
      </c>
      <c r="I8" s="597">
        <v>0.0</v>
      </c>
      <c r="K8" s="593" t="s">
        <v>848</v>
      </c>
      <c r="L8" s="608">
        <v>0.075</v>
      </c>
      <c r="M8" s="620"/>
      <c r="N8" s="13"/>
      <c r="O8" s="619"/>
    </row>
    <row r="9">
      <c r="A9" s="589"/>
      <c r="B9" s="621" t="s">
        <v>849</v>
      </c>
      <c r="C9" s="597">
        <v>6.66</v>
      </c>
      <c r="D9" s="592">
        <v>6.66</v>
      </c>
      <c r="E9" s="593" t="s">
        <v>823</v>
      </c>
      <c r="F9" s="594">
        <f>1-F8</f>
        <v>0.239783358</v>
      </c>
      <c r="G9" s="595"/>
      <c r="H9" s="622" t="s">
        <v>850</v>
      </c>
      <c r="I9" s="597">
        <f>Summary!B121*L3</f>
        <v>7.654762574</v>
      </c>
      <c r="K9" s="593" t="s">
        <v>851</v>
      </c>
      <c r="L9" s="608">
        <v>0.025</v>
      </c>
    </row>
    <row r="10">
      <c r="A10" s="623"/>
      <c r="B10" s="624" t="s">
        <v>852</v>
      </c>
      <c r="C10" s="625">
        <v>6.0</v>
      </c>
      <c r="E10" s="593" t="s">
        <v>852</v>
      </c>
      <c r="F10" s="594">
        <f>('DTC - P&amp;L'!AG107+'DTC - P&amp;L'!AG108)/'DTC - P&amp;L'!AG95</f>
        <v>0.4997538159</v>
      </c>
      <c r="H10" s="593" t="s">
        <v>853</v>
      </c>
      <c r="I10" s="626">
        <f>0.3</f>
        <v>0.3</v>
      </c>
      <c r="K10" s="593" t="s">
        <v>854</v>
      </c>
      <c r="L10" s="597">
        <v>15.0</v>
      </c>
    </row>
    <row r="11" outlineLevel="1">
      <c r="A11" s="627"/>
      <c r="B11" s="593" t="s">
        <v>855</v>
      </c>
      <c r="C11" s="597">
        <v>3.94</v>
      </c>
      <c r="D11" s="584"/>
      <c r="E11" s="593" t="s">
        <v>856</v>
      </c>
      <c r="F11" s="611"/>
      <c r="H11" s="593" t="s">
        <v>857</v>
      </c>
      <c r="I11" s="611"/>
      <c r="N11" s="628"/>
      <c r="O11" s="629"/>
      <c r="P11" s="630"/>
    </row>
    <row r="12" outlineLevel="1">
      <c r="A12" s="623"/>
      <c r="B12" s="593" t="s">
        <v>858</v>
      </c>
      <c r="C12" s="611">
        <v>14.79</v>
      </c>
      <c r="D12" s="631"/>
      <c r="E12" s="593" t="s">
        <v>859</v>
      </c>
      <c r="F12" s="611"/>
      <c r="H12" s="593" t="s">
        <v>856</v>
      </c>
      <c r="I12" s="611"/>
      <c r="K12" s="593" t="s">
        <v>860</v>
      </c>
      <c r="L12" s="608">
        <v>0.95</v>
      </c>
      <c r="O12" s="632"/>
      <c r="Q12" s="633"/>
    </row>
    <row r="13" outlineLevel="1">
      <c r="A13" s="623"/>
      <c r="B13" s="593" t="s">
        <v>861</v>
      </c>
      <c r="C13" s="634"/>
      <c r="D13" s="631"/>
      <c r="E13" s="593" t="s">
        <v>862</v>
      </c>
      <c r="F13" s="611"/>
      <c r="H13" s="593" t="s">
        <v>859</v>
      </c>
      <c r="I13" s="611"/>
      <c r="K13" s="593" t="s">
        <v>863</v>
      </c>
      <c r="L13" s="608">
        <v>0.05</v>
      </c>
      <c r="O13" s="629"/>
    </row>
    <row r="14" outlineLevel="1">
      <c r="B14" s="593" t="s">
        <v>864</v>
      </c>
      <c r="C14" s="634"/>
      <c r="D14" s="631"/>
      <c r="E14" s="593" t="s">
        <v>865</v>
      </c>
      <c r="F14" s="611"/>
      <c r="H14" s="593" t="s">
        <v>862</v>
      </c>
      <c r="I14" s="611"/>
      <c r="K14" s="593" t="s">
        <v>866</v>
      </c>
      <c r="L14" s="608">
        <v>0.0579</v>
      </c>
      <c r="N14" s="8"/>
    </row>
    <row r="15">
      <c r="A15" s="4"/>
      <c r="B15" s="624" t="s">
        <v>867</v>
      </c>
      <c r="C15" s="635">
        <v>87.9</v>
      </c>
      <c r="D15" s="584"/>
      <c r="E15" s="564"/>
      <c r="F15" s="636"/>
      <c r="H15" s="593" t="s">
        <v>115</v>
      </c>
      <c r="I15" s="637">
        <f>SUM(I3:I14)</f>
        <v>189.3995533</v>
      </c>
      <c r="K15" s="593" t="s">
        <v>868</v>
      </c>
      <c r="L15" s="597">
        <v>0.3</v>
      </c>
      <c r="N15" s="8"/>
    </row>
    <row r="16">
      <c r="A16" s="4"/>
      <c r="B16" s="624" t="s">
        <v>869</v>
      </c>
      <c r="C16" s="635">
        <v>97.21</v>
      </c>
      <c r="D16" s="584"/>
      <c r="E16" s="564"/>
      <c r="F16" s="636"/>
      <c r="H16" s="4"/>
      <c r="I16" s="529"/>
      <c r="K16" s="4"/>
      <c r="L16" s="629"/>
      <c r="N16" s="8"/>
    </row>
    <row r="17">
      <c r="A17" s="4"/>
      <c r="B17" s="624" t="s">
        <v>870</v>
      </c>
      <c r="C17" s="635">
        <v>13.73</v>
      </c>
      <c r="D17" s="584"/>
      <c r="E17" s="564"/>
      <c r="F17" s="636"/>
      <c r="H17" s="4"/>
      <c r="I17" s="529"/>
      <c r="K17" s="4"/>
      <c r="L17" s="629"/>
      <c r="N17" s="8"/>
    </row>
    <row r="18">
      <c r="A18" s="4"/>
      <c r="B18" s="624" t="s">
        <v>871</v>
      </c>
      <c r="C18" s="635">
        <v>26.68</v>
      </c>
      <c r="D18" s="584"/>
      <c r="E18" s="564"/>
      <c r="F18" s="636"/>
      <c r="H18" s="4"/>
      <c r="I18" s="529"/>
      <c r="K18" s="4"/>
      <c r="L18" s="629"/>
      <c r="N18" s="8"/>
    </row>
    <row r="19">
      <c r="A19" s="4"/>
      <c r="B19" s="638"/>
      <c r="C19" s="584"/>
      <c r="D19" s="584"/>
      <c r="E19" s="564"/>
      <c r="F19" s="636"/>
      <c r="H19" s="4"/>
      <c r="I19" s="529"/>
      <c r="K19" s="4"/>
      <c r="L19" s="629"/>
      <c r="N19" s="8"/>
    </row>
    <row r="20">
      <c r="A20" s="4"/>
      <c r="B20" s="638"/>
      <c r="C20" s="584"/>
      <c r="D20" s="584"/>
      <c r="E20" s="564"/>
      <c r="F20" s="636"/>
      <c r="H20" s="4"/>
      <c r="I20" s="529"/>
      <c r="K20" s="4"/>
      <c r="L20" s="629"/>
      <c r="N20" s="8"/>
    </row>
    <row r="21">
      <c r="A21" s="4"/>
      <c r="B21" s="638"/>
      <c r="C21" s="584"/>
      <c r="D21" s="584"/>
      <c r="E21" s="564"/>
      <c r="F21" s="636"/>
      <c r="H21" s="4"/>
      <c r="I21" s="529"/>
      <c r="K21" s="4"/>
      <c r="L21" s="629"/>
      <c r="N21" s="8"/>
    </row>
    <row r="22">
      <c r="A22" s="4"/>
      <c r="B22" s="639" t="s">
        <v>872</v>
      </c>
      <c r="C22" s="640" t="s">
        <v>873</v>
      </c>
      <c r="D22" s="640" t="s">
        <v>874</v>
      </c>
      <c r="E22" s="640" t="s">
        <v>875</v>
      </c>
      <c r="F22" s="636"/>
      <c r="N22" s="8"/>
    </row>
    <row r="23">
      <c r="A23" s="4" t="s">
        <v>876</v>
      </c>
      <c r="B23" s="593" t="s">
        <v>877</v>
      </c>
      <c r="C23" s="597">
        <v>30.08</v>
      </c>
      <c r="D23" s="591">
        <v>9.53</v>
      </c>
      <c r="E23" s="591">
        <v>5.4</v>
      </c>
      <c r="F23" s="636"/>
      <c r="H23" s="583" t="s">
        <v>878</v>
      </c>
      <c r="I23" s="582"/>
      <c r="N23" s="641"/>
    </row>
    <row r="24">
      <c r="B24" s="593" t="s">
        <v>879</v>
      </c>
      <c r="C24" s="611">
        <v>11.94</v>
      </c>
      <c r="D24" s="611">
        <v>6.16</v>
      </c>
      <c r="E24" s="564"/>
      <c r="F24" s="595"/>
      <c r="H24" s="590" t="s">
        <v>880</v>
      </c>
      <c r="I24" s="642">
        <v>0.8</v>
      </c>
      <c r="L24" s="643"/>
    </row>
    <row r="25">
      <c r="B25" s="593" t="s">
        <v>881</v>
      </c>
      <c r="C25" s="611">
        <v>11.94</v>
      </c>
      <c r="D25" s="611">
        <v>6.16</v>
      </c>
      <c r="E25" s="564"/>
      <c r="F25" s="595"/>
      <c r="H25" s="599" t="s">
        <v>882</v>
      </c>
      <c r="I25" s="644">
        <v>0.2</v>
      </c>
    </row>
    <row r="26">
      <c r="A26" s="580" t="s">
        <v>815</v>
      </c>
      <c r="B26" s="593" t="s">
        <v>883</v>
      </c>
      <c r="C26" s="645">
        <v>0.0</v>
      </c>
      <c r="D26" s="645">
        <v>0.0</v>
      </c>
    </row>
    <row r="27" outlineLevel="1">
      <c r="B27" s="646" t="s">
        <v>884</v>
      </c>
      <c r="C27" s="625"/>
      <c r="D27" s="625"/>
      <c r="E27" s="564"/>
      <c r="F27" s="595"/>
    </row>
    <row r="28" outlineLevel="1">
      <c r="B28" s="646" t="s">
        <v>885</v>
      </c>
      <c r="C28" s="597">
        <v>0.1</v>
      </c>
      <c r="D28" s="597">
        <v>0.0</v>
      </c>
      <c r="E28" s="564"/>
      <c r="F28" s="595"/>
    </row>
    <row r="29" outlineLevel="1">
      <c r="B29" s="646" t="s">
        <v>886</v>
      </c>
      <c r="C29" s="597">
        <v>0.31</v>
      </c>
      <c r="D29" s="597">
        <v>0.31</v>
      </c>
      <c r="E29" s="564"/>
      <c r="F29" s="595"/>
    </row>
    <row r="30" outlineLevel="1">
      <c r="B30" s="646" t="s">
        <v>887</v>
      </c>
      <c r="C30" s="597">
        <v>0.0</v>
      </c>
      <c r="D30" s="597">
        <v>0.0</v>
      </c>
      <c r="E30" s="564"/>
      <c r="F30" s="595"/>
    </row>
    <row r="31" outlineLevel="1">
      <c r="B31" s="646" t="s">
        <v>888</v>
      </c>
      <c r="C31" s="597">
        <v>0.35</v>
      </c>
      <c r="D31" s="597">
        <v>0.35</v>
      </c>
      <c r="E31" s="564"/>
      <c r="F31" s="595"/>
    </row>
    <row r="32" outlineLevel="1">
      <c r="B32" s="646" t="s">
        <v>889</v>
      </c>
      <c r="C32" s="597">
        <v>0.0</v>
      </c>
      <c r="D32" s="597">
        <v>0.0</v>
      </c>
      <c r="E32" s="564"/>
      <c r="F32" s="595"/>
    </row>
    <row r="33" outlineLevel="1">
      <c r="B33" s="646" t="s">
        <v>890</v>
      </c>
      <c r="C33" s="597">
        <v>1.65</v>
      </c>
      <c r="D33" s="597">
        <v>0.71</v>
      </c>
      <c r="E33" s="564"/>
      <c r="F33" s="595"/>
    </row>
    <row r="34">
      <c r="B34" s="647" t="s">
        <v>891</v>
      </c>
      <c r="C34" s="648">
        <f t="shared" ref="C34:D34" si="1">C26+C23-C27</f>
        <v>30.08</v>
      </c>
      <c r="D34" s="648">
        <f t="shared" si="1"/>
        <v>9.53</v>
      </c>
    </row>
    <row r="35">
      <c r="B35" s="647" t="s">
        <v>892</v>
      </c>
      <c r="C35" s="611">
        <v>15.06</v>
      </c>
      <c r="D35" s="625">
        <f>D27+D24-D28</f>
        <v>6.16</v>
      </c>
      <c r="E35" s="564"/>
      <c r="F35" s="595"/>
    </row>
    <row r="36">
      <c r="B36" s="649" t="s">
        <v>893</v>
      </c>
      <c r="C36" s="616">
        <v>20.0</v>
      </c>
      <c r="D36" s="616"/>
      <c r="E36" s="564"/>
      <c r="F36" s="595"/>
    </row>
    <row r="37">
      <c r="A37" s="650" t="s">
        <v>815</v>
      </c>
      <c r="B37" s="639" t="s">
        <v>894</v>
      </c>
      <c r="C37" s="640" t="s">
        <v>873</v>
      </c>
      <c r="D37" s="640" t="s">
        <v>874</v>
      </c>
    </row>
    <row r="38">
      <c r="B38" s="590" t="s">
        <v>895</v>
      </c>
      <c r="C38" s="597">
        <v>11.94</v>
      </c>
      <c r="D38" s="597">
        <v>1.435</v>
      </c>
    </row>
    <row r="39">
      <c r="B39" s="590" t="s">
        <v>896</v>
      </c>
      <c r="C39" s="597">
        <v>11.94</v>
      </c>
      <c r="D39" s="597">
        <v>1.44</v>
      </c>
      <c r="E39" s="638"/>
      <c r="F39" s="564"/>
    </row>
    <row r="40">
      <c r="B40" s="615" t="s">
        <v>897</v>
      </c>
      <c r="C40" s="616">
        <v>11.94</v>
      </c>
      <c r="D40" s="616">
        <v>1.44</v>
      </c>
      <c r="E40" s="564"/>
      <c r="F40" s="651"/>
    </row>
    <row r="41">
      <c r="B41" s="652"/>
      <c r="C41" s="653"/>
      <c r="E41" s="564"/>
      <c r="F41" s="651"/>
    </row>
    <row r="42">
      <c r="B42" s="639" t="s">
        <v>898</v>
      </c>
      <c r="C42" s="640" t="s">
        <v>873</v>
      </c>
      <c r="D42" s="583" t="s">
        <v>874</v>
      </c>
      <c r="E42" s="546"/>
      <c r="F42" s="651"/>
    </row>
    <row r="43">
      <c r="A43" s="650" t="s">
        <v>899</v>
      </c>
      <c r="B43" s="599" t="s">
        <v>900</v>
      </c>
      <c r="C43" s="654">
        <v>11.94</v>
      </c>
      <c r="D43" s="655">
        <v>1.435</v>
      </c>
      <c r="E43" s="546"/>
      <c r="F43" s="656"/>
      <c r="K43" s="627"/>
    </row>
    <row r="44">
      <c r="A44" s="657">
        <f>sum(C43:C44)</f>
        <v>12.18</v>
      </c>
      <c r="B44" s="599" t="s">
        <v>901</v>
      </c>
      <c r="C44" s="654">
        <v>0.24</v>
      </c>
      <c r="D44" s="658">
        <v>0.24</v>
      </c>
      <c r="E44" s="546"/>
      <c r="F44" s="656"/>
    </row>
    <row r="45">
      <c r="A45" s="659">
        <f>C46</f>
        <v>12.94</v>
      </c>
      <c r="B45" s="639" t="s">
        <v>902</v>
      </c>
      <c r="C45" s="640" t="s">
        <v>873</v>
      </c>
      <c r="E45" s="546"/>
      <c r="F45" s="656"/>
      <c r="J45" s="660"/>
    </row>
    <row r="46">
      <c r="A46" s="657">
        <f>sum(F43:F45)</f>
        <v>0</v>
      </c>
      <c r="B46" s="599" t="s">
        <v>903</v>
      </c>
      <c r="C46" s="661">
        <v>12.94</v>
      </c>
      <c r="E46" s="564"/>
      <c r="F46" s="662"/>
      <c r="K46" s="62"/>
    </row>
    <row r="47">
      <c r="A47" s="617"/>
      <c r="B47" s="593" t="s">
        <v>904</v>
      </c>
      <c r="C47" s="661">
        <v>5.7</v>
      </c>
      <c r="E47" s="564"/>
      <c r="F47" s="662"/>
      <c r="K47" s="62"/>
      <c r="M47" s="663"/>
      <c r="O47" s="62"/>
    </row>
    <row r="48">
      <c r="A48" s="664">
        <f>C38</f>
        <v>11.94</v>
      </c>
      <c r="B48" s="593" t="s">
        <v>905</v>
      </c>
      <c r="C48" s="665">
        <v>0.15</v>
      </c>
      <c r="E48" s="564"/>
      <c r="F48" s="662"/>
      <c r="K48" s="62"/>
      <c r="L48" s="60"/>
      <c r="M48" s="663"/>
      <c r="O48" s="62"/>
    </row>
    <row r="49">
      <c r="A49" s="666"/>
      <c r="B49" s="639" t="s">
        <v>906</v>
      </c>
      <c r="C49" s="640" t="s">
        <v>873</v>
      </c>
      <c r="E49" s="564"/>
      <c r="F49" s="662"/>
      <c r="K49" s="62"/>
      <c r="L49" s="60"/>
      <c r="M49" s="663"/>
      <c r="O49" s="62"/>
    </row>
    <row r="50">
      <c r="A50" s="617">
        <f>sum(A43:A48)</f>
        <v>37.06</v>
      </c>
      <c r="B50" s="593" t="s">
        <v>907</v>
      </c>
      <c r="C50" s="667">
        <v>11.0</v>
      </c>
      <c r="E50" s="564"/>
      <c r="F50" s="662"/>
      <c r="K50" s="62"/>
      <c r="L50" s="60"/>
      <c r="M50" s="663"/>
      <c r="O50" s="62"/>
    </row>
    <row r="51">
      <c r="B51" s="593" t="s">
        <v>908</v>
      </c>
      <c r="C51" s="668">
        <v>6.155</v>
      </c>
      <c r="K51" s="62"/>
      <c r="L51" s="60"/>
      <c r="M51" s="663"/>
      <c r="O51" s="62"/>
    </row>
    <row r="52">
      <c r="K52" s="62"/>
      <c r="L52" s="60"/>
      <c r="M52" s="663"/>
      <c r="O52" s="62"/>
    </row>
    <row r="53">
      <c r="A53" s="62"/>
      <c r="B53" s="669" t="s">
        <v>909</v>
      </c>
      <c r="C53" s="670"/>
      <c r="K53" s="62"/>
      <c r="L53" s="60"/>
      <c r="M53" s="663"/>
      <c r="O53" s="62"/>
    </row>
    <row r="54">
      <c r="B54" s="593" t="s">
        <v>910</v>
      </c>
      <c r="C54" s="671">
        <v>0.25</v>
      </c>
      <c r="K54" s="62"/>
      <c r="L54" s="60"/>
      <c r="M54" s="663"/>
      <c r="O54" s="62"/>
    </row>
    <row r="55">
      <c r="B55" s="593" t="s">
        <v>911</v>
      </c>
      <c r="C55" s="671">
        <v>0.1</v>
      </c>
    </row>
    <row r="57">
      <c r="B57" s="669" t="s">
        <v>912</v>
      </c>
      <c r="C57" s="670"/>
    </row>
    <row r="58">
      <c r="B58" s="593" t="s">
        <v>910</v>
      </c>
      <c r="C58" s="671">
        <v>0.5644</v>
      </c>
    </row>
    <row r="59">
      <c r="B59" s="593" t="s">
        <v>911</v>
      </c>
      <c r="C59" s="671">
        <v>0.4603</v>
      </c>
    </row>
    <row r="61">
      <c r="B61" s="669" t="s">
        <v>913</v>
      </c>
      <c r="C61" s="670"/>
    </row>
    <row r="62">
      <c r="B62" s="593" t="s">
        <v>914</v>
      </c>
      <c r="C62" s="667">
        <v>5.56</v>
      </c>
    </row>
    <row r="63">
      <c r="B63" s="593" t="s">
        <v>874</v>
      </c>
      <c r="C63" s="667">
        <v>2.2</v>
      </c>
    </row>
    <row r="66">
      <c r="A66" s="672" t="s">
        <v>915</v>
      </c>
      <c r="B66" s="4" t="s">
        <v>916</v>
      </c>
    </row>
    <row r="67">
      <c r="A67" s="627"/>
    </row>
    <row r="68">
      <c r="A68" s="650" t="s">
        <v>917</v>
      </c>
      <c r="B68" s="673" t="s">
        <v>918</v>
      </c>
      <c r="C68" s="674"/>
      <c r="E68" s="675" t="s">
        <v>919</v>
      </c>
      <c r="F68" s="676"/>
      <c r="G68" s="676"/>
      <c r="H68" s="676"/>
      <c r="I68" s="676"/>
      <c r="J68" s="676"/>
      <c r="K68" s="674"/>
    </row>
    <row r="69">
      <c r="B69" s="677" t="s">
        <v>920</v>
      </c>
      <c r="C69" s="678"/>
      <c r="E69" s="679">
        <v>17.58</v>
      </c>
      <c r="F69" s="680">
        <v>0.29</v>
      </c>
      <c r="G69" s="680">
        <v>0.0</v>
      </c>
      <c r="H69" s="680">
        <v>0.17</v>
      </c>
      <c r="I69" s="680">
        <v>0.01</v>
      </c>
      <c r="J69" s="680">
        <v>2.44</v>
      </c>
      <c r="K69" s="681">
        <v>0.21</v>
      </c>
    </row>
    <row r="70">
      <c r="B70" s="502" t="s">
        <v>921</v>
      </c>
      <c r="C70" s="682">
        <v>17.58</v>
      </c>
    </row>
    <row r="71">
      <c r="B71" s="502" t="s">
        <v>922</v>
      </c>
      <c r="C71" s="682">
        <v>0.29</v>
      </c>
      <c r="E71" s="675" t="s">
        <v>923</v>
      </c>
      <c r="F71" s="676"/>
      <c r="G71" s="676"/>
      <c r="H71" s="676"/>
      <c r="I71" s="676"/>
      <c r="J71" s="676"/>
      <c r="K71" s="674"/>
      <c r="L71" s="62"/>
    </row>
    <row r="72">
      <c r="B72" s="502" t="s">
        <v>924</v>
      </c>
      <c r="C72" s="682">
        <v>0.0</v>
      </c>
      <c r="E72" s="683">
        <v>14.55</v>
      </c>
      <c r="F72" s="684">
        <v>0.55</v>
      </c>
      <c r="G72" s="684">
        <v>0.01</v>
      </c>
      <c r="H72" s="684">
        <v>0.15</v>
      </c>
      <c r="I72" s="684">
        <v>0.01</v>
      </c>
      <c r="J72" s="684">
        <v>7.62</v>
      </c>
      <c r="K72" s="685">
        <v>0.3</v>
      </c>
      <c r="L72" s="62"/>
      <c r="M72" s="62"/>
    </row>
    <row r="73">
      <c r="B73" s="502" t="s">
        <v>925</v>
      </c>
      <c r="C73" s="682">
        <v>0.17</v>
      </c>
      <c r="I73" s="686"/>
      <c r="J73" s="686"/>
      <c r="K73" s="686"/>
      <c r="L73" s="686"/>
      <c r="M73" s="686"/>
    </row>
    <row r="74">
      <c r="B74" s="502" t="s">
        <v>926</v>
      </c>
      <c r="C74" s="682">
        <v>0.01</v>
      </c>
      <c r="I74" s="686"/>
      <c r="J74" s="686"/>
      <c r="K74" s="686"/>
      <c r="L74" s="686"/>
      <c r="M74" s="686"/>
    </row>
    <row r="75">
      <c r="B75" s="502" t="s">
        <v>927</v>
      </c>
      <c r="C75" s="682">
        <v>2.44</v>
      </c>
      <c r="E75" s="4" t="s">
        <v>921</v>
      </c>
      <c r="F75" s="4" t="s">
        <v>922</v>
      </c>
      <c r="G75" s="4" t="s">
        <v>924</v>
      </c>
      <c r="H75" s="4" t="s">
        <v>925</v>
      </c>
      <c r="I75" s="4" t="s">
        <v>926</v>
      </c>
      <c r="J75" s="4" t="s">
        <v>927</v>
      </c>
      <c r="K75" s="4" t="s">
        <v>928</v>
      </c>
    </row>
    <row r="76">
      <c r="B76" s="687" t="s">
        <v>928</v>
      </c>
      <c r="C76" s="688">
        <v>0.21</v>
      </c>
    </row>
    <row r="79">
      <c r="B79" s="4" t="s">
        <v>929</v>
      </c>
    </row>
    <row r="80">
      <c r="B80" s="4" t="s">
        <v>930</v>
      </c>
      <c r="C80" s="689">
        <v>0.05</v>
      </c>
      <c r="D80" s="4" t="s">
        <v>931</v>
      </c>
    </row>
    <row r="81">
      <c r="B81" s="4" t="s">
        <v>932</v>
      </c>
      <c r="C81" s="4" t="s">
        <v>933</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0" t="s">
        <v>934</v>
      </c>
      <c r="B1" s="691"/>
      <c r="C1" s="691"/>
      <c r="D1" s="691"/>
      <c r="E1" s="691"/>
      <c r="F1" s="691"/>
      <c r="G1" s="691"/>
      <c r="H1" s="691"/>
      <c r="I1" s="691"/>
      <c r="J1" s="691"/>
      <c r="K1" s="691"/>
      <c r="L1" s="691"/>
      <c r="M1" s="691"/>
      <c r="N1" s="691"/>
      <c r="O1" s="691"/>
      <c r="P1" s="691"/>
      <c r="Q1" s="691"/>
      <c r="R1" s="691"/>
      <c r="S1" s="691"/>
      <c r="T1" s="691"/>
      <c r="U1" s="691"/>
      <c r="V1" s="691"/>
      <c r="W1" s="691"/>
      <c r="X1" s="691"/>
      <c r="Y1" s="691"/>
      <c r="Z1" s="691"/>
      <c r="AA1" s="691"/>
      <c r="AB1" s="691"/>
      <c r="AC1" s="691"/>
      <c r="AD1" s="691"/>
      <c r="AE1" s="691"/>
      <c r="AF1" s="691"/>
      <c r="AG1" s="691"/>
      <c r="AH1" s="691"/>
      <c r="AI1" s="691"/>
      <c r="AJ1" s="691"/>
      <c r="AK1" s="691"/>
      <c r="AL1" s="691"/>
      <c r="AM1" s="691"/>
      <c r="AN1" s="691"/>
      <c r="AO1" s="691"/>
      <c r="AP1" s="691"/>
      <c r="AQ1" s="691"/>
      <c r="AR1" s="691"/>
      <c r="AS1" s="691"/>
      <c r="AT1" s="691"/>
      <c r="AU1" s="691"/>
      <c r="AV1" s="691"/>
      <c r="AW1" s="691"/>
      <c r="AX1" s="691"/>
      <c r="AY1" s="691"/>
      <c r="AZ1" s="691"/>
      <c r="BA1" s="691"/>
      <c r="BB1" s="691"/>
      <c r="BC1" s="691"/>
      <c r="BD1" s="691"/>
      <c r="BE1" s="691"/>
      <c r="BF1" s="691"/>
      <c r="BG1" s="691"/>
      <c r="BH1" s="691"/>
      <c r="BI1" s="691"/>
      <c r="BJ1" s="691"/>
      <c r="BK1" s="691"/>
      <c r="BL1" s="691"/>
      <c r="BM1" s="691"/>
    </row>
    <row r="2">
      <c r="A2" s="691"/>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c r="AQ2" s="691"/>
      <c r="AR2" s="691"/>
      <c r="AS2" s="691"/>
      <c r="AT2" s="691"/>
      <c r="AU2" s="691"/>
      <c r="AV2" s="691"/>
      <c r="AW2" s="691"/>
      <c r="AX2" s="691"/>
      <c r="AY2" s="691"/>
      <c r="AZ2" s="691"/>
      <c r="BA2" s="691"/>
      <c r="BB2" s="691"/>
      <c r="BC2" s="691"/>
      <c r="BD2" s="691"/>
      <c r="BE2" s="691"/>
      <c r="BF2" s="691"/>
      <c r="BG2" s="691"/>
      <c r="BH2" s="691"/>
      <c r="BI2" s="691"/>
      <c r="BJ2" s="691"/>
      <c r="BK2" s="691"/>
      <c r="BL2" s="691"/>
      <c r="BM2" s="691"/>
    </row>
    <row r="3">
      <c r="A3" s="692" t="s">
        <v>935</v>
      </c>
      <c r="B3" s="691"/>
      <c r="C3" s="691"/>
      <c r="D3" s="691"/>
      <c r="E3" s="691"/>
      <c r="F3" s="691"/>
      <c r="G3" s="691"/>
      <c r="H3" s="691"/>
      <c r="I3" s="691"/>
      <c r="J3" s="691"/>
      <c r="K3" s="691"/>
      <c r="L3" s="691"/>
      <c r="M3" s="691"/>
      <c r="N3" s="691"/>
      <c r="O3" s="691"/>
      <c r="P3" s="691"/>
      <c r="Q3" s="691"/>
      <c r="R3" s="691"/>
      <c r="S3" s="691"/>
      <c r="T3" s="691"/>
      <c r="U3" s="691"/>
      <c r="V3" s="691"/>
      <c r="W3" s="691"/>
      <c r="X3" s="691"/>
      <c r="Y3" s="691"/>
      <c r="Z3" s="691"/>
      <c r="AA3" s="691"/>
      <c r="AB3" s="691"/>
      <c r="AC3" s="691"/>
      <c r="AD3" s="691"/>
      <c r="AE3" s="691"/>
      <c r="AF3" s="691"/>
      <c r="AG3" s="691"/>
      <c r="AH3" s="691"/>
      <c r="AI3" s="691"/>
      <c r="AJ3" s="691"/>
      <c r="AK3" s="691"/>
      <c r="AL3" s="691"/>
      <c r="AM3" s="691"/>
      <c r="AN3" s="691"/>
      <c r="AO3" s="691"/>
      <c r="AP3" s="691"/>
      <c r="AQ3" s="691"/>
      <c r="AR3" s="691"/>
      <c r="AS3" s="691"/>
      <c r="AT3" s="691"/>
      <c r="AU3" s="691"/>
      <c r="AV3" s="691"/>
      <c r="AW3" s="691"/>
      <c r="AX3" s="691"/>
      <c r="AY3" s="691"/>
      <c r="AZ3" s="691"/>
      <c r="BA3" s="691"/>
      <c r="BB3" s="691"/>
      <c r="BC3" s="691"/>
      <c r="BD3" s="691"/>
      <c r="BE3" s="691"/>
      <c r="BF3" s="691"/>
      <c r="BG3" s="691"/>
      <c r="BH3" s="691"/>
      <c r="BI3" s="691"/>
      <c r="BJ3" s="691"/>
      <c r="BK3" s="691"/>
      <c r="BL3" s="691"/>
      <c r="BM3" s="691"/>
    </row>
    <row r="4">
      <c r="A4" s="691"/>
      <c r="B4" s="691"/>
      <c r="C4" s="691"/>
      <c r="D4" s="691"/>
      <c r="E4" s="691"/>
      <c r="F4" s="691"/>
      <c r="G4" s="691"/>
      <c r="H4" s="693">
        <v>1.7091262E7</v>
      </c>
      <c r="I4" s="691"/>
      <c r="J4" s="691"/>
      <c r="K4" s="691"/>
      <c r="L4" s="691"/>
      <c r="M4" s="691"/>
      <c r="N4" s="691"/>
      <c r="O4" s="691"/>
      <c r="P4" s="691"/>
      <c r="Q4" s="691"/>
      <c r="R4" s="691"/>
      <c r="S4" s="691"/>
      <c r="T4" s="691"/>
      <c r="U4" s="691"/>
      <c r="V4" s="691"/>
      <c r="W4" s="691"/>
      <c r="X4" s="691"/>
      <c r="Y4" s="691"/>
      <c r="Z4" s="691"/>
      <c r="AA4" s="691"/>
      <c r="AB4" s="691"/>
      <c r="AC4" s="691"/>
      <c r="AD4" s="691"/>
      <c r="AE4" s="691"/>
      <c r="AF4" s="691"/>
      <c r="AG4" s="691"/>
      <c r="AH4" s="691"/>
      <c r="AI4" s="691"/>
      <c r="AJ4" s="691"/>
      <c r="AK4" s="691"/>
      <c r="AL4" s="691"/>
      <c r="AM4" s="691"/>
      <c r="AN4" s="691"/>
      <c r="AO4" s="691"/>
      <c r="AP4" s="691"/>
      <c r="AQ4" s="691"/>
      <c r="AR4" s="691"/>
      <c r="AS4" s="691"/>
      <c r="AT4" s="691"/>
      <c r="AU4" s="691"/>
      <c r="AV4" s="691"/>
      <c r="AW4" s="691"/>
      <c r="AX4" s="691"/>
      <c r="AY4" s="691"/>
      <c r="AZ4" s="691"/>
      <c r="BA4" s="691"/>
      <c r="BB4" s="691"/>
      <c r="BC4" s="691"/>
      <c r="BD4" s="691"/>
      <c r="BE4" s="691"/>
      <c r="BF4" s="691"/>
      <c r="BG4" s="691"/>
      <c r="BH4" s="691"/>
      <c r="BI4" s="691"/>
      <c r="BJ4" s="691"/>
      <c r="BK4" s="691"/>
      <c r="BL4" s="691"/>
      <c r="BM4" s="691"/>
    </row>
    <row r="5">
      <c r="A5" s="694" t="s">
        <v>936</v>
      </c>
      <c r="B5" s="691"/>
      <c r="C5" s="691"/>
      <c r="D5" s="691"/>
      <c r="E5" s="691"/>
      <c r="F5" s="691"/>
      <c r="G5" s="691"/>
      <c r="H5" s="695"/>
      <c r="I5" s="691"/>
      <c r="J5" s="691"/>
      <c r="K5" s="691"/>
      <c r="L5" s="691"/>
      <c r="M5" s="691"/>
      <c r="N5" s="691"/>
      <c r="O5" s="691"/>
      <c r="P5" s="691"/>
      <c r="Q5" s="691"/>
      <c r="R5" s="691"/>
      <c r="S5" s="691"/>
      <c r="T5" s="691"/>
      <c r="U5" s="691"/>
      <c r="V5" s="691"/>
      <c r="W5" s="691"/>
      <c r="X5" s="691"/>
      <c r="Y5" s="691"/>
      <c r="Z5" s="691"/>
      <c r="AA5" s="691"/>
      <c r="AB5" s="691"/>
      <c r="AC5" s="691"/>
      <c r="AD5" s="691"/>
      <c r="AE5" s="691"/>
      <c r="AF5" s="691"/>
      <c r="AG5" s="691"/>
      <c r="AH5" s="691"/>
      <c r="AI5" s="691"/>
      <c r="AJ5" s="691"/>
      <c r="AK5" s="691"/>
      <c r="AL5" s="691"/>
      <c r="AM5" s="691"/>
      <c r="AN5" s="691"/>
      <c r="AO5" s="691"/>
      <c r="AP5" s="691"/>
      <c r="AQ5" s="691"/>
      <c r="AR5" s="691"/>
      <c r="AS5" s="691"/>
      <c r="AT5" s="691"/>
      <c r="AU5" s="691"/>
      <c r="AV5" s="691"/>
      <c r="AW5" s="691"/>
      <c r="AX5" s="691"/>
      <c r="AY5" s="691"/>
      <c r="AZ5" s="691"/>
      <c r="BA5" s="691"/>
      <c r="BB5" s="691"/>
      <c r="BC5" s="691"/>
      <c r="BD5" s="691"/>
      <c r="BE5" s="691"/>
      <c r="BF5" s="691"/>
      <c r="BG5" s="691"/>
      <c r="BH5" s="691"/>
      <c r="BI5" s="691"/>
      <c r="BJ5" s="691"/>
      <c r="BK5" s="691"/>
      <c r="BL5" s="691"/>
      <c r="BM5" s="691"/>
    </row>
    <row r="6">
      <c r="A6" s="696" t="s">
        <v>937</v>
      </c>
      <c r="B6" s="697"/>
      <c r="C6" s="697"/>
      <c r="D6" s="697"/>
      <c r="E6" s="697"/>
      <c r="F6" s="697"/>
      <c r="G6" s="698"/>
      <c r="H6" s="695"/>
      <c r="I6" s="691"/>
      <c r="J6" s="691"/>
      <c r="K6" s="691"/>
      <c r="L6" s="691"/>
      <c r="M6" s="691"/>
      <c r="N6" s="691"/>
      <c r="O6" s="691"/>
      <c r="P6" s="691"/>
      <c r="Q6" s="691"/>
      <c r="R6" s="691"/>
      <c r="S6" s="691"/>
      <c r="T6" s="691"/>
      <c r="U6" s="691"/>
      <c r="V6" s="691"/>
      <c r="W6" s="691"/>
      <c r="X6" s="691"/>
      <c r="Y6" s="691"/>
      <c r="Z6" s="691"/>
      <c r="AA6" s="691"/>
      <c r="AB6" s="691"/>
      <c r="AC6" s="691"/>
      <c r="AD6" s="691"/>
      <c r="AE6" s="691"/>
      <c r="AF6" s="691"/>
      <c r="AG6" s="691"/>
      <c r="AH6" s="691"/>
      <c r="AI6" s="691"/>
      <c r="AJ6" s="691"/>
      <c r="AK6" s="691"/>
      <c r="AL6" s="691"/>
      <c r="AM6" s="691"/>
      <c r="AN6" s="691"/>
      <c r="AO6" s="691"/>
      <c r="AP6" s="691"/>
      <c r="AQ6" s="691"/>
      <c r="AR6" s="691"/>
      <c r="AS6" s="691"/>
      <c r="AT6" s="691"/>
      <c r="AU6" s="691"/>
      <c r="AV6" s="691"/>
      <c r="AW6" s="691"/>
      <c r="AX6" s="691"/>
      <c r="AY6" s="691"/>
      <c r="AZ6" s="691"/>
      <c r="BA6" s="691"/>
      <c r="BB6" s="691"/>
      <c r="BC6" s="691"/>
      <c r="BD6" s="691"/>
      <c r="BE6" s="691"/>
      <c r="BF6" s="691"/>
      <c r="BG6" s="691"/>
      <c r="BH6" s="691"/>
      <c r="BI6" s="691"/>
      <c r="BJ6" s="691"/>
      <c r="BK6" s="691"/>
      <c r="BL6" s="691"/>
      <c r="BM6" s="691"/>
    </row>
    <row r="7">
      <c r="A7" s="699"/>
      <c r="B7" s="700"/>
      <c r="C7" s="700"/>
      <c r="D7" s="700"/>
      <c r="E7" s="700"/>
      <c r="F7" s="700"/>
      <c r="G7" s="701"/>
      <c r="H7" s="691"/>
      <c r="I7" s="691"/>
      <c r="J7" s="691"/>
      <c r="K7" s="691"/>
      <c r="L7" s="691"/>
      <c r="M7" s="691"/>
      <c r="N7" s="691"/>
      <c r="O7" s="691"/>
      <c r="P7" s="691"/>
      <c r="Q7" s="691"/>
      <c r="R7" s="691"/>
      <c r="S7" s="691"/>
      <c r="T7" s="691"/>
      <c r="U7" s="691"/>
      <c r="V7" s="691"/>
      <c r="W7" s="691"/>
      <c r="X7" s="691"/>
      <c r="Y7" s="691"/>
      <c r="Z7" s="691"/>
      <c r="AA7" s="691"/>
      <c r="AB7" s="691"/>
      <c r="AC7" s="691"/>
      <c r="AD7" s="691"/>
      <c r="AE7" s="691"/>
      <c r="AF7" s="691"/>
      <c r="AG7" s="691"/>
      <c r="AH7" s="691"/>
      <c r="AI7" s="691"/>
      <c r="AJ7" s="691"/>
      <c r="AK7" s="691"/>
      <c r="AL7" s="691"/>
      <c r="AM7" s="691"/>
      <c r="AN7" s="691"/>
      <c r="AO7" s="691"/>
      <c r="AP7" s="691"/>
      <c r="AQ7" s="691"/>
      <c r="AR7" s="691"/>
      <c r="AS7" s="691"/>
      <c r="AT7" s="691"/>
      <c r="AU7" s="691"/>
      <c r="AV7" s="691"/>
      <c r="AW7" s="691"/>
      <c r="AX7" s="691"/>
      <c r="AY7" s="691"/>
      <c r="AZ7" s="691"/>
      <c r="BA7" s="691"/>
      <c r="BB7" s="691"/>
      <c r="BC7" s="691"/>
      <c r="BD7" s="691"/>
      <c r="BE7" s="691"/>
      <c r="BF7" s="691"/>
      <c r="BG7" s="691"/>
      <c r="BH7" s="691"/>
      <c r="BI7" s="691"/>
      <c r="BJ7" s="691"/>
      <c r="BK7" s="691"/>
      <c r="BL7" s="691"/>
      <c r="BM7" s="691"/>
    </row>
    <row r="8">
      <c r="A8" s="696" t="s">
        <v>938</v>
      </c>
      <c r="B8" s="697"/>
      <c r="C8" s="697"/>
      <c r="D8" s="697"/>
      <c r="E8" s="697"/>
      <c r="F8" s="697"/>
      <c r="G8" s="698"/>
      <c r="H8" s="702" t="s">
        <v>939</v>
      </c>
      <c r="I8" s="691"/>
      <c r="J8" s="691"/>
      <c r="K8" s="691"/>
      <c r="L8" s="691"/>
      <c r="M8" s="691"/>
      <c r="N8" s="691"/>
      <c r="O8" s="691"/>
      <c r="P8" s="691"/>
      <c r="Q8" s="691"/>
      <c r="R8" s="691"/>
      <c r="S8" s="691"/>
      <c r="T8" s="691"/>
      <c r="U8" s="691"/>
      <c r="V8" s="691"/>
      <c r="W8" s="691"/>
      <c r="X8" s="691"/>
      <c r="Y8" s="691"/>
      <c r="Z8" s="691"/>
      <c r="AA8" s="691"/>
      <c r="AB8" s="691"/>
      <c r="AC8" s="691"/>
      <c r="AD8" s="691"/>
      <c r="AE8" s="691"/>
      <c r="AF8" s="691"/>
      <c r="AG8" s="691"/>
      <c r="AH8" s="691"/>
      <c r="AI8" s="691"/>
      <c r="AJ8" s="691"/>
      <c r="AK8" s="691"/>
      <c r="AL8" s="691"/>
      <c r="AM8" s="691"/>
      <c r="AN8" s="691"/>
      <c r="AO8" s="691"/>
      <c r="AP8" s="691"/>
      <c r="AQ8" s="691"/>
      <c r="AR8" s="691"/>
      <c r="AS8" s="691"/>
      <c r="AT8" s="691"/>
      <c r="AU8" s="691"/>
      <c r="AV8" s="691"/>
      <c r="AW8" s="691"/>
      <c r="AX8" s="691"/>
      <c r="AY8" s="691"/>
      <c r="AZ8" s="691"/>
      <c r="BA8" s="691"/>
      <c r="BB8" s="691"/>
      <c r="BC8" s="691"/>
      <c r="BD8" s="691"/>
      <c r="BE8" s="691"/>
      <c r="BF8" s="691"/>
      <c r="BG8" s="691"/>
      <c r="BH8" s="691"/>
      <c r="BI8" s="691"/>
      <c r="BJ8" s="691"/>
      <c r="BK8" s="691"/>
      <c r="BL8" s="691"/>
      <c r="BM8" s="691"/>
    </row>
    <row r="9">
      <c r="A9" s="699"/>
      <c r="B9" s="700"/>
      <c r="C9" s="700"/>
      <c r="D9" s="700"/>
      <c r="E9" s="700"/>
      <c r="F9" s="700"/>
      <c r="G9" s="701"/>
      <c r="H9" s="691"/>
      <c r="I9" s="691"/>
      <c r="J9" s="691"/>
      <c r="K9" s="691"/>
      <c r="L9" s="691"/>
      <c r="M9" s="691"/>
      <c r="N9" s="691"/>
      <c r="O9" s="691"/>
      <c r="P9" s="691"/>
      <c r="Q9" s="691"/>
      <c r="R9" s="691"/>
      <c r="S9" s="691"/>
      <c r="T9" s="691"/>
      <c r="U9" s="691"/>
      <c r="V9" s="691"/>
      <c r="W9" s="691"/>
      <c r="X9" s="691"/>
      <c r="Y9" s="691"/>
      <c r="Z9" s="691"/>
      <c r="AA9" s="691"/>
      <c r="AB9" s="691"/>
      <c r="AC9" s="691"/>
      <c r="AD9" s="691"/>
      <c r="AE9" s="691"/>
      <c r="AF9" s="691"/>
      <c r="AG9" s="691"/>
      <c r="AH9" s="691"/>
      <c r="AI9" s="691"/>
      <c r="AJ9" s="691"/>
      <c r="AK9" s="691"/>
      <c r="AL9" s="691"/>
      <c r="AM9" s="691"/>
      <c r="AN9" s="691"/>
      <c r="AO9" s="691"/>
      <c r="AP9" s="691"/>
      <c r="AQ9" s="691"/>
      <c r="AR9" s="691"/>
      <c r="AS9" s="691"/>
      <c r="AT9" s="691"/>
      <c r="AU9" s="691"/>
      <c r="AV9" s="691"/>
      <c r="AW9" s="691"/>
      <c r="AX9" s="691"/>
      <c r="AY9" s="691"/>
      <c r="AZ9" s="691"/>
      <c r="BA9" s="691"/>
      <c r="BB9" s="691"/>
      <c r="BC9" s="691"/>
      <c r="BD9" s="691"/>
      <c r="BE9" s="691"/>
      <c r="BF9" s="691"/>
      <c r="BG9" s="691"/>
      <c r="BH9" s="691"/>
      <c r="BI9" s="691"/>
      <c r="BJ9" s="691"/>
      <c r="BK9" s="691"/>
      <c r="BL9" s="691"/>
      <c r="BM9" s="691"/>
    </row>
    <row r="10">
      <c r="A10" s="696" t="s">
        <v>940</v>
      </c>
      <c r="B10" s="697"/>
      <c r="C10" s="697"/>
      <c r="D10" s="697"/>
      <c r="E10" s="697"/>
      <c r="F10" s="697"/>
      <c r="G10" s="698"/>
      <c r="H10" s="691"/>
      <c r="I10" s="691"/>
      <c r="J10" s="691"/>
      <c r="K10" s="691"/>
      <c r="L10" s="691"/>
      <c r="M10" s="691"/>
      <c r="N10" s="691"/>
      <c r="O10" s="691"/>
      <c r="P10" s="691"/>
      <c r="Q10" s="691"/>
      <c r="R10" s="691"/>
      <c r="S10" s="691"/>
      <c r="T10" s="691"/>
      <c r="U10" s="691"/>
      <c r="V10" s="691"/>
      <c r="W10" s="691"/>
      <c r="X10" s="691"/>
      <c r="Y10" s="691"/>
      <c r="Z10" s="691"/>
      <c r="AA10" s="691"/>
      <c r="AB10" s="691"/>
      <c r="AC10" s="691"/>
      <c r="AD10" s="691"/>
      <c r="AE10" s="691"/>
      <c r="AF10" s="691"/>
      <c r="AG10" s="691"/>
      <c r="AH10" s="691"/>
      <c r="AI10" s="691"/>
      <c r="AJ10" s="691"/>
      <c r="AK10" s="691"/>
      <c r="AL10" s="691"/>
      <c r="AM10" s="691"/>
      <c r="AN10" s="691"/>
      <c r="AO10" s="691"/>
      <c r="AP10" s="691"/>
      <c r="AQ10" s="691"/>
      <c r="AR10" s="691"/>
      <c r="AS10" s="691"/>
      <c r="AT10" s="691"/>
      <c r="AU10" s="691"/>
      <c r="AV10" s="691"/>
      <c r="AW10" s="691"/>
      <c r="AX10" s="691"/>
      <c r="AY10" s="691"/>
      <c r="AZ10" s="691"/>
      <c r="BA10" s="691"/>
      <c r="BB10" s="691"/>
      <c r="BC10" s="691"/>
      <c r="BD10" s="691"/>
      <c r="BE10" s="691"/>
      <c r="BF10" s="691"/>
      <c r="BG10" s="691"/>
      <c r="BH10" s="691"/>
      <c r="BI10" s="691"/>
      <c r="BJ10" s="691"/>
      <c r="BK10" s="691"/>
      <c r="BL10" s="691"/>
      <c r="BM10" s="691"/>
    </row>
    <row r="11">
      <c r="A11" s="699"/>
      <c r="B11" s="700"/>
      <c r="C11" s="700"/>
      <c r="D11" s="700"/>
      <c r="E11" s="700"/>
      <c r="F11" s="700"/>
      <c r="G11" s="701"/>
      <c r="H11" s="691"/>
      <c r="I11" s="691"/>
      <c r="J11" s="691"/>
      <c r="K11" s="691"/>
      <c r="L11" s="691"/>
      <c r="M11" s="691"/>
      <c r="N11" s="691"/>
      <c r="O11" s="691"/>
      <c r="P11" s="691"/>
      <c r="Q11" s="691"/>
      <c r="R11" s="691"/>
      <c r="S11" s="691"/>
      <c r="T11" s="691"/>
      <c r="U11" s="691"/>
      <c r="V11" s="691"/>
      <c r="W11" s="691"/>
      <c r="X11" s="691"/>
      <c r="Y11" s="691"/>
      <c r="Z11" s="691"/>
      <c r="AA11" s="691"/>
      <c r="AB11" s="691"/>
      <c r="AC11" s="691"/>
      <c r="AD11" s="691"/>
      <c r="AE11" s="691"/>
      <c r="AF11" s="691"/>
      <c r="AG11" s="691"/>
      <c r="AH11" s="691"/>
      <c r="AI11" s="691"/>
      <c r="AJ11" s="691"/>
      <c r="AK11" s="691"/>
      <c r="AL11" s="691"/>
      <c r="AM11" s="691"/>
      <c r="AN11" s="691"/>
      <c r="AO11" s="691"/>
      <c r="AP11" s="691"/>
      <c r="AQ11" s="691"/>
      <c r="AR11" s="691"/>
      <c r="AS11" s="691"/>
      <c r="AT11" s="691"/>
      <c r="AU11" s="691"/>
      <c r="AV11" s="691"/>
      <c r="AW11" s="691"/>
      <c r="AX11" s="691"/>
      <c r="AY11" s="691"/>
      <c r="AZ11" s="691"/>
      <c r="BA11" s="691"/>
      <c r="BB11" s="691"/>
      <c r="BC11" s="691"/>
      <c r="BD11" s="691"/>
      <c r="BE11" s="691"/>
      <c r="BF11" s="691"/>
      <c r="BG11" s="691"/>
      <c r="BH11" s="691"/>
      <c r="BI11" s="691"/>
      <c r="BJ11" s="691"/>
      <c r="BK11" s="691"/>
      <c r="BL11" s="691"/>
      <c r="BM11" s="691"/>
    </row>
    <row r="12">
      <c r="A12" s="691"/>
      <c r="B12" s="691"/>
      <c r="C12" s="691"/>
      <c r="D12" s="691"/>
      <c r="E12" s="691"/>
      <c r="F12" s="691"/>
      <c r="G12" s="691"/>
      <c r="H12" s="691"/>
      <c r="I12" s="691"/>
      <c r="J12" s="691"/>
      <c r="K12" s="691"/>
      <c r="L12" s="691"/>
      <c r="M12" s="691"/>
      <c r="N12" s="691"/>
      <c r="O12" s="691"/>
      <c r="P12" s="691"/>
      <c r="Q12" s="691"/>
      <c r="R12" s="691"/>
      <c r="S12" s="691"/>
      <c r="T12" s="691"/>
      <c r="U12" s="691"/>
      <c r="V12" s="691"/>
      <c r="W12" s="691"/>
      <c r="X12" s="691"/>
      <c r="Y12" s="691"/>
      <c r="Z12" s="691"/>
      <c r="AA12" s="691"/>
      <c r="AB12" s="691"/>
      <c r="AC12" s="691"/>
      <c r="AD12" s="691"/>
      <c r="AE12" s="691"/>
      <c r="AF12" s="691"/>
      <c r="AG12" s="691"/>
      <c r="AH12" s="691"/>
      <c r="AI12" s="691"/>
      <c r="AJ12" s="691"/>
      <c r="AK12" s="691"/>
      <c r="AL12" s="691"/>
      <c r="AM12" s="691"/>
      <c r="AN12" s="691"/>
      <c r="AO12" s="691"/>
      <c r="AP12" s="691"/>
      <c r="AQ12" s="691"/>
      <c r="AR12" s="691"/>
      <c r="AS12" s="691"/>
      <c r="AT12" s="691"/>
      <c r="AU12" s="691"/>
      <c r="AV12" s="691"/>
      <c r="AW12" s="691"/>
      <c r="AX12" s="691"/>
      <c r="AY12" s="691"/>
      <c r="AZ12" s="691"/>
      <c r="BA12" s="691"/>
      <c r="BB12" s="691"/>
      <c r="BC12" s="691"/>
      <c r="BD12" s="691"/>
      <c r="BE12" s="691"/>
      <c r="BF12" s="691"/>
      <c r="BG12" s="691"/>
      <c r="BH12" s="691"/>
      <c r="BI12" s="691"/>
      <c r="BJ12" s="691"/>
      <c r="BK12" s="691"/>
      <c r="BL12" s="691"/>
      <c r="BM12" s="691"/>
    </row>
    <row r="13">
      <c r="A13" s="696" t="s">
        <v>941</v>
      </c>
      <c r="B13" s="697"/>
      <c r="C13" s="697"/>
      <c r="D13" s="697"/>
      <c r="E13" s="697"/>
      <c r="F13" s="697"/>
      <c r="G13" s="697"/>
      <c r="H13" s="698"/>
      <c r="I13" s="691"/>
      <c r="J13" s="691"/>
      <c r="K13" s="691"/>
      <c r="L13" s="691"/>
      <c r="M13" s="691"/>
      <c r="N13" s="691"/>
      <c r="O13" s="691"/>
      <c r="P13" s="691"/>
      <c r="Q13" s="691"/>
      <c r="R13" s="691"/>
      <c r="S13" s="691"/>
      <c r="T13" s="691"/>
      <c r="U13" s="691"/>
      <c r="V13" s="691"/>
      <c r="W13" s="691"/>
      <c r="X13" s="691"/>
      <c r="Y13" s="691"/>
      <c r="Z13" s="691"/>
      <c r="AA13" s="691"/>
      <c r="AB13" s="691"/>
      <c r="AC13" s="691"/>
      <c r="AD13" s="691"/>
      <c r="AE13" s="691"/>
      <c r="AF13" s="691"/>
      <c r="AG13" s="691"/>
      <c r="AH13" s="691"/>
      <c r="AI13" s="691"/>
      <c r="AJ13" s="691"/>
      <c r="AK13" s="691"/>
      <c r="AL13" s="691"/>
      <c r="AM13" s="691"/>
      <c r="AN13" s="691"/>
      <c r="AO13" s="691"/>
      <c r="AP13" s="691"/>
      <c r="AQ13" s="691"/>
      <c r="AR13" s="691"/>
      <c r="AS13" s="691"/>
      <c r="AT13" s="691"/>
      <c r="AU13" s="691"/>
      <c r="AV13" s="691"/>
      <c r="AW13" s="691"/>
      <c r="AX13" s="691"/>
      <c r="AY13" s="691"/>
      <c r="AZ13" s="691"/>
      <c r="BA13" s="691"/>
      <c r="BB13" s="691"/>
      <c r="BC13" s="691"/>
      <c r="BD13" s="691"/>
      <c r="BE13" s="691"/>
      <c r="BF13" s="691"/>
      <c r="BG13" s="691"/>
      <c r="BH13" s="691"/>
      <c r="BI13" s="691"/>
      <c r="BJ13" s="691"/>
      <c r="BK13" s="691"/>
      <c r="BL13" s="691"/>
      <c r="BM13" s="691"/>
    </row>
    <row r="14">
      <c r="A14" s="703"/>
      <c r="H14" s="704"/>
      <c r="I14" s="691"/>
      <c r="J14" s="691"/>
      <c r="K14" s="691"/>
      <c r="L14" s="691"/>
      <c r="M14" s="691"/>
      <c r="N14" s="691"/>
      <c r="O14" s="691"/>
      <c r="P14" s="691"/>
      <c r="Q14" s="691"/>
      <c r="R14" s="691"/>
      <c r="S14" s="691"/>
      <c r="T14" s="691"/>
      <c r="U14" s="691"/>
      <c r="V14" s="691"/>
      <c r="W14" s="691"/>
      <c r="X14" s="691"/>
      <c r="Y14" s="691"/>
      <c r="Z14" s="691"/>
      <c r="AA14" s="691"/>
      <c r="AB14" s="691"/>
      <c r="AC14" s="691"/>
      <c r="AD14" s="691"/>
      <c r="AE14" s="691"/>
      <c r="AF14" s="691"/>
      <c r="AG14" s="691"/>
      <c r="AH14" s="691"/>
      <c r="AI14" s="691"/>
      <c r="AJ14" s="691"/>
      <c r="AK14" s="691"/>
      <c r="AL14" s="691"/>
      <c r="AM14" s="691"/>
      <c r="AN14" s="691"/>
      <c r="AO14" s="691"/>
      <c r="AP14" s="691"/>
      <c r="AQ14" s="691"/>
      <c r="AR14" s="691"/>
      <c r="AS14" s="691"/>
      <c r="AT14" s="691"/>
      <c r="AU14" s="691"/>
      <c r="AV14" s="691"/>
      <c r="AW14" s="691"/>
      <c r="AX14" s="691"/>
      <c r="AY14" s="691"/>
      <c r="AZ14" s="691"/>
      <c r="BA14" s="691"/>
      <c r="BB14" s="691"/>
      <c r="BC14" s="691"/>
      <c r="BD14" s="691"/>
      <c r="BE14" s="691"/>
      <c r="BF14" s="691"/>
      <c r="BG14" s="691"/>
      <c r="BH14" s="691"/>
      <c r="BI14" s="691"/>
      <c r="BJ14" s="691"/>
      <c r="BK14" s="691"/>
      <c r="BL14" s="691"/>
      <c r="BM14" s="691"/>
    </row>
    <row r="15">
      <c r="A15" s="699"/>
      <c r="B15" s="700"/>
      <c r="C15" s="700"/>
      <c r="D15" s="700"/>
      <c r="E15" s="700"/>
      <c r="F15" s="700"/>
      <c r="G15" s="700"/>
      <c r="H15" s="701"/>
      <c r="I15" s="691"/>
      <c r="J15" s="691"/>
      <c r="K15" s="691"/>
      <c r="L15" s="691"/>
      <c r="M15" s="691"/>
      <c r="N15" s="691"/>
      <c r="O15" s="691"/>
      <c r="P15" s="691"/>
      <c r="Q15" s="691"/>
      <c r="R15" s="691"/>
      <c r="S15" s="691"/>
      <c r="T15" s="691"/>
      <c r="U15" s="691"/>
      <c r="V15" s="691"/>
      <c r="W15" s="691"/>
      <c r="X15" s="691"/>
      <c r="Y15" s="691"/>
      <c r="Z15" s="691"/>
      <c r="AA15" s="691"/>
      <c r="AB15" s="691"/>
      <c r="AC15" s="691"/>
      <c r="AD15" s="691"/>
      <c r="AE15" s="691"/>
      <c r="AF15" s="691"/>
      <c r="AG15" s="691"/>
      <c r="AH15" s="691"/>
      <c r="AI15" s="691"/>
      <c r="AJ15" s="691"/>
      <c r="AK15" s="691"/>
      <c r="AL15" s="691"/>
      <c r="AM15" s="691"/>
      <c r="AN15" s="691"/>
      <c r="AO15" s="691"/>
      <c r="AP15" s="691"/>
      <c r="AQ15" s="691"/>
      <c r="AR15" s="691"/>
      <c r="AS15" s="691"/>
      <c r="AT15" s="691"/>
      <c r="AU15" s="691"/>
      <c r="AV15" s="691"/>
      <c r="AW15" s="691"/>
      <c r="AX15" s="691"/>
      <c r="AY15" s="691"/>
      <c r="AZ15" s="691"/>
      <c r="BA15" s="691"/>
      <c r="BB15" s="691"/>
      <c r="BC15" s="691"/>
      <c r="BD15" s="691"/>
      <c r="BE15" s="691"/>
      <c r="BF15" s="691"/>
      <c r="BG15" s="691"/>
      <c r="BH15" s="691"/>
      <c r="BI15" s="691"/>
      <c r="BJ15" s="691"/>
      <c r="BK15" s="691"/>
      <c r="BL15" s="691"/>
      <c r="BM15" s="691"/>
    </row>
    <row r="16">
      <c r="A16" s="696" t="s">
        <v>942</v>
      </c>
      <c r="B16" s="697"/>
      <c r="C16" s="697"/>
      <c r="D16" s="697"/>
      <c r="E16" s="697"/>
      <c r="F16" s="697"/>
      <c r="G16" s="697"/>
      <c r="H16" s="698"/>
      <c r="I16" s="691"/>
      <c r="J16" s="691"/>
      <c r="K16" s="691"/>
      <c r="L16" s="691"/>
      <c r="M16" s="691"/>
      <c r="N16" s="691"/>
      <c r="O16" s="691"/>
      <c r="P16" s="691"/>
      <c r="Q16" s="691"/>
      <c r="R16" s="691"/>
      <c r="S16" s="691"/>
      <c r="T16" s="691"/>
      <c r="U16" s="691"/>
      <c r="V16" s="691"/>
      <c r="W16" s="691"/>
      <c r="X16" s="691"/>
      <c r="Y16" s="691"/>
      <c r="Z16" s="691"/>
      <c r="AA16" s="691"/>
      <c r="AB16" s="691"/>
      <c r="AC16" s="691"/>
      <c r="AD16" s="691"/>
      <c r="AE16" s="691"/>
      <c r="AF16" s="691"/>
      <c r="AG16" s="691"/>
      <c r="AH16" s="691"/>
      <c r="AI16" s="691"/>
      <c r="AJ16" s="691"/>
      <c r="AK16" s="691"/>
      <c r="AL16" s="691"/>
      <c r="AM16" s="691"/>
      <c r="AN16" s="691"/>
      <c r="AO16" s="691"/>
      <c r="AP16" s="691"/>
      <c r="AQ16" s="691"/>
      <c r="AR16" s="691"/>
      <c r="AS16" s="691"/>
      <c r="AT16" s="691"/>
      <c r="AU16" s="691"/>
      <c r="AV16" s="691"/>
      <c r="AW16" s="691"/>
      <c r="AX16" s="691"/>
      <c r="AY16" s="691"/>
      <c r="AZ16" s="691"/>
      <c r="BA16" s="691"/>
      <c r="BB16" s="691"/>
      <c r="BC16" s="691"/>
      <c r="BD16" s="691"/>
      <c r="BE16" s="691"/>
      <c r="BF16" s="691"/>
      <c r="BG16" s="691"/>
      <c r="BH16" s="691"/>
      <c r="BI16" s="691"/>
      <c r="BJ16" s="691"/>
      <c r="BK16" s="691"/>
      <c r="BL16" s="691"/>
      <c r="BM16" s="691"/>
    </row>
    <row r="17">
      <c r="A17" s="699"/>
      <c r="B17" s="700"/>
      <c r="C17" s="700"/>
      <c r="D17" s="700"/>
      <c r="E17" s="700"/>
      <c r="F17" s="700"/>
      <c r="G17" s="700"/>
      <c r="H17" s="701"/>
      <c r="I17" s="691"/>
      <c r="J17" s="691"/>
      <c r="K17" s="691"/>
      <c r="L17" s="691"/>
      <c r="M17" s="691"/>
      <c r="N17" s="691"/>
      <c r="O17" s="691"/>
      <c r="P17" s="691"/>
      <c r="Q17" s="691"/>
      <c r="R17" s="691"/>
      <c r="S17" s="691"/>
      <c r="T17" s="691"/>
      <c r="U17" s="691"/>
      <c r="V17" s="691"/>
      <c r="W17" s="691"/>
      <c r="X17" s="691"/>
      <c r="Y17" s="691"/>
      <c r="Z17" s="691"/>
      <c r="AA17" s="691"/>
      <c r="AB17" s="691"/>
      <c r="AC17" s="691"/>
      <c r="AD17" s="691"/>
      <c r="AE17" s="691"/>
      <c r="AF17" s="691"/>
      <c r="AG17" s="691"/>
      <c r="AH17" s="691"/>
      <c r="AI17" s="691"/>
      <c r="AJ17" s="691"/>
      <c r="AK17" s="691"/>
      <c r="AL17" s="691"/>
      <c r="AM17" s="691"/>
      <c r="AN17" s="691"/>
      <c r="AO17" s="691"/>
      <c r="AP17" s="691"/>
      <c r="AQ17" s="691"/>
      <c r="AR17" s="691"/>
      <c r="AS17" s="691"/>
      <c r="AT17" s="691"/>
      <c r="AU17" s="691"/>
      <c r="AV17" s="691"/>
      <c r="AW17" s="691"/>
      <c r="AX17" s="691"/>
      <c r="AY17" s="691"/>
      <c r="AZ17" s="691"/>
      <c r="BA17" s="691"/>
      <c r="BB17" s="691"/>
      <c r="BC17" s="691"/>
      <c r="BD17" s="691"/>
      <c r="BE17" s="691"/>
      <c r="BF17" s="691"/>
      <c r="BG17" s="691"/>
      <c r="BH17" s="691"/>
      <c r="BI17" s="691"/>
      <c r="BJ17" s="691"/>
      <c r="BK17" s="691"/>
      <c r="BL17" s="691"/>
      <c r="BM17" s="691"/>
    </row>
    <row r="18">
      <c r="A18" s="691"/>
      <c r="B18" s="691"/>
      <c r="C18" s="691"/>
      <c r="D18" s="691"/>
      <c r="E18" s="691"/>
      <c r="F18" s="691"/>
      <c r="G18" s="691"/>
      <c r="H18" s="691"/>
      <c r="I18" s="691"/>
      <c r="J18" s="691"/>
      <c r="K18" s="691"/>
      <c r="L18" s="691"/>
      <c r="M18" s="691"/>
      <c r="N18" s="691"/>
      <c r="O18" s="691"/>
      <c r="P18" s="691"/>
      <c r="Q18" s="691"/>
      <c r="R18" s="691"/>
      <c r="S18" s="691"/>
      <c r="T18" s="691"/>
      <c r="U18" s="691"/>
      <c r="V18" s="691"/>
      <c r="W18" s="691"/>
      <c r="X18" s="691"/>
      <c r="Y18" s="691"/>
      <c r="Z18" s="691"/>
      <c r="AA18" s="691"/>
      <c r="AB18" s="691"/>
      <c r="AC18" s="691"/>
      <c r="AD18" s="691"/>
      <c r="AE18" s="691"/>
      <c r="AF18" s="691"/>
      <c r="AG18" s="691"/>
      <c r="AH18" s="691"/>
      <c r="AI18" s="691"/>
      <c r="AJ18" s="691"/>
      <c r="AK18" s="691"/>
      <c r="AL18" s="691"/>
      <c r="AM18" s="691"/>
      <c r="AN18" s="691"/>
      <c r="AO18" s="691"/>
      <c r="AP18" s="691"/>
      <c r="AQ18" s="691"/>
      <c r="AR18" s="691"/>
      <c r="AS18" s="691"/>
      <c r="AT18" s="691"/>
      <c r="AU18" s="691"/>
      <c r="AV18" s="691"/>
      <c r="AW18" s="691"/>
      <c r="AX18" s="691"/>
      <c r="AY18" s="691"/>
      <c r="AZ18" s="691"/>
      <c r="BA18" s="691"/>
      <c r="BB18" s="691"/>
      <c r="BC18" s="691"/>
      <c r="BD18" s="691"/>
      <c r="BE18" s="691"/>
      <c r="BF18" s="691"/>
      <c r="BG18" s="691"/>
      <c r="BH18" s="691"/>
      <c r="BI18" s="691"/>
      <c r="BJ18" s="691"/>
      <c r="BK18" s="691"/>
      <c r="BL18" s="691"/>
      <c r="BM18" s="691"/>
    </row>
    <row r="19">
      <c r="A19" s="705" t="s">
        <v>943</v>
      </c>
      <c r="B19" s="706"/>
      <c r="C19" s="706"/>
      <c r="D19" s="705" t="s">
        <v>944</v>
      </c>
      <c r="E19" s="705" t="s">
        <v>945</v>
      </c>
      <c r="F19" s="706"/>
      <c r="G19" s="705" t="s">
        <v>946</v>
      </c>
      <c r="H19" s="705" t="s">
        <v>947</v>
      </c>
      <c r="I19" s="705" t="s">
        <v>948</v>
      </c>
      <c r="J19" s="705" t="s">
        <v>949</v>
      </c>
      <c r="K19" s="705" t="s">
        <v>950</v>
      </c>
      <c r="L19" s="705" t="s">
        <v>951</v>
      </c>
      <c r="M19" s="705" t="s">
        <v>952</v>
      </c>
      <c r="N19" s="705" t="s">
        <v>953</v>
      </c>
      <c r="O19" s="705" t="s">
        <v>954</v>
      </c>
      <c r="P19" s="706"/>
      <c r="Q19" s="705" t="s">
        <v>955</v>
      </c>
      <c r="R19" s="705" t="s">
        <v>956</v>
      </c>
      <c r="S19" s="705" t="s">
        <v>957</v>
      </c>
      <c r="T19" s="705" t="s">
        <v>958</v>
      </c>
      <c r="U19" s="705" t="s">
        <v>959</v>
      </c>
      <c r="V19" s="706"/>
      <c r="W19" s="705" t="s">
        <v>960</v>
      </c>
      <c r="X19" s="705" t="s">
        <v>961</v>
      </c>
      <c r="Y19" s="705" t="s">
        <v>962</v>
      </c>
      <c r="Z19" s="705" t="s">
        <v>963</v>
      </c>
      <c r="AA19" s="705" t="s">
        <v>964</v>
      </c>
      <c r="AB19" s="705" t="s">
        <v>965</v>
      </c>
      <c r="AC19" s="705" t="s">
        <v>966</v>
      </c>
      <c r="AD19" s="705" t="s">
        <v>967</v>
      </c>
      <c r="AE19" s="705" t="s">
        <v>968</v>
      </c>
      <c r="AF19" s="705" t="s">
        <v>969</v>
      </c>
      <c r="AG19" s="705" t="s">
        <v>970</v>
      </c>
      <c r="AH19" s="706"/>
      <c r="AI19" s="706"/>
      <c r="AJ19" s="705" t="s">
        <v>971</v>
      </c>
      <c r="AK19" s="705" t="s">
        <v>972</v>
      </c>
      <c r="AL19" s="705" t="s">
        <v>973</v>
      </c>
      <c r="AM19" s="706"/>
      <c r="AN19" s="705" t="s">
        <v>974</v>
      </c>
      <c r="AO19" s="705" t="s">
        <v>975</v>
      </c>
      <c r="AP19" s="705" t="s">
        <v>976</v>
      </c>
      <c r="AQ19" s="705" t="s">
        <v>977</v>
      </c>
      <c r="AR19" s="706"/>
      <c r="AS19" s="706"/>
      <c r="AT19" s="705" t="s">
        <v>978</v>
      </c>
      <c r="AU19" s="705" t="s">
        <v>979</v>
      </c>
      <c r="AV19" s="705" t="s">
        <v>980</v>
      </c>
      <c r="AW19" s="705" t="s">
        <v>981</v>
      </c>
      <c r="AX19" s="706"/>
      <c r="AY19" s="706"/>
      <c r="AZ19" s="706"/>
      <c r="BA19" s="706"/>
      <c r="BB19" s="706"/>
      <c r="BC19" s="706"/>
      <c r="BD19" s="706"/>
      <c r="BE19" s="706"/>
      <c r="BF19" s="706"/>
      <c r="BG19" s="706"/>
      <c r="BH19" s="706"/>
      <c r="BI19" s="706"/>
      <c r="BJ19" s="706"/>
      <c r="BK19" s="706"/>
      <c r="BL19" s="706"/>
      <c r="BM19" s="706"/>
    </row>
    <row r="20" hidden="1">
      <c r="A20" s="4" t="s">
        <v>982</v>
      </c>
      <c r="C20" s="4" t="s">
        <v>983</v>
      </c>
      <c r="D20" s="4" t="s">
        <v>984</v>
      </c>
      <c r="E20" s="4" t="s">
        <v>985</v>
      </c>
      <c r="G20" s="4" t="s">
        <v>986</v>
      </c>
      <c r="H20" s="4" t="s">
        <v>987</v>
      </c>
      <c r="I20" s="4" t="s">
        <v>988</v>
      </c>
      <c r="J20" s="4" t="s">
        <v>989</v>
      </c>
      <c r="K20" s="4" t="s">
        <v>990</v>
      </c>
      <c r="L20" s="4" t="s">
        <v>991</v>
      </c>
      <c r="M20" s="4" t="s">
        <v>992</v>
      </c>
      <c r="N20" s="4" t="s">
        <v>993</v>
      </c>
      <c r="O20" s="4" t="s">
        <v>994</v>
      </c>
      <c r="Q20" s="4" t="s">
        <v>995</v>
      </c>
      <c r="R20" s="4" t="s">
        <v>996</v>
      </c>
      <c r="S20" s="4" t="s">
        <v>997</v>
      </c>
      <c r="T20" s="4" t="s">
        <v>998</v>
      </c>
      <c r="U20" s="4" t="s">
        <v>999</v>
      </c>
      <c r="W20" s="4" t="s">
        <v>1000</v>
      </c>
      <c r="X20" s="4" t="s">
        <v>1001</v>
      </c>
      <c r="Y20" s="4" t="s">
        <v>1002</v>
      </c>
      <c r="Z20" s="4" t="s">
        <v>1003</v>
      </c>
      <c r="AA20" s="4" t="s">
        <v>1004</v>
      </c>
      <c r="AB20" s="4" t="s">
        <v>1005</v>
      </c>
      <c r="AC20" s="4" t="s">
        <v>1006</v>
      </c>
      <c r="AD20" s="4" t="s">
        <v>1007</v>
      </c>
      <c r="AE20" s="4" t="s">
        <v>1008</v>
      </c>
      <c r="AF20" s="4" t="s">
        <v>1009</v>
      </c>
      <c r="AG20" s="4" t="s">
        <v>1010</v>
      </c>
      <c r="AJ20" s="4" t="s">
        <v>1011</v>
      </c>
      <c r="AK20" s="4" t="s">
        <v>1012</v>
      </c>
      <c r="AL20" s="4" t="s">
        <v>1013</v>
      </c>
      <c r="AN20" s="4" t="s">
        <v>1014</v>
      </c>
      <c r="AO20" s="4" t="s">
        <v>1015</v>
      </c>
      <c r="AP20" s="4" t="s">
        <v>1016</v>
      </c>
      <c r="AQ20" s="4" t="s">
        <v>1017</v>
      </c>
      <c r="AR20" s="4" t="s">
        <v>1018</v>
      </c>
      <c r="AS20" s="4" t="s">
        <v>1019</v>
      </c>
      <c r="AT20" s="4" t="s">
        <v>1020</v>
      </c>
      <c r="AU20" s="4" t="s">
        <v>1021</v>
      </c>
      <c r="AV20" s="4" t="s">
        <v>1022</v>
      </c>
      <c r="AW20" s="4" t="s">
        <v>1023</v>
      </c>
    </row>
    <row r="21">
      <c r="A21" s="707" t="s">
        <v>1024</v>
      </c>
      <c r="B21" s="708"/>
      <c r="C21" s="708"/>
      <c r="D21" s="707" t="str">
        <f>IFERROR(__xludf.DUMMYFUNCTION("ARRAY_CONSTRAIN(split(CELL(""ADDRESS"",zsupermetrics_FEamnpN5FsVYF0RtUTXAwunZ388Tkc),""!""),1,1)"),"Forecast")</f>
        <v>Forecast</v>
      </c>
      <c r="E21" s="70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08"/>
      <c r="G21" s="709">
        <v>45336.378599537034</v>
      </c>
      <c r="H21" s="709">
        <v>45350.594409722224</v>
      </c>
      <c r="I21" s="710" t="s">
        <v>1025</v>
      </c>
      <c r="J21" s="711">
        <v>1.709126144659E12</v>
      </c>
      <c r="K21" s="707" t="b">
        <v>0</v>
      </c>
      <c r="L21" s="711">
        <v>2.0</v>
      </c>
      <c r="M21" s="707" t="s">
        <v>1026</v>
      </c>
      <c r="N21" s="708"/>
      <c r="O21" s="707" t="s">
        <v>1027</v>
      </c>
      <c r="P21" s="708"/>
      <c r="Q21" s="707" t="s">
        <v>1028</v>
      </c>
      <c r="R21" s="708"/>
      <c r="S21" s="708"/>
      <c r="T21" s="708"/>
      <c r="U21" s="708"/>
      <c r="V21" s="708"/>
      <c r="W21" s="707" t="s">
        <v>1029</v>
      </c>
      <c r="X21" s="707" t="s">
        <v>1030</v>
      </c>
      <c r="Y21" s="707" t="s">
        <v>1031</v>
      </c>
      <c r="Z21" s="707" t="s">
        <v>1032</v>
      </c>
      <c r="AA21" s="707" t="s">
        <v>1032</v>
      </c>
      <c r="AB21" s="707" t="s">
        <v>1032</v>
      </c>
      <c r="AC21" s="708"/>
      <c r="AD21" s="707">
        <v>10000.0</v>
      </c>
      <c r="AE21" s="708"/>
      <c r="AF21" s="707" t="s">
        <v>1032</v>
      </c>
      <c r="AG21" s="707" t="s">
        <v>1033</v>
      </c>
      <c r="AH21" s="708"/>
      <c r="AI21" s="708"/>
      <c r="AJ21" s="708"/>
      <c r="AK21" s="708"/>
      <c r="AL21" s="708"/>
      <c r="AM21" s="708"/>
      <c r="AN21" s="708"/>
      <c r="AO21" s="708"/>
      <c r="AP21" s="712" t="s">
        <v>1034</v>
      </c>
      <c r="AQ21" s="708"/>
      <c r="AR21" s="708"/>
      <c r="AS21" s="708"/>
      <c r="AT21" s="708"/>
      <c r="AU21" s="707" t="s">
        <v>1035</v>
      </c>
      <c r="AV21" s="708"/>
      <c r="AW21" s="711">
        <v>1.0</v>
      </c>
      <c r="AX21" s="708"/>
    </row>
  </sheetData>
  <mergeCells count="5">
    <mergeCell ref="A6:G7"/>
    <mergeCell ref="A8:G9"/>
    <mergeCell ref="A10:G11"/>
    <mergeCell ref="A13:H15"/>
    <mergeCell ref="A16:H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13"/>
      <c r="B1" s="714"/>
      <c r="C1" s="715"/>
      <c r="D1" s="713"/>
      <c r="E1" s="713"/>
      <c r="F1" s="715"/>
      <c r="G1" s="716"/>
      <c r="H1" s="716"/>
      <c r="I1" s="716"/>
      <c r="J1" s="716"/>
    </row>
    <row r="2">
      <c r="A2" s="717" t="s">
        <v>1036</v>
      </c>
      <c r="B2" s="718">
        <v>45293.0</v>
      </c>
      <c r="C2" s="719"/>
      <c r="D2" s="717" t="s">
        <v>1037</v>
      </c>
      <c r="E2" s="717" t="s">
        <v>1038</v>
      </c>
      <c r="F2" s="719"/>
      <c r="G2" s="720" t="s">
        <v>1039</v>
      </c>
      <c r="H2" s="582"/>
      <c r="I2" s="721" t="s">
        <v>1040</v>
      </c>
      <c r="J2" s="582"/>
    </row>
    <row r="3">
      <c r="A3" s="722" t="s">
        <v>1041</v>
      </c>
      <c r="B3" s="723">
        <v>29.0</v>
      </c>
      <c r="C3" s="724" t="s">
        <v>1042</v>
      </c>
      <c r="D3" s="676"/>
      <c r="E3" s="676"/>
      <c r="F3" s="674"/>
      <c r="G3" s="725" t="s">
        <v>1043</v>
      </c>
      <c r="H3" s="726"/>
      <c r="I3" s="727" t="s">
        <v>1044</v>
      </c>
      <c r="J3" s="728"/>
    </row>
    <row r="4">
      <c r="A4" s="722" t="s">
        <v>1045</v>
      </c>
      <c r="B4" s="729">
        <f>count(Summary!B52:AD52)</f>
        <v>29</v>
      </c>
      <c r="C4" s="730"/>
      <c r="D4" s="731"/>
      <c r="E4" s="731"/>
      <c r="F4" s="732"/>
      <c r="G4" s="725" t="s">
        <v>1046</v>
      </c>
      <c r="H4" s="733"/>
      <c r="I4" s="727" t="s">
        <v>1047</v>
      </c>
      <c r="J4" s="734"/>
    </row>
    <row r="5">
      <c r="A5" s="735"/>
      <c r="B5" s="736" t="s">
        <v>1048</v>
      </c>
      <c r="C5" s="582"/>
      <c r="D5" s="736" t="s">
        <v>1049</v>
      </c>
      <c r="E5" s="737"/>
      <c r="F5" s="582"/>
      <c r="G5" s="725" t="s">
        <v>1050</v>
      </c>
      <c r="H5" s="726"/>
      <c r="I5" s="727" t="s">
        <v>1051</v>
      </c>
      <c r="J5" s="728"/>
    </row>
    <row r="6">
      <c r="A6" s="738" t="s">
        <v>1052</v>
      </c>
      <c r="B6" s="738" t="s">
        <v>1053</v>
      </c>
      <c r="C6" s="739" t="s">
        <v>1045</v>
      </c>
      <c r="D6" s="738" t="s">
        <v>1049</v>
      </c>
      <c r="E6" s="738" t="s">
        <v>1054</v>
      </c>
      <c r="F6" s="738" t="s">
        <v>1055</v>
      </c>
      <c r="G6" s="725" t="s">
        <v>1056</v>
      </c>
      <c r="H6" s="740"/>
      <c r="I6" s="727" t="s">
        <v>1057</v>
      </c>
      <c r="J6" s="741"/>
    </row>
    <row r="7">
      <c r="A7" s="742">
        <v>1.0</v>
      </c>
      <c r="B7" s="743">
        <f t="shared" ref="B7:B35" si="1">$B$36/$B$3</f>
        <v>41379.31034</v>
      </c>
      <c r="C7" s="744">
        <f>Summary!B31+Summary!B49</f>
        <v>637985.6033</v>
      </c>
      <c r="D7" s="745">
        <f t="shared" ref="D7:D36" si="2">C7/$B$4*$B$3</f>
        <v>637985.6033</v>
      </c>
      <c r="E7" s="746">
        <f t="shared" ref="E7:E36" si="3">D7/B7-1</f>
        <v>14.41798541</v>
      </c>
      <c r="F7" s="747">
        <f t="shared" ref="F7:F36" si="4">D7-B7</f>
        <v>596606.293</v>
      </c>
      <c r="G7" s="725" t="s">
        <v>1058</v>
      </c>
      <c r="H7" s="733"/>
      <c r="I7" s="748"/>
      <c r="J7" s="748"/>
    </row>
    <row r="8">
      <c r="A8" s="749">
        <v>2.0</v>
      </c>
      <c r="B8" s="750">
        <f t="shared" si="1"/>
        <v>41379.31034</v>
      </c>
      <c r="C8" s="751">
        <f>Summary!C31+Summary!C49</f>
        <v>137282.4325</v>
      </c>
      <c r="D8" s="745">
        <f t="shared" si="2"/>
        <v>137282.4325</v>
      </c>
      <c r="E8" s="752">
        <f t="shared" si="3"/>
        <v>2.317658786</v>
      </c>
      <c r="F8" s="753">
        <f t="shared" si="4"/>
        <v>95903.12217</v>
      </c>
      <c r="G8" s="725" t="s">
        <v>1059</v>
      </c>
      <c r="H8" s="754"/>
      <c r="I8" s="755"/>
      <c r="J8" s="748"/>
    </row>
    <row r="9">
      <c r="A9" s="749">
        <v>3.0</v>
      </c>
      <c r="B9" s="743">
        <f t="shared" si="1"/>
        <v>41379.31034</v>
      </c>
      <c r="C9" s="756">
        <f>Summary!D31+Summary!D49</f>
        <v>116071.44</v>
      </c>
      <c r="D9" s="745">
        <f t="shared" si="2"/>
        <v>116071.44</v>
      </c>
      <c r="E9" s="752">
        <f t="shared" si="3"/>
        <v>1.8050598</v>
      </c>
      <c r="F9" s="753">
        <f t="shared" si="4"/>
        <v>74692.12966</v>
      </c>
      <c r="G9" s="757" t="s">
        <v>1060</v>
      </c>
      <c r="H9" s="733"/>
      <c r="I9" s="748"/>
      <c r="J9" s="748"/>
    </row>
    <row r="10">
      <c r="A10" s="749">
        <v>4.0</v>
      </c>
      <c r="B10" s="750">
        <f t="shared" si="1"/>
        <v>41379.31034</v>
      </c>
      <c r="C10" s="751">
        <f>Summary!E31+Summary!E49</f>
        <v>101337.71</v>
      </c>
      <c r="D10" s="745">
        <f t="shared" si="2"/>
        <v>101337.71</v>
      </c>
      <c r="E10" s="752">
        <f t="shared" si="3"/>
        <v>1.448994658</v>
      </c>
      <c r="F10" s="753">
        <f t="shared" si="4"/>
        <v>59958.39966</v>
      </c>
      <c r="G10" s="725" t="s">
        <v>1061</v>
      </c>
      <c r="H10" s="758"/>
      <c r="I10" s="748"/>
      <c r="J10" s="748"/>
    </row>
    <row r="11">
      <c r="A11" s="749">
        <v>5.0</v>
      </c>
      <c r="B11" s="743">
        <f t="shared" si="1"/>
        <v>41379.31034</v>
      </c>
      <c r="C11" s="756">
        <f>Summary!F31+Summary!F49</f>
        <v>71945.71</v>
      </c>
      <c r="D11" s="745">
        <f t="shared" si="2"/>
        <v>71945.71</v>
      </c>
      <c r="E11" s="752">
        <f t="shared" si="3"/>
        <v>0.7386879917</v>
      </c>
      <c r="F11" s="753">
        <f t="shared" si="4"/>
        <v>30566.39966</v>
      </c>
    </row>
    <row r="12">
      <c r="A12" s="749">
        <v>6.0</v>
      </c>
      <c r="B12" s="750">
        <f t="shared" si="1"/>
        <v>41379.31034</v>
      </c>
      <c r="C12" s="751">
        <f>Summary!G31+Summary!G49</f>
        <v>67238.26339</v>
      </c>
      <c r="D12" s="745">
        <f t="shared" si="2"/>
        <v>67238.26339</v>
      </c>
      <c r="E12" s="752">
        <f t="shared" si="3"/>
        <v>0.6249246985</v>
      </c>
      <c r="F12" s="753">
        <f t="shared" si="4"/>
        <v>25858.95304</v>
      </c>
      <c r="G12" s="759" t="s">
        <v>1062</v>
      </c>
      <c r="H12" s="760" t="s">
        <v>1063</v>
      </c>
      <c r="I12" s="760" t="s">
        <v>1064</v>
      </c>
      <c r="J12" s="761" t="s">
        <v>1065</v>
      </c>
      <c r="K12" s="716"/>
    </row>
    <row r="13">
      <c r="A13" s="749">
        <v>7.0</v>
      </c>
      <c r="B13" s="743">
        <f t="shared" si="1"/>
        <v>41379.31034</v>
      </c>
      <c r="C13" s="756">
        <f>Summary!H31+Summary!H49</f>
        <v>74309.51518</v>
      </c>
      <c r="D13" s="745">
        <f t="shared" si="2"/>
        <v>74309.51518</v>
      </c>
      <c r="E13" s="752">
        <f t="shared" si="3"/>
        <v>0.7958132835</v>
      </c>
      <c r="F13" s="753">
        <f t="shared" si="4"/>
        <v>32930.20483</v>
      </c>
      <c r="G13" s="762" t="s">
        <v>1066</v>
      </c>
      <c r="H13" s="763">
        <v>1200000.0</v>
      </c>
      <c r="I13" s="764">
        <f>C36</f>
        <v>2224452.391</v>
      </c>
      <c r="J13" s="765">
        <f t="shared" ref="J13:J20" si="5">I13/H13-1</f>
        <v>0.8537103259</v>
      </c>
    </row>
    <row r="14">
      <c r="A14" s="749">
        <v>8.0</v>
      </c>
      <c r="B14" s="750">
        <f t="shared" si="1"/>
        <v>41379.31034</v>
      </c>
      <c r="C14" s="751">
        <f>Summary!I31+Summary!I49</f>
        <v>73505.43628</v>
      </c>
      <c r="D14" s="745">
        <f t="shared" si="2"/>
        <v>73505.43628</v>
      </c>
      <c r="E14" s="752">
        <f t="shared" si="3"/>
        <v>0.7763813766</v>
      </c>
      <c r="F14" s="753">
        <f t="shared" si="4"/>
        <v>32126.12593</v>
      </c>
      <c r="G14" s="762" t="s">
        <v>1067</v>
      </c>
      <c r="H14" s="766">
        <v>4000.0</v>
      </c>
      <c r="I14" s="767">
        <f>sum(Summary!B64:AD64)</f>
        <v>8905</v>
      </c>
      <c r="J14" s="765">
        <f t="shared" si="5"/>
        <v>1.22625</v>
      </c>
    </row>
    <row r="15">
      <c r="A15" s="749">
        <v>9.0</v>
      </c>
      <c r="B15" s="743">
        <f t="shared" si="1"/>
        <v>41379.31034</v>
      </c>
      <c r="C15" s="756">
        <f>Summary!J31+Summary!J49</f>
        <v>90653.54</v>
      </c>
      <c r="D15" s="745">
        <f t="shared" si="2"/>
        <v>90653.54</v>
      </c>
      <c r="E15" s="752">
        <f t="shared" si="3"/>
        <v>1.190793883</v>
      </c>
      <c r="F15" s="753">
        <f t="shared" si="4"/>
        <v>49274.22966</v>
      </c>
      <c r="G15" s="762" t="s">
        <v>1068</v>
      </c>
      <c r="H15" s="763">
        <v>350000.0</v>
      </c>
      <c r="I15" s="764">
        <f>sum(Summary!B88:AD88)</f>
        <v>281116.5788</v>
      </c>
      <c r="J15" s="765">
        <f t="shared" si="5"/>
        <v>-0.1968097749</v>
      </c>
    </row>
    <row r="16">
      <c r="A16" s="749">
        <v>10.0</v>
      </c>
      <c r="B16" s="750">
        <f t="shared" si="1"/>
        <v>41379.31034</v>
      </c>
      <c r="C16" s="751">
        <f>Summary!K31+Summary!K49</f>
        <v>86880.34093</v>
      </c>
      <c r="D16" s="745">
        <f t="shared" si="2"/>
        <v>86880.34093</v>
      </c>
      <c r="E16" s="752">
        <f t="shared" si="3"/>
        <v>1.099608239</v>
      </c>
      <c r="F16" s="753">
        <f t="shared" si="4"/>
        <v>45501.03059</v>
      </c>
      <c r="G16" s="762" t="s">
        <v>1069</v>
      </c>
      <c r="H16" s="768">
        <f t="shared" ref="H16:I16" si="6">H13/H15</f>
        <v>3.428571429</v>
      </c>
      <c r="I16" s="769">
        <f t="shared" si="6"/>
        <v>7.912917838</v>
      </c>
      <c r="J16" s="765">
        <f t="shared" si="5"/>
        <v>1.30793437</v>
      </c>
    </row>
    <row r="17">
      <c r="A17" s="749">
        <v>11.0</v>
      </c>
      <c r="B17" s="743">
        <f t="shared" si="1"/>
        <v>41379.31034</v>
      </c>
      <c r="C17" s="756">
        <f>Summary!L31+Summary!L49</f>
        <v>62860.30396</v>
      </c>
      <c r="D17" s="745">
        <f t="shared" si="2"/>
        <v>62860.30396</v>
      </c>
      <c r="E17" s="752">
        <f t="shared" si="3"/>
        <v>0.5191240122</v>
      </c>
      <c r="F17" s="753">
        <f t="shared" si="4"/>
        <v>21480.99361</v>
      </c>
      <c r="G17" s="762" t="s">
        <v>1070</v>
      </c>
      <c r="H17" s="770">
        <f t="shared" ref="H17:I17" si="7">H15/H13</f>
        <v>0.2916666667</v>
      </c>
      <c r="I17" s="771">
        <f t="shared" si="7"/>
        <v>0.1263756329</v>
      </c>
      <c r="J17" s="765">
        <f t="shared" si="5"/>
        <v>-0.5667121157</v>
      </c>
    </row>
    <row r="18">
      <c r="A18" s="749">
        <v>12.0</v>
      </c>
      <c r="B18" s="750">
        <f t="shared" si="1"/>
        <v>41379.31034</v>
      </c>
      <c r="C18" s="750">
        <f>Summary!M31+Summary!M49</f>
        <v>47064.5655</v>
      </c>
      <c r="D18" s="745">
        <f t="shared" si="2"/>
        <v>47064.5655</v>
      </c>
      <c r="E18" s="752">
        <f t="shared" si="3"/>
        <v>0.1373936662</v>
      </c>
      <c r="F18" s="753">
        <f t="shared" si="4"/>
        <v>5685.255153</v>
      </c>
      <c r="G18" s="762" t="s">
        <v>1071</v>
      </c>
      <c r="H18" s="772">
        <v>0.0125</v>
      </c>
      <c r="I18" s="771">
        <f>L18/I20</f>
        <v>0.01771563601</v>
      </c>
      <c r="J18" s="765">
        <f t="shared" si="5"/>
        <v>0.4172508809</v>
      </c>
      <c r="K18" s="4" t="s">
        <v>1072</v>
      </c>
      <c r="L18" s="73">
        <f>sum(Summary!B52:AD52)</f>
        <v>6320</v>
      </c>
    </row>
    <row r="19">
      <c r="A19" s="749">
        <v>13.0</v>
      </c>
      <c r="B19" s="743">
        <f t="shared" si="1"/>
        <v>41379.31034</v>
      </c>
      <c r="C19" s="773">
        <f>Summary!N31+Summary!N49</f>
        <v>37838.12</v>
      </c>
      <c r="D19" s="745">
        <f t="shared" si="2"/>
        <v>37838.12</v>
      </c>
      <c r="E19" s="752">
        <f t="shared" si="3"/>
        <v>-0.08557876667</v>
      </c>
      <c r="F19" s="753">
        <f t="shared" si="4"/>
        <v>-3541.190345</v>
      </c>
      <c r="G19" s="762" t="s">
        <v>1073</v>
      </c>
      <c r="H19" s="774">
        <v>250.0</v>
      </c>
      <c r="I19" s="774">
        <f>I13/I14</f>
        <v>249.7981349</v>
      </c>
      <c r="J19" s="765">
        <f t="shared" si="5"/>
        <v>-0.0008074605161</v>
      </c>
    </row>
    <row r="20">
      <c r="A20" s="749">
        <v>14.0</v>
      </c>
      <c r="B20" s="750">
        <f t="shared" si="1"/>
        <v>41379.31034</v>
      </c>
      <c r="C20" s="750">
        <f>Summary!O31+Summary!O49</f>
        <v>45606.39132</v>
      </c>
      <c r="D20" s="745">
        <f t="shared" si="2"/>
        <v>45606.39132</v>
      </c>
      <c r="E20" s="752">
        <f t="shared" si="3"/>
        <v>0.102154457</v>
      </c>
      <c r="F20" s="753">
        <f t="shared" si="4"/>
        <v>4227.080978</v>
      </c>
      <c r="G20" s="762" t="s">
        <v>1074</v>
      </c>
      <c r="H20" s="775">
        <v>300000.0</v>
      </c>
      <c r="I20" s="775">
        <f>sum(C79:C106)</f>
        <v>356747</v>
      </c>
      <c r="J20" s="765">
        <f t="shared" si="5"/>
        <v>0.1891566667</v>
      </c>
    </row>
    <row r="21">
      <c r="A21" s="749">
        <v>15.0</v>
      </c>
      <c r="B21" s="743">
        <f t="shared" si="1"/>
        <v>41379.31034</v>
      </c>
      <c r="C21" s="773">
        <f>Summary!P31+Summary!P49</f>
        <v>39390.40659</v>
      </c>
      <c r="D21" s="745">
        <f t="shared" si="2"/>
        <v>39390.40659</v>
      </c>
      <c r="E21" s="752">
        <f t="shared" si="3"/>
        <v>-0.04806517405</v>
      </c>
      <c r="F21" s="753">
        <f t="shared" si="4"/>
        <v>-1988.903754</v>
      </c>
      <c r="G21" s="776"/>
      <c r="H21" s="716"/>
    </row>
    <row r="22">
      <c r="A22" s="749">
        <v>16.0</v>
      </c>
      <c r="B22" s="750">
        <f t="shared" si="1"/>
        <v>41379.31034</v>
      </c>
      <c r="C22" s="750">
        <f>Summary!Q31+Summary!Q49</f>
        <v>48117.38994</v>
      </c>
      <c r="D22" s="745">
        <f t="shared" si="2"/>
        <v>48117.38994</v>
      </c>
      <c r="E22" s="752">
        <f t="shared" si="3"/>
        <v>0.1628369234</v>
      </c>
      <c r="F22" s="753">
        <f t="shared" si="4"/>
        <v>6738.07959</v>
      </c>
      <c r="G22" s="777" t="s">
        <v>1075</v>
      </c>
      <c r="H22" s="778" t="s">
        <v>1076</v>
      </c>
      <c r="I22" s="779" t="s">
        <v>1077</v>
      </c>
    </row>
    <row r="23">
      <c r="A23" s="749">
        <v>17.0</v>
      </c>
      <c r="B23" s="743">
        <f t="shared" si="1"/>
        <v>41379.31034</v>
      </c>
      <c r="C23" s="773">
        <f>Summary!R31+Summary!R49</f>
        <v>42937.8</v>
      </c>
      <c r="D23" s="745">
        <f t="shared" si="2"/>
        <v>42937.8</v>
      </c>
      <c r="E23" s="752">
        <f t="shared" si="3"/>
        <v>0.0376635</v>
      </c>
      <c r="F23" s="753">
        <f t="shared" si="4"/>
        <v>1558.489655</v>
      </c>
      <c r="G23" s="777"/>
      <c r="H23" s="780"/>
      <c r="I23" s="781"/>
    </row>
    <row r="24">
      <c r="A24" s="749">
        <v>18.0</v>
      </c>
      <c r="B24" s="750">
        <f t="shared" si="1"/>
        <v>41379.31034</v>
      </c>
      <c r="C24" s="750">
        <f>Summary!S31+Summary!S49</f>
        <v>31390.62</v>
      </c>
      <c r="D24" s="745">
        <f t="shared" si="2"/>
        <v>31390.62</v>
      </c>
      <c r="E24" s="752">
        <f t="shared" si="3"/>
        <v>-0.24139335</v>
      </c>
      <c r="F24" s="753">
        <f t="shared" si="4"/>
        <v>-9988.690345</v>
      </c>
      <c r="G24" s="777"/>
      <c r="H24" s="782"/>
      <c r="I24" s="782"/>
    </row>
    <row r="25">
      <c r="A25" s="749">
        <v>19.0</v>
      </c>
      <c r="B25" s="743">
        <f t="shared" si="1"/>
        <v>41379.31034</v>
      </c>
      <c r="C25" s="773">
        <f>Summary!T31+Summary!T49</f>
        <v>33049.41</v>
      </c>
      <c r="D25" s="745">
        <f t="shared" si="2"/>
        <v>33049.41</v>
      </c>
      <c r="E25" s="752">
        <f t="shared" si="3"/>
        <v>-0.201305925</v>
      </c>
      <c r="F25" s="753">
        <f t="shared" si="4"/>
        <v>-8329.900345</v>
      </c>
      <c r="G25" s="777"/>
      <c r="H25" s="783"/>
      <c r="I25" s="781"/>
    </row>
    <row r="26">
      <c r="A26" s="749">
        <v>20.0</v>
      </c>
      <c r="B26" s="750">
        <f t="shared" si="1"/>
        <v>41379.31034</v>
      </c>
      <c r="C26" s="750">
        <f>Summary!U31+Summary!U49</f>
        <v>36193.29</v>
      </c>
      <c r="D26" s="745">
        <f t="shared" si="2"/>
        <v>36193.29</v>
      </c>
      <c r="E26" s="752">
        <f t="shared" si="3"/>
        <v>-0.125328825</v>
      </c>
      <c r="F26" s="753">
        <f t="shared" si="4"/>
        <v>-5186.020345</v>
      </c>
      <c r="G26" s="784"/>
      <c r="H26" s="782"/>
      <c r="I26" s="781"/>
    </row>
    <row r="27">
      <c r="A27" s="749">
        <v>21.0</v>
      </c>
      <c r="B27" s="743">
        <f t="shared" si="1"/>
        <v>41379.31034</v>
      </c>
      <c r="C27" s="773">
        <f>Summary!V31+Summary!V49</f>
        <v>34221.42556</v>
      </c>
      <c r="D27" s="745">
        <f t="shared" si="2"/>
        <v>34221.42556</v>
      </c>
      <c r="E27" s="752">
        <f t="shared" si="3"/>
        <v>-0.1729822157</v>
      </c>
      <c r="F27" s="753">
        <f t="shared" si="4"/>
        <v>-7157.884786</v>
      </c>
      <c r="G27" s="784"/>
      <c r="H27" s="782"/>
      <c r="I27" s="781"/>
    </row>
    <row r="28">
      <c r="A28" s="749">
        <v>22.0</v>
      </c>
      <c r="B28" s="750">
        <f t="shared" si="1"/>
        <v>41379.31034</v>
      </c>
      <c r="C28" s="750">
        <f>Summary!W31+Summary!W49</f>
        <v>49332.5623</v>
      </c>
      <c r="D28" s="745">
        <f t="shared" si="2"/>
        <v>49332.5623</v>
      </c>
      <c r="E28" s="752">
        <f t="shared" si="3"/>
        <v>0.192203589</v>
      </c>
      <c r="F28" s="753">
        <f t="shared" si="4"/>
        <v>7953.251958</v>
      </c>
      <c r="G28" s="777"/>
      <c r="H28" s="785"/>
      <c r="I28" s="781"/>
    </row>
    <row r="29">
      <c r="A29" s="749">
        <v>23.0</v>
      </c>
      <c r="B29" s="743">
        <f t="shared" si="1"/>
        <v>41379.31034</v>
      </c>
      <c r="C29" s="773">
        <f>Summary!X31+Summary!X49</f>
        <v>45030.27832</v>
      </c>
      <c r="D29" s="745">
        <f t="shared" si="2"/>
        <v>45030.27832</v>
      </c>
      <c r="E29" s="752">
        <f t="shared" si="3"/>
        <v>0.08823172602</v>
      </c>
      <c r="F29" s="753">
        <f t="shared" si="4"/>
        <v>3650.967973</v>
      </c>
      <c r="G29" s="784"/>
      <c r="H29" s="780"/>
      <c r="I29" s="781"/>
    </row>
    <row r="30">
      <c r="A30" s="749">
        <v>24.0</v>
      </c>
      <c r="B30" s="750">
        <f t="shared" si="1"/>
        <v>41379.31034</v>
      </c>
      <c r="C30" s="750">
        <f>Summary!Y31+Summary!Y49</f>
        <v>52452.92</v>
      </c>
      <c r="D30" s="745">
        <f t="shared" si="2"/>
        <v>52452.92</v>
      </c>
      <c r="E30" s="752">
        <f t="shared" si="3"/>
        <v>0.2676122333</v>
      </c>
      <c r="F30" s="753">
        <f t="shared" si="4"/>
        <v>11073.60966</v>
      </c>
    </row>
    <row r="31">
      <c r="A31" s="749">
        <v>25.0</v>
      </c>
      <c r="B31" s="743">
        <f t="shared" si="1"/>
        <v>41379.31034</v>
      </c>
      <c r="C31" s="773">
        <f>Summary!Z31+Summary!Z49</f>
        <v>39121.9792</v>
      </c>
      <c r="D31" s="745">
        <f t="shared" si="2"/>
        <v>39121.9792</v>
      </c>
      <c r="E31" s="752">
        <f t="shared" si="3"/>
        <v>-0.05455216933</v>
      </c>
      <c r="F31" s="753">
        <f t="shared" si="4"/>
        <v>-2257.331145</v>
      </c>
    </row>
    <row r="32">
      <c r="A32" s="749">
        <v>26.0</v>
      </c>
      <c r="B32" s="750">
        <f t="shared" si="1"/>
        <v>41379.31034</v>
      </c>
      <c r="C32" s="750">
        <f>Summary!AA31+Summary!AA49</f>
        <v>31960.06</v>
      </c>
      <c r="D32" s="745">
        <f t="shared" si="2"/>
        <v>31960.06</v>
      </c>
      <c r="E32" s="752">
        <f t="shared" si="3"/>
        <v>-0.2276318833</v>
      </c>
      <c r="F32" s="753">
        <f t="shared" si="4"/>
        <v>-9419.250345</v>
      </c>
    </row>
    <row r="33">
      <c r="A33" s="749">
        <v>27.0</v>
      </c>
      <c r="B33" s="743">
        <f t="shared" si="1"/>
        <v>41379.31034</v>
      </c>
      <c r="C33" s="773">
        <f>Summary!AB31+Summary!AB49</f>
        <v>29944.22</v>
      </c>
      <c r="D33" s="745">
        <f t="shared" si="2"/>
        <v>29944.22</v>
      </c>
      <c r="E33" s="752">
        <f t="shared" si="3"/>
        <v>-0.2763480167</v>
      </c>
      <c r="F33" s="753">
        <f t="shared" si="4"/>
        <v>-11435.09034</v>
      </c>
    </row>
    <row r="34">
      <c r="A34" s="749">
        <v>28.0</v>
      </c>
      <c r="B34" s="750">
        <f t="shared" si="1"/>
        <v>41379.31034</v>
      </c>
      <c r="C34" s="750">
        <f>Summary!AC31+Summary!AC49</f>
        <v>34002.53405</v>
      </c>
      <c r="D34" s="745">
        <f t="shared" si="2"/>
        <v>34002.53405</v>
      </c>
      <c r="E34" s="752">
        <f t="shared" si="3"/>
        <v>-0.1782720937</v>
      </c>
      <c r="F34" s="753">
        <f t="shared" si="4"/>
        <v>-7376.776293</v>
      </c>
    </row>
    <row r="35">
      <c r="A35" s="786">
        <v>29.0</v>
      </c>
      <c r="B35" s="743">
        <f t="shared" si="1"/>
        <v>41379.31034</v>
      </c>
      <c r="C35" s="773">
        <f>Summary!AD31+Summary!AD49</f>
        <v>26728.12267</v>
      </c>
      <c r="D35" s="745">
        <f t="shared" si="2"/>
        <v>26728.12267</v>
      </c>
      <c r="E35" s="752">
        <f t="shared" si="3"/>
        <v>-0.3540703689</v>
      </c>
      <c r="F35" s="753">
        <f t="shared" si="4"/>
        <v>-14651.18768</v>
      </c>
    </row>
    <row r="36">
      <c r="A36" s="787" t="s">
        <v>1078</v>
      </c>
      <c r="B36" s="788">
        <f>H13</f>
        <v>1200000</v>
      </c>
      <c r="C36" s="788">
        <f>sum(C7:C35)</f>
        <v>2224452.391</v>
      </c>
      <c r="D36" s="789">
        <f t="shared" si="2"/>
        <v>2224452.391</v>
      </c>
      <c r="E36" s="790">
        <f t="shared" si="3"/>
        <v>0.8537103259</v>
      </c>
      <c r="F36" s="788">
        <f t="shared" si="4"/>
        <v>1024452.391</v>
      </c>
    </row>
    <row r="38">
      <c r="A38" s="717" t="s">
        <v>1036</v>
      </c>
      <c r="B38" s="718">
        <v>45293.0</v>
      </c>
      <c r="C38" s="719"/>
      <c r="D38" s="717" t="s">
        <v>1037</v>
      </c>
      <c r="E38" s="717" t="s">
        <v>1038</v>
      </c>
      <c r="F38" s="719"/>
    </row>
    <row r="39">
      <c r="A39" s="722" t="s">
        <v>1041</v>
      </c>
      <c r="B39" s="723">
        <v>29.0</v>
      </c>
      <c r="C39" s="724" t="s">
        <v>1079</v>
      </c>
      <c r="D39" s="676"/>
      <c r="E39" s="676"/>
      <c r="F39" s="674"/>
    </row>
    <row r="40">
      <c r="A40" s="722" t="s">
        <v>1045</v>
      </c>
      <c r="B40" s="729">
        <f>COUNT(Summary!B52:AD52)</f>
        <v>29</v>
      </c>
      <c r="C40" s="730"/>
      <c r="D40" s="731"/>
      <c r="E40" s="731"/>
      <c r="F40" s="732"/>
    </row>
    <row r="41">
      <c r="A41" s="735"/>
      <c r="B41" s="736" t="s">
        <v>1048</v>
      </c>
      <c r="C41" s="582"/>
      <c r="D41" s="736" t="s">
        <v>1049</v>
      </c>
      <c r="E41" s="737"/>
      <c r="F41" s="582"/>
    </row>
    <row r="42">
      <c r="A42" s="738" t="s">
        <v>1052</v>
      </c>
      <c r="B42" s="738" t="s">
        <v>1080</v>
      </c>
      <c r="C42" s="739" t="s">
        <v>1045</v>
      </c>
      <c r="D42" s="738" t="s">
        <v>1049</v>
      </c>
      <c r="E42" s="738" t="s">
        <v>1054</v>
      </c>
      <c r="F42" s="738" t="s">
        <v>1055</v>
      </c>
    </row>
    <row r="43">
      <c r="A43" s="742">
        <v>1.0</v>
      </c>
      <c r="B43" s="744">
        <f t="shared" ref="B43:B71" si="8">$B$72/$B$39</f>
        <v>12068.96552</v>
      </c>
      <c r="C43" s="744">
        <f>Summary!B88+Summary!B94</f>
        <v>20388.75635</v>
      </c>
      <c r="D43" s="745">
        <f t="shared" ref="D43:D72" si="9">C43/$B$4*$B$3</f>
        <v>20388.75635</v>
      </c>
      <c r="E43" s="746">
        <f t="shared" ref="E43:E72" si="10">D43/B43-1</f>
        <v>0.6893540979</v>
      </c>
      <c r="F43" s="747">
        <f t="shared" ref="F43:F72" si="11">D43-B43</f>
        <v>8319.790837</v>
      </c>
    </row>
    <row r="44">
      <c r="A44" s="749">
        <v>2.0</v>
      </c>
      <c r="B44" s="751">
        <f t="shared" si="8"/>
        <v>12068.96552</v>
      </c>
      <c r="C44" s="751">
        <f>Summary!C88+Summary!C94</f>
        <v>20092.03209</v>
      </c>
      <c r="D44" s="745">
        <f t="shared" si="9"/>
        <v>20092.03209</v>
      </c>
      <c r="E44" s="752">
        <f t="shared" si="10"/>
        <v>0.6647683729</v>
      </c>
      <c r="F44" s="753">
        <f t="shared" si="11"/>
        <v>8023.06657</v>
      </c>
    </row>
    <row r="45">
      <c r="A45" s="749">
        <v>3.0</v>
      </c>
      <c r="B45" s="744">
        <f t="shared" si="8"/>
        <v>12068.96552</v>
      </c>
      <c r="C45" s="756">
        <f>Summary!D88+Summary!D94</f>
        <v>19884.93575</v>
      </c>
      <c r="D45" s="745">
        <f t="shared" si="9"/>
        <v>19884.93575</v>
      </c>
      <c r="E45" s="752">
        <f t="shared" si="10"/>
        <v>0.6476089619</v>
      </c>
      <c r="F45" s="753">
        <f t="shared" si="11"/>
        <v>7815.97023</v>
      </c>
    </row>
    <row r="46">
      <c r="A46" s="749">
        <v>4.0</v>
      </c>
      <c r="B46" s="751">
        <f t="shared" si="8"/>
        <v>12068.96552</v>
      </c>
      <c r="C46" s="751">
        <f>Summary!E88+Summary!E94</f>
        <v>16375.85661</v>
      </c>
      <c r="D46" s="745">
        <f t="shared" si="9"/>
        <v>16375.85661</v>
      </c>
      <c r="E46" s="752">
        <f t="shared" si="10"/>
        <v>0.3568566901</v>
      </c>
      <c r="F46" s="753">
        <f t="shared" si="11"/>
        <v>4306.891088</v>
      </c>
    </row>
    <row r="47">
      <c r="A47" s="749">
        <v>5.0</v>
      </c>
      <c r="B47" s="744">
        <f t="shared" si="8"/>
        <v>12068.96552</v>
      </c>
      <c r="C47" s="756">
        <f>Summary!F88+Summary!F94</f>
        <v>13605.38659</v>
      </c>
      <c r="D47" s="745">
        <f t="shared" si="9"/>
        <v>13605.38659</v>
      </c>
      <c r="E47" s="752">
        <f t="shared" si="10"/>
        <v>0.1273034603</v>
      </c>
      <c r="F47" s="753">
        <f t="shared" si="11"/>
        <v>1536.421073</v>
      </c>
    </row>
    <row r="48">
      <c r="A48" s="749">
        <v>6.0</v>
      </c>
      <c r="B48" s="751">
        <f t="shared" si="8"/>
        <v>12068.96552</v>
      </c>
      <c r="C48" s="751">
        <f>Summary!G88+Summary!G94</f>
        <v>13755.54515</v>
      </c>
      <c r="D48" s="745">
        <f t="shared" si="9"/>
        <v>13755.54515</v>
      </c>
      <c r="E48" s="752">
        <f t="shared" si="10"/>
        <v>0.1397451693</v>
      </c>
      <c r="F48" s="753">
        <f t="shared" si="11"/>
        <v>1686.57963</v>
      </c>
    </row>
    <row r="49">
      <c r="A49" s="749">
        <v>7.0</v>
      </c>
      <c r="B49" s="744">
        <f t="shared" si="8"/>
        <v>12068.96552</v>
      </c>
      <c r="C49" s="756">
        <f>Summary!H88+Summary!H94</f>
        <v>14780.70379</v>
      </c>
      <c r="D49" s="745">
        <f t="shared" si="9"/>
        <v>14780.70379</v>
      </c>
      <c r="E49" s="752">
        <f t="shared" si="10"/>
        <v>0.2246868855</v>
      </c>
      <c r="F49" s="753">
        <f t="shared" si="11"/>
        <v>2711.738273</v>
      </c>
    </row>
    <row r="50">
      <c r="A50" s="749">
        <v>8.0</v>
      </c>
      <c r="B50" s="751">
        <f t="shared" si="8"/>
        <v>12068.96552</v>
      </c>
      <c r="C50" s="751">
        <f>Summary!I88+Summary!I94</f>
        <v>15070.18428</v>
      </c>
      <c r="D50" s="745">
        <f t="shared" si="9"/>
        <v>15070.18428</v>
      </c>
      <c r="E50" s="752">
        <f t="shared" si="10"/>
        <v>0.248672412</v>
      </c>
      <c r="F50" s="753">
        <f t="shared" si="11"/>
        <v>3001.218765</v>
      </c>
    </row>
    <row r="51">
      <c r="A51" s="749">
        <v>9.0</v>
      </c>
      <c r="B51" s="744">
        <f t="shared" si="8"/>
        <v>12068.96552</v>
      </c>
      <c r="C51" s="756">
        <f>Summary!J88+Summary!J94</f>
        <v>16890.87992</v>
      </c>
      <c r="D51" s="745">
        <f t="shared" si="9"/>
        <v>16890.87992</v>
      </c>
      <c r="E51" s="752">
        <f t="shared" si="10"/>
        <v>0.3995300505</v>
      </c>
      <c r="F51" s="753">
        <f t="shared" si="11"/>
        <v>4821.914403</v>
      </c>
    </row>
    <row r="52">
      <c r="A52" s="749">
        <v>10.0</v>
      </c>
      <c r="B52" s="751">
        <f t="shared" si="8"/>
        <v>12068.96552</v>
      </c>
      <c r="C52" s="751">
        <f>Summary!K88+Summary!K94</f>
        <v>17331.41029</v>
      </c>
      <c r="D52" s="745">
        <f t="shared" si="9"/>
        <v>17331.41029</v>
      </c>
      <c r="E52" s="752">
        <f t="shared" si="10"/>
        <v>0.4360311386</v>
      </c>
      <c r="F52" s="753">
        <f t="shared" si="11"/>
        <v>5262.444777</v>
      </c>
    </row>
    <row r="53">
      <c r="A53" s="749">
        <v>11.0</v>
      </c>
      <c r="B53" s="744">
        <f t="shared" si="8"/>
        <v>12068.96552</v>
      </c>
      <c r="C53" s="756">
        <f>Summary!L88+Summary!L94</f>
        <v>13864.82941</v>
      </c>
      <c r="D53" s="745">
        <f t="shared" si="9"/>
        <v>13864.82941</v>
      </c>
      <c r="E53" s="752">
        <f t="shared" si="10"/>
        <v>0.1488001509</v>
      </c>
      <c r="F53" s="753">
        <f t="shared" si="11"/>
        <v>1795.86389</v>
      </c>
    </row>
    <row r="54">
      <c r="A54" s="749">
        <v>12.0</v>
      </c>
      <c r="B54" s="751">
        <f t="shared" si="8"/>
        <v>12068.96552</v>
      </c>
      <c r="C54" s="750">
        <f>Summary!M88+Summary!M94</f>
        <v>12002.01884</v>
      </c>
      <c r="D54" s="745">
        <f t="shared" si="9"/>
        <v>12002.01884</v>
      </c>
      <c r="E54" s="752">
        <f t="shared" si="10"/>
        <v>-0.005547010632</v>
      </c>
      <c r="F54" s="753">
        <f t="shared" si="11"/>
        <v>-66.94668004</v>
      </c>
    </row>
    <row r="55">
      <c r="A55" s="749">
        <v>13.0</v>
      </c>
      <c r="B55" s="744">
        <f t="shared" si="8"/>
        <v>12068.96552</v>
      </c>
      <c r="C55" s="773">
        <f>Summary!N88+Summary!N94</f>
        <v>11459.67647</v>
      </c>
      <c r="D55" s="745">
        <f t="shared" si="9"/>
        <v>11459.67647</v>
      </c>
      <c r="E55" s="752">
        <f t="shared" si="10"/>
        <v>-0.05048394946</v>
      </c>
      <c r="F55" s="753">
        <f t="shared" si="11"/>
        <v>-609.2890452</v>
      </c>
    </row>
    <row r="56">
      <c r="A56" s="749">
        <v>14.0</v>
      </c>
      <c r="B56" s="751">
        <f t="shared" si="8"/>
        <v>12068.96552</v>
      </c>
      <c r="C56" s="750">
        <f>Summary!O88+Summary!O94</f>
        <v>11206.60901</v>
      </c>
      <c r="D56" s="745">
        <f t="shared" si="9"/>
        <v>11206.60901</v>
      </c>
      <c r="E56" s="752">
        <f t="shared" si="10"/>
        <v>-0.07145239673</v>
      </c>
      <c r="F56" s="753">
        <f t="shared" si="11"/>
        <v>-862.3565122</v>
      </c>
    </row>
    <row r="57">
      <c r="A57" s="749">
        <v>15.0</v>
      </c>
      <c r="B57" s="744">
        <f t="shared" si="8"/>
        <v>12068.96552</v>
      </c>
      <c r="C57" s="773">
        <f>Summary!P88+Summary!P94</f>
        <v>5586.16</v>
      </c>
      <c r="D57" s="745">
        <f t="shared" si="9"/>
        <v>5586.16</v>
      </c>
      <c r="E57" s="752">
        <f t="shared" si="10"/>
        <v>-0.5371467429</v>
      </c>
      <c r="F57" s="753">
        <f t="shared" si="11"/>
        <v>-6482.805517</v>
      </c>
    </row>
    <row r="58">
      <c r="A58" s="749">
        <v>16.0</v>
      </c>
      <c r="B58" s="751">
        <f t="shared" si="8"/>
        <v>12068.96552</v>
      </c>
      <c r="C58" s="750">
        <f>Summary!Q88+Summary!Q94</f>
        <v>5811.59</v>
      </c>
      <c r="D58" s="745">
        <f t="shared" si="9"/>
        <v>5811.59</v>
      </c>
      <c r="E58" s="752">
        <f t="shared" si="10"/>
        <v>-0.5184682571</v>
      </c>
      <c r="F58" s="753">
        <f t="shared" si="11"/>
        <v>-6257.375517</v>
      </c>
    </row>
    <row r="59">
      <c r="A59" s="749">
        <v>17.0</v>
      </c>
      <c r="B59" s="744">
        <f t="shared" si="8"/>
        <v>12068.96552</v>
      </c>
      <c r="C59" s="773">
        <f>Summary!R88+Summary!R94</f>
        <v>5372.2</v>
      </c>
      <c r="D59" s="745">
        <f t="shared" si="9"/>
        <v>5372.2</v>
      </c>
      <c r="E59" s="752">
        <f t="shared" si="10"/>
        <v>-0.5548748571</v>
      </c>
      <c r="F59" s="753">
        <f t="shared" si="11"/>
        <v>-6696.765517</v>
      </c>
    </row>
    <row r="60">
      <c r="A60" s="749">
        <v>18.0</v>
      </c>
      <c r="B60" s="751">
        <f t="shared" si="8"/>
        <v>12068.96552</v>
      </c>
      <c r="C60" s="750">
        <f>Summary!S88+Summary!S94</f>
        <v>4904.66</v>
      </c>
      <c r="D60" s="745">
        <f t="shared" si="9"/>
        <v>4904.66</v>
      </c>
      <c r="E60" s="752">
        <f t="shared" si="10"/>
        <v>-0.5936138857</v>
      </c>
      <c r="F60" s="753">
        <f t="shared" si="11"/>
        <v>-7164.305517</v>
      </c>
    </row>
    <row r="61">
      <c r="A61" s="749">
        <v>19.0</v>
      </c>
      <c r="B61" s="744">
        <f t="shared" si="8"/>
        <v>12068.96552</v>
      </c>
      <c r="C61" s="773">
        <f>Summary!T88+Summary!T94</f>
        <v>4278.83</v>
      </c>
      <c r="D61" s="745">
        <f t="shared" si="9"/>
        <v>4278.83</v>
      </c>
      <c r="E61" s="752">
        <f t="shared" si="10"/>
        <v>-0.6454683714</v>
      </c>
      <c r="F61" s="753">
        <f t="shared" si="11"/>
        <v>-7790.135517</v>
      </c>
    </row>
    <row r="62">
      <c r="A62" s="749">
        <v>20.0</v>
      </c>
      <c r="B62" s="751">
        <f t="shared" si="8"/>
        <v>12068.96552</v>
      </c>
      <c r="C62" s="750">
        <f>Summary!U88+Summary!U94</f>
        <v>4535.25</v>
      </c>
      <c r="D62" s="745">
        <f t="shared" si="9"/>
        <v>4535.25</v>
      </c>
      <c r="E62" s="752">
        <f t="shared" si="10"/>
        <v>-0.6242221429</v>
      </c>
      <c r="F62" s="753">
        <f t="shared" si="11"/>
        <v>-7533.715517</v>
      </c>
    </row>
    <row r="63">
      <c r="A63" s="749">
        <v>21.0</v>
      </c>
      <c r="B63" s="744">
        <f t="shared" si="8"/>
        <v>12068.96552</v>
      </c>
      <c r="C63" s="773">
        <f>Summary!V88+Summary!V94</f>
        <v>4911.65</v>
      </c>
      <c r="D63" s="745">
        <f t="shared" si="9"/>
        <v>4911.65</v>
      </c>
      <c r="E63" s="752">
        <f t="shared" si="10"/>
        <v>-0.5930347143</v>
      </c>
      <c r="F63" s="753">
        <f t="shared" si="11"/>
        <v>-7157.315517</v>
      </c>
    </row>
    <row r="64">
      <c r="A64" s="749">
        <v>22.0</v>
      </c>
      <c r="B64" s="751">
        <f t="shared" si="8"/>
        <v>12068.96552</v>
      </c>
      <c r="C64" s="750">
        <f>Summary!W88+Summary!W94</f>
        <v>4635.108908</v>
      </c>
      <c r="D64" s="745">
        <f t="shared" si="9"/>
        <v>4635.108908</v>
      </c>
      <c r="E64" s="752">
        <f t="shared" si="10"/>
        <v>-0.6159481191</v>
      </c>
      <c r="F64" s="753">
        <f t="shared" si="11"/>
        <v>-7433.856609</v>
      </c>
    </row>
    <row r="65">
      <c r="A65" s="749">
        <v>23.0</v>
      </c>
      <c r="B65" s="744">
        <f t="shared" si="8"/>
        <v>12068.96552</v>
      </c>
      <c r="C65" s="773">
        <f>Summary!X88+Summary!X94</f>
        <v>6432.61811</v>
      </c>
      <c r="D65" s="745">
        <f t="shared" si="9"/>
        <v>6432.61811</v>
      </c>
      <c r="E65" s="752">
        <f t="shared" si="10"/>
        <v>-0.4670116423</v>
      </c>
      <c r="F65" s="753">
        <f t="shared" si="11"/>
        <v>-5636.347407</v>
      </c>
    </row>
    <row r="66">
      <c r="A66" s="749">
        <v>24.0</v>
      </c>
      <c r="B66" s="751">
        <f t="shared" si="8"/>
        <v>12068.96552</v>
      </c>
      <c r="C66" s="750">
        <f>Summary!Y88+Summary!Y94</f>
        <v>5540.366536</v>
      </c>
      <c r="D66" s="745">
        <f t="shared" si="9"/>
        <v>5540.366536</v>
      </c>
      <c r="E66" s="752">
        <f t="shared" si="10"/>
        <v>-0.5409410584</v>
      </c>
      <c r="F66" s="753">
        <f t="shared" si="11"/>
        <v>-6528.598981</v>
      </c>
    </row>
    <row r="67">
      <c r="A67" s="749">
        <v>25.0</v>
      </c>
      <c r="B67" s="744">
        <f t="shared" si="8"/>
        <v>12068.96552</v>
      </c>
      <c r="C67" s="773">
        <f>Summary!Z88+Summary!Z94</f>
        <v>3362.78238</v>
      </c>
      <c r="D67" s="745">
        <f t="shared" si="9"/>
        <v>3362.78238</v>
      </c>
      <c r="E67" s="752">
        <f t="shared" si="10"/>
        <v>-0.7213694599</v>
      </c>
      <c r="F67" s="753">
        <f t="shared" si="11"/>
        <v>-8706.183137</v>
      </c>
    </row>
    <row r="68">
      <c r="A68" s="749">
        <v>26.0</v>
      </c>
      <c r="B68" s="751">
        <f t="shared" si="8"/>
        <v>12068.96552</v>
      </c>
      <c r="C68" s="750">
        <f>Summary!AA88+Summary!AA94</f>
        <v>2516.83</v>
      </c>
      <c r="D68" s="745">
        <f t="shared" si="9"/>
        <v>2516.83</v>
      </c>
      <c r="E68" s="752">
        <f t="shared" si="10"/>
        <v>-0.7914626571</v>
      </c>
      <c r="F68" s="753">
        <f t="shared" si="11"/>
        <v>-9552.135517</v>
      </c>
    </row>
    <row r="69">
      <c r="A69" s="749">
        <v>27.0</v>
      </c>
      <c r="B69" s="744">
        <f t="shared" si="8"/>
        <v>12068.96552</v>
      </c>
      <c r="C69" s="773">
        <f>Summary!AB88+Summary!AB94</f>
        <v>2754.03</v>
      </c>
      <c r="D69" s="745">
        <f t="shared" si="9"/>
        <v>2754.03</v>
      </c>
      <c r="E69" s="752">
        <f t="shared" si="10"/>
        <v>-0.7718089429</v>
      </c>
      <c r="F69" s="753">
        <f t="shared" si="11"/>
        <v>-9314.935517</v>
      </c>
    </row>
    <row r="70">
      <c r="A70" s="749">
        <v>28.0</v>
      </c>
      <c r="B70" s="751">
        <f t="shared" si="8"/>
        <v>12068.96552</v>
      </c>
      <c r="C70" s="750">
        <f>Summary!AC88+Summary!AC94</f>
        <v>2903.511877</v>
      </c>
      <c r="D70" s="745">
        <f t="shared" si="9"/>
        <v>2903.511877</v>
      </c>
      <c r="E70" s="752">
        <f t="shared" si="10"/>
        <v>-0.7594233016</v>
      </c>
      <c r="F70" s="753">
        <f t="shared" si="11"/>
        <v>-9165.45364</v>
      </c>
    </row>
    <row r="71">
      <c r="A71" s="786">
        <v>29.0</v>
      </c>
      <c r="B71" s="744">
        <f t="shared" si="8"/>
        <v>12068.96552</v>
      </c>
      <c r="C71" s="773">
        <f>Summary!AD88+Summary!AD94</f>
        <v>2608.01</v>
      </c>
      <c r="D71" s="745">
        <f t="shared" si="9"/>
        <v>2608.01</v>
      </c>
      <c r="E71" s="752">
        <f t="shared" si="10"/>
        <v>-0.7839077429</v>
      </c>
      <c r="F71" s="753">
        <f t="shared" si="11"/>
        <v>-9460.955517</v>
      </c>
    </row>
    <row r="72">
      <c r="A72" s="787" t="s">
        <v>1078</v>
      </c>
      <c r="B72" s="788">
        <f>H15</f>
        <v>350000</v>
      </c>
      <c r="C72" s="788">
        <f>sum(C43:C71)</f>
        <v>282862.4223</v>
      </c>
      <c r="D72" s="788">
        <f t="shared" si="9"/>
        <v>282862.4223</v>
      </c>
      <c r="E72" s="791">
        <f t="shared" si="10"/>
        <v>-0.1918216504</v>
      </c>
      <c r="F72" s="792">
        <f t="shared" si="11"/>
        <v>-67137.57765</v>
      </c>
    </row>
    <row r="74">
      <c r="A74" s="717" t="s">
        <v>1036</v>
      </c>
      <c r="B74" s="718">
        <v>45293.0</v>
      </c>
      <c r="C74" s="719"/>
      <c r="D74" s="717" t="s">
        <v>1037</v>
      </c>
      <c r="E74" s="717" t="s">
        <v>1038</v>
      </c>
      <c r="F74" s="719"/>
    </row>
    <row r="75">
      <c r="A75" s="722" t="s">
        <v>1041</v>
      </c>
      <c r="B75" s="723">
        <v>29.0</v>
      </c>
      <c r="C75" s="724" t="s">
        <v>1081</v>
      </c>
      <c r="D75" s="676"/>
      <c r="E75" s="676"/>
      <c r="F75" s="674"/>
    </row>
    <row r="76">
      <c r="A76" s="722" t="s">
        <v>1045</v>
      </c>
      <c r="B76" s="729">
        <f>COUNT(C79:C106)</f>
        <v>26</v>
      </c>
      <c r="C76" s="730"/>
      <c r="D76" s="731"/>
      <c r="E76" s="731"/>
      <c r="F76" s="732"/>
    </row>
    <row r="77">
      <c r="A77" s="735"/>
      <c r="B77" s="736" t="s">
        <v>1048</v>
      </c>
      <c r="C77" s="582"/>
      <c r="D77" s="736" t="s">
        <v>1049</v>
      </c>
      <c r="E77" s="737"/>
      <c r="F77" s="582"/>
      <c r="H77" s="793"/>
      <c r="I77" s="793"/>
      <c r="J77" s="793"/>
    </row>
    <row r="78">
      <c r="A78" s="738" t="s">
        <v>1052</v>
      </c>
      <c r="B78" s="738" t="s">
        <v>1082</v>
      </c>
      <c r="C78" s="739" t="s">
        <v>1045</v>
      </c>
      <c r="D78" s="738" t="s">
        <v>1049</v>
      </c>
      <c r="E78" s="738" t="s">
        <v>1054</v>
      </c>
      <c r="F78" s="738" t="s">
        <v>1055</v>
      </c>
      <c r="H78" s="793"/>
      <c r="I78" s="793"/>
      <c r="J78" s="793"/>
    </row>
    <row r="79">
      <c r="A79" s="742">
        <v>1.0</v>
      </c>
      <c r="B79" s="794">
        <f t="shared" ref="B79:B107" si="12">$B$108/$B$75</f>
        <v>10344.82759</v>
      </c>
      <c r="C79" s="795">
        <v>7805.0</v>
      </c>
      <c r="D79" s="796">
        <f t="shared" ref="D79:D108" si="13">C79/$B$4*$B$3</f>
        <v>7805</v>
      </c>
      <c r="E79" s="746">
        <f t="shared" ref="E79:E108" si="14">D79/B79-1</f>
        <v>-0.2455166667</v>
      </c>
      <c r="F79" s="797">
        <f t="shared" ref="F79:F108" si="15">D79-B79</f>
        <v>-2539.827586</v>
      </c>
      <c r="H79" s="793"/>
      <c r="I79" s="793"/>
      <c r="J79" s="793"/>
    </row>
    <row r="80">
      <c r="A80" s="749">
        <v>2.0</v>
      </c>
      <c r="B80" s="798">
        <f t="shared" si="12"/>
        <v>10344.82759</v>
      </c>
      <c r="C80" s="795">
        <v>9042.0</v>
      </c>
      <c r="D80" s="796">
        <f t="shared" si="13"/>
        <v>9042</v>
      </c>
      <c r="E80" s="752">
        <f t="shared" si="14"/>
        <v>-0.12594</v>
      </c>
      <c r="F80" s="799">
        <f t="shared" si="15"/>
        <v>-1302.827586</v>
      </c>
      <c r="H80" s="793"/>
      <c r="I80" s="793"/>
      <c r="J80" s="793"/>
    </row>
    <row r="81">
      <c r="A81" s="749">
        <v>3.0</v>
      </c>
      <c r="B81" s="794">
        <f t="shared" si="12"/>
        <v>10344.82759</v>
      </c>
      <c r="C81" s="795">
        <v>8914.0</v>
      </c>
      <c r="D81" s="796">
        <f t="shared" si="13"/>
        <v>8914</v>
      </c>
      <c r="E81" s="752">
        <f t="shared" si="14"/>
        <v>-0.1383133333</v>
      </c>
      <c r="F81" s="799">
        <f t="shared" si="15"/>
        <v>-1430.827586</v>
      </c>
      <c r="H81" s="793"/>
      <c r="I81" s="800"/>
      <c r="J81" s="793"/>
    </row>
    <row r="82">
      <c r="A82" s="749">
        <v>4.0</v>
      </c>
      <c r="B82" s="798">
        <f t="shared" si="12"/>
        <v>10344.82759</v>
      </c>
      <c r="C82" s="795">
        <v>8905.0</v>
      </c>
      <c r="D82" s="796">
        <f t="shared" si="13"/>
        <v>8905</v>
      </c>
      <c r="E82" s="752">
        <f t="shared" si="14"/>
        <v>-0.1391833333</v>
      </c>
      <c r="F82" s="799">
        <f t="shared" si="15"/>
        <v>-1439.827586</v>
      </c>
      <c r="H82" s="793"/>
      <c r="I82" s="793"/>
      <c r="J82" s="793"/>
    </row>
    <row r="83">
      <c r="A83" s="749">
        <v>5.0</v>
      </c>
      <c r="B83" s="794">
        <f t="shared" si="12"/>
        <v>10344.82759</v>
      </c>
      <c r="C83" s="795">
        <v>10176.0</v>
      </c>
      <c r="D83" s="796">
        <f t="shared" si="13"/>
        <v>10176</v>
      </c>
      <c r="E83" s="752">
        <f t="shared" si="14"/>
        <v>-0.01632</v>
      </c>
      <c r="F83" s="799">
        <f t="shared" si="15"/>
        <v>-168.8275862</v>
      </c>
      <c r="H83" s="793"/>
      <c r="I83" s="793"/>
      <c r="J83" s="793"/>
    </row>
    <row r="84">
      <c r="A84" s="749">
        <v>6.0</v>
      </c>
      <c r="B84" s="798">
        <f t="shared" si="12"/>
        <v>10344.82759</v>
      </c>
      <c r="C84" s="795">
        <v>10266.0</v>
      </c>
      <c r="D84" s="796">
        <f t="shared" si="13"/>
        <v>10266</v>
      </c>
      <c r="E84" s="752">
        <f t="shared" si="14"/>
        <v>-0.00762</v>
      </c>
      <c r="F84" s="799">
        <f t="shared" si="15"/>
        <v>-78.82758621</v>
      </c>
      <c r="I84" s="793"/>
      <c r="J84" s="793"/>
    </row>
    <row r="85">
      <c r="A85" s="749">
        <v>7.0</v>
      </c>
      <c r="B85" s="794">
        <f t="shared" si="12"/>
        <v>10344.82759</v>
      </c>
      <c r="C85" s="795">
        <v>8809.0</v>
      </c>
      <c r="D85" s="796">
        <f t="shared" si="13"/>
        <v>8809</v>
      </c>
      <c r="E85" s="752">
        <f t="shared" si="14"/>
        <v>-0.1484633333</v>
      </c>
      <c r="F85" s="799">
        <f t="shared" si="15"/>
        <v>-1535.827586</v>
      </c>
      <c r="I85" s="793"/>
      <c r="J85" s="793"/>
    </row>
    <row r="86">
      <c r="A86" s="749">
        <v>8.0</v>
      </c>
      <c r="B86" s="798">
        <f t="shared" si="12"/>
        <v>10344.82759</v>
      </c>
      <c r="C86" s="795">
        <v>10764.0</v>
      </c>
      <c r="D86" s="796">
        <f t="shared" si="13"/>
        <v>10764</v>
      </c>
      <c r="E86" s="752">
        <f t="shared" si="14"/>
        <v>0.04052</v>
      </c>
      <c r="F86" s="799">
        <f t="shared" si="15"/>
        <v>419.1724138</v>
      </c>
      <c r="I86" s="793"/>
      <c r="J86" s="793"/>
    </row>
    <row r="87">
      <c r="A87" s="749">
        <v>9.0</v>
      </c>
      <c r="B87" s="794">
        <f t="shared" si="12"/>
        <v>10344.82759</v>
      </c>
      <c r="C87" s="795">
        <v>10676.0</v>
      </c>
      <c r="D87" s="796">
        <f t="shared" si="13"/>
        <v>10676</v>
      </c>
      <c r="E87" s="752">
        <f t="shared" si="14"/>
        <v>0.03201333333</v>
      </c>
      <c r="F87" s="799">
        <f t="shared" si="15"/>
        <v>331.1724138</v>
      </c>
      <c r="I87" s="793"/>
      <c r="J87" s="793"/>
    </row>
    <row r="88">
      <c r="A88" s="749">
        <v>10.0</v>
      </c>
      <c r="B88" s="798">
        <f t="shared" si="12"/>
        <v>10344.82759</v>
      </c>
      <c r="C88" s="795">
        <v>9889.0</v>
      </c>
      <c r="D88" s="796">
        <f t="shared" si="13"/>
        <v>9889</v>
      </c>
      <c r="E88" s="752">
        <f t="shared" si="14"/>
        <v>-0.04406333333</v>
      </c>
      <c r="F88" s="799">
        <f t="shared" si="15"/>
        <v>-455.8275862</v>
      </c>
      <c r="I88" s="793"/>
      <c r="J88" s="793"/>
    </row>
    <row r="89">
      <c r="A89" s="749">
        <v>11.0</v>
      </c>
      <c r="B89" s="794">
        <f t="shared" si="12"/>
        <v>10344.82759</v>
      </c>
      <c r="C89" s="795">
        <v>9278.0</v>
      </c>
      <c r="D89" s="796">
        <f t="shared" si="13"/>
        <v>9278</v>
      </c>
      <c r="E89" s="752">
        <f t="shared" si="14"/>
        <v>-0.1031266667</v>
      </c>
      <c r="F89" s="799">
        <f t="shared" si="15"/>
        <v>-1066.827586</v>
      </c>
      <c r="I89" s="793"/>
      <c r="J89" s="793"/>
    </row>
    <row r="90">
      <c r="A90" s="749">
        <v>12.0</v>
      </c>
      <c r="B90" s="798">
        <f t="shared" si="12"/>
        <v>10344.82759</v>
      </c>
      <c r="C90" s="795">
        <v>8337.0</v>
      </c>
      <c r="D90" s="796">
        <f t="shared" si="13"/>
        <v>8337</v>
      </c>
      <c r="E90" s="752">
        <f t="shared" si="14"/>
        <v>-0.19409</v>
      </c>
      <c r="F90" s="799">
        <f t="shared" si="15"/>
        <v>-2007.827586</v>
      </c>
      <c r="I90" s="793"/>
      <c r="J90" s="793"/>
    </row>
    <row r="91">
      <c r="A91" s="749">
        <v>13.0</v>
      </c>
      <c r="B91" s="794">
        <f t="shared" si="12"/>
        <v>10344.82759</v>
      </c>
      <c r="C91" s="795">
        <v>11177.0</v>
      </c>
      <c r="D91" s="796">
        <f t="shared" si="13"/>
        <v>11177</v>
      </c>
      <c r="E91" s="752">
        <f t="shared" si="14"/>
        <v>0.08044333333</v>
      </c>
      <c r="F91" s="799">
        <f t="shared" si="15"/>
        <v>832.1724138</v>
      </c>
      <c r="I91" s="793"/>
      <c r="J91" s="793"/>
    </row>
    <row r="92">
      <c r="A92" s="749">
        <v>14.0</v>
      </c>
      <c r="B92" s="798">
        <f t="shared" si="12"/>
        <v>10344.82759</v>
      </c>
      <c r="C92" s="795">
        <v>9412.0</v>
      </c>
      <c r="D92" s="796">
        <f t="shared" si="13"/>
        <v>9412</v>
      </c>
      <c r="E92" s="752">
        <f t="shared" si="14"/>
        <v>-0.09017333333</v>
      </c>
      <c r="F92" s="799">
        <f t="shared" si="15"/>
        <v>-932.8275862</v>
      </c>
      <c r="I92" s="801"/>
      <c r="J92" s="793"/>
    </row>
    <row r="93">
      <c r="A93" s="749">
        <v>15.0</v>
      </c>
      <c r="B93" s="794">
        <f t="shared" si="12"/>
        <v>10344.82759</v>
      </c>
      <c r="C93" s="795">
        <v>7159.0</v>
      </c>
      <c r="D93" s="796">
        <f t="shared" si="13"/>
        <v>7159</v>
      </c>
      <c r="E93" s="752">
        <f t="shared" si="14"/>
        <v>-0.3079633333</v>
      </c>
      <c r="F93" s="799">
        <f t="shared" si="15"/>
        <v>-3185.827586</v>
      </c>
      <c r="I93" s="793"/>
      <c r="J93" s="793"/>
    </row>
    <row r="94">
      <c r="A94" s="749">
        <v>16.0</v>
      </c>
      <c r="B94" s="798">
        <f t="shared" si="12"/>
        <v>10344.82759</v>
      </c>
      <c r="C94" s="795">
        <v>14038.0</v>
      </c>
      <c r="D94" s="796">
        <f t="shared" si="13"/>
        <v>14038</v>
      </c>
      <c r="E94" s="752">
        <f t="shared" si="14"/>
        <v>0.3570066667</v>
      </c>
      <c r="F94" s="799">
        <f t="shared" si="15"/>
        <v>3693.172414</v>
      </c>
      <c r="I94" s="793"/>
      <c r="J94" s="793"/>
    </row>
    <row r="95">
      <c r="A95" s="749">
        <v>17.0</v>
      </c>
      <c r="B95" s="794">
        <f t="shared" si="12"/>
        <v>10344.82759</v>
      </c>
      <c r="C95" s="795">
        <v>15117.0</v>
      </c>
      <c r="D95" s="796">
        <f t="shared" si="13"/>
        <v>15117</v>
      </c>
      <c r="E95" s="752">
        <f t="shared" si="14"/>
        <v>0.46131</v>
      </c>
      <c r="F95" s="799">
        <f t="shared" si="15"/>
        <v>4772.172414</v>
      </c>
      <c r="I95" s="793"/>
      <c r="J95" s="793"/>
    </row>
    <row r="96">
      <c r="A96" s="749">
        <v>18.0</v>
      </c>
      <c r="B96" s="798">
        <f t="shared" si="12"/>
        <v>10344.82759</v>
      </c>
      <c r="C96" s="795">
        <v>19152.0</v>
      </c>
      <c r="D96" s="796">
        <f t="shared" si="13"/>
        <v>19152</v>
      </c>
      <c r="E96" s="752">
        <f t="shared" si="14"/>
        <v>0.85136</v>
      </c>
      <c r="F96" s="799">
        <f t="shared" si="15"/>
        <v>8807.172414</v>
      </c>
    </row>
    <row r="97">
      <c r="A97" s="749">
        <v>19.0</v>
      </c>
      <c r="B97" s="794">
        <f t="shared" si="12"/>
        <v>10344.82759</v>
      </c>
      <c r="C97" s="795">
        <v>17647.0</v>
      </c>
      <c r="D97" s="796">
        <f t="shared" si="13"/>
        <v>17647</v>
      </c>
      <c r="E97" s="752">
        <f t="shared" si="14"/>
        <v>0.7058766667</v>
      </c>
      <c r="F97" s="799">
        <f t="shared" si="15"/>
        <v>7302.172414</v>
      </c>
    </row>
    <row r="98">
      <c r="A98" s="749">
        <v>20.0</v>
      </c>
      <c r="B98" s="798">
        <f t="shared" si="12"/>
        <v>10344.82759</v>
      </c>
      <c r="C98" s="795">
        <v>14980.0</v>
      </c>
      <c r="D98" s="796">
        <f t="shared" si="13"/>
        <v>14980</v>
      </c>
      <c r="E98" s="752">
        <f t="shared" si="14"/>
        <v>0.4480666667</v>
      </c>
      <c r="F98" s="799">
        <f t="shared" si="15"/>
        <v>4635.172414</v>
      </c>
    </row>
    <row r="99">
      <c r="A99" s="749">
        <v>21.0</v>
      </c>
      <c r="B99" s="794">
        <f t="shared" si="12"/>
        <v>10344.82759</v>
      </c>
      <c r="C99" s="795">
        <v>14266.0</v>
      </c>
      <c r="D99" s="796">
        <f t="shared" si="13"/>
        <v>14266</v>
      </c>
      <c r="E99" s="752">
        <f t="shared" si="14"/>
        <v>0.3790466667</v>
      </c>
      <c r="F99" s="799">
        <f t="shared" si="15"/>
        <v>3921.172414</v>
      </c>
    </row>
    <row r="100">
      <c r="A100" s="749">
        <v>22.0</v>
      </c>
      <c r="B100" s="798">
        <f t="shared" si="12"/>
        <v>10344.82759</v>
      </c>
      <c r="C100" s="795">
        <v>20320.0</v>
      </c>
      <c r="D100" s="796">
        <f t="shared" si="13"/>
        <v>20320</v>
      </c>
      <c r="E100" s="752">
        <f t="shared" si="14"/>
        <v>0.9642666667</v>
      </c>
      <c r="F100" s="799">
        <f t="shared" si="15"/>
        <v>9975.172414</v>
      </c>
    </row>
    <row r="101">
      <c r="A101" s="749">
        <v>23.0</v>
      </c>
      <c r="B101" s="794">
        <f t="shared" si="12"/>
        <v>10344.82759</v>
      </c>
      <c r="C101" s="795">
        <v>33459.0</v>
      </c>
      <c r="D101" s="796">
        <f t="shared" si="13"/>
        <v>33459</v>
      </c>
      <c r="E101" s="752">
        <f t="shared" si="14"/>
        <v>2.23437</v>
      </c>
      <c r="F101" s="799">
        <f t="shared" si="15"/>
        <v>23114.17241</v>
      </c>
    </row>
    <row r="102">
      <c r="A102" s="749">
        <v>24.0</v>
      </c>
      <c r="B102" s="798">
        <f t="shared" si="12"/>
        <v>10344.82759</v>
      </c>
      <c r="C102" s="795">
        <v>28559.0</v>
      </c>
      <c r="D102" s="796">
        <f t="shared" si="13"/>
        <v>28559</v>
      </c>
      <c r="E102" s="752">
        <f t="shared" si="14"/>
        <v>1.760703333</v>
      </c>
      <c r="F102" s="799">
        <f t="shared" si="15"/>
        <v>18214.17241</v>
      </c>
    </row>
    <row r="103">
      <c r="A103" s="749">
        <v>25.0</v>
      </c>
      <c r="B103" s="794">
        <f t="shared" si="12"/>
        <v>10344.82759</v>
      </c>
      <c r="C103" s="795">
        <v>20694.0</v>
      </c>
      <c r="D103" s="796">
        <f t="shared" si="13"/>
        <v>20694</v>
      </c>
      <c r="E103" s="752">
        <f t="shared" si="14"/>
        <v>1.00042</v>
      </c>
      <c r="F103" s="799">
        <f t="shared" si="15"/>
        <v>10349.17241</v>
      </c>
    </row>
    <row r="104">
      <c r="A104" s="749">
        <v>26.0</v>
      </c>
      <c r="B104" s="798">
        <f t="shared" si="12"/>
        <v>10344.82759</v>
      </c>
      <c r="C104" s="795">
        <v>17906.0</v>
      </c>
      <c r="D104" s="796">
        <f t="shared" si="13"/>
        <v>17906</v>
      </c>
      <c r="E104" s="752">
        <f t="shared" si="14"/>
        <v>0.7309133333</v>
      </c>
      <c r="F104" s="799">
        <f t="shared" si="15"/>
        <v>7561.172414</v>
      </c>
      <c r="I104" s="802"/>
    </row>
    <row r="105">
      <c r="A105" s="749">
        <v>27.0</v>
      </c>
      <c r="B105" s="794">
        <f t="shared" si="12"/>
        <v>10344.82759</v>
      </c>
      <c r="C105" s="803"/>
      <c r="D105" s="796">
        <f t="shared" si="13"/>
        <v>0</v>
      </c>
      <c r="E105" s="752">
        <f t="shared" si="14"/>
        <v>-1</v>
      </c>
      <c r="F105" s="799">
        <f t="shared" si="15"/>
        <v>-10344.82759</v>
      </c>
    </row>
    <row r="106">
      <c r="A106" s="749">
        <v>28.0</v>
      </c>
      <c r="B106" s="798">
        <f t="shared" si="12"/>
        <v>10344.82759</v>
      </c>
      <c r="C106" s="803"/>
      <c r="D106" s="796">
        <f t="shared" si="13"/>
        <v>0</v>
      </c>
      <c r="E106" s="752">
        <f t="shared" si="14"/>
        <v>-1</v>
      </c>
      <c r="F106" s="799">
        <f t="shared" si="15"/>
        <v>-10344.82759</v>
      </c>
    </row>
    <row r="107">
      <c r="A107" s="786">
        <v>29.0</v>
      </c>
      <c r="B107" s="794">
        <f t="shared" si="12"/>
        <v>10344.82759</v>
      </c>
      <c r="C107" s="804"/>
      <c r="D107" s="796">
        <f t="shared" si="13"/>
        <v>0</v>
      </c>
      <c r="E107" s="752">
        <f t="shared" si="14"/>
        <v>-1</v>
      </c>
      <c r="F107" s="799">
        <f t="shared" si="15"/>
        <v>-10344.82759</v>
      </c>
    </row>
    <row r="108">
      <c r="A108" s="787" t="s">
        <v>1078</v>
      </c>
      <c r="B108" s="805">
        <f>H20</f>
        <v>300000</v>
      </c>
      <c r="C108" s="805">
        <f>sum(C79:C107)</f>
        <v>356747</v>
      </c>
      <c r="D108" s="805">
        <f t="shared" si="13"/>
        <v>356747</v>
      </c>
      <c r="E108" s="790">
        <f t="shared" si="14"/>
        <v>0.1891566667</v>
      </c>
      <c r="F108" s="805">
        <f t="shared" si="15"/>
        <v>56747</v>
      </c>
    </row>
    <row r="113">
      <c r="A113" s="4" t="s">
        <v>1083</v>
      </c>
      <c r="B113" s="4" t="s">
        <v>1084</v>
      </c>
      <c r="C113" s="4" t="s">
        <v>1085</v>
      </c>
    </row>
    <row r="114">
      <c r="A114" s="806">
        <v>45323.0</v>
      </c>
      <c r="B114" s="807">
        <v>7805.0</v>
      </c>
      <c r="C114" s="807">
        <v>6602.0</v>
      </c>
    </row>
    <row r="115">
      <c r="A115" s="806">
        <v>45324.0</v>
      </c>
      <c r="B115" s="807">
        <v>9042.0</v>
      </c>
      <c r="C115" s="807">
        <v>7908.0</v>
      </c>
    </row>
    <row r="116">
      <c r="A116" s="806">
        <v>45325.0</v>
      </c>
      <c r="B116" s="807">
        <v>8914.0</v>
      </c>
      <c r="C116" s="807">
        <v>7406.0</v>
      </c>
    </row>
    <row r="117">
      <c r="A117" s="806">
        <v>45326.0</v>
      </c>
      <c r="B117" s="807">
        <v>8905.0</v>
      </c>
      <c r="C117" s="807">
        <v>7418.0</v>
      </c>
    </row>
    <row r="118">
      <c r="A118" s="806">
        <v>45327.0</v>
      </c>
      <c r="B118" s="807">
        <v>10176.0</v>
      </c>
      <c r="C118" s="807">
        <v>8644.0</v>
      </c>
    </row>
    <row r="119">
      <c r="A119" s="806">
        <v>45328.0</v>
      </c>
      <c r="B119" s="807">
        <v>10266.0</v>
      </c>
      <c r="C119" s="807">
        <v>8874.0</v>
      </c>
    </row>
    <row r="120">
      <c r="A120" s="806">
        <v>45329.0</v>
      </c>
      <c r="B120" s="807">
        <v>8809.0</v>
      </c>
      <c r="C120" s="807">
        <v>7535.0</v>
      </c>
    </row>
    <row r="121">
      <c r="A121" s="806">
        <v>45330.0</v>
      </c>
      <c r="B121" s="807">
        <v>10764.0</v>
      </c>
      <c r="C121" s="807">
        <v>9475.0</v>
      </c>
    </row>
    <row r="122">
      <c r="A122" s="806">
        <v>45331.0</v>
      </c>
      <c r="B122" s="807">
        <v>10676.0</v>
      </c>
      <c r="C122" s="807">
        <v>9391.0</v>
      </c>
    </row>
    <row r="123">
      <c r="A123" s="806">
        <v>45332.0</v>
      </c>
      <c r="B123" s="807">
        <v>9889.0</v>
      </c>
      <c r="C123" s="807">
        <v>8363.0</v>
      </c>
    </row>
    <row r="124">
      <c r="A124" s="806">
        <v>45333.0</v>
      </c>
      <c r="B124" s="807">
        <v>9278.0</v>
      </c>
      <c r="C124" s="807">
        <v>7913.0</v>
      </c>
    </row>
    <row r="125">
      <c r="A125" s="806">
        <v>45334.0</v>
      </c>
      <c r="B125" s="807">
        <v>8337.0</v>
      </c>
      <c r="C125" s="807">
        <v>7296.0</v>
      </c>
    </row>
    <row r="126">
      <c r="A126" s="806">
        <v>45335.0</v>
      </c>
      <c r="B126" s="807">
        <v>11177.0</v>
      </c>
      <c r="C126" s="807">
        <v>9794.0</v>
      </c>
    </row>
    <row r="127">
      <c r="A127" s="806">
        <v>45336.0</v>
      </c>
      <c r="B127" s="807">
        <v>9412.0</v>
      </c>
      <c r="C127" s="807">
        <v>7821.0</v>
      </c>
    </row>
    <row r="128">
      <c r="A128" s="806">
        <v>45337.0</v>
      </c>
      <c r="B128" s="807">
        <v>7159.0</v>
      </c>
      <c r="C128" s="807">
        <v>5939.0</v>
      </c>
    </row>
    <row r="129">
      <c r="A129" s="806">
        <v>45338.0</v>
      </c>
      <c r="B129" s="807">
        <v>14038.0</v>
      </c>
      <c r="C129" s="807">
        <v>12273.0</v>
      </c>
    </row>
    <row r="130">
      <c r="A130" s="806">
        <v>45339.0</v>
      </c>
      <c r="B130" s="807">
        <v>15117.0</v>
      </c>
      <c r="C130" s="807">
        <v>12898.0</v>
      </c>
    </row>
    <row r="131">
      <c r="A131" s="806">
        <v>45340.0</v>
      </c>
      <c r="B131" s="807">
        <v>19152.0</v>
      </c>
      <c r="C131" s="807">
        <v>17352.0</v>
      </c>
    </row>
    <row r="132">
      <c r="A132" s="806">
        <v>45341.0</v>
      </c>
      <c r="B132" s="807">
        <v>17647.0</v>
      </c>
      <c r="C132" s="807">
        <v>15512.0</v>
      </c>
    </row>
    <row r="133">
      <c r="A133" s="806">
        <v>45342.0</v>
      </c>
      <c r="B133" s="807">
        <v>14980.0</v>
      </c>
      <c r="C133" s="807">
        <v>13047.0</v>
      </c>
    </row>
    <row r="134">
      <c r="A134" s="806">
        <v>45343.0</v>
      </c>
      <c r="B134" s="807">
        <v>14266.0</v>
      </c>
      <c r="C134" s="807">
        <v>12256.0</v>
      </c>
    </row>
    <row r="135">
      <c r="A135" s="806">
        <v>45344.0</v>
      </c>
      <c r="B135" s="807">
        <v>20320.0</v>
      </c>
      <c r="C135" s="807">
        <v>17393.0</v>
      </c>
    </row>
    <row r="136">
      <c r="A136" s="806">
        <v>45345.0</v>
      </c>
      <c r="B136" s="807">
        <v>33459.0</v>
      </c>
      <c r="C136" s="807">
        <v>28253.0</v>
      </c>
    </row>
    <row r="137">
      <c r="A137" s="806">
        <v>45346.0</v>
      </c>
      <c r="B137" s="807">
        <v>28559.0</v>
      </c>
      <c r="C137" s="807">
        <v>22086.0</v>
      </c>
    </row>
    <row r="138">
      <c r="A138" s="806">
        <v>45347.0</v>
      </c>
      <c r="B138" s="807">
        <v>20694.0</v>
      </c>
      <c r="C138" s="807">
        <v>16745.0</v>
      </c>
    </row>
    <row r="139">
      <c r="A139" s="806">
        <v>45348.0</v>
      </c>
      <c r="B139" s="807">
        <v>26675.0</v>
      </c>
      <c r="C139" s="807">
        <v>20744.0</v>
      </c>
    </row>
    <row r="140">
      <c r="A140" s="806">
        <v>45349.0</v>
      </c>
      <c r="B140" s="807">
        <v>20358.0</v>
      </c>
      <c r="C140" s="807">
        <v>16005.0</v>
      </c>
    </row>
    <row r="141">
      <c r="A141" s="806">
        <v>45350.0</v>
      </c>
      <c r="B141" s="807">
        <v>4190.0</v>
      </c>
      <c r="C141" s="807">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394" t="s">
        <v>1086</v>
      </c>
      <c r="B1" s="80">
        <v>45323.0</v>
      </c>
      <c r="C1" s="80">
        <v>45324.0</v>
      </c>
      <c r="D1" s="80">
        <v>45325.0</v>
      </c>
      <c r="E1" s="80">
        <v>45326.0</v>
      </c>
      <c r="F1" s="80">
        <v>45327.0</v>
      </c>
      <c r="G1" s="80">
        <v>45328.0</v>
      </c>
      <c r="H1" s="80">
        <v>45329.0</v>
      </c>
      <c r="I1" s="80">
        <v>45330.0</v>
      </c>
      <c r="J1" s="80">
        <v>45331.0</v>
      </c>
      <c r="K1" s="80">
        <v>45332.0</v>
      </c>
      <c r="L1" s="80">
        <v>45333.0</v>
      </c>
      <c r="M1" s="80">
        <v>45334.0</v>
      </c>
      <c r="N1" s="80">
        <v>45335.0</v>
      </c>
      <c r="O1" s="80">
        <v>45336.0</v>
      </c>
      <c r="P1" s="80">
        <v>45337.0</v>
      </c>
      <c r="Q1" s="80">
        <v>45338.0</v>
      </c>
      <c r="R1" s="80">
        <v>45339.0</v>
      </c>
      <c r="S1" s="80">
        <v>45340.0</v>
      </c>
      <c r="T1" s="80">
        <v>45341.0</v>
      </c>
      <c r="U1" s="80">
        <v>45342.0</v>
      </c>
      <c r="V1" s="80">
        <v>45343.0</v>
      </c>
      <c r="W1" s="80">
        <v>45344.0</v>
      </c>
      <c r="X1" s="80">
        <v>45345.0</v>
      </c>
      <c r="Y1" s="80">
        <v>45346.0</v>
      </c>
      <c r="Z1" s="80">
        <v>45347.0</v>
      </c>
      <c r="AA1" s="80">
        <v>45348.0</v>
      </c>
      <c r="AB1" s="80">
        <v>45349.0</v>
      </c>
      <c r="AC1" s="80">
        <v>45350.0</v>
      </c>
      <c r="AD1" s="80">
        <v>45351.0</v>
      </c>
      <c r="AE1" s="81"/>
    </row>
    <row r="2">
      <c r="A2" s="82" t="s">
        <v>105</v>
      </c>
      <c r="B2" s="83" t="s">
        <v>6</v>
      </c>
      <c r="C2" s="83" t="s">
        <v>0</v>
      </c>
      <c r="D2" s="83" t="s">
        <v>1</v>
      </c>
      <c r="E2" s="83" t="s">
        <v>2</v>
      </c>
      <c r="F2" s="83" t="s">
        <v>3</v>
      </c>
      <c r="G2" s="83" t="s">
        <v>4</v>
      </c>
      <c r="H2" s="83" t="s">
        <v>5</v>
      </c>
      <c r="I2" s="83" t="s">
        <v>6</v>
      </c>
      <c r="J2" s="83" t="s">
        <v>0</v>
      </c>
      <c r="K2" s="83" t="s">
        <v>1</v>
      </c>
      <c r="L2" s="83" t="s">
        <v>2</v>
      </c>
      <c r="M2" s="83" t="s">
        <v>3</v>
      </c>
      <c r="N2" s="83" t="s">
        <v>4</v>
      </c>
      <c r="O2" s="83" t="s">
        <v>5</v>
      </c>
      <c r="P2" s="83" t="s">
        <v>6</v>
      </c>
      <c r="Q2" s="83" t="s">
        <v>0</v>
      </c>
      <c r="R2" s="83" t="s">
        <v>1</v>
      </c>
      <c r="S2" s="83" t="s">
        <v>2</v>
      </c>
      <c r="T2" s="83" t="s">
        <v>3</v>
      </c>
      <c r="U2" s="83" t="s">
        <v>4</v>
      </c>
      <c r="V2" s="83" t="s">
        <v>5</v>
      </c>
      <c r="W2" s="83" t="s">
        <v>6</v>
      </c>
      <c r="X2" s="83" t="s">
        <v>0</v>
      </c>
      <c r="Y2" s="83" t="s">
        <v>1</v>
      </c>
      <c r="Z2" s="83" t="s">
        <v>2</v>
      </c>
      <c r="AA2" s="83" t="s">
        <v>3</v>
      </c>
      <c r="AB2" s="83" t="s">
        <v>4</v>
      </c>
      <c r="AC2" s="83" t="s">
        <v>5</v>
      </c>
      <c r="AD2" s="83" t="s">
        <v>6</v>
      </c>
      <c r="AE2" s="81"/>
    </row>
    <row r="3" ht="29.25" customHeight="1">
      <c r="A3" s="396" t="s">
        <v>1087</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6"/>
    </row>
    <row r="4" collapsed="1">
      <c r="A4" s="136" t="s">
        <v>90</v>
      </c>
      <c r="B4" s="137">
        <f>Summary!B34</f>
        <v>3992.9868</v>
      </c>
      <c r="C4" s="137">
        <f>Summary!C35</f>
        <v>4598</v>
      </c>
      <c r="D4" s="137">
        <f>Summary!D35</f>
        <v>0</v>
      </c>
      <c r="E4" s="137">
        <f>Summary!E35</f>
        <v>627</v>
      </c>
      <c r="F4" s="137">
        <f>Summary!F35</f>
        <v>4389</v>
      </c>
      <c r="G4" s="137">
        <f>Summary!G35</f>
        <v>2926</v>
      </c>
      <c r="H4" s="137">
        <f>Summary!H35</f>
        <v>2299</v>
      </c>
      <c r="I4" s="137">
        <f>Summary!I35</f>
        <v>2299</v>
      </c>
      <c r="J4" s="137">
        <f>Summary!J35</f>
        <v>1881</v>
      </c>
      <c r="K4" s="137">
        <f>Summary!K35</f>
        <v>0</v>
      </c>
      <c r="L4" s="137">
        <f>Summary!L35</f>
        <v>1254</v>
      </c>
      <c r="M4" s="137">
        <f>Summary!M35</f>
        <v>5382</v>
      </c>
      <c r="N4" s="137">
        <f>Summary!N35</f>
        <v>2990</v>
      </c>
      <c r="O4" s="137">
        <f>Summary!O35</f>
        <v>1196</v>
      </c>
      <c r="P4" s="137">
        <f>Summary!P35</f>
        <v>2093</v>
      </c>
      <c r="Q4" s="137">
        <f>Summary!Q35</f>
        <v>1196</v>
      </c>
      <c r="R4" s="137">
        <f>Summary!R35</f>
        <v>0</v>
      </c>
      <c r="S4" s="137">
        <f>Summary!S35</f>
        <v>2392</v>
      </c>
      <c r="T4" s="137">
        <f>Summary!T35</f>
        <v>17940</v>
      </c>
      <c r="U4" s="137">
        <f>Summary!U35</f>
        <v>16744</v>
      </c>
      <c r="V4" s="137">
        <f>Summary!V34</f>
        <v>3490.9446</v>
      </c>
      <c r="W4" s="137">
        <f>Summary!W34</f>
        <v>5712.4548</v>
      </c>
      <c r="X4" s="137">
        <f>Summary!X34</f>
        <v>6029.8134</v>
      </c>
      <c r="Y4" s="137">
        <f>Summary!Y34</f>
        <v>0</v>
      </c>
      <c r="Z4" s="137">
        <f>Summary!Z34</f>
        <v>3173.586</v>
      </c>
      <c r="AA4" s="137">
        <f>Summary!AA34</f>
        <v>8568.6822</v>
      </c>
      <c r="AB4" s="137">
        <f>Summary!AB34</f>
        <v>7299.2478</v>
      </c>
      <c r="AC4" s="137">
        <f>Summary!AC34</f>
        <v>7616.6064</v>
      </c>
      <c r="AD4" s="137">
        <f>Summary!AD34</f>
        <v>12059.6268</v>
      </c>
      <c r="AE4" s="198">
        <f>sum(B4:AD4)</f>
        <v>128149.9488</v>
      </c>
    </row>
    <row r="5" hidden="1" outlineLevel="1">
      <c r="A5" s="808" t="s">
        <v>121</v>
      </c>
      <c r="B5" s="399"/>
      <c r="C5" s="399"/>
      <c r="D5" s="399"/>
      <c r="E5" s="399"/>
      <c r="F5" s="399"/>
      <c r="G5" s="399"/>
      <c r="H5" s="399"/>
      <c r="I5" s="399"/>
      <c r="J5" s="399"/>
      <c r="K5" s="399"/>
      <c r="L5" s="399"/>
      <c r="M5" s="399"/>
      <c r="N5" s="399"/>
      <c r="O5" s="399"/>
      <c r="P5" s="399"/>
      <c r="Q5" s="399"/>
      <c r="R5" s="399"/>
      <c r="S5" s="399"/>
      <c r="T5" s="399"/>
      <c r="U5" s="399"/>
      <c r="V5" s="399"/>
      <c r="W5" s="399"/>
      <c r="X5" s="399"/>
      <c r="Y5" s="399"/>
      <c r="Z5" s="399"/>
      <c r="AA5" s="399"/>
      <c r="AB5" s="399"/>
      <c r="AC5" s="399"/>
      <c r="AD5" s="399"/>
      <c r="AE5" s="809"/>
    </row>
    <row r="6" hidden="1" outlineLevel="1">
      <c r="A6" s="810" t="s">
        <v>42</v>
      </c>
      <c r="B6" s="137">
        <f>Summary!B36</f>
        <v>230.9868</v>
      </c>
      <c r="C6" s="137">
        <f>Summary!C36</f>
        <v>282.3172</v>
      </c>
      <c r="D6" s="137">
        <f>Summary!D36</f>
        <v>0</v>
      </c>
      <c r="E6" s="137">
        <f>Summary!E36</f>
        <v>38.4978</v>
      </c>
      <c r="F6" s="137">
        <f>Summary!F36</f>
        <v>269.4846</v>
      </c>
      <c r="G6" s="137">
        <f>Summary!G36</f>
        <v>179.6564</v>
      </c>
      <c r="H6" s="137">
        <f>Summary!H36</f>
        <v>141.1586</v>
      </c>
      <c r="I6" s="137">
        <f>Summary!I36</f>
        <v>141.1586</v>
      </c>
      <c r="J6" s="137">
        <f>Summary!J36</f>
        <v>115.4934</v>
      </c>
      <c r="K6" s="137">
        <f>Summary!K36</f>
        <v>0</v>
      </c>
      <c r="L6" s="137">
        <f>Summary!L36</f>
        <v>76.9956</v>
      </c>
      <c r="M6" s="137">
        <f>Summary!M36</f>
        <v>330.4548</v>
      </c>
      <c r="N6" s="137">
        <f>Summary!N36</f>
        <v>183.586</v>
      </c>
      <c r="O6" s="137">
        <f>Summary!O36</f>
        <v>73.4344</v>
      </c>
      <c r="P6" s="137">
        <f>Summary!P36</f>
        <v>128.5102</v>
      </c>
      <c r="Q6" s="137">
        <f>Summary!Q36</f>
        <v>73.4344</v>
      </c>
      <c r="R6" s="137">
        <f>Summary!R36</f>
        <v>0</v>
      </c>
      <c r="S6" s="137">
        <f>Summary!S36</f>
        <v>146.8688</v>
      </c>
      <c r="T6" s="137">
        <f>Summary!T36</f>
        <v>1101.516</v>
      </c>
      <c r="U6" s="137">
        <f>Summary!U36</f>
        <v>1028.0816</v>
      </c>
      <c r="V6" s="137">
        <f>Summary!V36</f>
        <v>201.9446</v>
      </c>
      <c r="W6" s="137">
        <f>Summary!W36</f>
        <v>330.4548</v>
      </c>
      <c r="X6" s="137">
        <f>Summary!X36</f>
        <v>348.8134</v>
      </c>
      <c r="Y6" s="137">
        <f>Summary!Y36</f>
        <v>0</v>
      </c>
      <c r="Z6" s="137">
        <f>Summary!Z36</f>
        <v>183.586</v>
      </c>
      <c r="AA6" s="137">
        <f>Summary!AA36</f>
        <v>495.6822</v>
      </c>
      <c r="AB6" s="137">
        <f>Summary!AB36</f>
        <v>422.2478</v>
      </c>
      <c r="AC6" s="137">
        <f>Summary!AC36</f>
        <v>440.6064</v>
      </c>
      <c r="AD6" s="137">
        <f>Summary!AD36</f>
        <v>697.6268</v>
      </c>
      <c r="AE6" s="156">
        <f t="shared" ref="AE6:AE8" si="1">sum(B6:AD6)</f>
        <v>7662.5972</v>
      </c>
    </row>
    <row r="7" hidden="1" outlineLevel="1">
      <c r="A7" s="810" t="s">
        <v>629</v>
      </c>
      <c r="B7" s="137" t="str">
        <f>Summary!B37</f>
        <v/>
      </c>
      <c r="C7" s="137" t="str">
        <f>Summary!C37</f>
        <v/>
      </c>
      <c r="D7" s="137" t="str">
        <f>Summary!D37</f>
        <v/>
      </c>
      <c r="E7" s="137" t="str">
        <f>Summary!E37</f>
        <v/>
      </c>
      <c r="F7" s="137" t="str">
        <f>Summary!F37</f>
        <v/>
      </c>
      <c r="G7" s="137" t="str">
        <f>Summary!G37</f>
        <v/>
      </c>
      <c r="H7" s="137" t="str">
        <f>Summary!H37</f>
        <v/>
      </c>
      <c r="I7" s="137" t="str">
        <f>Summary!I37</f>
        <v/>
      </c>
      <c r="J7" s="137" t="str">
        <f>Summary!J37</f>
        <v/>
      </c>
      <c r="K7" s="137" t="str">
        <f>Summary!K37</f>
        <v/>
      </c>
      <c r="L7" s="137" t="str">
        <f>Summary!L37</f>
        <v/>
      </c>
      <c r="M7" s="137" t="str">
        <f>Summary!M37</f>
        <v/>
      </c>
      <c r="N7" s="137" t="str">
        <f>Summary!N37</f>
        <v/>
      </c>
      <c r="O7" s="137" t="str">
        <f>Summary!O37</f>
        <v/>
      </c>
      <c r="P7" s="137" t="str">
        <f>Summary!P37</f>
        <v/>
      </c>
      <c r="Q7" s="137" t="str">
        <f>Summary!Q37</f>
        <v/>
      </c>
      <c r="R7" s="137" t="str">
        <f>Summary!R37</f>
        <v/>
      </c>
      <c r="S7" s="137" t="str">
        <f>Summary!S37</f>
        <v/>
      </c>
      <c r="T7" s="137" t="str">
        <f>Summary!T37</f>
        <v/>
      </c>
      <c r="U7" s="137" t="str">
        <f>Summary!U37</f>
        <v/>
      </c>
      <c r="V7" s="137" t="str">
        <f>Summary!V37</f>
        <v/>
      </c>
      <c r="W7" s="137" t="str">
        <f>Summary!W37</f>
        <v/>
      </c>
      <c r="X7" s="137" t="str">
        <f>Summary!X37</f>
        <v/>
      </c>
      <c r="Y7" s="137" t="str">
        <f>Summary!Y37</f>
        <v/>
      </c>
      <c r="Z7" s="137" t="str">
        <f>Summary!Z37</f>
        <v/>
      </c>
      <c r="AA7" s="137" t="str">
        <f>Summary!AA37</f>
        <v/>
      </c>
      <c r="AB7" s="137" t="str">
        <f>Summary!AB37</f>
        <v/>
      </c>
      <c r="AC7" s="137" t="str">
        <f>Summary!AC37</f>
        <v/>
      </c>
      <c r="AD7" s="137" t="str">
        <f>Summary!AD37</f>
        <v/>
      </c>
      <c r="AE7" s="156">
        <f t="shared" si="1"/>
        <v>0</v>
      </c>
    </row>
    <row r="8">
      <c r="A8" s="136" t="s">
        <v>97</v>
      </c>
      <c r="B8" s="160">
        <f>Summary!B67</f>
        <v>18</v>
      </c>
      <c r="C8" s="160">
        <f>Summary!C67</f>
        <v>22</v>
      </c>
      <c r="D8" s="160">
        <f>Summary!D67</f>
        <v>0</v>
      </c>
      <c r="E8" s="160">
        <f>Summary!E67</f>
        <v>3</v>
      </c>
      <c r="F8" s="160">
        <f>Summary!F67</f>
        <v>21</v>
      </c>
      <c r="G8" s="160">
        <f>Summary!G67</f>
        <v>14</v>
      </c>
      <c r="H8" s="160">
        <f>Summary!H67</f>
        <v>11</v>
      </c>
      <c r="I8" s="160">
        <f>Summary!I67</f>
        <v>11</v>
      </c>
      <c r="J8" s="160">
        <f>Summary!J67</f>
        <v>9</v>
      </c>
      <c r="K8" s="160">
        <f>Summary!K67</f>
        <v>0</v>
      </c>
      <c r="L8" s="160">
        <f>Summary!L67</f>
        <v>6</v>
      </c>
      <c r="M8" s="160">
        <f>Summary!M67</f>
        <v>18</v>
      </c>
      <c r="N8" s="160">
        <f>Summary!N67</f>
        <v>10</v>
      </c>
      <c r="O8" s="160">
        <f>Summary!O67</f>
        <v>4</v>
      </c>
      <c r="P8" s="160">
        <f>Summary!P67</f>
        <v>7</v>
      </c>
      <c r="Q8" s="160">
        <f>Summary!Q67</f>
        <v>4</v>
      </c>
      <c r="R8" s="160">
        <f>Summary!R67</f>
        <v>0</v>
      </c>
      <c r="S8" s="160">
        <f>Summary!S67</f>
        <v>8</v>
      </c>
      <c r="T8" s="160">
        <f>Summary!T67</f>
        <v>60</v>
      </c>
      <c r="U8" s="160">
        <f>Summary!U67</f>
        <v>56</v>
      </c>
      <c r="V8" s="160">
        <f>Summary!V67</f>
        <v>11</v>
      </c>
      <c r="W8" s="160">
        <f>Summary!W67</f>
        <v>18</v>
      </c>
      <c r="X8" s="160">
        <f>Summary!X67</f>
        <v>19</v>
      </c>
      <c r="Y8" s="160">
        <f>Summary!Y67</f>
        <v>0</v>
      </c>
      <c r="Z8" s="160">
        <f>Summary!Z67</f>
        <v>10</v>
      </c>
      <c r="AA8" s="160">
        <f>Summary!AA67</f>
        <v>27</v>
      </c>
      <c r="AB8" s="160">
        <f>Summary!AB67</f>
        <v>23</v>
      </c>
      <c r="AC8" s="160">
        <f>Summary!AC67</f>
        <v>24</v>
      </c>
      <c r="AD8" s="160">
        <f>Summary!AD67</f>
        <v>38</v>
      </c>
      <c r="AE8" s="156">
        <f t="shared" si="1"/>
        <v>452</v>
      </c>
    </row>
    <row r="9">
      <c r="A9" s="100"/>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156"/>
    </row>
    <row r="10">
      <c r="A10" s="213" t="s">
        <v>1088</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156">
        <f>sum(B10:AD10)</f>
        <v>0</v>
      </c>
    </row>
    <row r="11">
      <c r="A11" s="88" t="s">
        <v>1089</v>
      </c>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140"/>
    </row>
    <row r="12">
      <c r="A12" s="141" t="s">
        <v>1090</v>
      </c>
      <c r="B12" s="159"/>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156"/>
    </row>
    <row r="13">
      <c r="A13" s="157" t="s">
        <v>1091</v>
      </c>
      <c r="B13" s="91"/>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156">
        <f t="shared" ref="AE13:AE17" si="2">sum(B13:AD13)</f>
        <v>0</v>
      </c>
    </row>
    <row r="14">
      <c r="A14" s="157" t="s">
        <v>1092</v>
      </c>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156">
        <f t="shared" si="2"/>
        <v>0</v>
      </c>
    </row>
    <row r="15">
      <c r="A15" s="811" t="s">
        <v>1093</v>
      </c>
      <c r="B15" s="160">
        <f t="shared" ref="B15:AD15" si="3">B8</f>
        <v>18</v>
      </c>
      <c r="C15" s="160">
        <f t="shared" si="3"/>
        <v>22</v>
      </c>
      <c r="D15" s="160">
        <f t="shared" si="3"/>
        <v>0</v>
      </c>
      <c r="E15" s="160">
        <f t="shared" si="3"/>
        <v>3</v>
      </c>
      <c r="F15" s="160">
        <f t="shared" si="3"/>
        <v>21</v>
      </c>
      <c r="G15" s="160">
        <f t="shared" si="3"/>
        <v>14</v>
      </c>
      <c r="H15" s="160">
        <f t="shared" si="3"/>
        <v>11</v>
      </c>
      <c r="I15" s="160">
        <f t="shared" si="3"/>
        <v>11</v>
      </c>
      <c r="J15" s="160">
        <f t="shared" si="3"/>
        <v>9</v>
      </c>
      <c r="K15" s="160">
        <f t="shared" si="3"/>
        <v>0</v>
      </c>
      <c r="L15" s="160">
        <f t="shared" si="3"/>
        <v>6</v>
      </c>
      <c r="M15" s="160">
        <f t="shared" si="3"/>
        <v>18</v>
      </c>
      <c r="N15" s="160">
        <f t="shared" si="3"/>
        <v>10</v>
      </c>
      <c r="O15" s="160">
        <f t="shared" si="3"/>
        <v>4</v>
      </c>
      <c r="P15" s="160">
        <f t="shared" si="3"/>
        <v>7</v>
      </c>
      <c r="Q15" s="160">
        <f t="shared" si="3"/>
        <v>4</v>
      </c>
      <c r="R15" s="160">
        <f t="shared" si="3"/>
        <v>0</v>
      </c>
      <c r="S15" s="160">
        <f t="shared" si="3"/>
        <v>8</v>
      </c>
      <c r="T15" s="160">
        <f t="shared" si="3"/>
        <v>60</v>
      </c>
      <c r="U15" s="160">
        <f t="shared" si="3"/>
        <v>56</v>
      </c>
      <c r="V15" s="160">
        <f t="shared" si="3"/>
        <v>11</v>
      </c>
      <c r="W15" s="160">
        <f t="shared" si="3"/>
        <v>18</v>
      </c>
      <c r="X15" s="160">
        <f t="shared" si="3"/>
        <v>19</v>
      </c>
      <c r="Y15" s="160">
        <f t="shared" si="3"/>
        <v>0</v>
      </c>
      <c r="Z15" s="160">
        <f t="shared" si="3"/>
        <v>10</v>
      </c>
      <c r="AA15" s="160">
        <f t="shared" si="3"/>
        <v>27</v>
      </c>
      <c r="AB15" s="160">
        <f t="shared" si="3"/>
        <v>23</v>
      </c>
      <c r="AC15" s="160">
        <f t="shared" si="3"/>
        <v>24</v>
      </c>
      <c r="AD15" s="160">
        <f t="shared" si="3"/>
        <v>38</v>
      </c>
      <c r="AE15" s="156">
        <f t="shared" si="2"/>
        <v>452</v>
      </c>
    </row>
    <row r="16">
      <c r="A16" s="157" t="s">
        <v>1094</v>
      </c>
      <c r="B16" s="91"/>
      <c r="C16" s="91"/>
      <c r="D16" s="91"/>
      <c r="E16" s="91"/>
      <c r="F16" s="91"/>
      <c r="G16" s="91"/>
      <c r="H16" s="91"/>
      <c r="I16" s="91"/>
      <c r="J16" s="91"/>
      <c r="K16" s="91"/>
      <c r="L16" s="91"/>
      <c r="M16" s="91"/>
      <c r="N16" s="91"/>
      <c r="O16" s="91"/>
      <c r="P16" s="91"/>
      <c r="Q16" s="160"/>
      <c r="R16" s="160"/>
      <c r="S16" s="160"/>
      <c r="T16" s="160"/>
      <c r="U16" s="160"/>
      <c r="V16" s="160"/>
      <c r="W16" s="160"/>
      <c r="X16" s="160"/>
      <c r="Y16" s="160"/>
      <c r="Z16" s="160"/>
      <c r="AA16" s="160"/>
      <c r="AB16" s="160"/>
      <c r="AC16" s="160"/>
      <c r="AD16" s="160"/>
      <c r="AE16" s="156">
        <f t="shared" si="2"/>
        <v>0</v>
      </c>
    </row>
    <row r="17">
      <c r="A17" s="163" t="s">
        <v>127</v>
      </c>
      <c r="B17" s="299">
        <f t="shared" ref="B17:AD17" si="4">SUM(B13:B16)</f>
        <v>18</v>
      </c>
      <c r="C17" s="299">
        <f t="shared" si="4"/>
        <v>22</v>
      </c>
      <c r="D17" s="299">
        <f t="shared" si="4"/>
        <v>0</v>
      </c>
      <c r="E17" s="299">
        <f t="shared" si="4"/>
        <v>3</v>
      </c>
      <c r="F17" s="299">
        <f t="shared" si="4"/>
        <v>21</v>
      </c>
      <c r="G17" s="299">
        <f t="shared" si="4"/>
        <v>14</v>
      </c>
      <c r="H17" s="299">
        <f t="shared" si="4"/>
        <v>11</v>
      </c>
      <c r="I17" s="299">
        <f t="shared" si="4"/>
        <v>11</v>
      </c>
      <c r="J17" s="299">
        <f t="shared" si="4"/>
        <v>9</v>
      </c>
      <c r="K17" s="299">
        <f t="shared" si="4"/>
        <v>0</v>
      </c>
      <c r="L17" s="299">
        <f t="shared" si="4"/>
        <v>6</v>
      </c>
      <c r="M17" s="299">
        <f t="shared" si="4"/>
        <v>18</v>
      </c>
      <c r="N17" s="299">
        <f t="shared" si="4"/>
        <v>10</v>
      </c>
      <c r="O17" s="299">
        <f t="shared" si="4"/>
        <v>4</v>
      </c>
      <c r="P17" s="299">
        <f t="shared" si="4"/>
        <v>7</v>
      </c>
      <c r="Q17" s="299">
        <f t="shared" si="4"/>
        <v>4</v>
      </c>
      <c r="R17" s="299">
        <f t="shared" si="4"/>
        <v>0</v>
      </c>
      <c r="S17" s="299">
        <f t="shared" si="4"/>
        <v>8</v>
      </c>
      <c r="T17" s="299">
        <f t="shared" si="4"/>
        <v>60</v>
      </c>
      <c r="U17" s="299">
        <f t="shared" si="4"/>
        <v>56</v>
      </c>
      <c r="V17" s="299">
        <f t="shared" si="4"/>
        <v>11</v>
      </c>
      <c r="W17" s="299">
        <f t="shared" si="4"/>
        <v>18</v>
      </c>
      <c r="X17" s="299">
        <f t="shared" si="4"/>
        <v>19</v>
      </c>
      <c r="Y17" s="299">
        <f t="shared" si="4"/>
        <v>0</v>
      </c>
      <c r="Z17" s="299">
        <f t="shared" si="4"/>
        <v>10</v>
      </c>
      <c r="AA17" s="299">
        <f t="shared" si="4"/>
        <v>27</v>
      </c>
      <c r="AB17" s="299">
        <f t="shared" si="4"/>
        <v>23</v>
      </c>
      <c r="AC17" s="299">
        <f t="shared" si="4"/>
        <v>24</v>
      </c>
      <c r="AD17" s="299">
        <f t="shared" si="4"/>
        <v>38</v>
      </c>
      <c r="AE17" s="156">
        <f t="shared" si="2"/>
        <v>452</v>
      </c>
    </row>
    <row r="18">
      <c r="A18" s="100"/>
      <c r="B18" s="167"/>
      <c r="C18" s="167"/>
      <c r="D18" s="167"/>
      <c r="E18" s="167"/>
      <c r="F18" s="167"/>
      <c r="G18" s="167"/>
      <c r="H18" s="167"/>
      <c r="I18" s="167"/>
      <c r="J18" s="85"/>
      <c r="K18" s="85"/>
      <c r="L18" s="85"/>
      <c r="M18" s="85"/>
      <c r="N18" s="85"/>
      <c r="O18" s="85"/>
      <c r="P18" s="85"/>
      <c r="Q18" s="85"/>
      <c r="R18" s="85"/>
      <c r="S18" s="85"/>
      <c r="T18" s="85"/>
      <c r="U18" s="85"/>
      <c r="V18" s="85"/>
      <c r="W18" s="85"/>
      <c r="X18" s="85"/>
      <c r="Y18" s="85"/>
      <c r="Z18" s="85"/>
      <c r="AA18" s="85"/>
      <c r="AB18" s="85"/>
      <c r="AC18" s="85"/>
      <c r="AD18" s="85"/>
      <c r="AE18" s="390"/>
    </row>
    <row r="19">
      <c r="A19" s="157" t="s">
        <v>131</v>
      </c>
      <c r="B19" s="98"/>
      <c r="C19" s="98"/>
      <c r="D19" s="98"/>
      <c r="E19" s="98"/>
      <c r="F19" s="98"/>
      <c r="G19" s="98"/>
      <c r="H19" s="98"/>
      <c r="I19" s="98"/>
      <c r="J19" s="98"/>
      <c r="K19" s="98"/>
      <c r="L19" s="98"/>
      <c r="M19" s="91"/>
      <c r="N19" s="91"/>
      <c r="O19" s="91"/>
      <c r="P19" s="91"/>
      <c r="Q19" s="91"/>
      <c r="R19" s="91"/>
      <c r="S19" s="91"/>
      <c r="T19" s="91"/>
      <c r="U19" s="91"/>
      <c r="V19" s="91"/>
      <c r="W19" s="91"/>
      <c r="X19" s="91"/>
      <c r="Y19" s="91"/>
      <c r="Z19" s="91"/>
      <c r="AA19" s="91"/>
      <c r="AB19" s="91"/>
      <c r="AC19" s="91"/>
      <c r="AD19" s="91"/>
      <c r="AE19" s="156">
        <f t="shared" ref="AE19:AE27" si="5">sum(B19:AD19)</f>
        <v>0</v>
      </c>
    </row>
    <row r="20">
      <c r="A20" s="157" t="s">
        <v>132</v>
      </c>
      <c r="B20" s="98"/>
      <c r="C20" s="98"/>
      <c r="D20" s="98"/>
      <c r="E20" s="98"/>
      <c r="F20" s="98"/>
      <c r="G20" s="98"/>
      <c r="H20" s="98"/>
      <c r="I20" s="98"/>
      <c r="J20" s="98"/>
      <c r="K20" s="98"/>
      <c r="L20" s="98"/>
      <c r="M20" s="91"/>
      <c r="N20" s="91"/>
      <c r="O20" s="91"/>
      <c r="P20" s="91"/>
      <c r="Q20" s="91"/>
      <c r="R20" s="91"/>
      <c r="S20" s="91"/>
      <c r="T20" s="91"/>
      <c r="U20" s="91"/>
      <c r="V20" s="91"/>
      <c r="W20" s="91"/>
      <c r="X20" s="91"/>
      <c r="Y20" s="91"/>
      <c r="Z20" s="91"/>
      <c r="AA20" s="91"/>
      <c r="AB20" s="91"/>
      <c r="AC20" s="91"/>
      <c r="AD20" s="91"/>
      <c r="AE20" s="156">
        <f t="shared" si="5"/>
        <v>0</v>
      </c>
    </row>
    <row r="21">
      <c r="A21" s="157" t="s">
        <v>1095</v>
      </c>
      <c r="B21" s="98"/>
      <c r="C21" s="98"/>
      <c r="D21" s="98"/>
      <c r="E21" s="98"/>
      <c r="F21" s="98"/>
      <c r="G21" s="98"/>
      <c r="H21" s="98"/>
      <c r="I21" s="98"/>
      <c r="J21" s="98"/>
      <c r="K21" s="98"/>
      <c r="L21" s="98"/>
      <c r="M21" s="91"/>
      <c r="N21" s="91"/>
      <c r="O21" s="91"/>
      <c r="P21" s="91"/>
      <c r="Q21" s="91"/>
      <c r="R21" s="91"/>
      <c r="S21" s="91"/>
      <c r="T21" s="91"/>
      <c r="U21" s="91"/>
      <c r="V21" s="91"/>
      <c r="W21" s="91"/>
      <c r="X21" s="91"/>
      <c r="Y21" s="91"/>
      <c r="Z21" s="91"/>
      <c r="AA21" s="91"/>
      <c r="AB21" s="91"/>
      <c r="AC21" s="91"/>
      <c r="AD21" s="91"/>
      <c r="AE21" s="156">
        <f t="shared" si="5"/>
        <v>0</v>
      </c>
    </row>
    <row r="22">
      <c r="A22" s="157" t="s">
        <v>1096</v>
      </c>
      <c r="B22" s="403"/>
      <c r="C22" s="403"/>
      <c r="D22" s="403"/>
      <c r="E22" s="403"/>
      <c r="F22" s="403"/>
      <c r="G22" s="98"/>
      <c r="H22" s="98"/>
      <c r="I22" s="98"/>
      <c r="J22" s="98"/>
      <c r="K22" s="98"/>
      <c r="L22" s="98"/>
      <c r="M22" s="91"/>
      <c r="N22" s="91"/>
      <c r="O22" s="91"/>
      <c r="P22" s="91"/>
      <c r="Q22" s="91"/>
      <c r="R22" s="91"/>
      <c r="S22" s="91"/>
      <c r="T22" s="91"/>
      <c r="U22" s="91"/>
      <c r="V22" s="91"/>
      <c r="W22" s="91"/>
      <c r="X22" s="91"/>
      <c r="Y22" s="91"/>
      <c r="Z22" s="91"/>
      <c r="AA22" s="91"/>
      <c r="AB22" s="91"/>
      <c r="AC22" s="91"/>
      <c r="AD22" s="91"/>
      <c r="AE22" s="156">
        <f t="shared" si="5"/>
        <v>0</v>
      </c>
    </row>
    <row r="23">
      <c r="A23" s="157" t="s">
        <v>1097</v>
      </c>
      <c r="B23" s="98"/>
      <c r="C23" s="98"/>
      <c r="D23" s="98"/>
      <c r="E23" s="98"/>
      <c r="F23" s="98"/>
      <c r="G23" s="98"/>
      <c r="H23" s="98"/>
      <c r="I23" s="98"/>
      <c r="J23" s="98"/>
      <c r="K23" s="98"/>
      <c r="L23" s="98"/>
      <c r="M23" s="91"/>
      <c r="N23" s="91"/>
      <c r="O23" s="91"/>
      <c r="P23" s="91"/>
      <c r="Q23" s="91"/>
      <c r="R23" s="91"/>
      <c r="S23" s="91"/>
      <c r="T23" s="91"/>
      <c r="U23" s="91"/>
      <c r="V23" s="91"/>
      <c r="W23" s="91"/>
      <c r="X23" s="91"/>
      <c r="Y23" s="91"/>
      <c r="Z23" s="91"/>
      <c r="AA23" s="91"/>
      <c r="AB23" s="91"/>
      <c r="AC23" s="91"/>
      <c r="AD23" s="91"/>
      <c r="AE23" s="156">
        <f t="shared" si="5"/>
        <v>0</v>
      </c>
    </row>
    <row r="24">
      <c r="A24" s="157" t="s">
        <v>1098</v>
      </c>
      <c r="B24" s="403"/>
      <c r="C24" s="403"/>
      <c r="D24" s="403"/>
      <c r="E24" s="403"/>
      <c r="F24" s="403"/>
      <c r="G24" s="98"/>
      <c r="H24" s="98"/>
      <c r="I24" s="98"/>
      <c r="J24" s="98"/>
      <c r="K24" s="98"/>
      <c r="L24" s="98"/>
      <c r="M24" s="91"/>
      <c r="N24" s="91"/>
      <c r="O24" s="91"/>
      <c r="P24" s="91"/>
      <c r="Q24" s="91"/>
      <c r="R24" s="91"/>
      <c r="S24" s="91"/>
      <c r="T24" s="91"/>
      <c r="U24" s="91"/>
      <c r="V24" s="91"/>
      <c r="W24" s="91"/>
      <c r="X24" s="91"/>
      <c r="Y24" s="91"/>
      <c r="Z24" s="91"/>
      <c r="AA24" s="91"/>
      <c r="AB24" s="91"/>
      <c r="AC24" s="91"/>
      <c r="AD24" s="91"/>
      <c r="AE24" s="156">
        <f t="shared" si="5"/>
        <v>0</v>
      </c>
    </row>
    <row r="25">
      <c r="A25" s="157" t="s">
        <v>1099</v>
      </c>
      <c r="B25" s="98"/>
      <c r="C25" s="98"/>
      <c r="D25" s="98"/>
      <c r="E25" s="98"/>
      <c r="F25" s="98"/>
      <c r="G25" s="98"/>
      <c r="H25" s="98"/>
      <c r="I25" s="98"/>
      <c r="J25" s="98"/>
      <c r="K25" s="98"/>
      <c r="L25" s="98"/>
      <c r="M25" s="91"/>
      <c r="N25" s="91"/>
      <c r="O25" s="91"/>
      <c r="P25" s="91"/>
      <c r="Q25" s="91"/>
      <c r="R25" s="91"/>
      <c r="S25" s="91"/>
      <c r="T25" s="91"/>
      <c r="U25" s="91"/>
      <c r="V25" s="91"/>
      <c r="W25" s="91"/>
      <c r="X25" s="91"/>
      <c r="Y25" s="91"/>
      <c r="Z25" s="91"/>
      <c r="AA25" s="91"/>
      <c r="AB25" s="91"/>
      <c r="AC25" s="91"/>
      <c r="AD25" s="91"/>
      <c r="AE25" s="156">
        <f t="shared" si="5"/>
        <v>0</v>
      </c>
    </row>
    <row r="26">
      <c r="A26" s="157" t="s">
        <v>1100</v>
      </c>
      <c r="B26" s="98"/>
      <c r="C26" s="98"/>
      <c r="D26" s="98"/>
      <c r="E26" s="98"/>
      <c r="F26" s="98"/>
      <c r="G26" s="98"/>
      <c r="H26" s="98"/>
      <c r="I26" s="98"/>
      <c r="J26" s="98"/>
      <c r="K26" s="98"/>
      <c r="L26" s="98"/>
      <c r="M26" s="91"/>
      <c r="N26" s="91"/>
      <c r="O26" s="91"/>
      <c r="P26" s="91"/>
      <c r="Q26" s="91"/>
      <c r="R26" s="91"/>
      <c r="S26" s="91"/>
      <c r="T26" s="91"/>
      <c r="U26" s="91"/>
      <c r="V26" s="91"/>
      <c r="W26" s="91"/>
      <c r="X26" s="91"/>
      <c r="Y26" s="91"/>
      <c r="Z26" s="91"/>
      <c r="AA26" s="91"/>
      <c r="AB26" s="91"/>
      <c r="AC26" s="91"/>
      <c r="AD26" s="91"/>
      <c r="AE26" s="156">
        <f t="shared" si="5"/>
        <v>0</v>
      </c>
    </row>
    <row r="27">
      <c r="A27" s="163" t="s">
        <v>141</v>
      </c>
      <c r="B27" s="299">
        <f t="shared" ref="B27:AD27" si="6">SUM(B19:B26)</f>
        <v>0</v>
      </c>
      <c r="C27" s="299">
        <f t="shared" si="6"/>
        <v>0</v>
      </c>
      <c r="D27" s="299">
        <f t="shared" si="6"/>
        <v>0</v>
      </c>
      <c r="E27" s="299">
        <f t="shared" si="6"/>
        <v>0</v>
      </c>
      <c r="F27" s="299">
        <f t="shared" si="6"/>
        <v>0</v>
      </c>
      <c r="G27" s="299">
        <f t="shared" si="6"/>
        <v>0</v>
      </c>
      <c r="H27" s="299">
        <f t="shared" si="6"/>
        <v>0</v>
      </c>
      <c r="I27" s="299">
        <f t="shared" si="6"/>
        <v>0</v>
      </c>
      <c r="J27" s="299">
        <f t="shared" si="6"/>
        <v>0</v>
      </c>
      <c r="K27" s="299">
        <f t="shared" si="6"/>
        <v>0</v>
      </c>
      <c r="L27" s="299">
        <f t="shared" si="6"/>
        <v>0</v>
      </c>
      <c r="M27" s="299">
        <f t="shared" si="6"/>
        <v>0</v>
      </c>
      <c r="N27" s="299">
        <f t="shared" si="6"/>
        <v>0</v>
      </c>
      <c r="O27" s="299">
        <f t="shared" si="6"/>
        <v>0</v>
      </c>
      <c r="P27" s="299">
        <f t="shared" si="6"/>
        <v>0</v>
      </c>
      <c r="Q27" s="299">
        <f t="shared" si="6"/>
        <v>0</v>
      </c>
      <c r="R27" s="299">
        <f t="shared" si="6"/>
        <v>0</v>
      </c>
      <c r="S27" s="299">
        <f t="shared" si="6"/>
        <v>0</v>
      </c>
      <c r="T27" s="299">
        <f t="shared" si="6"/>
        <v>0</v>
      </c>
      <c r="U27" s="299">
        <f t="shared" si="6"/>
        <v>0</v>
      </c>
      <c r="V27" s="299">
        <f t="shared" si="6"/>
        <v>0</v>
      </c>
      <c r="W27" s="299">
        <f t="shared" si="6"/>
        <v>0</v>
      </c>
      <c r="X27" s="299">
        <f t="shared" si="6"/>
        <v>0</v>
      </c>
      <c r="Y27" s="299">
        <f t="shared" si="6"/>
        <v>0</v>
      </c>
      <c r="Z27" s="299">
        <f t="shared" si="6"/>
        <v>0</v>
      </c>
      <c r="AA27" s="299">
        <f t="shared" si="6"/>
        <v>0</v>
      </c>
      <c r="AB27" s="299">
        <f t="shared" si="6"/>
        <v>0</v>
      </c>
      <c r="AC27" s="299">
        <f t="shared" si="6"/>
        <v>0</v>
      </c>
      <c r="AD27" s="299">
        <f t="shared" si="6"/>
        <v>0</v>
      </c>
      <c r="AE27" s="156">
        <f t="shared" si="5"/>
        <v>0</v>
      </c>
    </row>
    <row r="28">
      <c r="A28" s="100"/>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156"/>
    </row>
    <row r="29">
      <c r="A29" s="812" t="s">
        <v>1101</v>
      </c>
      <c r="B29" s="405"/>
      <c r="C29" s="405"/>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257"/>
    </row>
    <row r="30" outlineLevel="1">
      <c r="A30" s="813"/>
      <c r="AE30" s="257"/>
    </row>
    <row r="31" outlineLevel="1">
      <c r="A31" s="413" t="s">
        <v>1102</v>
      </c>
      <c r="B31" s="424"/>
      <c r="C31" s="424"/>
      <c r="D31" s="424"/>
      <c r="E31" s="424"/>
      <c r="F31" s="424"/>
      <c r="G31" s="424"/>
      <c r="H31" s="424"/>
      <c r="I31" s="425"/>
      <c r="J31" s="425"/>
      <c r="K31" s="425"/>
      <c r="L31" s="425"/>
      <c r="M31" s="425"/>
      <c r="N31" s="425"/>
      <c r="O31" s="425"/>
      <c r="P31" s="425"/>
      <c r="Q31" s="425"/>
      <c r="R31" s="425"/>
      <c r="S31" s="425"/>
      <c r="T31" s="425"/>
      <c r="U31" s="425"/>
      <c r="V31" s="425"/>
      <c r="W31" s="425"/>
      <c r="X31" s="425"/>
      <c r="Y31" s="425"/>
      <c r="Z31" s="425"/>
      <c r="AA31" s="425"/>
      <c r="AB31" s="425"/>
      <c r="AC31" s="425"/>
      <c r="AD31" s="425"/>
      <c r="AE31" s="814"/>
    </row>
    <row r="32" outlineLevel="1">
      <c r="A32" s="213" t="s">
        <v>1103</v>
      </c>
      <c r="B32" s="303"/>
      <c r="C32" s="303"/>
      <c r="D32" s="303"/>
      <c r="E32" s="303"/>
      <c r="F32" s="303"/>
      <c r="G32" s="303"/>
      <c r="H32" s="303"/>
      <c r="I32" s="303"/>
      <c r="J32" s="303"/>
      <c r="K32" s="303"/>
      <c r="L32" s="303"/>
      <c r="M32" s="303"/>
      <c r="N32" s="303"/>
      <c r="O32" s="303"/>
      <c r="P32" s="303"/>
      <c r="Q32" s="303"/>
      <c r="R32" s="303"/>
      <c r="S32" s="303"/>
      <c r="T32" s="303"/>
      <c r="U32" s="303"/>
      <c r="V32" s="303"/>
      <c r="W32" s="303"/>
      <c r="X32" s="303"/>
      <c r="Y32" s="303"/>
      <c r="Z32" s="303"/>
      <c r="AA32" s="303"/>
      <c r="AB32" s="303"/>
      <c r="AC32" s="303"/>
      <c r="AD32" s="303"/>
      <c r="AE32" s="156">
        <f t="shared" ref="AE32:AE37" si="7">SUM(B32:AD32)</f>
        <v>0</v>
      </c>
    </row>
    <row r="33" outlineLevel="1">
      <c r="A33" s="213" t="s">
        <v>1104</v>
      </c>
      <c r="B33" s="303"/>
      <c r="C33" s="303"/>
      <c r="D33" s="303"/>
      <c r="E33" s="303"/>
      <c r="F33" s="303"/>
      <c r="G33" s="303"/>
      <c r="H33" s="303"/>
      <c r="I33" s="303"/>
      <c r="J33" s="303"/>
      <c r="K33" s="303"/>
      <c r="L33" s="303"/>
      <c r="M33" s="303"/>
      <c r="N33" s="303"/>
      <c r="O33" s="303"/>
      <c r="P33" s="303"/>
      <c r="Q33" s="303"/>
      <c r="R33" s="303"/>
      <c r="S33" s="303"/>
      <c r="T33" s="303"/>
      <c r="U33" s="303"/>
      <c r="V33" s="303"/>
      <c r="W33" s="303"/>
      <c r="X33" s="303"/>
      <c r="Y33" s="303"/>
      <c r="Z33" s="303"/>
      <c r="AA33" s="303"/>
      <c r="AB33" s="303"/>
      <c r="AC33" s="303"/>
      <c r="AD33" s="303"/>
      <c r="AE33" s="156">
        <f t="shared" si="7"/>
        <v>0</v>
      </c>
    </row>
    <row r="34" outlineLevel="1">
      <c r="A34" s="213" t="s">
        <v>1105</v>
      </c>
      <c r="B34" s="403"/>
      <c r="C34" s="403"/>
      <c r="D34" s="403"/>
      <c r="E34" s="403"/>
      <c r="F34" s="403"/>
      <c r="G34" s="303"/>
      <c r="H34" s="303"/>
      <c r="I34" s="303"/>
      <c r="J34" s="303"/>
      <c r="K34" s="303"/>
      <c r="L34" s="303"/>
      <c r="M34" s="303"/>
      <c r="N34" s="303"/>
      <c r="O34" s="303"/>
      <c r="P34" s="303"/>
      <c r="Q34" s="303"/>
      <c r="R34" s="303"/>
      <c r="S34" s="303"/>
      <c r="T34" s="303"/>
      <c r="U34" s="303"/>
      <c r="V34" s="303"/>
      <c r="W34" s="303"/>
      <c r="X34" s="303"/>
      <c r="Y34" s="303"/>
      <c r="Z34" s="303"/>
      <c r="AA34" s="303"/>
      <c r="AB34" s="303"/>
      <c r="AC34" s="303"/>
      <c r="AD34" s="303"/>
      <c r="AE34" s="156">
        <f t="shared" si="7"/>
        <v>0</v>
      </c>
    </row>
    <row r="35" outlineLevel="1">
      <c r="A35" s="213" t="s">
        <v>1106</v>
      </c>
      <c r="B35" s="403"/>
      <c r="C35" s="403"/>
      <c r="D35" s="403"/>
      <c r="E35" s="403"/>
      <c r="F35" s="403"/>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156">
        <f t="shared" si="7"/>
        <v>0</v>
      </c>
    </row>
    <row r="36" outlineLevel="1">
      <c r="A36" s="215" t="s">
        <v>221</v>
      </c>
      <c r="B36" s="330">
        <f t="shared" ref="B36:AD36" si="8">SUM(B32:B33)</f>
        <v>0</v>
      </c>
      <c r="C36" s="330">
        <f t="shared" si="8"/>
        <v>0</v>
      </c>
      <c r="D36" s="330">
        <f t="shared" si="8"/>
        <v>0</v>
      </c>
      <c r="E36" s="330">
        <f t="shared" si="8"/>
        <v>0</v>
      </c>
      <c r="F36" s="330">
        <f t="shared" si="8"/>
        <v>0</v>
      </c>
      <c r="G36" s="330">
        <f t="shared" si="8"/>
        <v>0</v>
      </c>
      <c r="H36" s="330">
        <f t="shared" si="8"/>
        <v>0</v>
      </c>
      <c r="I36" s="330">
        <f t="shared" si="8"/>
        <v>0</v>
      </c>
      <c r="J36" s="330">
        <f t="shared" si="8"/>
        <v>0</v>
      </c>
      <c r="K36" s="330">
        <f t="shared" si="8"/>
        <v>0</v>
      </c>
      <c r="L36" s="330">
        <f t="shared" si="8"/>
        <v>0</v>
      </c>
      <c r="M36" s="330">
        <f t="shared" si="8"/>
        <v>0</v>
      </c>
      <c r="N36" s="330">
        <f t="shared" si="8"/>
        <v>0</v>
      </c>
      <c r="O36" s="330">
        <f t="shared" si="8"/>
        <v>0</v>
      </c>
      <c r="P36" s="330">
        <f t="shared" si="8"/>
        <v>0</v>
      </c>
      <c r="Q36" s="330">
        <f t="shared" si="8"/>
        <v>0</v>
      </c>
      <c r="R36" s="330">
        <f t="shared" si="8"/>
        <v>0</v>
      </c>
      <c r="S36" s="330">
        <f t="shared" si="8"/>
        <v>0</v>
      </c>
      <c r="T36" s="330">
        <f t="shared" si="8"/>
        <v>0</v>
      </c>
      <c r="U36" s="330">
        <f t="shared" si="8"/>
        <v>0</v>
      </c>
      <c r="V36" s="330">
        <f t="shared" si="8"/>
        <v>0</v>
      </c>
      <c r="W36" s="330">
        <f t="shared" si="8"/>
        <v>0</v>
      </c>
      <c r="X36" s="330">
        <f t="shared" si="8"/>
        <v>0</v>
      </c>
      <c r="Y36" s="330">
        <f t="shared" si="8"/>
        <v>0</v>
      </c>
      <c r="Z36" s="330">
        <f t="shared" si="8"/>
        <v>0</v>
      </c>
      <c r="AA36" s="330">
        <f t="shared" si="8"/>
        <v>0</v>
      </c>
      <c r="AB36" s="330">
        <f t="shared" si="8"/>
        <v>0</v>
      </c>
      <c r="AC36" s="330">
        <f t="shared" si="8"/>
        <v>0</v>
      </c>
      <c r="AD36" s="330">
        <f t="shared" si="8"/>
        <v>0</v>
      </c>
      <c r="AE36" s="156">
        <f t="shared" si="7"/>
        <v>0</v>
      </c>
    </row>
    <row r="37" outlineLevel="1">
      <c r="A37" s="215" t="s">
        <v>222</v>
      </c>
      <c r="B37" s="330">
        <f t="shared" ref="B37:AD37" si="9">SUM(B34:B35)</f>
        <v>0</v>
      </c>
      <c r="C37" s="330">
        <f t="shared" si="9"/>
        <v>0</v>
      </c>
      <c r="D37" s="330">
        <f t="shared" si="9"/>
        <v>0</v>
      </c>
      <c r="E37" s="330">
        <f t="shared" si="9"/>
        <v>0</v>
      </c>
      <c r="F37" s="330">
        <f t="shared" si="9"/>
        <v>0</v>
      </c>
      <c r="G37" s="330">
        <f t="shared" si="9"/>
        <v>0</v>
      </c>
      <c r="H37" s="330">
        <f t="shared" si="9"/>
        <v>0</v>
      </c>
      <c r="I37" s="330">
        <f t="shared" si="9"/>
        <v>0</v>
      </c>
      <c r="J37" s="330">
        <f t="shared" si="9"/>
        <v>0</v>
      </c>
      <c r="K37" s="330">
        <f t="shared" si="9"/>
        <v>0</v>
      </c>
      <c r="L37" s="330">
        <f t="shared" si="9"/>
        <v>0</v>
      </c>
      <c r="M37" s="330">
        <f t="shared" si="9"/>
        <v>0</v>
      </c>
      <c r="N37" s="330">
        <f t="shared" si="9"/>
        <v>0</v>
      </c>
      <c r="O37" s="330">
        <f t="shared" si="9"/>
        <v>0</v>
      </c>
      <c r="P37" s="330">
        <f t="shared" si="9"/>
        <v>0</v>
      </c>
      <c r="Q37" s="330">
        <f t="shared" si="9"/>
        <v>0</v>
      </c>
      <c r="R37" s="330">
        <f t="shared" si="9"/>
        <v>0</v>
      </c>
      <c r="S37" s="330">
        <f t="shared" si="9"/>
        <v>0</v>
      </c>
      <c r="T37" s="330">
        <f t="shared" si="9"/>
        <v>0</v>
      </c>
      <c r="U37" s="330">
        <f t="shared" si="9"/>
        <v>0</v>
      </c>
      <c r="V37" s="330">
        <f t="shared" si="9"/>
        <v>0</v>
      </c>
      <c r="W37" s="330">
        <f t="shared" si="9"/>
        <v>0</v>
      </c>
      <c r="X37" s="330">
        <f t="shared" si="9"/>
        <v>0</v>
      </c>
      <c r="Y37" s="330">
        <f t="shared" si="9"/>
        <v>0</v>
      </c>
      <c r="Z37" s="330">
        <f t="shared" si="9"/>
        <v>0</v>
      </c>
      <c r="AA37" s="330">
        <f t="shared" si="9"/>
        <v>0</v>
      </c>
      <c r="AB37" s="330">
        <f t="shared" si="9"/>
        <v>0</v>
      </c>
      <c r="AC37" s="330">
        <f t="shared" si="9"/>
        <v>0</v>
      </c>
      <c r="AD37" s="330">
        <f t="shared" si="9"/>
        <v>0</v>
      </c>
      <c r="AE37" s="156">
        <f t="shared" si="7"/>
        <v>0</v>
      </c>
    </row>
    <row r="38" outlineLevel="1">
      <c r="A38" s="100"/>
      <c r="B38" s="130"/>
      <c r="C38" s="130"/>
      <c r="D38" s="130"/>
      <c r="E38" s="130"/>
      <c r="F38" s="130"/>
      <c r="G38" s="130"/>
      <c r="H38" s="130"/>
      <c r="I38" s="85"/>
      <c r="J38" s="85"/>
      <c r="K38" s="85"/>
      <c r="L38" s="85"/>
      <c r="M38" s="85"/>
      <c r="N38" s="85"/>
      <c r="O38" s="85"/>
      <c r="P38" s="85"/>
      <c r="Q38" s="85"/>
      <c r="R38" s="85"/>
      <c r="S38" s="85"/>
      <c r="T38" s="85"/>
      <c r="U38" s="85"/>
      <c r="V38" s="85"/>
      <c r="W38" s="85"/>
      <c r="X38" s="85"/>
      <c r="Y38" s="85"/>
      <c r="Z38" s="85"/>
      <c r="AA38" s="85"/>
      <c r="AB38" s="85"/>
      <c r="AC38" s="85"/>
      <c r="AD38" s="85"/>
      <c r="AE38" s="156"/>
    </row>
    <row r="39" outlineLevel="1">
      <c r="A39" s="213" t="s">
        <v>224</v>
      </c>
      <c r="B39" s="303"/>
      <c r="C39" s="303"/>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156">
        <f t="shared" ref="AE39:AE47" si="10">SUM(B39:AD39)</f>
        <v>0</v>
      </c>
    </row>
    <row r="40" outlineLevel="1">
      <c r="A40" s="213" t="s">
        <v>225</v>
      </c>
      <c r="B40" s="303"/>
      <c r="C40" s="303"/>
      <c r="D40" s="303"/>
      <c r="E40" s="303"/>
      <c r="F40" s="303"/>
      <c r="G40" s="303"/>
      <c r="H40" s="303"/>
      <c r="I40" s="303"/>
      <c r="J40" s="303"/>
      <c r="K40" s="303"/>
      <c r="L40" s="303"/>
      <c r="M40" s="303"/>
      <c r="N40" s="303"/>
      <c r="O40" s="303"/>
      <c r="P40" s="303"/>
      <c r="Q40" s="303"/>
      <c r="R40" s="303"/>
      <c r="S40" s="303"/>
      <c r="T40" s="303"/>
      <c r="U40" s="303"/>
      <c r="V40" s="303"/>
      <c r="W40" s="303"/>
      <c r="X40" s="303"/>
      <c r="Y40" s="303"/>
      <c r="Z40" s="303"/>
      <c r="AA40" s="303"/>
      <c r="AB40" s="303"/>
      <c r="AC40" s="303"/>
      <c r="AD40" s="303"/>
      <c r="AE40" s="156">
        <f t="shared" si="10"/>
        <v>0</v>
      </c>
    </row>
    <row r="41" outlineLevel="1">
      <c r="A41" s="213" t="s">
        <v>1107</v>
      </c>
      <c r="B41" s="303"/>
      <c r="C41" s="303"/>
      <c r="D41" s="303"/>
      <c r="E41" s="303"/>
      <c r="F41" s="303"/>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156">
        <f t="shared" si="10"/>
        <v>0</v>
      </c>
    </row>
    <row r="42" outlineLevel="1">
      <c r="A42" s="213" t="s">
        <v>1108</v>
      </c>
      <c r="B42" s="303"/>
      <c r="C42" s="303"/>
      <c r="D42" s="303"/>
      <c r="E42" s="303"/>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156">
        <f t="shared" si="10"/>
        <v>0</v>
      </c>
    </row>
    <row r="43" outlineLevel="1">
      <c r="A43" s="213" t="s">
        <v>1109</v>
      </c>
      <c r="B43" s="303"/>
      <c r="C43" s="303"/>
      <c r="D43" s="303"/>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156">
        <f t="shared" si="10"/>
        <v>0</v>
      </c>
    </row>
    <row r="44" outlineLevel="1">
      <c r="A44" s="213" t="s">
        <v>1110</v>
      </c>
      <c r="B44" s="303"/>
      <c r="C44" s="303"/>
      <c r="D44" s="303"/>
      <c r="E44" s="303"/>
      <c r="F44" s="303"/>
      <c r="G44" s="303"/>
      <c r="H44" s="303"/>
      <c r="I44" s="303"/>
      <c r="J44" s="303"/>
      <c r="K44" s="303"/>
      <c r="L44" s="303"/>
      <c r="M44" s="303"/>
      <c r="N44" s="303"/>
      <c r="O44" s="303"/>
      <c r="P44" s="303"/>
      <c r="Q44" s="303"/>
      <c r="R44" s="303"/>
      <c r="S44" s="303"/>
      <c r="T44" s="303"/>
      <c r="U44" s="303"/>
      <c r="V44" s="303"/>
      <c r="W44" s="303"/>
      <c r="X44" s="303"/>
      <c r="Y44" s="303"/>
      <c r="Z44" s="303"/>
      <c r="AA44" s="303"/>
      <c r="AB44" s="303"/>
      <c r="AC44" s="303"/>
      <c r="AD44" s="303"/>
      <c r="AE44" s="156">
        <f t="shared" si="10"/>
        <v>0</v>
      </c>
    </row>
    <row r="45" outlineLevel="1">
      <c r="A45" s="213" t="s">
        <v>1111</v>
      </c>
      <c r="B45" s="303"/>
      <c r="C45" s="303"/>
      <c r="D45" s="303"/>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156">
        <f t="shared" si="10"/>
        <v>0</v>
      </c>
    </row>
    <row r="46" outlineLevel="1">
      <c r="A46" s="213" t="s">
        <v>1112</v>
      </c>
      <c r="B46" s="303"/>
      <c r="C46" s="303"/>
      <c r="D46" s="303"/>
      <c r="E46" s="303"/>
      <c r="F46" s="303"/>
      <c r="G46" s="303"/>
      <c r="H46" s="303"/>
      <c r="I46" s="303"/>
      <c r="J46" s="303"/>
      <c r="K46" s="303"/>
      <c r="L46" s="303"/>
      <c r="M46" s="303"/>
      <c r="N46" s="303"/>
      <c r="O46" s="303"/>
      <c r="P46" s="303"/>
      <c r="Q46" s="303"/>
      <c r="R46" s="303"/>
      <c r="S46" s="303"/>
      <c r="T46" s="303"/>
      <c r="U46" s="303"/>
      <c r="V46" s="303"/>
      <c r="W46" s="303"/>
      <c r="X46" s="303"/>
      <c r="Y46" s="303"/>
      <c r="Z46" s="303"/>
      <c r="AA46" s="303"/>
      <c r="AB46" s="303"/>
      <c r="AC46" s="303"/>
      <c r="AD46" s="303"/>
      <c r="AE46" s="156">
        <f t="shared" si="10"/>
        <v>0</v>
      </c>
    </row>
    <row r="47" outlineLevel="1">
      <c r="A47" s="217" t="s">
        <v>141</v>
      </c>
      <c r="B47" s="330">
        <f t="shared" ref="B47:AD47" si="11">SUM(B39:B46)</f>
        <v>0</v>
      </c>
      <c r="C47" s="330">
        <f t="shared" si="11"/>
        <v>0</v>
      </c>
      <c r="D47" s="330">
        <f t="shared" si="11"/>
        <v>0</v>
      </c>
      <c r="E47" s="330">
        <f t="shared" si="11"/>
        <v>0</v>
      </c>
      <c r="F47" s="330">
        <f t="shared" si="11"/>
        <v>0</v>
      </c>
      <c r="G47" s="330">
        <f t="shared" si="11"/>
        <v>0</v>
      </c>
      <c r="H47" s="330">
        <f t="shared" si="11"/>
        <v>0</v>
      </c>
      <c r="I47" s="330">
        <f t="shared" si="11"/>
        <v>0</v>
      </c>
      <c r="J47" s="330">
        <f t="shared" si="11"/>
        <v>0</v>
      </c>
      <c r="K47" s="330">
        <f t="shared" si="11"/>
        <v>0</v>
      </c>
      <c r="L47" s="330">
        <f t="shared" si="11"/>
        <v>0</v>
      </c>
      <c r="M47" s="330">
        <f t="shared" si="11"/>
        <v>0</v>
      </c>
      <c r="N47" s="330">
        <f t="shared" si="11"/>
        <v>0</v>
      </c>
      <c r="O47" s="330">
        <f t="shared" si="11"/>
        <v>0</v>
      </c>
      <c r="P47" s="330">
        <f t="shared" si="11"/>
        <v>0</v>
      </c>
      <c r="Q47" s="330">
        <f t="shared" si="11"/>
        <v>0</v>
      </c>
      <c r="R47" s="330">
        <f t="shared" si="11"/>
        <v>0</v>
      </c>
      <c r="S47" s="330">
        <f t="shared" si="11"/>
        <v>0</v>
      </c>
      <c r="T47" s="330">
        <f t="shared" si="11"/>
        <v>0</v>
      </c>
      <c r="U47" s="330">
        <f t="shared" si="11"/>
        <v>0</v>
      </c>
      <c r="V47" s="330">
        <f t="shared" si="11"/>
        <v>0</v>
      </c>
      <c r="W47" s="330">
        <f t="shared" si="11"/>
        <v>0</v>
      </c>
      <c r="X47" s="330">
        <f t="shared" si="11"/>
        <v>0</v>
      </c>
      <c r="Y47" s="330">
        <f t="shared" si="11"/>
        <v>0</v>
      </c>
      <c r="Z47" s="330">
        <f t="shared" si="11"/>
        <v>0</v>
      </c>
      <c r="AA47" s="330">
        <f t="shared" si="11"/>
        <v>0</v>
      </c>
      <c r="AB47" s="330">
        <f t="shared" si="11"/>
        <v>0</v>
      </c>
      <c r="AC47" s="330">
        <f t="shared" si="11"/>
        <v>0</v>
      </c>
      <c r="AD47" s="330">
        <f t="shared" si="11"/>
        <v>0</v>
      </c>
      <c r="AE47" s="156">
        <f t="shared" si="10"/>
        <v>0</v>
      </c>
    </row>
    <row r="48" outlineLevel="1">
      <c r="A48" s="100"/>
      <c r="B48" s="130"/>
      <c r="C48" s="130"/>
      <c r="D48" s="130"/>
      <c r="E48" s="130"/>
      <c r="F48" s="130"/>
      <c r="G48" s="130"/>
      <c r="H48" s="130"/>
      <c r="I48" s="85"/>
      <c r="J48" s="85"/>
      <c r="K48" s="85"/>
      <c r="L48" s="85"/>
      <c r="M48" s="85"/>
      <c r="N48" s="85"/>
      <c r="O48" s="85"/>
      <c r="P48" s="85"/>
      <c r="Q48" s="85"/>
      <c r="R48" s="85"/>
      <c r="S48" s="85"/>
      <c r="T48" s="85"/>
      <c r="U48" s="85"/>
      <c r="V48" s="85"/>
      <c r="W48" s="85"/>
      <c r="X48" s="85"/>
      <c r="Y48" s="85"/>
      <c r="Z48" s="85"/>
      <c r="AA48" s="85"/>
      <c r="AB48" s="85"/>
      <c r="AC48" s="85"/>
      <c r="AD48" s="85"/>
      <c r="AE48" s="156"/>
    </row>
    <row r="49" outlineLevel="1">
      <c r="A49" s="141" t="s">
        <v>1113</v>
      </c>
      <c r="B49" s="130"/>
      <c r="C49" s="130"/>
      <c r="D49" s="130"/>
      <c r="E49" s="130"/>
      <c r="F49" s="130"/>
      <c r="G49" s="199"/>
      <c r="H49" s="130"/>
      <c r="I49" s="85"/>
      <c r="J49" s="85"/>
      <c r="K49" s="85"/>
      <c r="L49" s="85"/>
      <c r="M49" s="85"/>
      <c r="N49" s="85"/>
      <c r="O49" s="85"/>
      <c r="P49" s="85"/>
      <c r="Q49" s="85"/>
      <c r="R49" s="85"/>
      <c r="S49" s="85"/>
      <c r="T49" s="85"/>
      <c r="U49" s="85"/>
      <c r="V49" s="85"/>
      <c r="W49" s="85"/>
      <c r="X49" s="85"/>
      <c r="Y49" s="85"/>
      <c r="Z49" s="85"/>
      <c r="AA49" s="85"/>
      <c r="AB49" s="85"/>
      <c r="AC49" s="85"/>
      <c r="AD49" s="85"/>
      <c r="AE49" s="207"/>
    </row>
    <row r="50" outlineLevel="1">
      <c r="A50" s="213" t="s">
        <v>655</v>
      </c>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c r="AA50" s="199"/>
      <c r="AB50" s="199"/>
      <c r="AC50" s="199"/>
      <c r="AD50" s="199"/>
      <c r="AE50" s="198">
        <f t="shared" ref="AE50:AE53" si="12">SUM(B50:AD50)</f>
        <v>0</v>
      </c>
    </row>
    <row r="51" outlineLevel="1">
      <c r="A51" s="213" t="s">
        <v>482</v>
      </c>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98">
        <f t="shared" si="12"/>
        <v>0</v>
      </c>
    </row>
    <row r="52" outlineLevel="1">
      <c r="A52" s="213" t="s">
        <v>656</v>
      </c>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98">
        <f t="shared" si="12"/>
        <v>0</v>
      </c>
    </row>
    <row r="53" outlineLevel="1">
      <c r="A53" s="350" t="s">
        <v>657</v>
      </c>
      <c r="B53" s="337">
        <f t="shared" ref="B53:AD53" si="13">SUM(B50:B52)</f>
        <v>0</v>
      </c>
      <c r="C53" s="337">
        <f t="shared" si="13"/>
        <v>0</v>
      </c>
      <c r="D53" s="337">
        <f t="shared" si="13"/>
        <v>0</v>
      </c>
      <c r="E53" s="337">
        <f t="shared" si="13"/>
        <v>0</v>
      </c>
      <c r="F53" s="337">
        <f t="shared" si="13"/>
        <v>0</v>
      </c>
      <c r="G53" s="337">
        <f t="shared" si="13"/>
        <v>0</v>
      </c>
      <c r="H53" s="337">
        <f t="shared" si="13"/>
        <v>0</v>
      </c>
      <c r="I53" s="337">
        <f t="shared" si="13"/>
        <v>0</v>
      </c>
      <c r="J53" s="337">
        <f t="shared" si="13"/>
        <v>0</v>
      </c>
      <c r="K53" s="337">
        <f t="shared" si="13"/>
        <v>0</v>
      </c>
      <c r="L53" s="337">
        <f t="shared" si="13"/>
        <v>0</v>
      </c>
      <c r="M53" s="337">
        <f t="shared" si="13"/>
        <v>0</v>
      </c>
      <c r="N53" s="337">
        <f t="shared" si="13"/>
        <v>0</v>
      </c>
      <c r="O53" s="337">
        <f t="shared" si="13"/>
        <v>0</v>
      </c>
      <c r="P53" s="337">
        <f t="shared" si="13"/>
        <v>0</v>
      </c>
      <c r="Q53" s="337">
        <f t="shared" si="13"/>
        <v>0</v>
      </c>
      <c r="R53" s="337">
        <f t="shared" si="13"/>
        <v>0</v>
      </c>
      <c r="S53" s="337">
        <f t="shared" si="13"/>
        <v>0</v>
      </c>
      <c r="T53" s="337">
        <f t="shared" si="13"/>
        <v>0</v>
      </c>
      <c r="U53" s="337">
        <f t="shared" si="13"/>
        <v>0</v>
      </c>
      <c r="V53" s="337">
        <f t="shared" si="13"/>
        <v>0</v>
      </c>
      <c r="W53" s="337">
        <f t="shared" si="13"/>
        <v>0</v>
      </c>
      <c r="X53" s="337">
        <f t="shared" si="13"/>
        <v>0</v>
      </c>
      <c r="Y53" s="337">
        <f t="shared" si="13"/>
        <v>0</v>
      </c>
      <c r="Z53" s="337">
        <f t="shared" si="13"/>
        <v>0</v>
      </c>
      <c r="AA53" s="337">
        <f t="shared" si="13"/>
        <v>0</v>
      </c>
      <c r="AB53" s="337">
        <f t="shared" si="13"/>
        <v>0</v>
      </c>
      <c r="AC53" s="337">
        <f t="shared" si="13"/>
        <v>0</v>
      </c>
      <c r="AD53" s="337">
        <f t="shared" si="13"/>
        <v>0</v>
      </c>
      <c r="AE53" s="198">
        <f t="shared" si="12"/>
        <v>0</v>
      </c>
    </row>
    <row r="54" outlineLevel="1">
      <c r="A54" s="100"/>
      <c r="B54" s="130"/>
      <c r="C54" s="130"/>
      <c r="D54" s="130"/>
      <c r="E54" s="130"/>
      <c r="F54" s="130"/>
      <c r="G54" s="130"/>
      <c r="H54" s="130"/>
      <c r="I54" s="85"/>
      <c r="J54" s="85"/>
      <c r="K54" s="85"/>
      <c r="L54" s="85"/>
      <c r="M54" s="85"/>
      <c r="N54" s="85"/>
      <c r="O54" s="85"/>
      <c r="P54" s="85"/>
      <c r="Q54" s="85"/>
      <c r="R54" s="85"/>
      <c r="S54" s="85"/>
      <c r="T54" s="85"/>
      <c r="U54" s="85"/>
      <c r="V54" s="85"/>
      <c r="W54" s="85"/>
      <c r="X54" s="85"/>
      <c r="Y54" s="85"/>
      <c r="Z54" s="85"/>
      <c r="AA54" s="85"/>
      <c r="AB54" s="85"/>
      <c r="AC54" s="85"/>
      <c r="AD54" s="85"/>
      <c r="AE54" s="156"/>
    </row>
    <row r="55" outlineLevel="1">
      <c r="A55" s="413" t="s">
        <v>1114</v>
      </c>
      <c r="B55" s="414"/>
      <c r="C55" s="414"/>
      <c r="D55" s="414"/>
      <c r="E55" s="414"/>
      <c r="F55" s="414"/>
      <c r="G55" s="414"/>
      <c r="H55" s="414"/>
      <c r="I55" s="414"/>
      <c r="J55" s="414"/>
      <c r="K55" s="414"/>
      <c r="L55" s="414"/>
      <c r="M55" s="414"/>
      <c r="N55" s="414"/>
      <c r="O55" s="414"/>
      <c r="P55" s="414"/>
      <c r="Q55" s="414"/>
      <c r="R55" s="414"/>
      <c r="S55" s="414"/>
      <c r="T55" s="415"/>
      <c r="U55" s="415"/>
      <c r="V55" s="415"/>
      <c r="W55" s="415"/>
      <c r="X55" s="415"/>
      <c r="Y55" s="415"/>
      <c r="Z55" s="415"/>
      <c r="AA55" s="415"/>
      <c r="AB55" s="415"/>
      <c r="AC55" s="415"/>
      <c r="AD55" s="415"/>
      <c r="AE55" s="814"/>
    </row>
    <row r="56" outlineLevel="1">
      <c r="A56" s="213" t="s">
        <v>1115</v>
      </c>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156">
        <f t="shared" ref="AE56:AE61" si="14">SUM(B56:AD56)</f>
        <v>0</v>
      </c>
    </row>
    <row r="57" outlineLevel="1">
      <c r="A57" s="213" t="s">
        <v>1116</v>
      </c>
      <c r="B57" s="303"/>
      <c r="C57" s="303"/>
      <c r="D57" s="303"/>
      <c r="E57" s="303"/>
      <c r="F57" s="303"/>
      <c r="G57" s="303"/>
      <c r="H57" s="303"/>
      <c r="I57" s="303"/>
      <c r="J57" s="303"/>
      <c r="K57" s="303"/>
      <c r="L57" s="303"/>
      <c r="M57" s="303"/>
      <c r="N57" s="303"/>
      <c r="O57" s="303"/>
      <c r="P57" s="303"/>
      <c r="Q57" s="303"/>
      <c r="R57" s="303"/>
      <c r="S57" s="303"/>
      <c r="T57" s="303"/>
      <c r="U57" s="303"/>
      <c r="V57" s="303"/>
      <c r="W57" s="303"/>
      <c r="X57" s="303"/>
      <c r="Y57" s="303"/>
      <c r="Z57" s="303"/>
      <c r="AA57" s="303"/>
      <c r="AB57" s="303"/>
      <c r="AC57" s="303"/>
      <c r="AD57" s="303"/>
      <c r="AE57" s="156">
        <f t="shared" si="14"/>
        <v>0</v>
      </c>
    </row>
    <row r="58" outlineLevel="1">
      <c r="A58" s="213" t="s">
        <v>1117</v>
      </c>
      <c r="B58" s="303"/>
      <c r="C58" s="303"/>
      <c r="D58" s="303"/>
      <c r="E58" s="303"/>
      <c r="F58" s="303"/>
      <c r="G58" s="303"/>
      <c r="H58" s="303"/>
      <c r="I58" s="303"/>
      <c r="J58" s="303"/>
      <c r="K58" s="303"/>
      <c r="L58" s="303"/>
      <c r="M58" s="303"/>
      <c r="N58" s="303"/>
      <c r="O58" s="303"/>
      <c r="P58" s="303"/>
      <c r="Q58" s="303"/>
      <c r="R58" s="303"/>
      <c r="S58" s="303"/>
      <c r="T58" s="303"/>
      <c r="U58" s="303"/>
      <c r="V58" s="303"/>
      <c r="W58" s="303"/>
      <c r="X58" s="303"/>
      <c r="Y58" s="303"/>
      <c r="Z58" s="303"/>
      <c r="AA58" s="303"/>
      <c r="AB58" s="303"/>
      <c r="AC58" s="303"/>
      <c r="AD58" s="303"/>
      <c r="AE58" s="156">
        <f t="shared" si="14"/>
        <v>0</v>
      </c>
    </row>
    <row r="59" outlineLevel="1">
      <c r="A59" s="213" t="s">
        <v>1118</v>
      </c>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c r="AA59" s="303"/>
      <c r="AB59" s="303"/>
      <c r="AC59" s="303"/>
      <c r="AD59" s="303"/>
      <c r="AE59" s="156">
        <f t="shared" si="14"/>
        <v>0</v>
      </c>
    </row>
    <row r="60" outlineLevel="1">
      <c r="A60" s="215" t="s">
        <v>221</v>
      </c>
      <c r="B60" s="330">
        <f t="shared" ref="B60:AD60" si="15">SUM(B56:B57)</f>
        <v>0</v>
      </c>
      <c r="C60" s="330">
        <f t="shared" si="15"/>
        <v>0</v>
      </c>
      <c r="D60" s="330">
        <f t="shared" si="15"/>
        <v>0</v>
      </c>
      <c r="E60" s="330">
        <f t="shared" si="15"/>
        <v>0</v>
      </c>
      <c r="F60" s="330">
        <f t="shared" si="15"/>
        <v>0</v>
      </c>
      <c r="G60" s="330">
        <f t="shared" si="15"/>
        <v>0</v>
      </c>
      <c r="H60" s="330">
        <f t="shared" si="15"/>
        <v>0</v>
      </c>
      <c r="I60" s="330">
        <f t="shared" si="15"/>
        <v>0</v>
      </c>
      <c r="J60" s="330">
        <f t="shared" si="15"/>
        <v>0</v>
      </c>
      <c r="K60" s="330">
        <f t="shared" si="15"/>
        <v>0</v>
      </c>
      <c r="L60" s="330">
        <f t="shared" si="15"/>
        <v>0</v>
      </c>
      <c r="M60" s="330">
        <f t="shared" si="15"/>
        <v>0</v>
      </c>
      <c r="N60" s="330">
        <f t="shared" si="15"/>
        <v>0</v>
      </c>
      <c r="O60" s="330">
        <f t="shared" si="15"/>
        <v>0</v>
      </c>
      <c r="P60" s="330">
        <f t="shared" si="15"/>
        <v>0</v>
      </c>
      <c r="Q60" s="330">
        <f t="shared" si="15"/>
        <v>0</v>
      </c>
      <c r="R60" s="330">
        <f t="shared" si="15"/>
        <v>0</v>
      </c>
      <c r="S60" s="330">
        <f t="shared" si="15"/>
        <v>0</v>
      </c>
      <c r="T60" s="330">
        <f t="shared" si="15"/>
        <v>0</v>
      </c>
      <c r="U60" s="330">
        <f t="shared" si="15"/>
        <v>0</v>
      </c>
      <c r="V60" s="330">
        <f t="shared" si="15"/>
        <v>0</v>
      </c>
      <c r="W60" s="330">
        <f t="shared" si="15"/>
        <v>0</v>
      </c>
      <c r="X60" s="330">
        <f t="shared" si="15"/>
        <v>0</v>
      </c>
      <c r="Y60" s="330">
        <f t="shared" si="15"/>
        <v>0</v>
      </c>
      <c r="Z60" s="330">
        <f t="shared" si="15"/>
        <v>0</v>
      </c>
      <c r="AA60" s="330">
        <f t="shared" si="15"/>
        <v>0</v>
      </c>
      <c r="AB60" s="330">
        <f t="shared" si="15"/>
        <v>0</v>
      </c>
      <c r="AC60" s="330">
        <f t="shared" si="15"/>
        <v>0</v>
      </c>
      <c r="AD60" s="330">
        <f t="shared" si="15"/>
        <v>0</v>
      </c>
      <c r="AE60" s="156">
        <f t="shared" si="14"/>
        <v>0</v>
      </c>
    </row>
    <row r="61" outlineLevel="1">
      <c r="A61" s="215" t="s">
        <v>222</v>
      </c>
      <c r="B61" s="330">
        <f t="shared" ref="B61:AD61" si="16">SUM(B58:B59)</f>
        <v>0</v>
      </c>
      <c r="C61" s="330">
        <f t="shared" si="16"/>
        <v>0</v>
      </c>
      <c r="D61" s="330">
        <f t="shared" si="16"/>
        <v>0</v>
      </c>
      <c r="E61" s="330">
        <f t="shared" si="16"/>
        <v>0</v>
      </c>
      <c r="F61" s="330">
        <f t="shared" si="16"/>
        <v>0</v>
      </c>
      <c r="G61" s="330">
        <f t="shared" si="16"/>
        <v>0</v>
      </c>
      <c r="H61" s="330">
        <f t="shared" si="16"/>
        <v>0</v>
      </c>
      <c r="I61" s="330">
        <f t="shared" si="16"/>
        <v>0</v>
      </c>
      <c r="J61" s="330">
        <f t="shared" si="16"/>
        <v>0</v>
      </c>
      <c r="K61" s="330">
        <f t="shared" si="16"/>
        <v>0</v>
      </c>
      <c r="L61" s="330">
        <f t="shared" si="16"/>
        <v>0</v>
      </c>
      <c r="M61" s="330">
        <f t="shared" si="16"/>
        <v>0</v>
      </c>
      <c r="N61" s="330">
        <f t="shared" si="16"/>
        <v>0</v>
      </c>
      <c r="O61" s="330">
        <f t="shared" si="16"/>
        <v>0</v>
      </c>
      <c r="P61" s="330">
        <f t="shared" si="16"/>
        <v>0</v>
      </c>
      <c r="Q61" s="330">
        <f t="shared" si="16"/>
        <v>0</v>
      </c>
      <c r="R61" s="330">
        <f t="shared" si="16"/>
        <v>0</v>
      </c>
      <c r="S61" s="330">
        <f t="shared" si="16"/>
        <v>0</v>
      </c>
      <c r="T61" s="330">
        <f t="shared" si="16"/>
        <v>0</v>
      </c>
      <c r="U61" s="330">
        <f t="shared" si="16"/>
        <v>0</v>
      </c>
      <c r="V61" s="330">
        <f t="shared" si="16"/>
        <v>0</v>
      </c>
      <c r="W61" s="330">
        <f t="shared" si="16"/>
        <v>0</v>
      </c>
      <c r="X61" s="330">
        <f t="shared" si="16"/>
        <v>0</v>
      </c>
      <c r="Y61" s="330">
        <f t="shared" si="16"/>
        <v>0</v>
      </c>
      <c r="Z61" s="330">
        <f t="shared" si="16"/>
        <v>0</v>
      </c>
      <c r="AA61" s="330">
        <f t="shared" si="16"/>
        <v>0</v>
      </c>
      <c r="AB61" s="330">
        <f t="shared" si="16"/>
        <v>0</v>
      </c>
      <c r="AC61" s="330">
        <f t="shared" si="16"/>
        <v>0</v>
      </c>
      <c r="AD61" s="330">
        <f t="shared" si="16"/>
        <v>0</v>
      </c>
      <c r="AE61" s="156">
        <f t="shared" si="14"/>
        <v>0</v>
      </c>
    </row>
    <row r="62" outlineLevel="1">
      <c r="A62" s="100"/>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c r="AA62" s="181"/>
      <c r="AB62" s="181"/>
      <c r="AC62" s="181"/>
      <c r="AD62" s="181"/>
      <c r="AE62" s="207"/>
    </row>
    <row r="63" outlineLevel="1">
      <c r="A63" s="213" t="s">
        <v>224</v>
      </c>
      <c r="B63" s="303"/>
      <c r="C63" s="303"/>
      <c r="D63" s="303"/>
      <c r="E63" s="303"/>
      <c r="F63" s="303"/>
      <c r="G63" s="303"/>
      <c r="H63" s="303"/>
      <c r="I63" s="303"/>
      <c r="J63" s="303"/>
      <c r="K63" s="303"/>
      <c r="L63" s="303"/>
      <c r="M63" s="303"/>
      <c r="N63" s="303"/>
      <c r="O63" s="303"/>
      <c r="P63" s="303"/>
      <c r="Q63" s="303"/>
      <c r="R63" s="303"/>
      <c r="S63" s="303"/>
      <c r="T63" s="303"/>
      <c r="U63" s="303"/>
      <c r="V63" s="303"/>
      <c r="W63" s="303"/>
      <c r="X63" s="303"/>
      <c r="Y63" s="303"/>
      <c r="Z63" s="303"/>
      <c r="AA63" s="303"/>
      <c r="AB63" s="303"/>
      <c r="AC63" s="303"/>
      <c r="AD63" s="303"/>
      <c r="AE63" s="156">
        <f t="shared" ref="AE63:AE71" si="17">SUM(B63:AD63)</f>
        <v>0</v>
      </c>
    </row>
    <row r="64" outlineLevel="1">
      <c r="A64" s="213" t="s">
        <v>225</v>
      </c>
      <c r="B64" s="303"/>
      <c r="C64" s="303"/>
      <c r="D64" s="303"/>
      <c r="E64" s="303"/>
      <c r="F64" s="303"/>
      <c r="G64" s="303"/>
      <c r="H64" s="303"/>
      <c r="I64" s="303"/>
      <c r="J64" s="303"/>
      <c r="K64" s="303"/>
      <c r="L64" s="303"/>
      <c r="M64" s="303"/>
      <c r="N64" s="303"/>
      <c r="O64" s="303"/>
      <c r="P64" s="303"/>
      <c r="Q64" s="303"/>
      <c r="R64" s="303"/>
      <c r="S64" s="303"/>
      <c r="T64" s="303"/>
      <c r="U64" s="303"/>
      <c r="V64" s="303"/>
      <c r="W64" s="303"/>
      <c r="X64" s="303"/>
      <c r="Y64" s="303"/>
      <c r="Z64" s="303"/>
      <c r="AA64" s="303"/>
      <c r="AB64" s="303"/>
      <c r="AC64" s="303"/>
      <c r="AD64" s="303"/>
      <c r="AE64" s="156">
        <f t="shared" si="17"/>
        <v>0</v>
      </c>
    </row>
    <row r="65" outlineLevel="1">
      <c r="A65" s="213" t="s">
        <v>1119</v>
      </c>
      <c r="B65" s="303"/>
      <c r="C65" s="303"/>
      <c r="D65" s="303"/>
      <c r="E65" s="303"/>
      <c r="F65" s="303"/>
      <c r="G65" s="303"/>
      <c r="H65" s="303"/>
      <c r="I65" s="303"/>
      <c r="J65" s="303"/>
      <c r="K65" s="303"/>
      <c r="L65" s="303"/>
      <c r="M65" s="303"/>
      <c r="N65" s="303"/>
      <c r="O65" s="303"/>
      <c r="P65" s="303"/>
      <c r="Q65" s="303"/>
      <c r="R65" s="303"/>
      <c r="S65" s="303"/>
      <c r="T65" s="303"/>
      <c r="U65" s="303"/>
      <c r="V65" s="303"/>
      <c r="W65" s="303"/>
      <c r="X65" s="303"/>
      <c r="Y65" s="303"/>
      <c r="Z65" s="303"/>
      <c r="AA65" s="303"/>
      <c r="AB65" s="303"/>
      <c r="AC65" s="303"/>
      <c r="AD65" s="303"/>
      <c r="AE65" s="156">
        <f t="shared" si="17"/>
        <v>0</v>
      </c>
    </row>
    <row r="66" outlineLevel="1">
      <c r="A66" s="213" t="s">
        <v>1120</v>
      </c>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c r="AA66" s="303"/>
      <c r="AB66" s="303"/>
      <c r="AC66" s="303"/>
      <c r="AD66" s="303"/>
      <c r="AE66" s="156">
        <f t="shared" si="17"/>
        <v>0</v>
      </c>
    </row>
    <row r="67" outlineLevel="1">
      <c r="A67" s="213" t="s">
        <v>1121</v>
      </c>
      <c r="B67" s="303"/>
      <c r="C67" s="303"/>
      <c r="D67" s="303"/>
      <c r="E67" s="303"/>
      <c r="F67" s="303"/>
      <c r="G67" s="303"/>
      <c r="H67" s="303"/>
      <c r="I67" s="303"/>
      <c r="J67" s="303"/>
      <c r="K67" s="303"/>
      <c r="L67" s="303"/>
      <c r="M67" s="303"/>
      <c r="N67" s="303"/>
      <c r="O67" s="303"/>
      <c r="P67" s="303"/>
      <c r="Q67" s="303"/>
      <c r="R67" s="303"/>
      <c r="S67" s="303"/>
      <c r="T67" s="303"/>
      <c r="U67" s="303"/>
      <c r="V67" s="303"/>
      <c r="W67" s="303"/>
      <c r="X67" s="303"/>
      <c r="Y67" s="303"/>
      <c r="Z67" s="303"/>
      <c r="AA67" s="303"/>
      <c r="AB67" s="303"/>
      <c r="AC67" s="303"/>
      <c r="AD67" s="303"/>
      <c r="AE67" s="156">
        <f t="shared" si="17"/>
        <v>0</v>
      </c>
    </row>
    <row r="68" outlineLevel="1">
      <c r="A68" s="213" t="s">
        <v>1122</v>
      </c>
      <c r="B68" s="303"/>
      <c r="C68" s="303"/>
      <c r="D68" s="303"/>
      <c r="E68" s="303"/>
      <c r="F68" s="303"/>
      <c r="G68" s="303"/>
      <c r="H68" s="303"/>
      <c r="I68" s="303"/>
      <c r="J68" s="303"/>
      <c r="K68" s="303"/>
      <c r="L68" s="303"/>
      <c r="M68" s="303"/>
      <c r="N68" s="303"/>
      <c r="O68" s="303"/>
      <c r="P68" s="303"/>
      <c r="Q68" s="303"/>
      <c r="R68" s="303"/>
      <c r="S68" s="303"/>
      <c r="T68" s="303"/>
      <c r="U68" s="303"/>
      <c r="V68" s="303"/>
      <c r="W68" s="303"/>
      <c r="X68" s="303"/>
      <c r="Y68" s="303"/>
      <c r="Z68" s="303"/>
      <c r="AA68" s="303"/>
      <c r="AB68" s="303"/>
      <c r="AC68" s="303"/>
      <c r="AD68" s="303"/>
      <c r="AE68" s="156">
        <f t="shared" si="17"/>
        <v>0</v>
      </c>
    </row>
    <row r="69" outlineLevel="1">
      <c r="A69" s="213" t="s">
        <v>1123</v>
      </c>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303"/>
      <c r="AE69" s="156">
        <f t="shared" si="17"/>
        <v>0</v>
      </c>
    </row>
    <row r="70" outlineLevel="1">
      <c r="A70" s="213" t="s">
        <v>1124</v>
      </c>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156">
        <f t="shared" si="17"/>
        <v>0</v>
      </c>
    </row>
    <row r="71" outlineLevel="1">
      <c r="A71" s="217" t="s">
        <v>141</v>
      </c>
      <c r="B71" s="330">
        <f t="shared" ref="B71:AD71" si="18">SUM(B63:B70)</f>
        <v>0</v>
      </c>
      <c r="C71" s="330">
        <f t="shared" si="18"/>
        <v>0</v>
      </c>
      <c r="D71" s="330">
        <f t="shared" si="18"/>
        <v>0</v>
      </c>
      <c r="E71" s="330">
        <f t="shared" si="18"/>
        <v>0</v>
      </c>
      <c r="F71" s="330">
        <f t="shared" si="18"/>
        <v>0</v>
      </c>
      <c r="G71" s="330">
        <f t="shared" si="18"/>
        <v>0</v>
      </c>
      <c r="H71" s="330">
        <f t="shared" si="18"/>
        <v>0</v>
      </c>
      <c r="I71" s="330">
        <f t="shared" si="18"/>
        <v>0</v>
      </c>
      <c r="J71" s="330">
        <f t="shared" si="18"/>
        <v>0</v>
      </c>
      <c r="K71" s="330">
        <f t="shared" si="18"/>
        <v>0</v>
      </c>
      <c r="L71" s="330">
        <f t="shared" si="18"/>
        <v>0</v>
      </c>
      <c r="M71" s="330">
        <f t="shared" si="18"/>
        <v>0</v>
      </c>
      <c r="N71" s="330">
        <f t="shared" si="18"/>
        <v>0</v>
      </c>
      <c r="O71" s="330">
        <f t="shared" si="18"/>
        <v>0</v>
      </c>
      <c r="P71" s="330">
        <f t="shared" si="18"/>
        <v>0</v>
      </c>
      <c r="Q71" s="330">
        <f t="shared" si="18"/>
        <v>0</v>
      </c>
      <c r="R71" s="330">
        <f t="shared" si="18"/>
        <v>0</v>
      </c>
      <c r="S71" s="330">
        <f t="shared" si="18"/>
        <v>0</v>
      </c>
      <c r="T71" s="330">
        <f t="shared" si="18"/>
        <v>0</v>
      </c>
      <c r="U71" s="330">
        <f t="shared" si="18"/>
        <v>0</v>
      </c>
      <c r="V71" s="330">
        <f t="shared" si="18"/>
        <v>0</v>
      </c>
      <c r="W71" s="330">
        <f t="shared" si="18"/>
        <v>0</v>
      </c>
      <c r="X71" s="330">
        <f t="shared" si="18"/>
        <v>0</v>
      </c>
      <c r="Y71" s="330">
        <f t="shared" si="18"/>
        <v>0</v>
      </c>
      <c r="Z71" s="330">
        <f t="shared" si="18"/>
        <v>0</v>
      </c>
      <c r="AA71" s="330">
        <f t="shared" si="18"/>
        <v>0</v>
      </c>
      <c r="AB71" s="330">
        <f t="shared" si="18"/>
        <v>0</v>
      </c>
      <c r="AC71" s="330">
        <f t="shared" si="18"/>
        <v>0</v>
      </c>
      <c r="AD71" s="330">
        <f t="shared" si="18"/>
        <v>0</v>
      </c>
      <c r="AE71" s="156">
        <f t="shared" si="17"/>
        <v>0</v>
      </c>
    </row>
    <row r="72" outlineLevel="1">
      <c r="A72" s="172"/>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c r="AA72" s="181"/>
      <c r="AB72" s="181"/>
      <c r="AC72" s="181"/>
      <c r="AD72" s="181"/>
      <c r="AE72" s="198"/>
    </row>
    <row r="73" outlineLevel="1">
      <c r="A73" s="141" t="s">
        <v>1125</v>
      </c>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c r="AA73" s="181"/>
      <c r="AB73" s="181"/>
      <c r="AC73" s="181"/>
      <c r="AD73" s="181"/>
      <c r="AE73" s="207"/>
    </row>
    <row r="74" outlineLevel="1">
      <c r="A74" s="213" t="s">
        <v>655</v>
      </c>
      <c r="B74" s="199"/>
      <c r="C74" s="199"/>
      <c r="D74" s="199"/>
      <c r="E74" s="226"/>
      <c r="F74" s="226"/>
      <c r="G74" s="226"/>
      <c r="H74" s="226"/>
      <c r="I74" s="226"/>
      <c r="J74" s="226"/>
      <c r="K74" s="226"/>
      <c r="L74" s="199"/>
      <c r="M74" s="226"/>
      <c r="N74" s="226"/>
      <c r="O74" s="226"/>
      <c r="P74" s="226"/>
      <c r="Q74" s="226"/>
      <c r="R74" s="226"/>
      <c r="S74" s="226"/>
      <c r="T74" s="226"/>
      <c r="U74" s="226"/>
      <c r="V74" s="226"/>
      <c r="W74" s="226"/>
      <c r="X74" s="199"/>
      <c r="Y74" s="226"/>
      <c r="Z74" s="226"/>
      <c r="AA74" s="226"/>
      <c r="AB74" s="226"/>
      <c r="AC74" s="226"/>
      <c r="AD74" s="199"/>
      <c r="AE74" s="198">
        <f t="shared" ref="AE74:AE77" si="19">SUM(B74:AD74)</f>
        <v>0</v>
      </c>
    </row>
    <row r="75" outlineLevel="1">
      <c r="A75" s="213" t="s">
        <v>482</v>
      </c>
      <c r="B75" s="99"/>
      <c r="C75" s="99"/>
      <c r="D75" s="99"/>
      <c r="E75" s="99"/>
      <c r="F75" s="99"/>
      <c r="G75" s="313"/>
      <c r="H75" s="313"/>
      <c r="I75" s="313"/>
      <c r="J75" s="313"/>
      <c r="K75" s="99"/>
      <c r="L75" s="313"/>
      <c r="M75" s="313"/>
      <c r="N75" s="313"/>
      <c r="O75" s="313"/>
      <c r="P75" s="313"/>
      <c r="Q75" s="313"/>
      <c r="R75" s="313"/>
      <c r="S75" s="313"/>
      <c r="T75" s="313"/>
      <c r="U75" s="313"/>
      <c r="V75" s="313"/>
      <c r="W75" s="313"/>
      <c r="X75" s="313"/>
      <c r="Y75" s="313"/>
      <c r="Z75" s="313"/>
      <c r="AA75" s="313"/>
      <c r="AB75" s="313"/>
      <c r="AC75" s="313"/>
      <c r="AD75" s="313"/>
      <c r="AE75" s="198">
        <f t="shared" si="19"/>
        <v>0</v>
      </c>
    </row>
    <row r="76" outlineLevel="1">
      <c r="A76" s="213" t="s">
        <v>656</v>
      </c>
      <c r="B76" s="99"/>
      <c r="C76" s="99"/>
      <c r="D76" s="99"/>
      <c r="E76" s="99"/>
      <c r="F76" s="99"/>
      <c r="G76" s="313"/>
      <c r="H76" s="313"/>
      <c r="I76" s="313"/>
      <c r="J76" s="313"/>
      <c r="K76" s="99"/>
      <c r="L76" s="313"/>
      <c r="M76" s="313"/>
      <c r="N76" s="313"/>
      <c r="O76" s="313"/>
      <c r="P76" s="313"/>
      <c r="Q76" s="313"/>
      <c r="R76" s="313"/>
      <c r="S76" s="313"/>
      <c r="T76" s="313"/>
      <c r="U76" s="313"/>
      <c r="V76" s="313"/>
      <c r="W76" s="313"/>
      <c r="X76" s="313"/>
      <c r="Y76" s="313"/>
      <c r="Z76" s="313"/>
      <c r="AA76" s="313"/>
      <c r="AB76" s="313"/>
      <c r="AC76" s="313"/>
      <c r="AD76" s="313"/>
      <c r="AE76" s="198">
        <f t="shared" si="19"/>
        <v>0</v>
      </c>
    </row>
    <row r="77" outlineLevel="1">
      <c r="A77" s="411" t="s">
        <v>657</v>
      </c>
      <c r="B77" s="412">
        <f t="shared" ref="B77:AD77" si="20">sum(B74:B76)</f>
        <v>0</v>
      </c>
      <c r="C77" s="412">
        <f t="shared" si="20"/>
        <v>0</v>
      </c>
      <c r="D77" s="412">
        <f t="shared" si="20"/>
        <v>0</v>
      </c>
      <c r="E77" s="412">
        <f t="shared" si="20"/>
        <v>0</v>
      </c>
      <c r="F77" s="412">
        <f t="shared" si="20"/>
        <v>0</v>
      </c>
      <c r="G77" s="412">
        <f t="shared" si="20"/>
        <v>0</v>
      </c>
      <c r="H77" s="412">
        <f t="shared" si="20"/>
        <v>0</v>
      </c>
      <c r="I77" s="412">
        <f t="shared" si="20"/>
        <v>0</v>
      </c>
      <c r="J77" s="412">
        <f t="shared" si="20"/>
        <v>0</v>
      </c>
      <c r="K77" s="412">
        <f t="shared" si="20"/>
        <v>0</v>
      </c>
      <c r="L77" s="412">
        <f t="shared" si="20"/>
        <v>0</v>
      </c>
      <c r="M77" s="412">
        <f t="shared" si="20"/>
        <v>0</v>
      </c>
      <c r="N77" s="412">
        <f t="shared" si="20"/>
        <v>0</v>
      </c>
      <c r="O77" s="412">
        <f t="shared" si="20"/>
        <v>0</v>
      </c>
      <c r="P77" s="412">
        <f t="shared" si="20"/>
        <v>0</v>
      </c>
      <c r="Q77" s="412">
        <f t="shared" si="20"/>
        <v>0</v>
      </c>
      <c r="R77" s="412">
        <f t="shared" si="20"/>
        <v>0</v>
      </c>
      <c r="S77" s="412">
        <f t="shared" si="20"/>
        <v>0</v>
      </c>
      <c r="T77" s="412">
        <f t="shared" si="20"/>
        <v>0</v>
      </c>
      <c r="U77" s="412">
        <f t="shared" si="20"/>
        <v>0</v>
      </c>
      <c r="V77" s="412">
        <f t="shared" si="20"/>
        <v>0</v>
      </c>
      <c r="W77" s="412">
        <f t="shared" si="20"/>
        <v>0</v>
      </c>
      <c r="X77" s="412">
        <f t="shared" si="20"/>
        <v>0</v>
      </c>
      <c r="Y77" s="412">
        <f t="shared" si="20"/>
        <v>0</v>
      </c>
      <c r="Z77" s="412">
        <f t="shared" si="20"/>
        <v>0</v>
      </c>
      <c r="AA77" s="412">
        <f t="shared" si="20"/>
        <v>0</v>
      </c>
      <c r="AB77" s="412">
        <f t="shared" si="20"/>
        <v>0</v>
      </c>
      <c r="AC77" s="412">
        <f t="shared" si="20"/>
        <v>0</v>
      </c>
      <c r="AD77" s="412">
        <f t="shared" si="20"/>
        <v>0</v>
      </c>
      <c r="AE77" s="815">
        <f t="shared" si="19"/>
        <v>0</v>
      </c>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156"/>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156"/>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156"/>
    </row>
    <row r="81" ht="30.75" customHeight="1">
      <c r="A81" s="396" t="s">
        <v>1126</v>
      </c>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6"/>
    </row>
    <row r="82" collapsed="1">
      <c r="A82" s="136" t="s">
        <v>90</v>
      </c>
      <c r="B82" s="137">
        <f>Summary!B38</f>
        <v>361.9374</v>
      </c>
      <c r="C82" s="137">
        <f>Summary!C38</f>
        <v>1826.6694</v>
      </c>
      <c r="D82" s="137">
        <f>Summary!D38</f>
        <v>496.7352</v>
      </c>
      <c r="E82" s="137">
        <f>Summary!E38</f>
        <v>254.736</v>
      </c>
      <c r="F82" s="137">
        <f>Summary!F38</f>
        <v>254.736</v>
      </c>
      <c r="G82" s="137">
        <f>Summary!G38</f>
        <v>241.9992</v>
      </c>
      <c r="H82" s="137">
        <f>Summary!H38</f>
        <v>254.736</v>
      </c>
      <c r="I82" s="137">
        <f>Summary!I38</f>
        <v>507.3492</v>
      </c>
      <c r="J82" s="137">
        <f>Summary!J38</f>
        <v>954.1986</v>
      </c>
      <c r="K82" s="137">
        <f>Summary!K38</f>
        <v>496.7352</v>
      </c>
      <c r="L82" s="137">
        <f>Summary!L38</f>
        <v>254.736</v>
      </c>
      <c r="M82" s="137">
        <f>Summary!M38</f>
        <v>680.3574</v>
      </c>
      <c r="N82" s="137">
        <f>Summary!N38</f>
        <v>496.7352</v>
      </c>
      <c r="O82" s="137">
        <f>Summary!O38</f>
        <v>762.0852</v>
      </c>
      <c r="P82" s="137">
        <f>Summary!P38</f>
        <v>458.5248</v>
      </c>
      <c r="Q82" s="137">
        <f>Summary!Q38</f>
        <v>1487.0214</v>
      </c>
      <c r="R82" s="137">
        <f>Summary!R38</f>
        <v>254.736</v>
      </c>
      <c r="S82" s="137">
        <f>Summary!S38</f>
        <v>500.9808</v>
      </c>
      <c r="T82" s="137">
        <f>Summary!T38</f>
        <v>0</v>
      </c>
      <c r="U82" s="137">
        <f>Summary!U38</f>
        <v>684.603</v>
      </c>
      <c r="V82" s="137">
        <f>Summary!V38</f>
        <v>850.1814</v>
      </c>
      <c r="W82" s="137">
        <f>Summary!W38</f>
        <v>2357.3694</v>
      </c>
      <c r="X82" s="137">
        <f>Summary!X38</f>
        <v>3419.8308</v>
      </c>
      <c r="Y82" s="137">
        <f>Summary!Y38</f>
        <v>2728.8594</v>
      </c>
      <c r="Z82" s="137">
        <f>Summary!Z38</f>
        <v>2183.2998</v>
      </c>
      <c r="AA82" s="137">
        <f>Summary!AA38</f>
        <v>2849.859</v>
      </c>
      <c r="AB82" s="137">
        <f>Summary!AB38</f>
        <v>2424.2376</v>
      </c>
      <c r="AC82" s="137">
        <f>Summary!AC38</f>
        <v>1966.7742</v>
      </c>
      <c r="AD82" s="137">
        <f>Summary!AD38</f>
        <v>2271.396</v>
      </c>
      <c r="AE82" s="156">
        <f>sum(B82:AD82)</f>
        <v>32281.4196</v>
      </c>
    </row>
    <row r="83" hidden="1" outlineLevel="1">
      <c r="A83" s="808" t="s">
        <v>121</v>
      </c>
      <c r="B83" s="399"/>
      <c r="C83" s="399"/>
      <c r="D83" s="399"/>
      <c r="E83" s="399"/>
      <c r="F83" s="399"/>
      <c r="G83" s="399"/>
      <c r="H83" s="399"/>
      <c r="I83" s="399"/>
      <c r="J83" s="399"/>
      <c r="K83" s="399"/>
      <c r="L83" s="399"/>
      <c r="M83" s="399"/>
      <c r="N83" s="399"/>
      <c r="O83" s="399"/>
      <c r="P83" s="399"/>
      <c r="Q83" s="399"/>
      <c r="R83" s="399"/>
      <c r="S83" s="399"/>
      <c r="T83" s="399"/>
      <c r="U83" s="399"/>
      <c r="V83" s="399"/>
      <c r="W83" s="399"/>
      <c r="X83" s="399"/>
      <c r="Y83" s="399"/>
      <c r="Z83" s="399"/>
      <c r="AA83" s="399"/>
      <c r="AB83" s="399"/>
      <c r="AC83" s="399"/>
      <c r="AD83" s="399"/>
      <c r="AE83" s="156"/>
    </row>
    <row r="84" hidden="1" outlineLevel="1">
      <c r="A84" s="810" t="s">
        <v>42</v>
      </c>
      <c r="B84" s="137">
        <f>Summary!B40</f>
        <v>20.9374</v>
      </c>
      <c r="C84" s="137">
        <f>Summary!C40</f>
        <v>105.6694</v>
      </c>
      <c r="D84" s="137">
        <f>Summary!D40</f>
        <v>28.7352</v>
      </c>
      <c r="E84" s="137">
        <f>Summary!E40</f>
        <v>14.736</v>
      </c>
      <c r="F84" s="137">
        <f>Summary!F40</f>
        <v>14.736</v>
      </c>
      <c r="G84" s="137">
        <f>Summary!G40</f>
        <v>13.9992</v>
      </c>
      <c r="H84" s="137">
        <f>Summary!H40</f>
        <v>14.736</v>
      </c>
      <c r="I84" s="137">
        <f>Summary!I40</f>
        <v>29.3492</v>
      </c>
      <c r="J84" s="137">
        <f>Summary!J40</f>
        <v>55.1986</v>
      </c>
      <c r="K84" s="137">
        <f>Summary!K40</f>
        <v>28.7352</v>
      </c>
      <c r="L84" s="137">
        <f>Summary!L40</f>
        <v>14.736</v>
      </c>
      <c r="M84" s="137">
        <f>Summary!M40</f>
        <v>39.3574</v>
      </c>
      <c r="N84" s="137">
        <f>Summary!N40</f>
        <v>28.7352</v>
      </c>
      <c r="O84" s="137">
        <f>Summary!O40</f>
        <v>44.0852</v>
      </c>
      <c r="P84" s="137">
        <f>Summary!P40</f>
        <v>26.5248</v>
      </c>
      <c r="Q84" s="137">
        <f>Summary!Q40</f>
        <v>86.0214</v>
      </c>
      <c r="R84" s="137">
        <f>Summary!R40</f>
        <v>14.736</v>
      </c>
      <c r="S84" s="137">
        <f>Summary!S40</f>
        <v>28.9808</v>
      </c>
      <c r="T84" s="137">
        <f>Summary!T40</f>
        <v>0</v>
      </c>
      <c r="U84" s="137">
        <f>Summary!U40</f>
        <v>39.603</v>
      </c>
      <c r="V84" s="137">
        <f>Summary!V40</f>
        <v>49.1814</v>
      </c>
      <c r="W84" s="137">
        <f>Summary!W40</f>
        <v>136.3694</v>
      </c>
      <c r="X84" s="137">
        <f>Summary!X40</f>
        <v>197.8308</v>
      </c>
      <c r="Y84" s="137">
        <f>Summary!Y40</f>
        <v>157.8594</v>
      </c>
      <c r="Z84" s="137">
        <f>Summary!Z40</f>
        <v>126.2998</v>
      </c>
      <c r="AA84" s="137">
        <f>Summary!AA40</f>
        <v>164.859</v>
      </c>
      <c r="AB84" s="137">
        <f>Summary!AB40</f>
        <v>140.2376</v>
      </c>
      <c r="AC84" s="137">
        <f>Summary!AC40</f>
        <v>113.7742</v>
      </c>
      <c r="AD84" s="137">
        <f>Summary!AD40</f>
        <v>131.396</v>
      </c>
      <c r="AE84" s="156">
        <f t="shared" ref="AE84:AE86" si="21">sum(B84:AD84)</f>
        <v>1867.4196</v>
      </c>
    </row>
    <row r="85" hidden="1" outlineLevel="1">
      <c r="A85" s="810" t="s">
        <v>629</v>
      </c>
      <c r="B85" s="137" t="str">
        <f>Summary!B41</f>
        <v/>
      </c>
      <c r="C85" s="137" t="str">
        <f>Summary!C41</f>
        <v/>
      </c>
      <c r="D85" s="137" t="str">
        <f>Summary!D41</f>
        <v/>
      </c>
      <c r="E85" s="137" t="str">
        <f>Summary!E41</f>
        <v/>
      </c>
      <c r="F85" s="137" t="str">
        <f>Summary!F41</f>
        <v/>
      </c>
      <c r="G85" s="137" t="str">
        <f>Summary!G41</f>
        <v/>
      </c>
      <c r="H85" s="137" t="str">
        <f>Summary!H41</f>
        <v/>
      </c>
      <c r="I85" s="137" t="str">
        <f>Summary!I41</f>
        <v/>
      </c>
      <c r="J85" s="137" t="str">
        <f>Summary!J41</f>
        <v/>
      </c>
      <c r="K85" s="137" t="str">
        <f>Summary!K41</f>
        <v/>
      </c>
      <c r="L85" s="137" t="str">
        <f>Summary!L41</f>
        <v/>
      </c>
      <c r="M85" s="137" t="str">
        <f>Summary!M41</f>
        <v/>
      </c>
      <c r="N85" s="137" t="str">
        <f>Summary!N41</f>
        <v/>
      </c>
      <c r="O85" s="137" t="str">
        <f>Summary!O41</f>
        <v/>
      </c>
      <c r="P85" s="137" t="str">
        <f>Summary!P41</f>
        <v/>
      </c>
      <c r="Q85" s="137" t="str">
        <f>Summary!Q41</f>
        <v/>
      </c>
      <c r="R85" s="137" t="str">
        <f>Summary!R41</f>
        <v/>
      </c>
      <c r="S85" s="137" t="str">
        <f>Summary!S41</f>
        <v/>
      </c>
      <c r="T85" s="137" t="str">
        <f>Summary!T41</f>
        <v/>
      </c>
      <c r="U85" s="137" t="str">
        <f>Summary!U41</f>
        <v/>
      </c>
      <c r="V85" s="137" t="str">
        <f>Summary!V41</f>
        <v/>
      </c>
      <c r="W85" s="137" t="str">
        <f>Summary!W41</f>
        <v/>
      </c>
      <c r="X85" s="137" t="str">
        <f>Summary!X41</f>
        <v/>
      </c>
      <c r="Y85" s="137" t="str">
        <f>Summary!Y41</f>
        <v/>
      </c>
      <c r="Z85" s="137" t="str">
        <f>Summary!Z41</f>
        <v/>
      </c>
      <c r="AA85" s="137" t="str">
        <f>Summary!AA41</f>
        <v/>
      </c>
      <c r="AB85" s="137" t="str">
        <f>Summary!AB41</f>
        <v/>
      </c>
      <c r="AC85" s="137" t="str">
        <f>Summary!AC41</f>
        <v/>
      </c>
      <c r="AD85" s="137" t="str">
        <f>Summary!AD41</f>
        <v/>
      </c>
      <c r="AE85" s="156">
        <f t="shared" si="21"/>
        <v>0</v>
      </c>
    </row>
    <row r="86">
      <c r="A86" s="136" t="s">
        <v>97</v>
      </c>
      <c r="B86" s="160">
        <f>Summary!B68</f>
        <v>2</v>
      </c>
      <c r="C86" s="160">
        <f>Summary!C68</f>
        <v>8</v>
      </c>
      <c r="D86" s="160">
        <f>Summary!D68</f>
        <v>2</v>
      </c>
      <c r="E86" s="160">
        <f>Summary!E68</f>
        <v>1</v>
      </c>
      <c r="F86" s="160">
        <f>Summary!F68</f>
        <v>1</v>
      </c>
      <c r="G86" s="160">
        <f>Summary!G68</f>
        <v>1</v>
      </c>
      <c r="H86" s="160">
        <f>Summary!H68</f>
        <v>1</v>
      </c>
      <c r="I86" s="160">
        <f>Summary!I68</f>
        <v>2</v>
      </c>
      <c r="J86" s="160">
        <f>Summary!J68</f>
        <v>4</v>
      </c>
      <c r="K86" s="160">
        <f>Summary!K68</f>
        <v>2</v>
      </c>
      <c r="L86" s="160">
        <f>Summary!L68</f>
        <v>1</v>
      </c>
      <c r="M86" s="160">
        <f>Summary!M68</f>
        <v>3</v>
      </c>
      <c r="N86" s="160">
        <f>Summary!N68</f>
        <v>2</v>
      </c>
      <c r="O86" s="160">
        <f>Summary!O68</f>
        <v>3</v>
      </c>
      <c r="P86" s="160">
        <f>Summary!P68</f>
        <v>2</v>
      </c>
      <c r="Q86" s="160">
        <f>Summary!Q68</f>
        <v>6</v>
      </c>
      <c r="R86" s="160">
        <f>Summary!R68</f>
        <v>1</v>
      </c>
      <c r="S86" s="160">
        <f>Summary!S68</f>
        <v>2</v>
      </c>
      <c r="T86" s="160">
        <f>Summary!T68</f>
        <v>0</v>
      </c>
      <c r="U86" s="160">
        <f>Summary!U68</f>
        <v>3</v>
      </c>
      <c r="V86" s="160">
        <f>Summary!V68</f>
        <v>4</v>
      </c>
      <c r="W86" s="160">
        <f>Summary!W68</f>
        <v>12</v>
      </c>
      <c r="X86" s="160">
        <f>Summary!X68</f>
        <v>17</v>
      </c>
      <c r="Y86" s="160">
        <f>Summary!Y68</f>
        <v>14</v>
      </c>
      <c r="Z86" s="160">
        <f>Summary!Z68</f>
        <v>11</v>
      </c>
      <c r="AA86" s="160">
        <f>Summary!AA68</f>
        <v>14</v>
      </c>
      <c r="AB86" s="160">
        <f>Summary!AB68</f>
        <v>11</v>
      </c>
      <c r="AC86" s="160">
        <f>Summary!AC68</f>
        <v>10</v>
      </c>
      <c r="AD86" s="160">
        <f>Summary!AD68</f>
        <v>11</v>
      </c>
      <c r="AE86" s="156">
        <f t="shared" si="21"/>
        <v>151</v>
      </c>
    </row>
    <row r="87">
      <c r="A87" s="100"/>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140"/>
    </row>
    <row r="88">
      <c r="A88" s="213" t="s">
        <v>1127</v>
      </c>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140"/>
    </row>
    <row r="89">
      <c r="A89" s="100"/>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140"/>
    </row>
    <row r="90">
      <c r="A90" s="141" t="s">
        <v>1128</v>
      </c>
      <c r="B90" s="159"/>
      <c r="C90" s="85"/>
      <c r="D90" s="85"/>
      <c r="E90" s="85"/>
      <c r="F90" s="85"/>
      <c r="G90" s="85"/>
      <c r="H90" s="85"/>
      <c r="I90" s="816"/>
      <c r="J90" s="85"/>
      <c r="K90" s="85"/>
      <c r="L90" s="85"/>
      <c r="M90" s="85"/>
      <c r="N90" s="85"/>
      <c r="O90" s="85"/>
      <c r="P90" s="85"/>
      <c r="Q90" s="85"/>
      <c r="R90" s="85"/>
      <c r="S90" s="85"/>
      <c r="T90" s="85"/>
      <c r="U90" s="85"/>
      <c r="V90" s="85"/>
      <c r="W90" s="85"/>
      <c r="X90" s="85"/>
      <c r="Y90" s="85"/>
      <c r="Z90" s="85"/>
      <c r="AA90" s="85"/>
      <c r="AB90" s="85"/>
      <c r="AC90" s="85"/>
      <c r="AD90" s="85"/>
      <c r="AE90" s="156"/>
    </row>
    <row r="91">
      <c r="A91" s="157" t="s">
        <v>1129</v>
      </c>
      <c r="B91" s="159">
        <f t="shared" ref="B91:AD91" si="22">B86</f>
        <v>2</v>
      </c>
      <c r="C91" s="159">
        <f t="shared" si="22"/>
        <v>8</v>
      </c>
      <c r="D91" s="159">
        <f t="shared" si="22"/>
        <v>2</v>
      </c>
      <c r="E91" s="159">
        <f t="shared" si="22"/>
        <v>1</v>
      </c>
      <c r="F91" s="159">
        <f t="shared" si="22"/>
        <v>1</v>
      </c>
      <c r="G91" s="159">
        <f t="shared" si="22"/>
        <v>1</v>
      </c>
      <c r="H91" s="159">
        <f t="shared" si="22"/>
        <v>1</v>
      </c>
      <c r="I91" s="159">
        <f t="shared" si="22"/>
        <v>2</v>
      </c>
      <c r="J91" s="159">
        <f t="shared" si="22"/>
        <v>4</v>
      </c>
      <c r="K91" s="159">
        <f t="shared" si="22"/>
        <v>2</v>
      </c>
      <c r="L91" s="159">
        <f t="shared" si="22"/>
        <v>1</v>
      </c>
      <c r="M91" s="159">
        <f t="shared" si="22"/>
        <v>3</v>
      </c>
      <c r="N91" s="159">
        <f t="shared" si="22"/>
        <v>2</v>
      </c>
      <c r="O91" s="159">
        <f t="shared" si="22"/>
        <v>3</v>
      </c>
      <c r="P91" s="159">
        <f t="shared" si="22"/>
        <v>2</v>
      </c>
      <c r="Q91" s="159">
        <f t="shared" si="22"/>
        <v>6</v>
      </c>
      <c r="R91" s="159">
        <f t="shared" si="22"/>
        <v>1</v>
      </c>
      <c r="S91" s="159">
        <f t="shared" si="22"/>
        <v>2</v>
      </c>
      <c r="T91" s="159">
        <f t="shared" si="22"/>
        <v>0</v>
      </c>
      <c r="U91" s="159">
        <f t="shared" si="22"/>
        <v>3</v>
      </c>
      <c r="V91" s="159">
        <f t="shared" si="22"/>
        <v>4</v>
      </c>
      <c r="W91" s="159">
        <f t="shared" si="22"/>
        <v>12</v>
      </c>
      <c r="X91" s="159">
        <f t="shared" si="22"/>
        <v>17</v>
      </c>
      <c r="Y91" s="159">
        <f t="shared" si="22"/>
        <v>14</v>
      </c>
      <c r="Z91" s="159">
        <f t="shared" si="22"/>
        <v>11</v>
      </c>
      <c r="AA91" s="159">
        <f t="shared" si="22"/>
        <v>14</v>
      </c>
      <c r="AB91" s="159">
        <f t="shared" si="22"/>
        <v>11</v>
      </c>
      <c r="AC91" s="159">
        <f t="shared" si="22"/>
        <v>10</v>
      </c>
      <c r="AD91" s="159">
        <f t="shared" si="22"/>
        <v>11</v>
      </c>
      <c r="AE91" s="156">
        <f t="shared" ref="AE91:AE95" si="23">sum(B91:AD91)</f>
        <v>151</v>
      </c>
    </row>
    <row r="92">
      <c r="A92" s="157" t="s">
        <v>1130</v>
      </c>
      <c r="B92" s="98"/>
      <c r="C92" s="98"/>
      <c r="D92" s="98"/>
      <c r="E92" s="98"/>
      <c r="F92" s="98"/>
      <c r="G92" s="98"/>
      <c r="H92" s="98"/>
      <c r="I92" s="91"/>
      <c r="J92" s="91"/>
      <c r="K92" s="91"/>
      <c r="L92" s="91"/>
      <c r="M92" s="91"/>
      <c r="N92" s="91"/>
      <c r="O92" s="817"/>
      <c r="P92" s="817"/>
      <c r="Q92" s="817"/>
      <c r="R92" s="91"/>
      <c r="S92" s="94"/>
      <c r="T92" s="94"/>
      <c r="U92" s="94"/>
      <c r="V92" s="94"/>
      <c r="W92" s="94"/>
      <c r="X92" s="94"/>
      <c r="Y92" s="94"/>
      <c r="Z92" s="818"/>
      <c r="AA92" s="94"/>
      <c r="AB92" s="94"/>
      <c r="AC92" s="818"/>
      <c r="AD92" s="818"/>
      <c r="AE92" s="156">
        <f t="shared" si="23"/>
        <v>0</v>
      </c>
    </row>
    <row r="93">
      <c r="A93" s="811" t="s">
        <v>1131</v>
      </c>
      <c r="B93" s="98"/>
      <c r="C93" s="98"/>
      <c r="D93" s="98"/>
      <c r="E93" s="98"/>
      <c r="F93" s="98"/>
      <c r="G93" s="98"/>
      <c r="H93" s="98"/>
      <c r="I93" s="91"/>
      <c r="J93" s="91"/>
      <c r="K93" s="91"/>
      <c r="L93" s="91"/>
      <c r="M93" s="91"/>
      <c r="N93" s="91"/>
      <c r="O93" s="817"/>
      <c r="P93" s="817"/>
      <c r="Q93" s="817"/>
      <c r="R93" s="91"/>
      <c r="S93" s="94"/>
      <c r="T93" s="94"/>
      <c r="U93" s="94"/>
      <c r="V93" s="94"/>
      <c r="W93" s="94"/>
      <c r="X93" s="94"/>
      <c r="Y93" s="94"/>
      <c r="Z93" s="819"/>
      <c r="AA93" s="94"/>
      <c r="AB93" s="94"/>
      <c r="AC93" s="94"/>
      <c r="AD93" s="94"/>
      <c r="AE93" s="156">
        <f t="shared" si="23"/>
        <v>0</v>
      </c>
    </row>
    <row r="94">
      <c r="A94" s="157" t="s">
        <v>1132</v>
      </c>
      <c r="B94" s="98"/>
      <c r="C94" s="98"/>
      <c r="D94" s="98"/>
      <c r="E94" s="98"/>
      <c r="F94" s="98"/>
      <c r="G94" s="98"/>
      <c r="H94" s="98"/>
      <c r="I94" s="91"/>
      <c r="J94" s="91"/>
      <c r="K94" s="91"/>
      <c r="L94" s="91"/>
      <c r="M94" s="91"/>
      <c r="N94" s="91"/>
      <c r="O94" s="817"/>
      <c r="P94" s="817"/>
      <c r="Q94" s="817"/>
      <c r="R94" s="91"/>
      <c r="S94" s="94"/>
      <c r="T94" s="94"/>
      <c r="U94" s="94"/>
      <c r="V94" s="94"/>
      <c r="W94" s="94"/>
      <c r="X94" s="94"/>
      <c r="Y94" s="94"/>
      <c r="Z94" s="819"/>
      <c r="AA94" s="94"/>
      <c r="AB94" s="94"/>
      <c r="AC94" s="94"/>
      <c r="AD94" s="94"/>
      <c r="AE94" s="156">
        <f t="shared" si="23"/>
        <v>0</v>
      </c>
    </row>
    <row r="95">
      <c r="A95" s="163" t="s">
        <v>127</v>
      </c>
      <c r="B95" s="299">
        <f t="shared" ref="B95:AD95" si="24">SUM(B91:B94)</f>
        <v>2</v>
      </c>
      <c r="C95" s="299">
        <f t="shared" si="24"/>
        <v>8</v>
      </c>
      <c r="D95" s="299">
        <f t="shared" si="24"/>
        <v>2</v>
      </c>
      <c r="E95" s="299">
        <f t="shared" si="24"/>
        <v>1</v>
      </c>
      <c r="F95" s="299">
        <f t="shared" si="24"/>
        <v>1</v>
      </c>
      <c r="G95" s="299">
        <f t="shared" si="24"/>
        <v>1</v>
      </c>
      <c r="H95" s="299">
        <f t="shared" si="24"/>
        <v>1</v>
      </c>
      <c r="I95" s="299">
        <f t="shared" si="24"/>
        <v>2</v>
      </c>
      <c r="J95" s="299">
        <f t="shared" si="24"/>
        <v>4</v>
      </c>
      <c r="K95" s="299">
        <f t="shared" si="24"/>
        <v>2</v>
      </c>
      <c r="L95" s="299">
        <f t="shared" si="24"/>
        <v>1</v>
      </c>
      <c r="M95" s="299">
        <f t="shared" si="24"/>
        <v>3</v>
      </c>
      <c r="N95" s="299">
        <f t="shared" si="24"/>
        <v>2</v>
      </c>
      <c r="O95" s="299">
        <f t="shared" si="24"/>
        <v>3</v>
      </c>
      <c r="P95" s="299">
        <f t="shared" si="24"/>
        <v>2</v>
      </c>
      <c r="Q95" s="299">
        <f t="shared" si="24"/>
        <v>6</v>
      </c>
      <c r="R95" s="299">
        <f t="shared" si="24"/>
        <v>1</v>
      </c>
      <c r="S95" s="299">
        <f t="shared" si="24"/>
        <v>2</v>
      </c>
      <c r="T95" s="299">
        <f t="shared" si="24"/>
        <v>0</v>
      </c>
      <c r="U95" s="299">
        <f t="shared" si="24"/>
        <v>3</v>
      </c>
      <c r="V95" s="299">
        <f t="shared" si="24"/>
        <v>4</v>
      </c>
      <c r="W95" s="299">
        <f t="shared" si="24"/>
        <v>12</v>
      </c>
      <c r="X95" s="299">
        <f t="shared" si="24"/>
        <v>17</v>
      </c>
      <c r="Y95" s="299">
        <f t="shared" si="24"/>
        <v>14</v>
      </c>
      <c r="Z95" s="299">
        <f t="shared" si="24"/>
        <v>11</v>
      </c>
      <c r="AA95" s="299">
        <f t="shared" si="24"/>
        <v>14</v>
      </c>
      <c r="AB95" s="299">
        <f t="shared" si="24"/>
        <v>11</v>
      </c>
      <c r="AC95" s="299">
        <f t="shared" si="24"/>
        <v>10</v>
      </c>
      <c r="AD95" s="299">
        <f t="shared" si="24"/>
        <v>11</v>
      </c>
      <c r="AE95" s="156">
        <f t="shared" si="23"/>
        <v>151</v>
      </c>
    </row>
    <row r="96">
      <c r="A96" s="100"/>
      <c r="B96" s="167"/>
      <c r="C96" s="167"/>
      <c r="D96" s="167"/>
      <c r="E96" s="167"/>
      <c r="F96" s="167"/>
      <c r="G96" s="167"/>
      <c r="H96" s="167"/>
      <c r="I96" s="167"/>
      <c r="J96" s="85"/>
      <c r="K96" s="85"/>
      <c r="L96" s="85"/>
      <c r="M96" s="85"/>
      <c r="N96" s="85"/>
      <c r="O96" s="85"/>
      <c r="P96" s="85"/>
      <c r="Q96" s="85"/>
      <c r="R96" s="85"/>
      <c r="S96" s="85"/>
      <c r="T96" s="85"/>
      <c r="U96" s="85"/>
      <c r="V96" s="85"/>
      <c r="W96" s="85"/>
      <c r="X96" s="85"/>
      <c r="Y96" s="85"/>
      <c r="Z96" s="85"/>
      <c r="AA96" s="85"/>
      <c r="AB96" s="85"/>
      <c r="AC96" s="85"/>
      <c r="AD96" s="85"/>
      <c r="AE96" s="390"/>
    </row>
    <row r="97">
      <c r="A97" s="157" t="s">
        <v>131</v>
      </c>
      <c r="B97" s="98"/>
      <c r="C97" s="98"/>
      <c r="D97" s="98"/>
      <c r="E97" s="98"/>
      <c r="F97" s="98"/>
      <c r="G97" s="98"/>
      <c r="H97" s="98"/>
      <c r="I97" s="98"/>
      <c r="J97" s="98"/>
      <c r="K97" s="98"/>
      <c r="L97" s="98"/>
      <c r="M97" s="91"/>
      <c r="N97" s="91"/>
      <c r="O97" s="91"/>
      <c r="P97" s="91"/>
      <c r="Q97" s="91"/>
      <c r="R97" s="91"/>
      <c r="S97" s="94"/>
      <c r="T97" s="94"/>
      <c r="U97" s="94"/>
      <c r="V97" s="94"/>
      <c r="W97" s="94"/>
      <c r="X97" s="94"/>
      <c r="Y97" s="94"/>
      <c r="Z97" s="422"/>
      <c r="AA97" s="94"/>
      <c r="AB97" s="94"/>
      <c r="AC97" s="422"/>
      <c r="AD97" s="422"/>
      <c r="AE97" s="156">
        <f t="shared" ref="AE97:AE105" si="25">sum(B97:AD97)</f>
        <v>0</v>
      </c>
    </row>
    <row r="98">
      <c r="A98" s="157" t="s">
        <v>132</v>
      </c>
      <c r="B98" s="98"/>
      <c r="C98" s="98"/>
      <c r="D98" s="98"/>
      <c r="E98" s="98"/>
      <c r="F98" s="98"/>
      <c r="G98" s="98"/>
      <c r="H98" s="98"/>
      <c r="I98" s="98"/>
      <c r="J98" s="98"/>
      <c r="K98" s="98"/>
      <c r="L98" s="98"/>
      <c r="M98" s="91"/>
      <c r="N98" s="91"/>
      <c r="O98" s="91"/>
      <c r="P98" s="91"/>
      <c r="Q98" s="91"/>
      <c r="R98" s="91"/>
      <c r="S98" s="94"/>
      <c r="T98" s="94"/>
      <c r="U98" s="94"/>
      <c r="V98" s="94"/>
      <c r="W98" s="94"/>
      <c r="X98" s="94"/>
      <c r="Y98" s="94"/>
      <c r="Z98" s="818"/>
      <c r="AA98" s="820"/>
      <c r="AB98" s="94"/>
      <c r="AC98" s="820"/>
      <c r="AD98" s="820"/>
      <c r="AE98" s="156">
        <f t="shared" si="25"/>
        <v>0</v>
      </c>
    </row>
    <row r="99">
      <c r="A99" s="157" t="s">
        <v>1133</v>
      </c>
      <c r="B99" s="98"/>
      <c r="C99" s="98"/>
      <c r="D99" s="98"/>
      <c r="E99" s="98"/>
      <c r="F99" s="98"/>
      <c r="G99" s="98"/>
      <c r="H99" s="98"/>
      <c r="I99" s="98"/>
      <c r="J99" s="98"/>
      <c r="K99" s="98"/>
      <c r="L99" s="98"/>
      <c r="M99" s="98"/>
      <c r="N99" s="98"/>
      <c r="O99" s="98"/>
      <c r="P99" s="98"/>
      <c r="Q99" s="98"/>
      <c r="R99" s="98"/>
      <c r="S99" s="98"/>
      <c r="T99" s="98"/>
      <c r="U99" s="98"/>
      <c r="V99" s="98"/>
      <c r="W99" s="98"/>
      <c r="X99" s="98"/>
      <c r="Y99" s="98"/>
      <c r="Z99" s="421"/>
      <c r="AA99" s="98"/>
      <c r="AB99" s="98"/>
      <c r="AC99" s="421"/>
      <c r="AD99" s="421"/>
      <c r="AE99" s="156">
        <f t="shared" si="25"/>
        <v>0</v>
      </c>
    </row>
    <row r="100">
      <c r="A100" s="157" t="s">
        <v>1134</v>
      </c>
      <c r="B100" s="403"/>
      <c r="C100" s="403"/>
      <c r="D100" s="403"/>
      <c r="E100" s="403"/>
      <c r="F100" s="403"/>
      <c r="G100" s="98"/>
      <c r="H100" s="98"/>
      <c r="I100" s="98"/>
      <c r="J100" s="98"/>
      <c r="K100" s="98"/>
      <c r="L100" s="98"/>
      <c r="M100" s="91"/>
      <c r="N100" s="91"/>
      <c r="O100" s="817"/>
      <c r="P100" s="817"/>
      <c r="Q100" s="817"/>
      <c r="R100" s="817"/>
      <c r="S100" s="94"/>
      <c r="T100" s="94"/>
      <c r="U100" s="94"/>
      <c r="V100" s="98"/>
      <c r="W100" s="98"/>
      <c r="X100" s="98"/>
      <c r="Y100" s="98"/>
      <c r="Z100" s="421"/>
      <c r="AA100" s="98"/>
      <c r="AB100" s="98"/>
      <c r="AC100" s="421"/>
      <c r="AD100" s="421"/>
      <c r="AE100" s="156">
        <f t="shared" si="25"/>
        <v>0</v>
      </c>
    </row>
    <row r="101">
      <c r="A101" s="157" t="s">
        <v>1135</v>
      </c>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4"/>
      <c r="AB101" s="98"/>
      <c r="AC101" s="421"/>
      <c r="AD101" s="421"/>
      <c r="AE101" s="156">
        <f t="shared" si="25"/>
        <v>0</v>
      </c>
    </row>
    <row r="102">
      <c r="A102" s="157" t="s">
        <v>1136</v>
      </c>
      <c r="B102" s="403"/>
      <c r="C102" s="403"/>
      <c r="D102" s="403"/>
      <c r="E102" s="403"/>
      <c r="F102" s="403"/>
      <c r="G102" s="98"/>
      <c r="H102" s="98"/>
      <c r="I102" s="98"/>
      <c r="J102" s="98"/>
      <c r="K102" s="98"/>
      <c r="L102" s="98"/>
      <c r="M102" s="91"/>
      <c r="N102" s="91"/>
      <c r="O102" s="817"/>
      <c r="P102" s="817"/>
      <c r="Q102" s="817"/>
      <c r="R102" s="817"/>
      <c r="S102" s="94"/>
      <c r="T102" s="94"/>
      <c r="U102" s="94"/>
      <c r="V102" s="98"/>
      <c r="W102" s="98"/>
      <c r="X102" s="98"/>
      <c r="Y102" s="98"/>
      <c r="Z102" s="98"/>
      <c r="AA102" s="94"/>
      <c r="AB102" s="98"/>
      <c r="AC102" s="421"/>
      <c r="AD102" s="421"/>
      <c r="AE102" s="156">
        <f t="shared" si="25"/>
        <v>0</v>
      </c>
    </row>
    <row r="103">
      <c r="A103" s="157" t="s">
        <v>1137</v>
      </c>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4"/>
      <c r="AB103" s="98"/>
      <c r="AC103" s="421"/>
      <c r="AD103" s="421"/>
      <c r="AE103" s="156">
        <f t="shared" si="25"/>
        <v>0</v>
      </c>
    </row>
    <row r="104">
      <c r="A104" s="157" t="s">
        <v>1138</v>
      </c>
      <c r="B104" s="98"/>
      <c r="C104" s="98"/>
      <c r="D104" s="98"/>
      <c r="E104" s="98"/>
      <c r="F104" s="98"/>
      <c r="G104" s="98"/>
      <c r="H104" s="98"/>
      <c r="I104" s="98"/>
      <c r="J104" s="98"/>
      <c r="K104" s="98"/>
      <c r="L104" s="98"/>
      <c r="M104" s="98"/>
      <c r="N104" s="98"/>
      <c r="O104" s="98"/>
      <c r="P104" s="98"/>
      <c r="Q104" s="98"/>
      <c r="R104" s="98"/>
      <c r="S104" s="94"/>
      <c r="T104" s="94"/>
      <c r="U104" s="94"/>
      <c r="V104" s="98"/>
      <c r="W104" s="98"/>
      <c r="X104" s="98"/>
      <c r="Y104" s="98"/>
      <c r="Z104" s="98"/>
      <c r="AA104" s="94"/>
      <c r="AB104" s="98"/>
      <c r="AC104" s="421"/>
      <c r="AD104" s="421"/>
      <c r="AE104" s="156">
        <f t="shared" si="25"/>
        <v>0</v>
      </c>
    </row>
    <row r="105">
      <c r="A105" s="821" t="s">
        <v>141</v>
      </c>
      <c r="B105" s="822">
        <f t="shared" ref="B105:AD105" si="26">SUM(B97:B104)</f>
        <v>0</v>
      </c>
      <c r="C105" s="822">
        <f t="shared" si="26"/>
        <v>0</v>
      </c>
      <c r="D105" s="822">
        <f t="shared" si="26"/>
        <v>0</v>
      </c>
      <c r="E105" s="822">
        <f t="shared" si="26"/>
        <v>0</v>
      </c>
      <c r="F105" s="822">
        <f t="shared" si="26"/>
        <v>0</v>
      </c>
      <c r="G105" s="822">
        <f t="shared" si="26"/>
        <v>0</v>
      </c>
      <c r="H105" s="822">
        <f t="shared" si="26"/>
        <v>0</v>
      </c>
      <c r="I105" s="822">
        <f t="shared" si="26"/>
        <v>0</v>
      </c>
      <c r="J105" s="822">
        <f t="shared" si="26"/>
        <v>0</v>
      </c>
      <c r="K105" s="822">
        <f t="shared" si="26"/>
        <v>0</v>
      </c>
      <c r="L105" s="822">
        <f t="shared" si="26"/>
        <v>0</v>
      </c>
      <c r="M105" s="822">
        <f t="shared" si="26"/>
        <v>0</v>
      </c>
      <c r="N105" s="822">
        <f t="shared" si="26"/>
        <v>0</v>
      </c>
      <c r="O105" s="822">
        <f t="shared" si="26"/>
        <v>0</v>
      </c>
      <c r="P105" s="822">
        <f t="shared" si="26"/>
        <v>0</v>
      </c>
      <c r="Q105" s="822">
        <f t="shared" si="26"/>
        <v>0</v>
      </c>
      <c r="R105" s="822">
        <f t="shared" si="26"/>
        <v>0</v>
      </c>
      <c r="S105" s="822">
        <f t="shared" si="26"/>
        <v>0</v>
      </c>
      <c r="T105" s="822">
        <f t="shared" si="26"/>
        <v>0</v>
      </c>
      <c r="U105" s="822">
        <f t="shared" si="26"/>
        <v>0</v>
      </c>
      <c r="V105" s="822">
        <f t="shared" si="26"/>
        <v>0</v>
      </c>
      <c r="W105" s="822">
        <f t="shared" si="26"/>
        <v>0</v>
      </c>
      <c r="X105" s="822">
        <f t="shared" si="26"/>
        <v>0</v>
      </c>
      <c r="Y105" s="822">
        <f t="shared" si="26"/>
        <v>0</v>
      </c>
      <c r="Z105" s="822">
        <f t="shared" si="26"/>
        <v>0</v>
      </c>
      <c r="AA105" s="822">
        <f t="shared" si="26"/>
        <v>0</v>
      </c>
      <c r="AB105" s="822">
        <f t="shared" si="26"/>
        <v>0</v>
      </c>
      <c r="AC105" s="822">
        <f t="shared" si="26"/>
        <v>0</v>
      </c>
      <c r="AD105" s="822">
        <f t="shared" si="26"/>
        <v>0</v>
      </c>
      <c r="AE105" s="823">
        <f t="shared" si="25"/>
        <v>0</v>
      </c>
    </row>
    <row r="106">
      <c r="A106" s="85"/>
      <c r="B106" s="130"/>
      <c r="C106" s="130"/>
      <c r="D106" s="130"/>
      <c r="E106" s="130"/>
      <c r="F106" s="130"/>
      <c r="G106" s="130"/>
      <c r="H106" s="130"/>
      <c r="I106" s="85"/>
      <c r="J106" s="85"/>
      <c r="K106" s="85"/>
      <c r="L106" s="85"/>
      <c r="M106" s="85"/>
      <c r="N106" s="85"/>
      <c r="O106" s="85"/>
      <c r="P106" s="85"/>
      <c r="Q106" s="85"/>
      <c r="R106" s="85"/>
      <c r="S106" s="85"/>
      <c r="T106" s="85"/>
      <c r="U106" s="85"/>
      <c r="V106" s="85"/>
      <c r="W106" s="85"/>
      <c r="X106" s="85"/>
      <c r="Y106" s="85"/>
      <c r="Z106" s="85"/>
      <c r="AA106" s="85"/>
      <c r="AB106" s="85"/>
      <c r="AC106" s="85"/>
      <c r="AD106" s="85"/>
      <c r="AE106" s="156"/>
    </row>
    <row r="107">
      <c r="A107" s="812" t="s">
        <v>1139</v>
      </c>
      <c r="B107" s="405"/>
      <c r="C107" s="405"/>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c r="AC107" s="405"/>
      <c r="AD107" s="405"/>
      <c r="AE107" s="257"/>
    </row>
    <row r="108" outlineLevel="1">
      <c r="A108" s="813"/>
      <c r="AE108" s="257"/>
    </row>
    <row r="109" outlineLevel="1">
      <c r="A109" s="413" t="s">
        <v>1140</v>
      </c>
      <c r="B109" s="424"/>
      <c r="C109" s="424"/>
      <c r="D109" s="424"/>
      <c r="E109" s="424"/>
      <c r="F109" s="424"/>
      <c r="G109" s="424"/>
      <c r="H109" s="424"/>
      <c r="I109" s="425"/>
      <c r="J109" s="425"/>
      <c r="K109" s="425"/>
      <c r="L109" s="425"/>
      <c r="M109" s="425"/>
      <c r="N109" s="425"/>
      <c r="O109" s="425"/>
      <c r="P109" s="425"/>
      <c r="Q109" s="425"/>
      <c r="R109" s="425"/>
      <c r="S109" s="425"/>
      <c r="T109" s="425"/>
      <c r="U109" s="425"/>
      <c r="V109" s="425"/>
      <c r="W109" s="425"/>
      <c r="X109" s="425"/>
      <c r="Y109" s="425"/>
      <c r="Z109" s="425"/>
      <c r="AA109" s="425"/>
      <c r="AB109" s="425"/>
      <c r="AC109" s="425"/>
      <c r="AD109" s="425"/>
      <c r="AE109" s="814"/>
    </row>
    <row r="110" outlineLevel="1">
      <c r="A110" s="213" t="s">
        <v>1141</v>
      </c>
      <c r="B110" s="303"/>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c r="AA110" s="303"/>
      <c r="AB110" s="303"/>
      <c r="AC110" s="303"/>
      <c r="AD110" s="303"/>
      <c r="AE110" s="156">
        <f t="shared" ref="AE110:AE115" si="27">SUM(B110:AD110)</f>
        <v>0</v>
      </c>
    </row>
    <row r="111" outlineLevel="1">
      <c r="A111" s="213" t="s">
        <v>1142</v>
      </c>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156">
        <f t="shared" si="27"/>
        <v>0</v>
      </c>
    </row>
    <row r="112" outlineLevel="1">
      <c r="A112" s="213" t="s">
        <v>1143</v>
      </c>
      <c r="B112" s="403"/>
      <c r="C112" s="403"/>
      <c r="D112" s="403"/>
      <c r="E112" s="403"/>
      <c r="F112" s="4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156">
        <f t="shared" si="27"/>
        <v>0</v>
      </c>
    </row>
    <row r="113" outlineLevel="1">
      <c r="A113" s="213" t="s">
        <v>1144</v>
      </c>
      <c r="B113" s="403"/>
      <c r="C113" s="403"/>
      <c r="D113" s="403"/>
      <c r="E113" s="403"/>
      <c r="F113" s="403"/>
      <c r="G113" s="303"/>
      <c r="H113" s="303"/>
      <c r="I113" s="303"/>
      <c r="J113" s="303"/>
      <c r="K113" s="303"/>
      <c r="L113" s="303"/>
      <c r="M113" s="303"/>
      <c r="N113" s="303"/>
      <c r="O113" s="303"/>
      <c r="P113" s="303"/>
      <c r="Q113" s="303"/>
      <c r="R113" s="303"/>
      <c r="S113" s="303"/>
      <c r="T113" s="303"/>
      <c r="U113" s="303"/>
      <c r="V113" s="303"/>
      <c r="W113" s="303"/>
      <c r="X113" s="303"/>
      <c r="Y113" s="303"/>
      <c r="Z113" s="303"/>
      <c r="AA113" s="303"/>
      <c r="AB113" s="303"/>
      <c r="AC113" s="303"/>
      <c r="AD113" s="303"/>
      <c r="AE113" s="156">
        <f t="shared" si="27"/>
        <v>0</v>
      </c>
    </row>
    <row r="114" outlineLevel="1">
      <c r="A114" s="215" t="s">
        <v>221</v>
      </c>
      <c r="B114" s="330">
        <f t="shared" ref="B114:AD114" si="28">SUM(B110:B111)</f>
        <v>0</v>
      </c>
      <c r="C114" s="330">
        <f t="shared" si="28"/>
        <v>0</v>
      </c>
      <c r="D114" s="330">
        <f t="shared" si="28"/>
        <v>0</v>
      </c>
      <c r="E114" s="330">
        <f t="shared" si="28"/>
        <v>0</v>
      </c>
      <c r="F114" s="330">
        <f t="shared" si="28"/>
        <v>0</v>
      </c>
      <c r="G114" s="330">
        <f t="shared" si="28"/>
        <v>0</v>
      </c>
      <c r="H114" s="330">
        <f t="shared" si="28"/>
        <v>0</v>
      </c>
      <c r="I114" s="330">
        <f t="shared" si="28"/>
        <v>0</v>
      </c>
      <c r="J114" s="330">
        <f t="shared" si="28"/>
        <v>0</v>
      </c>
      <c r="K114" s="330">
        <f t="shared" si="28"/>
        <v>0</v>
      </c>
      <c r="L114" s="330">
        <f t="shared" si="28"/>
        <v>0</v>
      </c>
      <c r="M114" s="330">
        <f t="shared" si="28"/>
        <v>0</v>
      </c>
      <c r="N114" s="330">
        <f t="shared" si="28"/>
        <v>0</v>
      </c>
      <c r="O114" s="330">
        <f t="shared" si="28"/>
        <v>0</v>
      </c>
      <c r="P114" s="330">
        <f t="shared" si="28"/>
        <v>0</v>
      </c>
      <c r="Q114" s="330">
        <f t="shared" si="28"/>
        <v>0</v>
      </c>
      <c r="R114" s="330">
        <f t="shared" si="28"/>
        <v>0</v>
      </c>
      <c r="S114" s="330">
        <f t="shared" si="28"/>
        <v>0</v>
      </c>
      <c r="T114" s="330">
        <f t="shared" si="28"/>
        <v>0</v>
      </c>
      <c r="U114" s="330">
        <f t="shared" si="28"/>
        <v>0</v>
      </c>
      <c r="V114" s="330">
        <f t="shared" si="28"/>
        <v>0</v>
      </c>
      <c r="W114" s="330">
        <f t="shared" si="28"/>
        <v>0</v>
      </c>
      <c r="X114" s="330">
        <f t="shared" si="28"/>
        <v>0</v>
      </c>
      <c r="Y114" s="330">
        <f t="shared" si="28"/>
        <v>0</v>
      </c>
      <c r="Z114" s="330">
        <f t="shared" si="28"/>
        <v>0</v>
      </c>
      <c r="AA114" s="330">
        <f t="shared" si="28"/>
        <v>0</v>
      </c>
      <c r="AB114" s="330">
        <f t="shared" si="28"/>
        <v>0</v>
      </c>
      <c r="AC114" s="330">
        <f t="shared" si="28"/>
        <v>0</v>
      </c>
      <c r="AD114" s="330">
        <f t="shared" si="28"/>
        <v>0</v>
      </c>
      <c r="AE114" s="156">
        <f t="shared" si="27"/>
        <v>0</v>
      </c>
    </row>
    <row r="115" outlineLevel="1">
      <c r="A115" s="215" t="s">
        <v>222</v>
      </c>
      <c r="B115" s="330">
        <f t="shared" ref="B115:AD115" si="29">SUM(B112:B113)</f>
        <v>0</v>
      </c>
      <c r="C115" s="330">
        <f t="shared" si="29"/>
        <v>0</v>
      </c>
      <c r="D115" s="330">
        <f t="shared" si="29"/>
        <v>0</v>
      </c>
      <c r="E115" s="330">
        <f t="shared" si="29"/>
        <v>0</v>
      </c>
      <c r="F115" s="330">
        <f t="shared" si="29"/>
        <v>0</v>
      </c>
      <c r="G115" s="330">
        <f t="shared" si="29"/>
        <v>0</v>
      </c>
      <c r="H115" s="330">
        <f t="shared" si="29"/>
        <v>0</v>
      </c>
      <c r="I115" s="330">
        <f t="shared" si="29"/>
        <v>0</v>
      </c>
      <c r="J115" s="330">
        <f t="shared" si="29"/>
        <v>0</v>
      </c>
      <c r="K115" s="330">
        <f t="shared" si="29"/>
        <v>0</v>
      </c>
      <c r="L115" s="330">
        <f t="shared" si="29"/>
        <v>0</v>
      </c>
      <c r="M115" s="330">
        <f t="shared" si="29"/>
        <v>0</v>
      </c>
      <c r="N115" s="330">
        <f t="shared" si="29"/>
        <v>0</v>
      </c>
      <c r="O115" s="330">
        <f t="shared" si="29"/>
        <v>0</v>
      </c>
      <c r="P115" s="330">
        <f t="shared" si="29"/>
        <v>0</v>
      </c>
      <c r="Q115" s="330">
        <f t="shared" si="29"/>
        <v>0</v>
      </c>
      <c r="R115" s="330">
        <f t="shared" si="29"/>
        <v>0</v>
      </c>
      <c r="S115" s="330">
        <f t="shared" si="29"/>
        <v>0</v>
      </c>
      <c r="T115" s="330">
        <f t="shared" si="29"/>
        <v>0</v>
      </c>
      <c r="U115" s="330">
        <f t="shared" si="29"/>
        <v>0</v>
      </c>
      <c r="V115" s="330">
        <f t="shared" si="29"/>
        <v>0</v>
      </c>
      <c r="W115" s="330">
        <f t="shared" si="29"/>
        <v>0</v>
      </c>
      <c r="X115" s="330">
        <f t="shared" si="29"/>
        <v>0</v>
      </c>
      <c r="Y115" s="330">
        <f t="shared" si="29"/>
        <v>0</v>
      </c>
      <c r="Z115" s="330">
        <f t="shared" si="29"/>
        <v>0</v>
      </c>
      <c r="AA115" s="330">
        <f t="shared" si="29"/>
        <v>0</v>
      </c>
      <c r="AB115" s="330">
        <f t="shared" si="29"/>
        <v>0</v>
      </c>
      <c r="AC115" s="330">
        <f t="shared" si="29"/>
        <v>0</v>
      </c>
      <c r="AD115" s="330">
        <f t="shared" si="29"/>
        <v>0</v>
      </c>
      <c r="AE115" s="156">
        <f t="shared" si="27"/>
        <v>0</v>
      </c>
    </row>
    <row r="116" outlineLevel="1">
      <c r="A116" s="100"/>
      <c r="B116" s="130"/>
      <c r="C116" s="130"/>
      <c r="D116" s="130"/>
      <c r="E116" s="130"/>
      <c r="F116" s="130"/>
      <c r="G116" s="130"/>
      <c r="H116" s="130"/>
      <c r="I116" s="85"/>
      <c r="J116" s="85"/>
      <c r="K116" s="85"/>
      <c r="L116" s="85"/>
      <c r="M116" s="85"/>
      <c r="N116" s="85"/>
      <c r="O116" s="85"/>
      <c r="P116" s="85"/>
      <c r="Q116" s="85"/>
      <c r="R116" s="85"/>
      <c r="S116" s="85"/>
      <c r="T116" s="85"/>
      <c r="U116" s="85"/>
      <c r="V116" s="85"/>
      <c r="W116" s="85"/>
      <c r="X116" s="85"/>
      <c r="Y116" s="85"/>
      <c r="Z116" s="85"/>
      <c r="AA116" s="85"/>
      <c r="AB116" s="85"/>
      <c r="AC116" s="85"/>
      <c r="AD116" s="85"/>
      <c r="AE116" s="156"/>
    </row>
    <row r="117" outlineLevel="1">
      <c r="A117" s="213" t="s">
        <v>224</v>
      </c>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c r="AA117" s="303"/>
      <c r="AB117" s="303"/>
      <c r="AC117" s="303"/>
      <c r="AD117" s="303"/>
      <c r="AE117" s="156">
        <f t="shared" ref="AE117:AE125" si="30">SUM(B117:AD117)</f>
        <v>0</v>
      </c>
    </row>
    <row r="118" outlineLevel="1">
      <c r="A118" s="213" t="s">
        <v>225</v>
      </c>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c r="AA118" s="303"/>
      <c r="AB118" s="303"/>
      <c r="AC118" s="303"/>
      <c r="AD118" s="303"/>
      <c r="AE118" s="156">
        <f t="shared" si="30"/>
        <v>0</v>
      </c>
    </row>
    <row r="119" outlineLevel="1">
      <c r="A119" s="213" t="s">
        <v>1145</v>
      </c>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c r="AA119" s="303"/>
      <c r="AB119" s="303"/>
      <c r="AC119" s="303"/>
      <c r="AD119" s="303"/>
      <c r="AE119" s="156">
        <f t="shared" si="30"/>
        <v>0</v>
      </c>
    </row>
    <row r="120" outlineLevel="1">
      <c r="A120" s="213" t="s">
        <v>1146</v>
      </c>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c r="AA120" s="303"/>
      <c r="AB120" s="303"/>
      <c r="AC120" s="303"/>
      <c r="AD120" s="303"/>
      <c r="AE120" s="156">
        <f t="shared" si="30"/>
        <v>0</v>
      </c>
    </row>
    <row r="121" outlineLevel="1">
      <c r="A121" s="213" t="s">
        <v>1147</v>
      </c>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c r="AA121" s="303"/>
      <c r="AB121" s="303"/>
      <c r="AC121" s="303"/>
      <c r="AD121" s="303"/>
      <c r="AE121" s="156">
        <f t="shared" si="30"/>
        <v>0</v>
      </c>
    </row>
    <row r="122" outlineLevel="1">
      <c r="A122" s="213" t="s">
        <v>1148</v>
      </c>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156">
        <f t="shared" si="30"/>
        <v>0</v>
      </c>
    </row>
    <row r="123" outlineLevel="1">
      <c r="A123" s="213" t="s">
        <v>1149</v>
      </c>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c r="AA123" s="303"/>
      <c r="AB123" s="303"/>
      <c r="AC123" s="303"/>
      <c r="AD123" s="303"/>
      <c r="AE123" s="156">
        <f t="shared" si="30"/>
        <v>0</v>
      </c>
    </row>
    <row r="124" outlineLevel="1">
      <c r="A124" s="213" t="s">
        <v>1150</v>
      </c>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c r="AA124" s="303"/>
      <c r="AB124" s="303"/>
      <c r="AC124" s="303"/>
      <c r="AD124" s="303"/>
      <c r="AE124" s="156">
        <f t="shared" si="30"/>
        <v>0</v>
      </c>
    </row>
    <row r="125" outlineLevel="1">
      <c r="A125" s="217" t="s">
        <v>141</v>
      </c>
      <c r="B125" s="330">
        <f t="shared" ref="B125:AD125" si="31">SUM(B117:B124)</f>
        <v>0</v>
      </c>
      <c r="C125" s="330">
        <f t="shared" si="31"/>
        <v>0</v>
      </c>
      <c r="D125" s="330">
        <f t="shared" si="31"/>
        <v>0</v>
      </c>
      <c r="E125" s="330">
        <f t="shared" si="31"/>
        <v>0</v>
      </c>
      <c r="F125" s="330">
        <f t="shared" si="31"/>
        <v>0</v>
      </c>
      <c r="G125" s="330">
        <f t="shared" si="31"/>
        <v>0</v>
      </c>
      <c r="H125" s="330">
        <f t="shared" si="31"/>
        <v>0</v>
      </c>
      <c r="I125" s="330">
        <f t="shared" si="31"/>
        <v>0</v>
      </c>
      <c r="J125" s="330">
        <f t="shared" si="31"/>
        <v>0</v>
      </c>
      <c r="K125" s="330">
        <f t="shared" si="31"/>
        <v>0</v>
      </c>
      <c r="L125" s="330">
        <f t="shared" si="31"/>
        <v>0</v>
      </c>
      <c r="M125" s="330">
        <f t="shared" si="31"/>
        <v>0</v>
      </c>
      <c r="N125" s="330">
        <f t="shared" si="31"/>
        <v>0</v>
      </c>
      <c r="O125" s="330">
        <f t="shared" si="31"/>
        <v>0</v>
      </c>
      <c r="P125" s="330">
        <f t="shared" si="31"/>
        <v>0</v>
      </c>
      <c r="Q125" s="330">
        <f t="shared" si="31"/>
        <v>0</v>
      </c>
      <c r="R125" s="330">
        <f t="shared" si="31"/>
        <v>0</v>
      </c>
      <c r="S125" s="330">
        <f t="shared" si="31"/>
        <v>0</v>
      </c>
      <c r="T125" s="330">
        <f t="shared" si="31"/>
        <v>0</v>
      </c>
      <c r="U125" s="330">
        <f t="shared" si="31"/>
        <v>0</v>
      </c>
      <c r="V125" s="330">
        <f t="shared" si="31"/>
        <v>0</v>
      </c>
      <c r="W125" s="330">
        <f t="shared" si="31"/>
        <v>0</v>
      </c>
      <c r="X125" s="330">
        <f t="shared" si="31"/>
        <v>0</v>
      </c>
      <c r="Y125" s="330">
        <f t="shared" si="31"/>
        <v>0</v>
      </c>
      <c r="Z125" s="330">
        <f t="shared" si="31"/>
        <v>0</v>
      </c>
      <c r="AA125" s="330">
        <f t="shared" si="31"/>
        <v>0</v>
      </c>
      <c r="AB125" s="330">
        <f t="shared" si="31"/>
        <v>0</v>
      </c>
      <c r="AC125" s="330">
        <f t="shared" si="31"/>
        <v>0</v>
      </c>
      <c r="AD125" s="330">
        <f t="shared" si="31"/>
        <v>0</v>
      </c>
      <c r="AE125" s="156">
        <f t="shared" si="30"/>
        <v>0</v>
      </c>
    </row>
    <row r="126" outlineLevel="1">
      <c r="A126" s="100"/>
      <c r="B126" s="130"/>
      <c r="C126" s="130"/>
      <c r="D126" s="130"/>
      <c r="E126" s="130"/>
      <c r="F126" s="130"/>
      <c r="G126" s="130"/>
      <c r="H126" s="130"/>
      <c r="I126" s="85"/>
      <c r="J126" s="85"/>
      <c r="K126" s="85"/>
      <c r="L126" s="85"/>
      <c r="M126" s="85"/>
      <c r="N126" s="85"/>
      <c r="O126" s="85"/>
      <c r="P126" s="85"/>
      <c r="Q126" s="85"/>
      <c r="R126" s="85"/>
      <c r="S126" s="85"/>
      <c r="T126" s="85"/>
      <c r="U126" s="85"/>
      <c r="V126" s="85"/>
      <c r="W126" s="85"/>
      <c r="X126" s="85"/>
      <c r="Y126" s="85"/>
      <c r="Z126" s="85"/>
      <c r="AA126" s="85"/>
      <c r="AB126" s="85"/>
      <c r="AC126" s="85"/>
      <c r="AD126" s="85"/>
      <c r="AE126" s="156"/>
    </row>
    <row r="127" outlineLevel="1">
      <c r="A127" s="141" t="s">
        <v>1151</v>
      </c>
      <c r="B127" s="130"/>
      <c r="C127" s="130"/>
      <c r="D127" s="130"/>
      <c r="E127" s="130"/>
      <c r="F127" s="130"/>
      <c r="G127" s="199"/>
      <c r="H127" s="130"/>
      <c r="I127" s="85"/>
      <c r="J127" s="85"/>
      <c r="K127" s="85"/>
      <c r="L127" s="85"/>
      <c r="M127" s="85"/>
      <c r="N127" s="85"/>
      <c r="O127" s="85"/>
      <c r="P127" s="85"/>
      <c r="Q127" s="85"/>
      <c r="R127" s="85"/>
      <c r="S127" s="85"/>
      <c r="T127" s="85"/>
      <c r="U127" s="85"/>
      <c r="V127" s="85"/>
      <c r="W127" s="85"/>
      <c r="X127" s="85"/>
      <c r="Y127" s="85"/>
      <c r="Z127" s="85"/>
      <c r="AA127" s="85"/>
      <c r="AB127" s="85"/>
      <c r="AC127" s="85"/>
      <c r="AD127" s="85"/>
      <c r="AE127" s="257"/>
    </row>
    <row r="128" outlineLevel="1">
      <c r="A128" s="213" t="s">
        <v>655</v>
      </c>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257"/>
    </row>
    <row r="129" outlineLevel="1">
      <c r="A129" s="213" t="s">
        <v>482</v>
      </c>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257"/>
    </row>
    <row r="130" outlineLevel="1">
      <c r="A130" s="213" t="s">
        <v>656</v>
      </c>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257"/>
    </row>
    <row r="131" outlineLevel="1">
      <c r="A131" s="350" t="s">
        <v>657</v>
      </c>
      <c r="B131" s="337">
        <f t="shared" ref="B131:AD131" si="32">SUM(B128:B130)</f>
        <v>0</v>
      </c>
      <c r="C131" s="337">
        <f t="shared" si="32"/>
        <v>0</v>
      </c>
      <c r="D131" s="337">
        <f t="shared" si="32"/>
        <v>0</v>
      </c>
      <c r="E131" s="337">
        <f t="shared" si="32"/>
        <v>0</v>
      </c>
      <c r="F131" s="337">
        <f t="shared" si="32"/>
        <v>0</v>
      </c>
      <c r="G131" s="337">
        <f t="shared" si="32"/>
        <v>0</v>
      </c>
      <c r="H131" s="337">
        <f t="shared" si="32"/>
        <v>0</v>
      </c>
      <c r="I131" s="337">
        <f t="shared" si="32"/>
        <v>0</v>
      </c>
      <c r="J131" s="337">
        <f t="shared" si="32"/>
        <v>0</v>
      </c>
      <c r="K131" s="337">
        <f t="shared" si="32"/>
        <v>0</v>
      </c>
      <c r="L131" s="337">
        <f t="shared" si="32"/>
        <v>0</v>
      </c>
      <c r="M131" s="337">
        <f t="shared" si="32"/>
        <v>0</v>
      </c>
      <c r="N131" s="337">
        <f t="shared" si="32"/>
        <v>0</v>
      </c>
      <c r="O131" s="337">
        <f t="shared" si="32"/>
        <v>0</v>
      </c>
      <c r="P131" s="337">
        <f t="shared" si="32"/>
        <v>0</v>
      </c>
      <c r="Q131" s="337">
        <f t="shared" si="32"/>
        <v>0</v>
      </c>
      <c r="R131" s="337">
        <f t="shared" si="32"/>
        <v>0</v>
      </c>
      <c r="S131" s="337">
        <f t="shared" si="32"/>
        <v>0</v>
      </c>
      <c r="T131" s="337">
        <f t="shared" si="32"/>
        <v>0</v>
      </c>
      <c r="U131" s="337">
        <f t="shared" si="32"/>
        <v>0</v>
      </c>
      <c r="V131" s="337">
        <f t="shared" si="32"/>
        <v>0</v>
      </c>
      <c r="W131" s="337">
        <f t="shared" si="32"/>
        <v>0</v>
      </c>
      <c r="X131" s="337">
        <f t="shared" si="32"/>
        <v>0</v>
      </c>
      <c r="Y131" s="337">
        <f t="shared" si="32"/>
        <v>0</v>
      </c>
      <c r="Z131" s="337">
        <f t="shared" si="32"/>
        <v>0</v>
      </c>
      <c r="AA131" s="337">
        <f t="shared" si="32"/>
        <v>0</v>
      </c>
      <c r="AB131" s="337">
        <f t="shared" si="32"/>
        <v>0</v>
      </c>
      <c r="AC131" s="337">
        <f t="shared" si="32"/>
        <v>0</v>
      </c>
      <c r="AD131" s="337">
        <f t="shared" si="32"/>
        <v>0</v>
      </c>
      <c r="AE131" s="156"/>
    </row>
    <row r="132" outlineLevel="1">
      <c r="A132" s="100"/>
      <c r="B132" s="130"/>
      <c r="C132" s="130"/>
      <c r="D132" s="130"/>
      <c r="E132" s="130"/>
      <c r="F132" s="130"/>
      <c r="G132" s="130"/>
      <c r="H132" s="130"/>
      <c r="I132" s="85"/>
      <c r="J132" s="85"/>
      <c r="K132" s="85"/>
      <c r="L132" s="85"/>
      <c r="M132" s="85"/>
      <c r="N132" s="85"/>
      <c r="O132" s="85"/>
      <c r="P132" s="85"/>
      <c r="Q132" s="85"/>
      <c r="R132" s="85"/>
      <c r="S132" s="85"/>
      <c r="T132" s="85"/>
      <c r="U132" s="85"/>
      <c r="V132" s="85"/>
      <c r="W132" s="85"/>
      <c r="X132" s="85"/>
      <c r="Y132" s="85"/>
      <c r="Z132" s="85"/>
      <c r="AA132" s="85"/>
      <c r="AB132" s="85"/>
      <c r="AC132" s="85"/>
      <c r="AD132" s="85"/>
      <c r="AE132" s="156"/>
    </row>
    <row r="133" outlineLevel="1">
      <c r="A133" s="413" t="s">
        <v>1152</v>
      </c>
      <c r="B133" s="414"/>
      <c r="C133" s="414"/>
      <c r="D133" s="414"/>
      <c r="E133" s="414"/>
      <c r="F133" s="414"/>
      <c r="G133" s="414"/>
      <c r="H133" s="414"/>
      <c r="I133" s="414"/>
      <c r="J133" s="414"/>
      <c r="K133" s="414"/>
      <c r="L133" s="414"/>
      <c r="M133" s="414"/>
      <c r="N133" s="414"/>
      <c r="O133" s="414"/>
      <c r="P133" s="414"/>
      <c r="Q133" s="414"/>
      <c r="R133" s="414"/>
      <c r="S133" s="414"/>
      <c r="T133" s="415"/>
      <c r="U133" s="415"/>
      <c r="V133" s="415"/>
      <c r="W133" s="415"/>
      <c r="X133" s="415"/>
      <c r="Y133" s="415"/>
      <c r="Z133" s="415"/>
      <c r="AA133" s="415"/>
      <c r="AB133" s="415"/>
      <c r="AC133" s="415"/>
      <c r="AD133" s="415"/>
      <c r="AE133" s="814"/>
    </row>
    <row r="134" outlineLevel="1">
      <c r="A134" s="213" t="s">
        <v>1153</v>
      </c>
      <c r="B134" s="165"/>
      <c r="C134" s="165"/>
      <c r="D134" s="165"/>
      <c r="E134" s="165"/>
      <c r="F134" s="165"/>
      <c r="G134" s="165"/>
      <c r="H134" s="165"/>
      <c r="I134" s="165"/>
      <c r="J134" s="165">
        <v>1.0</v>
      </c>
      <c r="K134" s="165"/>
      <c r="L134" s="165"/>
      <c r="M134" s="165"/>
      <c r="N134" s="165"/>
      <c r="O134" s="165"/>
      <c r="P134" s="165"/>
      <c r="Q134" s="165"/>
      <c r="R134" s="165"/>
      <c r="S134" s="165"/>
      <c r="T134" s="165"/>
      <c r="U134" s="165"/>
      <c r="V134" s="165"/>
      <c r="W134" s="165"/>
      <c r="X134" s="165"/>
      <c r="Y134" s="165"/>
      <c r="Z134" s="165"/>
      <c r="AA134" s="165"/>
      <c r="AB134" s="165"/>
      <c r="AC134" s="165"/>
      <c r="AD134" s="165"/>
      <c r="AE134" s="156">
        <f t="shared" ref="AE134:AE139" si="33">SUM(B134:AD134)</f>
        <v>1</v>
      </c>
    </row>
    <row r="135" outlineLevel="1">
      <c r="A135" s="213" t="s">
        <v>1154</v>
      </c>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c r="AA135" s="303"/>
      <c r="AB135" s="303"/>
      <c r="AC135" s="303"/>
      <c r="AD135" s="303"/>
      <c r="AE135" s="156">
        <f t="shared" si="33"/>
        <v>0</v>
      </c>
    </row>
    <row r="136" outlineLevel="1">
      <c r="A136" s="213" t="s">
        <v>1155</v>
      </c>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c r="AA136" s="303"/>
      <c r="AB136" s="303"/>
      <c r="AC136" s="303"/>
      <c r="AD136" s="303"/>
      <c r="AE136" s="156">
        <f t="shared" si="33"/>
        <v>0</v>
      </c>
    </row>
    <row r="137" outlineLevel="1">
      <c r="A137" s="213" t="s">
        <v>1156</v>
      </c>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156">
        <f t="shared" si="33"/>
        <v>0</v>
      </c>
    </row>
    <row r="138" outlineLevel="1">
      <c r="A138" s="215" t="s">
        <v>221</v>
      </c>
      <c r="B138" s="330">
        <f t="shared" ref="B138:AD138" si="34">SUM(B134:B135)</f>
        <v>0</v>
      </c>
      <c r="C138" s="330">
        <f t="shared" si="34"/>
        <v>0</v>
      </c>
      <c r="D138" s="330">
        <f t="shared" si="34"/>
        <v>0</v>
      </c>
      <c r="E138" s="330">
        <f t="shared" si="34"/>
        <v>0</v>
      </c>
      <c r="F138" s="330">
        <f t="shared" si="34"/>
        <v>0</v>
      </c>
      <c r="G138" s="330">
        <f t="shared" si="34"/>
        <v>0</v>
      </c>
      <c r="H138" s="330">
        <f t="shared" si="34"/>
        <v>0</v>
      </c>
      <c r="I138" s="330">
        <f t="shared" si="34"/>
        <v>0</v>
      </c>
      <c r="J138" s="330">
        <f t="shared" si="34"/>
        <v>1</v>
      </c>
      <c r="K138" s="330">
        <f t="shared" si="34"/>
        <v>0</v>
      </c>
      <c r="L138" s="330">
        <f t="shared" si="34"/>
        <v>0</v>
      </c>
      <c r="M138" s="330">
        <f t="shared" si="34"/>
        <v>0</v>
      </c>
      <c r="N138" s="330">
        <f t="shared" si="34"/>
        <v>0</v>
      </c>
      <c r="O138" s="330">
        <f t="shared" si="34"/>
        <v>0</v>
      </c>
      <c r="P138" s="330">
        <f t="shared" si="34"/>
        <v>0</v>
      </c>
      <c r="Q138" s="330">
        <f t="shared" si="34"/>
        <v>0</v>
      </c>
      <c r="R138" s="330">
        <f t="shared" si="34"/>
        <v>0</v>
      </c>
      <c r="S138" s="330">
        <f t="shared" si="34"/>
        <v>0</v>
      </c>
      <c r="T138" s="330">
        <f t="shared" si="34"/>
        <v>0</v>
      </c>
      <c r="U138" s="330">
        <f t="shared" si="34"/>
        <v>0</v>
      </c>
      <c r="V138" s="330">
        <f t="shared" si="34"/>
        <v>0</v>
      </c>
      <c r="W138" s="330">
        <f t="shared" si="34"/>
        <v>0</v>
      </c>
      <c r="X138" s="330">
        <f t="shared" si="34"/>
        <v>0</v>
      </c>
      <c r="Y138" s="330">
        <f t="shared" si="34"/>
        <v>0</v>
      </c>
      <c r="Z138" s="330">
        <f t="shared" si="34"/>
        <v>0</v>
      </c>
      <c r="AA138" s="330">
        <f t="shared" si="34"/>
        <v>0</v>
      </c>
      <c r="AB138" s="330">
        <f t="shared" si="34"/>
        <v>0</v>
      </c>
      <c r="AC138" s="330">
        <f t="shared" si="34"/>
        <v>0</v>
      </c>
      <c r="AD138" s="330">
        <f t="shared" si="34"/>
        <v>0</v>
      </c>
      <c r="AE138" s="156">
        <f t="shared" si="33"/>
        <v>1</v>
      </c>
    </row>
    <row r="139" outlineLevel="1">
      <c r="A139" s="215" t="s">
        <v>222</v>
      </c>
      <c r="B139" s="330">
        <f t="shared" ref="B139:AD139" si="35">SUM(B136:B137)</f>
        <v>0</v>
      </c>
      <c r="C139" s="330">
        <f t="shared" si="35"/>
        <v>0</v>
      </c>
      <c r="D139" s="330">
        <f t="shared" si="35"/>
        <v>0</v>
      </c>
      <c r="E139" s="330">
        <f t="shared" si="35"/>
        <v>0</v>
      </c>
      <c r="F139" s="330">
        <f t="shared" si="35"/>
        <v>0</v>
      </c>
      <c r="G139" s="330">
        <f t="shared" si="35"/>
        <v>0</v>
      </c>
      <c r="H139" s="330">
        <f t="shared" si="35"/>
        <v>0</v>
      </c>
      <c r="I139" s="330">
        <f t="shared" si="35"/>
        <v>0</v>
      </c>
      <c r="J139" s="330">
        <f t="shared" si="35"/>
        <v>0</v>
      </c>
      <c r="K139" s="330">
        <f t="shared" si="35"/>
        <v>0</v>
      </c>
      <c r="L139" s="330">
        <f t="shared" si="35"/>
        <v>0</v>
      </c>
      <c r="M139" s="330">
        <f t="shared" si="35"/>
        <v>0</v>
      </c>
      <c r="N139" s="330">
        <f t="shared" si="35"/>
        <v>0</v>
      </c>
      <c r="O139" s="330">
        <f t="shared" si="35"/>
        <v>0</v>
      </c>
      <c r="P139" s="330">
        <f t="shared" si="35"/>
        <v>0</v>
      </c>
      <c r="Q139" s="330">
        <f t="shared" si="35"/>
        <v>0</v>
      </c>
      <c r="R139" s="330">
        <f t="shared" si="35"/>
        <v>0</v>
      </c>
      <c r="S139" s="330">
        <f t="shared" si="35"/>
        <v>0</v>
      </c>
      <c r="T139" s="330">
        <f t="shared" si="35"/>
        <v>0</v>
      </c>
      <c r="U139" s="330">
        <f t="shared" si="35"/>
        <v>0</v>
      </c>
      <c r="V139" s="330">
        <f t="shared" si="35"/>
        <v>0</v>
      </c>
      <c r="W139" s="330">
        <f t="shared" si="35"/>
        <v>0</v>
      </c>
      <c r="X139" s="330">
        <f t="shared" si="35"/>
        <v>0</v>
      </c>
      <c r="Y139" s="330">
        <f t="shared" si="35"/>
        <v>0</v>
      </c>
      <c r="Z139" s="330">
        <f t="shared" si="35"/>
        <v>0</v>
      </c>
      <c r="AA139" s="330">
        <f t="shared" si="35"/>
        <v>0</v>
      </c>
      <c r="AB139" s="330">
        <f t="shared" si="35"/>
        <v>0</v>
      </c>
      <c r="AC139" s="330">
        <f t="shared" si="35"/>
        <v>0</v>
      </c>
      <c r="AD139" s="330">
        <f t="shared" si="35"/>
        <v>0</v>
      </c>
      <c r="AE139" s="156">
        <f t="shared" si="33"/>
        <v>0</v>
      </c>
    </row>
    <row r="140" outlineLevel="1">
      <c r="A140" s="100"/>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207"/>
    </row>
    <row r="141" outlineLevel="1">
      <c r="A141" s="213" t="s">
        <v>224</v>
      </c>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156">
        <f t="shared" ref="AE141:AE149" si="36">SUM(B141:AD141)</f>
        <v>0</v>
      </c>
    </row>
    <row r="142" outlineLevel="1">
      <c r="A142" s="213" t="s">
        <v>225</v>
      </c>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c r="AA142" s="303"/>
      <c r="AB142" s="303"/>
      <c r="AC142" s="303"/>
      <c r="AD142" s="303"/>
      <c r="AE142" s="156">
        <f t="shared" si="36"/>
        <v>0</v>
      </c>
    </row>
    <row r="143" outlineLevel="1">
      <c r="A143" s="213" t="s">
        <v>1157</v>
      </c>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c r="AA143" s="303"/>
      <c r="AB143" s="303"/>
      <c r="AC143" s="303"/>
      <c r="AD143" s="303"/>
      <c r="AE143" s="156">
        <f t="shared" si="36"/>
        <v>0</v>
      </c>
    </row>
    <row r="144" outlineLevel="1">
      <c r="A144" s="213" t="s">
        <v>1158</v>
      </c>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156">
        <f t="shared" si="36"/>
        <v>0</v>
      </c>
    </row>
    <row r="145" outlineLevel="1">
      <c r="A145" s="213" t="s">
        <v>1159</v>
      </c>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156">
        <f t="shared" si="36"/>
        <v>0</v>
      </c>
    </row>
    <row r="146" outlineLevel="1">
      <c r="A146" s="213" t="s">
        <v>1160</v>
      </c>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c r="AA146" s="303"/>
      <c r="AB146" s="303"/>
      <c r="AC146" s="303"/>
      <c r="AD146" s="303"/>
      <c r="AE146" s="156">
        <f t="shared" si="36"/>
        <v>0</v>
      </c>
    </row>
    <row r="147" outlineLevel="1">
      <c r="A147" s="213" t="s">
        <v>1161</v>
      </c>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c r="AA147" s="303"/>
      <c r="AB147" s="303"/>
      <c r="AC147" s="303"/>
      <c r="AD147" s="303"/>
      <c r="AE147" s="156">
        <f t="shared" si="36"/>
        <v>0</v>
      </c>
    </row>
    <row r="148" outlineLevel="1">
      <c r="A148" s="213" t="s">
        <v>1162</v>
      </c>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c r="AA148" s="303"/>
      <c r="AB148" s="303"/>
      <c r="AC148" s="303"/>
      <c r="AD148" s="303"/>
      <c r="AE148" s="156">
        <f t="shared" si="36"/>
        <v>0</v>
      </c>
    </row>
    <row r="149" outlineLevel="1">
      <c r="A149" s="217" t="s">
        <v>141</v>
      </c>
      <c r="B149" s="330">
        <f t="shared" ref="B149:AD149" si="37">SUM(B141:B148)</f>
        <v>0</v>
      </c>
      <c r="C149" s="330">
        <f t="shared" si="37"/>
        <v>0</v>
      </c>
      <c r="D149" s="330">
        <f t="shared" si="37"/>
        <v>0</v>
      </c>
      <c r="E149" s="330">
        <f t="shared" si="37"/>
        <v>0</v>
      </c>
      <c r="F149" s="330">
        <f t="shared" si="37"/>
        <v>0</v>
      </c>
      <c r="G149" s="330">
        <f t="shared" si="37"/>
        <v>0</v>
      </c>
      <c r="H149" s="330">
        <f t="shared" si="37"/>
        <v>0</v>
      </c>
      <c r="I149" s="330">
        <f t="shared" si="37"/>
        <v>0</v>
      </c>
      <c r="J149" s="330">
        <f t="shared" si="37"/>
        <v>0</v>
      </c>
      <c r="K149" s="330">
        <f t="shared" si="37"/>
        <v>0</v>
      </c>
      <c r="L149" s="330">
        <f t="shared" si="37"/>
        <v>0</v>
      </c>
      <c r="M149" s="330">
        <f t="shared" si="37"/>
        <v>0</v>
      </c>
      <c r="N149" s="330">
        <f t="shared" si="37"/>
        <v>0</v>
      </c>
      <c r="O149" s="330">
        <f t="shared" si="37"/>
        <v>0</v>
      </c>
      <c r="P149" s="330">
        <f t="shared" si="37"/>
        <v>0</v>
      </c>
      <c r="Q149" s="330">
        <f t="shared" si="37"/>
        <v>0</v>
      </c>
      <c r="R149" s="330">
        <f t="shared" si="37"/>
        <v>0</v>
      </c>
      <c r="S149" s="330">
        <f t="shared" si="37"/>
        <v>0</v>
      </c>
      <c r="T149" s="330">
        <f t="shared" si="37"/>
        <v>0</v>
      </c>
      <c r="U149" s="330">
        <f t="shared" si="37"/>
        <v>0</v>
      </c>
      <c r="V149" s="330">
        <f t="shared" si="37"/>
        <v>0</v>
      </c>
      <c r="W149" s="330">
        <f t="shared" si="37"/>
        <v>0</v>
      </c>
      <c r="X149" s="330">
        <f t="shared" si="37"/>
        <v>0</v>
      </c>
      <c r="Y149" s="330">
        <f t="shared" si="37"/>
        <v>0</v>
      </c>
      <c r="Z149" s="330">
        <f t="shared" si="37"/>
        <v>0</v>
      </c>
      <c r="AA149" s="330">
        <f t="shared" si="37"/>
        <v>0</v>
      </c>
      <c r="AB149" s="330">
        <f t="shared" si="37"/>
        <v>0</v>
      </c>
      <c r="AC149" s="330">
        <f t="shared" si="37"/>
        <v>0</v>
      </c>
      <c r="AD149" s="330">
        <f t="shared" si="37"/>
        <v>0</v>
      </c>
      <c r="AE149" s="156">
        <f t="shared" si="36"/>
        <v>0</v>
      </c>
    </row>
    <row r="150" outlineLevel="1">
      <c r="A150" s="172"/>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81"/>
      <c r="AB150" s="181"/>
      <c r="AC150" s="181"/>
      <c r="AD150" s="181"/>
      <c r="AE150" s="156"/>
    </row>
    <row r="151" outlineLevel="1">
      <c r="A151" s="141" t="s">
        <v>1163</v>
      </c>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81"/>
      <c r="AB151" s="181"/>
      <c r="AC151" s="181"/>
      <c r="AD151" s="181"/>
      <c r="AE151" s="156"/>
    </row>
    <row r="152" outlineLevel="1">
      <c r="A152" s="213" t="s">
        <v>655</v>
      </c>
      <c r="B152" s="199"/>
      <c r="C152" s="199"/>
      <c r="D152" s="199"/>
      <c r="E152" s="226"/>
      <c r="F152" s="226"/>
      <c r="G152" s="226"/>
      <c r="H152" s="226"/>
      <c r="I152" s="226"/>
      <c r="J152" s="226"/>
      <c r="K152" s="226"/>
      <c r="L152" s="199"/>
      <c r="M152" s="226"/>
      <c r="N152" s="226"/>
      <c r="O152" s="226"/>
      <c r="P152" s="226"/>
      <c r="Q152" s="226"/>
      <c r="R152" s="226"/>
      <c r="S152" s="226"/>
      <c r="T152" s="226"/>
      <c r="U152" s="226"/>
      <c r="V152" s="226"/>
      <c r="W152" s="226"/>
      <c r="X152" s="199"/>
      <c r="Y152" s="226"/>
      <c r="Z152" s="226"/>
      <c r="AA152" s="226"/>
      <c r="AB152" s="226"/>
      <c r="AC152" s="226"/>
      <c r="AD152" s="199"/>
      <c r="AE152" s="156"/>
    </row>
    <row r="153" outlineLevel="1">
      <c r="A153" s="213" t="s">
        <v>482</v>
      </c>
      <c r="B153" s="99"/>
      <c r="C153" s="99"/>
      <c r="D153" s="99"/>
      <c r="E153" s="99"/>
      <c r="F153" s="99"/>
      <c r="G153" s="313"/>
      <c r="H153" s="313"/>
      <c r="I153" s="313"/>
      <c r="J153" s="313"/>
      <c r="K153" s="99"/>
      <c r="L153" s="313"/>
      <c r="M153" s="313"/>
      <c r="N153" s="313"/>
      <c r="O153" s="313"/>
      <c r="P153" s="313"/>
      <c r="Q153" s="313"/>
      <c r="R153" s="313"/>
      <c r="S153" s="313"/>
      <c r="T153" s="313"/>
      <c r="U153" s="313"/>
      <c r="V153" s="313"/>
      <c r="W153" s="313"/>
      <c r="X153" s="313"/>
      <c r="Y153" s="313"/>
      <c r="Z153" s="313"/>
      <c r="AA153" s="313"/>
      <c r="AB153" s="313"/>
      <c r="AC153" s="313"/>
      <c r="AD153" s="313"/>
      <c r="AE153" s="156"/>
    </row>
    <row r="154" outlineLevel="1">
      <c r="A154" s="213" t="s">
        <v>656</v>
      </c>
      <c r="B154" s="99"/>
      <c r="C154" s="99"/>
      <c r="D154" s="99"/>
      <c r="E154" s="99"/>
      <c r="F154" s="99"/>
      <c r="G154" s="313"/>
      <c r="H154" s="313"/>
      <c r="I154" s="313"/>
      <c r="J154" s="313"/>
      <c r="K154" s="99"/>
      <c r="L154" s="313"/>
      <c r="M154" s="313"/>
      <c r="N154" s="313"/>
      <c r="O154" s="313"/>
      <c r="P154" s="313"/>
      <c r="Q154" s="313"/>
      <c r="R154" s="313"/>
      <c r="S154" s="313"/>
      <c r="T154" s="313"/>
      <c r="U154" s="313"/>
      <c r="V154" s="313"/>
      <c r="W154" s="313"/>
      <c r="X154" s="313"/>
      <c r="Y154" s="313"/>
      <c r="Z154" s="313"/>
      <c r="AA154" s="313"/>
      <c r="AB154" s="313"/>
      <c r="AC154" s="313"/>
      <c r="AD154" s="313"/>
      <c r="AE154" s="156"/>
    </row>
    <row r="155" outlineLevel="1">
      <c r="A155" s="350" t="s">
        <v>657</v>
      </c>
      <c r="B155" s="342">
        <f t="shared" ref="B155:AD155" si="38">sum(B152:B154)</f>
        <v>0</v>
      </c>
      <c r="C155" s="342">
        <f t="shared" si="38"/>
        <v>0</v>
      </c>
      <c r="D155" s="342">
        <f t="shared" si="38"/>
        <v>0</v>
      </c>
      <c r="E155" s="342">
        <f t="shared" si="38"/>
        <v>0</v>
      </c>
      <c r="F155" s="342">
        <f t="shared" si="38"/>
        <v>0</v>
      </c>
      <c r="G155" s="342">
        <f t="shared" si="38"/>
        <v>0</v>
      </c>
      <c r="H155" s="342">
        <f t="shared" si="38"/>
        <v>0</v>
      </c>
      <c r="I155" s="342">
        <f t="shared" si="38"/>
        <v>0</v>
      </c>
      <c r="J155" s="342">
        <f t="shared" si="38"/>
        <v>0</v>
      </c>
      <c r="K155" s="342">
        <f t="shared" si="38"/>
        <v>0</v>
      </c>
      <c r="L155" s="342">
        <f t="shared" si="38"/>
        <v>0</v>
      </c>
      <c r="M155" s="342">
        <f t="shared" si="38"/>
        <v>0</v>
      </c>
      <c r="N155" s="342">
        <f t="shared" si="38"/>
        <v>0</v>
      </c>
      <c r="O155" s="342">
        <f t="shared" si="38"/>
        <v>0</v>
      </c>
      <c r="P155" s="342">
        <f t="shared" si="38"/>
        <v>0</v>
      </c>
      <c r="Q155" s="342">
        <f t="shared" si="38"/>
        <v>0</v>
      </c>
      <c r="R155" s="342">
        <f t="shared" si="38"/>
        <v>0</v>
      </c>
      <c r="S155" s="342">
        <f t="shared" si="38"/>
        <v>0</v>
      </c>
      <c r="T155" s="342">
        <f t="shared" si="38"/>
        <v>0</v>
      </c>
      <c r="U155" s="342">
        <f t="shared" si="38"/>
        <v>0</v>
      </c>
      <c r="V155" s="342">
        <f t="shared" si="38"/>
        <v>0</v>
      </c>
      <c r="W155" s="342">
        <f t="shared" si="38"/>
        <v>0</v>
      </c>
      <c r="X155" s="342">
        <f t="shared" si="38"/>
        <v>0</v>
      </c>
      <c r="Y155" s="342">
        <f t="shared" si="38"/>
        <v>0</v>
      </c>
      <c r="Z155" s="342">
        <f t="shared" si="38"/>
        <v>0</v>
      </c>
      <c r="AA155" s="342">
        <f t="shared" si="38"/>
        <v>0</v>
      </c>
      <c r="AB155" s="342">
        <f t="shared" si="38"/>
        <v>0</v>
      </c>
      <c r="AC155" s="342">
        <f t="shared" si="38"/>
        <v>0</v>
      </c>
      <c r="AD155" s="342">
        <f t="shared" si="38"/>
        <v>0</v>
      </c>
      <c r="AE155" s="156"/>
    </row>
    <row r="156">
      <c r="A156" s="85"/>
      <c r="B156" s="130"/>
      <c r="C156" s="130"/>
      <c r="D156" s="130"/>
      <c r="E156" s="130"/>
      <c r="F156" s="130"/>
      <c r="G156" s="130"/>
      <c r="H156" s="130"/>
      <c r="I156" s="85"/>
      <c r="J156" s="85"/>
      <c r="K156" s="85"/>
      <c r="L156" s="85"/>
      <c r="M156" s="85"/>
      <c r="N156" s="85"/>
      <c r="O156" s="85"/>
      <c r="P156" s="85"/>
      <c r="Q156" s="85"/>
      <c r="R156" s="85"/>
      <c r="S156" s="85"/>
      <c r="T156" s="85"/>
      <c r="U156" s="85"/>
      <c r="V156" s="85"/>
      <c r="W156" s="85"/>
      <c r="X156" s="85"/>
      <c r="Y156" s="85"/>
      <c r="Z156" s="85"/>
      <c r="AA156" s="85"/>
      <c r="AB156" s="85"/>
      <c r="AC156" s="85"/>
      <c r="AD156" s="85"/>
      <c r="AE156" s="156"/>
    </row>
    <row r="157">
      <c r="A157" s="557"/>
      <c r="B157" s="431"/>
      <c r="C157" s="431"/>
      <c r="D157" s="431"/>
      <c r="E157" s="431"/>
      <c r="F157" s="431"/>
      <c r="G157" s="431"/>
      <c r="H157" s="431"/>
      <c r="I157" s="431"/>
      <c r="J157" s="431"/>
      <c r="K157" s="431"/>
      <c r="L157" s="431"/>
      <c r="M157" s="431"/>
      <c r="N157" s="431"/>
      <c r="O157" s="431"/>
      <c r="P157" s="431"/>
      <c r="Q157" s="431"/>
      <c r="R157" s="431"/>
      <c r="S157" s="431"/>
      <c r="T157" s="431"/>
      <c r="U157" s="431"/>
      <c r="V157" s="431"/>
      <c r="W157" s="431"/>
      <c r="X157" s="431"/>
      <c r="Y157" s="431"/>
      <c r="Z157" s="431"/>
      <c r="AA157" s="431"/>
      <c r="AB157" s="431"/>
      <c r="AC157" s="431"/>
      <c r="AD157" s="431"/>
      <c r="AE157" s="207"/>
    </row>
    <row r="158">
      <c r="AE158" s="257"/>
    </row>
    <row r="159">
      <c r="A159" s="824" t="s">
        <v>387</v>
      </c>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207"/>
    </row>
    <row r="160">
      <c r="A160" s="825" t="s">
        <v>1164</v>
      </c>
      <c r="B160" s="247">
        <f t="shared" ref="B160:AD160" si="39">B10+B88</f>
        <v>0</v>
      </c>
      <c r="C160" s="247">
        <f t="shared" si="39"/>
        <v>0</v>
      </c>
      <c r="D160" s="247">
        <f t="shared" si="39"/>
        <v>0</v>
      </c>
      <c r="E160" s="247">
        <f t="shared" si="39"/>
        <v>0</v>
      </c>
      <c r="F160" s="247">
        <f t="shared" si="39"/>
        <v>0</v>
      </c>
      <c r="G160" s="247">
        <f t="shared" si="39"/>
        <v>0</v>
      </c>
      <c r="H160" s="247">
        <f t="shared" si="39"/>
        <v>0</v>
      </c>
      <c r="I160" s="247">
        <f t="shared" si="39"/>
        <v>0</v>
      </c>
      <c r="J160" s="247">
        <f t="shared" si="39"/>
        <v>0</v>
      </c>
      <c r="K160" s="247">
        <f t="shared" si="39"/>
        <v>0</v>
      </c>
      <c r="L160" s="247">
        <f t="shared" si="39"/>
        <v>0</v>
      </c>
      <c r="M160" s="247">
        <f t="shared" si="39"/>
        <v>0</v>
      </c>
      <c r="N160" s="247">
        <f t="shared" si="39"/>
        <v>0</v>
      </c>
      <c r="O160" s="247">
        <f t="shared" si="39"/>
        <v>0</v>
      </c>
      <c r="P160" s="247">
        <f t="shared" si="39"/>
        <v>0</v>
      </c>
      <c r="Q160" s="247">
        <f t="shared" si="39"/>
        <v>0</v>
      </c>
      <c r="R160" s="247">
        <f t="shared" si="39"/>
        <v>0</v>
      </c>
      <c r="S160" s="247">
        <f t="shared" si="39"/>
        <v>0</v>
      </c>
      <c r="T160" s="247">
        <f t="shared" si="39"/>
        <v>0</v>
      </c>
      <c r="U160" s="247">
        <f t="shared" si="39"/>
        <v>0</v>
      </c>
      <c r="V160" s="247">
        <f t="shared" si="39"/>
        <v>0</v>
      </c>
      <c r="W160" s="247">
        <f t="shared" si="39"/>
        <v>0</v>
      </c>
      <c r="X160" s="247">
        <f t="shared" si="39"/>
        <v>0</v>
      </c>
      <c r="Y160" s="247">
        <f t="shared" si="39"/>
        <v>0</v>
      </c>
      <c r="Z160" s="247">
        <f t="shared" si="39"/>
        <v>0</v>
      </c>
      <c r="AA160" s="247">
        <f t="shared" si="39"/>
        <v>0</v>
      </c>
      <c r="AB160" s="247">
        <f t="shared" si="39"/>
        <v>0</v>
      </c>
      <c r="AC160" s="247">
        <f t="shared" si="39"/>
        <v>0</v>
      </c>
      <c r="AD160" s="247">
        <f t="shared" si="39"/>
        <v>0</v>
      </c>
      <c r="AE160" s="248">
        <f t="shared" ref="AE160:AE171" si="40">SUM(B160:AD160)</f>
        <v>0</v>
      </c>
    </row>
    <row r="161">
      <c r="A161" s="238" t="s">
        <v>1165</v>
      </c>
      <c r="B161" s="137">
        <f>(B13+B14+B91+B92)*'Data - P&amp;L'!$C$3</f>
        <v>173.8</v>
      </c>
      <c r="C161" s="137">
        <f>(C13+C14+C91+C92)*'Data - P&amp;L'!$C$3</f>
        <v>695.2</v>
      </c>
      <c r="D161" s="137">
        <f>(D13+D14+D91+D92)*'Data - P&amp;L'!$C$3</f>
        <v>173.8</v>
      </c>
      <c r="E161" s="137">
        <f>(E13+E14+E91+E92)*'Data - P&amp;L'!$C$3</f>
        <v>86.9</v>
      </c>
      <c r="F161" s="137">
        <f>(F13+F14+F91+F92)*'Data - P&amp;L'!$C$3</f>
        <v>86.9</v>
      </c>
      <c r="G161" s="137">
        <f>(G13+G14+G91+G92)*'Data - P&amp;L'!$C$3</f>
        <v>86.9</v>
      </c>
      <c r="H161" s="137">
        <f>(H13+H14+H91+H92)*'Data - P&amp;L'!$C$3</f>
        <v>86.9</v>
      </c>
      <c r="I161" s="137">
        <f>(I13+I14+I91+I92)*'Data - P&amp;L'!$C$3</f>
        <v>173.8</v>
      </c>
      <c r="J161" s="137">
        <f>(J13+J14+J91+J92)*'Data - P&amp;L'!$C$3</f>
        <v>347.6</v>
      </c>
      <c r="K161" s="137">
        <f>(K13+K14+K91+K92)*'Data - P&amp;L'!$C$3</f>
        <v>173.8</v>
      </c>
      <c r="L161" s="137">
        <f>(L13+L14+L91+L92)*'Data - P&amp;L'!$C$3</f>
        <v>86.9</v>
      </c>
      <c r="M161" s="137">
        <f>(M13+M14+M91+M92)*'Data - P&amp;L'!$C$3</f>
        <v>260.7</v>
      </c>
      <c r="N161" s="137">
        <f>(N13+N14+N91+N92)*'Data - P&amp;L'!$C$3</f>
        <v>173.8</v>
      </c>
      <c r="O161" s="137">
        <f>(O13+O14+O91+O92)*'Data - P&amp;L'!$C$3</f>
        <v>260.7</v>
      </c>
      <c r="P161" s="137">
        <f>(P13+P14+P91+P92)*'Data - P&amp;L'!$C$3</f>
        <v>173.8</v>
      </c>
      <c r="Q161" s="137">
        <f>(Q13+Q14+Q91+Q92)*'Data - P&amp;L'!$C$3</f>
        <v>521.4</v>
      </c>
      <c r="R161" s="137">
        <f>(R13+R14+R91+R92)*'Data - P&amp;L'!$C$3</f>
        <v>86.9</v>
      </c>
      <c r="S161" s="137">
        <f>(S13+S14+S91+S92)*'Data - P&amp;L'!$C$3</f>
        <v>173.8</v>
      </c>
      <c r="T161" s="137">
        <f>(T13+T14+T91+T92)*'Data - P&amp;L'!$C$3</f>
        <v>0</v>
      </c>
      <c r="U161" s="137">
        <f>(U13+U14+U91+U92)*'Data - P&amp;L'!$C$3</f>
        <v>260.7</v>
      </c>
      <c r="V161" s="137">
        <f>(V13+V14+V91+V92)*'Data - P&amp;L'!$C$3</f>
        <v>347.6</v>
      </c>
      <c r="W161" s="137">
        <f>(W13+W14+W91+W92)*'Data - P&amp;L'!$C$3</f>
        <v>1042.8</v>
      </c>
      <c r="X161" s="137">
        <f>(X13+X14+X91+X92)*'Data - P&amp;L'!$C$3</f>
        <v>1477.3</v>
      </c>
      <c r="Y161" s="137">
        <f>(Y13+Y14+Y91+Y92)*'Data - P&amp;L'!$C$3</f>
        <v>1216.6</v>
      </c>
      <c r="Z161" s="137">
        <f>(Z13+Z14+Z91+Z92)*'Data - P&amp;L'!$C$3</f>
        <v>955.9</v>
      </c>
      <c r="AA161" s="137">
        <f>(AA13+AA14+AA91+AA92)*'Data - P&amp;L'!$C$3</f>
        <v>1216.6</v>
      </c>
      <c r="AB161" s="137">
        <f>(AB13+AB14+AB91+AB92)*'Data - P&amp;L'!$C$3</f>
        <v>955.9</v>
      </c>
      <c r="AC161" s="137">
        <f>(AC13+AC14+AC91+AC92)*'Data - P&amp;L'!$C$3</f>
        <v>869</v>
      </c>
      <c r="AD161" s="137">
        <f>(AD13+AD14+AD91+AD92)*'Data - P&amp;L'!$C$3</f>
        <v>955.9</v>
      </c>
      <c r="AE161" s="95">
        <f t="shared" si="40"/>
        <v>13121.9</v>
      </c>
    </row>
    <row r="162">
      <c r="A162" s="240" t="s">
        <v>1166</v>
      </c>
      <c r="B162" s="137">
        <f>(B15+B16+B93+B94)*'Data - P&amp;L'!$C$4</f>
        <v>1756.98</v>
      </c>
      <c r="C162" s="137">
        <f>(C15+C16+C93+C94)*'Data - P&amp;L'!$C$4</f>
        <v>2147.42</v>
      </c>
      <c r="D162" s="137">
        <f>(D15+D16+D93+D94)*'Data - P&amp;L'!$C$4</f>
        <v>0</v>
      </c>
      <c r="E162" s="137">
        <f>(E15+E16+E93+E94)*'Data - P&amp;L'!$C$4</f>
        <v>292.83</v>
      </c>
      <c r="F162" s="137">
        <f>(F15+F16+F93+F94)*'Data - P&amp;L'!$C$4</f>
        <v>2049.81</v>
      </c>
      <c r="G162" s="137">
        <f>(G15+G16+G93+G94)*'Data - P&amp;L'!$C$4</f>
        <v>1366.54</v>
      </c>
      <c r="H162" s="137">
        <f>(H15+H16+H93+H94)*'Data - P&amp;L'!$C$4</f>
        <v>1073.71</v>
      </c>
      <c r="I162" s="137">
        <f>(I15+I16+I93+I94)*'Data - P&amp;L'!$C$4</f>
        <v>1073.71</v>
      </c>
      <c r="J162" s="137">
        <f>(J15+J16+J93+J94)*'Data - P&amp;L'!$C$4</f>
        <v>878.49</v>
      </c>
      <c r="K162" s="137">
        <f>(K15+K16+K93+K94)*'Data - P&amp;L'!$C$4</f>
        <v>0</v>
      </c>
      <c r="L162" s="137">
        <f>(L15+L16+L93+L94)*'Data - P&amp;L'!$C$4</f>
        <v>585.66</v>
      </c>
      <c r="M162" s="137">
        <f>(M15+M16+M93+M94)*'Data - P&amp;L'!$C$4</f>
        <v>1756.98</v>
      </c>
      <c r="N162" s="137">
        <f>(N15+N16+N93+N94)*'Data - P&amp;L'!$C$4</f>
        <v>976.1</v>
      </c>
      <c r="O162" s="137">
        <f>(O15+O16+O93+O94)*'Data - P&amp;L'!$C$4</f>
        <v>390.44</v>
      </c>
      <c r="P162" s="137">
        <f>(P15+P16+P93+P94)*'Data - P&amp;L'!$C$4</f>
        <v>683.27</v>
      </c>
      <c r="Q162" s="137">
        <f>(Q15+Q16+Q93+Q94)*'Data - P&amp;L'!$C$4</f>
        <v>390.44</v>
      </c>
      <c r="R162" s="137">
        <f>(R15+R16+R93+R94)*'Data - P&amp;L'!$C$4</f>
        <v>0</v>
      </c>
      <c r="S162" s="137">
        <f>(S15+S16+S93+S94)*'Data - P&amp;L'!$C$4</f>
        <v>780.88</v>
      </c>
      <c r="T162" s="137">
        <f>(T15+T16+T93+T94)*'Data - P&amp;L'!$C$4</f>
        <v>5856.6</v>
      </c>
      <c r="U162" s="137">
        <f>(U15+U16+U93+U94)*'Data - P&amp;L'!$C$4</f>
        <v>5466.16</v>
      </c>
      <c r="V162" s="137">
        <f>(V15+V16+V93+V94)*'Data - P&amp;L'!$C$4</f>
        <v>1073.71</v>
      </c>
      <c r="W162" s="137">
        <f>(W15+W16+W93+W94)*'Data - P&amp;L'!$C$4</f>
        <v>1756.98</v>
      </c>
      <c r="X162" s="137">
        <f>(X15+X16+X93+X94)*'Data - P&amp;L'!$C$4</f>
        <v>1854.59</v>
      </c>
      <c r="Y162" s="137">
        <f>(Y15+Y16+Y93+Y94)*'Data - P&amp;L'!$C$4</f>
        <v>0</v>
      </c>
      <c r="Z162" s="137">
        <f>(Z15+Z16+Z93+Z94)*'Data - P&amp;L'!$C$4</f>
        <v>976.1</v>
      </c>
      <c r="AA162" s="137">
        <f>(AA15+AA16+AA93+AA94)*'Data - P&amp;L'!$C$4</f>
        <v>2635.47</v>
      </c>
      <c r="AB162" s="137">
        <f>(AB15+AB16+AB93+AB94)*'Data - P&amp;L'!$C$4</f>
        <v>2245.03</v>
      </c>
      <c r="AC162" s="137">
        <f>(AC15+AC16+AC93+AC94)*'Data - P&amp;L'!$C$4</f>
        <v>2342.64</v>
      </c>
      <c r="AD162" s="137">
        <f>(AD15+AD16+AD93+AD94)*'Data - P&amp;L'!$C$4</f>
        <v>3709.18</v>
      </c>
      <c r="AE162" s="95">
        <f t="shared" si="40"/>
        <v>44119.72</v>
      </c>
    </row>
    <row r="163">
      <c r="A163" s="240" t="s">
        <v>1167</v>
      </c>
      <c r="B163" s="137">
        <f>(B19+B97)*'Data - P&amp;L'!$C$6</f>
        <v>0</v>
      </c>
      <c r="C163" s="137">
        <f>(C19+C97)*'Data - P&amp;L'!$C$6</f>
        <v>0</v>
      </c>
      <c r="D163" s="137">
        <f>(D19+D97)*'Data - P&amp;L'!$C$6</f>
        <v>0</v>
      </c>
      <c r="E163" s="137">
        <f>(E19+E97)*'Data - P&amp;L'!$C$6</f>
        <v>0</v>
      </c>
      <c r="F163" s="137">
        <f>(F19+F97)*'Data - P&amp;L'!$C$6</f>
        <v>0</v>
      </c>
      <c r="G163" s="137">
        <f>(G19+G97)*'Data - P&amp;L'!$C$6</f>
        <v>0</v>
      </c>
      <c r="H163" s="137">
        <f>(H19+H97)*'Data - P&amp;L'!$C$6</f>
        <v>0</v>
      </c>
      <c r="I163" s="137">
        <f>(I19+I97)*'Data - P&amp;L'!$C$6</f>
        <v>0</v>
      </c>
      <c r="J163" s="137">
        <f>(J19+J97)*'Data - P&amp;L'!$C$6</f>
        <v>0</v>
      </c>
      <c r="K163" s="137">
        <f>(K19+K97)*'Data - P&amp;L'!$C$6</f>
        <v>0</v>
      </c>
      <c r="L163" s="137">
        <f>(L19+L97)*'Data - P&amp;L'!$C$6</f>
        <v>0</v>
      </c>
      <c r="M163" s="137">
        <f>(M19+M97)*'Data - P&amp;L'!$C$6</f>
        <v>0</v>
      </c>
      <c r="N163" s="137">
        <f>(N19+N97)*'Data - P&amp;L'!$C$6</f>
        <v>0</v>
      </c>
      <c r="O163" s="137">
        <f>(O19+O97)*'Data - P&amp;L'!$C$6</f>
        <v>0</v>
      </c>
      <c r="P163" s="137">
        <f>(P19+P97)*'Data - P&amp;L'!$C$6</f>
        <v>0</v>
      </c>
      <c r="Q163" s="137">
        <f>(Q19+Q97)*'Data - P&amp;L'!$C$6</f>
        <v>0</v>
      </c>
      <c r="R163" s="137">
        <f>(R19+R97)*'Data - P&amp;L'!$C$6</f>
        <v>0</v>
      </c>
      <c r="S163" s="137">
        <f>(S19+S97)*'Data - P&amp;L'!$C$6</f>
        <v>0</v>
      </c>
      <c r="T163" s="137">
        <f>(T19+T97)*'Data - P&amp;L'!$C$6</f>
        <v>0</v>
      </c>
      <c r="U163" s="137">
        <f>(U19+U97)*'Data - P&amp;L'!$C$6</f>
        <v>0</v>
      </c>
      <c r="V163" s="137">
        <f>(V19+V97)*'Data - P&amp;L'!$C$6</f>
        <v>0</v>
      </c>
      <c r="W163" s="137">
        <f>(W19+W97)*'Data - P&amp;L'!$C$6</f>
        <v>0</v>
      </c>
      <c r="X163" s="137">
        <f>(X19+X97)*'Data - P&amp;L'!$C$6</f>
        <v>0</v>
      </c>
      <c r="Y163" s="137">
        <f>(Y19+Y97)*'Data - P&amp;L'!$C$6</f>
        <v>0</v>
      </c>
      <c r="Z163" s="137">
        <f>(Z19+Z97)*'Data - P&amp;L'!$C$6</f>
        <v>0</v>
      </c>
      <c r="AA163" s="137">
        <f>(AA19+AA97)*'Data - P&amp;L'!$C$6</f>
        <v>0</v>
      </c>
      <c r="AB163" s="137">
        <f>(AB19+AB97)*'Data - P&amp;L'!$C$6</f>
        <v>0</v>
      </c>
      <c r="AC163" s="137">
        <f>(AC19+AC97)*'Data - P&amp;L'!$C$6</f>
        <v>0</v>
      </c>
      <c r="AD163" s="137">
        <f>(AD19+AD97)*'Data - P&amp;L'!$C$6</f>
        <v>0</v>
      </c>
      <c r="AE163" s="95">
        <f t="shared" si="40"/>
        <v>0</v>
      </c>
    </row>
    <row r="164">
      <c r="A164" s="240" t="s">
        <v>1168</v>
      </c>
      <c r="B164" s="137">
        <f>(B20+B98)*'Data - P&amp;L'!$C$8</f>
        <v>0</v>
      </c>
      <c r="C164" s="137">
        <f>(C20+C98)*'Data - P&amp;L'!$C$8</f>
        <v>0</v>
      </c>
      <c r="D164" s="137">
        <f>(D20+D98)*'Data - P&amp;L'!$C$8</f>
        <v>0</v>
      </c>
      <c r="E164" s="137">
        <f>(E20+E98)*'Data - P&amp;L'!$C$8</f>
        <v>0</v>
      </c>
      <c r="F164" s="137">
        <f>(F20+F98)*'Data - P&amp;L'!$C$8</f>
        <v>0</v>
      </c>
      <c r="G164" s="137">
        <f>(G20+G98)*'Data - P&amp;L'!$C$8</f>
        <v>0</v>
      </c>
      <c r="H164" s="137">
        <f>(H20+H98)*'Data - P&amp;L'!$C$8</f>
        <v>0</v>
      </c>
      <c r="I164" s="137">
        <f>(I20+I98)*'Data - P&amp;L'!$C$8</f>
        <v>0</v>
      </c>
      <c r="J164" s="137">
        <f>(J20+J98)*'Data - P&amp;L'!$C$8</f>
        <v>0</v>
      </c>
      <c r="K164" s="137">
        <f>(K20+K98)*'Data - P&amp;L'!$C$8</f>
        <v>0</v>
      </c>
      <c r="L164" s="137">
        <f>(L20+L98)*'Data - P&amp;L'!$C$8</f>
        <v>0</v>
      </c>
      <c r="M164" s="137">
        <f>(M20+M98)*'Data - P&amp;L'!$C$8</f>
        <v>0</v>
      </c>
      <c r="N164" s="137">
        <f>(N20+N98)*'Data - P&amp;L'!$C$8</f>
        <v>0</v>
      </c>
      <c r="O164" s="137">
        <f>(O20+O98)*'Data - P&amp;L'!$C$8</f>
        <v>0</v>
      </c>
      <c r="P164" s="137">
        <f>(P20+P98)*'Data - P&amp;L'!$C$8</f>
        <v>0</v>
      </c>
      <c r="Q164" s="137">
        <f>(Q20+Q98)*'Data - P&amp;L'!$C$8</f>
        <v>0</v>
      </c>
      <c r="R164" s="137">
        <f>(R20+R98)*'Data - P&amp;L'!$C$8</f>
        <v>0</v>
      </c>
      <c r="S164" s="137">
        <f>(S20+S98)*'Data - P&amp;L'!$C$8</f>
        <v>0</v>
      </c>
      <c r="T164" s="137">
        <f>(T20+T98)*'Data - P&amp;L'!$C$8</f>
        <v>0</v>
      </c>
      <c r="U164" s="137">
        <f>(U20+U98)*'Data - P&amp;L'!$C$8</f>
        <v>0</v>
      </c>
      <c r="V164" s="137">
        <f>(V20+V98)*'Data - P&amp;L'!$C$8</f>
        <v>0</v>
      </c>
      <c r="W164" s="137">
        <f>(W20+W98)*'Data - P&amp;L'!$C$8</f>
        <v>0</v>
      </c>
      <c r="X164" s="137">
        <f>(X20+X98)*'Data - P&amp;L'!$C$8</f>
        <v>0</v>
      </c>
      <c r="Y164" s="137">
        <f>(Y20+Y98)*'Data - P&amp;L'!$C$8</f>
        <v>0</v>
      </c>
      <c r="Z164" s="137">
        <f>(Z20+Z98)*'Data - P&amp;L'!$C$8</f>
        <v>0</v>
      </c>
      <c r="AA164" s="137">
        <f>(AA20+AA98)*'Data - P&amp;L'!$C$8</f>
        <v>0</v>
      </c>
      <c r="AB164" s="137">
        <f>(AB20+AB98)*'Data - P&amp;L'!$C$8</f>
        <v>0</v>
      </c>
      <c r="AC164" s="137">
        <f>(AC20+AC98)*'Data - P&amp;L'!$C$8</f>
        <v>0</v>
      </c>
      <c r="AD164" s="137">
        <f>(AD20+AD98)*'Data - P&amp;L'!$C$8</f>
        <v>0</v>
      </c>
      <c r="AE164" s="95">
        <f t="shared" si="40"/>
        <v>0</v>
      </c>
    </row>
    <row r="165">
      <c r="A165" s="240" t="s">
        <v>1169</v>
      </c>
      <c r="B165" s="137">
        <f>(B21+B22+B99+B100)*'Data - P&amp;L'!$C$9</f>
        <v>0</v>
      </c>
      <c r="C165" s="137">
        <f>(C21+C22+C99+C100)*'Data - P&amp;L'!$C$9</f>
        <v>0</v>
      </c>
      <c r="D165" s="137">
        <f>(D21+D22+D99+D100)*'Data - P&amp;L'!$C$9</f>
        <v>0</v>
      </c>
      <c r="E165" s="137">
        <f>(E21+E22+E99+E100)*'Data - P&amp;L'!$C$9</f>
        <v>0</v>
      </c>
      <c r="F165" s="137">
        <f>(F21+F22+F99+F100)*'Data - P&amp;L'!$C$9</f>
        <v>0</v>
      </c>
      <c r="G165" s="137">
        <f>(G21+G22+G99+G100)*'Data - P&amp;L'!$C$9</f>
        <v>0</v>
      </c>
      <c r="H165" s="137">
        <f>(H21+H22+H99+H100)*'Data - P&amp;L'!$C$9</f>
        <v>0</v>
      </c>
      <c r="I165" s="137">
        <f>(I21+I22+I99+I100)*'Data - P&amp;L'!$C$9</f>
        <v>0</v>
      </c>
      <c r="J165" s="137">
        <f>(J21+J22+J99+J100)*'Data - P&amp;L'!$C$9</f>
        <v>0</v>
      </c>
      <c r="K165" s="137">
        <f>(K21+K22+K99+K100)*'Data - P&amp;L'!$C$9</f>
        <v>0</v>
      </c>
      <c r="L165" s="137">
        <f>(L21+L22+L99+L100)*'Data - P&amp;L'!$C$9</f>
        <v>0</v>
      </c>
      <c r="M165" s="137">
        <f>(M21+M22+M99+M100)*'Data - P&amp;L'!$C$9</f>
        <v>0</v>
      </c>
      <c r="N165" s="137">
        <f>(N21+N22+N99+N100)*'Data - P&amp;L'!$C$9</f>
        <v>0</v>
      </c>
      <c r="O165" s="137">
        <f>(O21+O22+O99+O100)*'Data - P&amp;L'!$C$9</f>
        <v>0</v>
      </c>
      <c r="P165" s="137">
        <f>(P21+P22+P99+P100)*'Data - P&amp;L'!$C$9</f>
        <v>0</v>
      </c>
      <c r="Q165" s="137">
        <f>(Q21+Q22+Q99+Q100)*'Data - P&amp;L'!$C$9</f>
        <v>0</v>
      </c>
      <c r="R165" s="137">
        <f>(R21+R22+R99+R100)*'Data - P&amp;L'!$C$9</f>
        <v>0</v>
      </c>
      <c r="S165" s="137">
        <f>(S21+S22+S99+S100)*'Data - P&amp;L'!$C$9</f>
        <v>0</v>
      </c>
      <c r="T165" s="137">
        <f>(T21+T22+T99+T100)*'Data - P&amp;L'!$C$9</f>
        <v>0</v>
      </c>
      <c r="U165" s="137">
        <f>(U21+U22+U99+U100)*'Data - P&amp;L'!$C$9</f>
        <v>0</v>
      </c>
      <c r="V165" s="137">
        <f>(V21+V22+V99+V100)*'Data - P&amp;L'!$C$9</f>
        <v>0</v>
      </c>
      <c r="W165" s="137">
        <f>(W21+W22+W99+W100)*'Data - P&amp;L'!$C$9</f>
        <v>0</v>
      </c>
      <c r="X165" s="137">
        <f>(X21+X22+X99+X100)*'Data - P&amp;L'!$C$9</f>
        <v>0</v>
      </c>
      <c r="Y165" s="137">
        <f>(Y21+Y22+Y99+Y100)*'Data - P&amp;L'!$C$9</f>
        <v>0</v>
      </c>
      <c r="Z165" s="137">
        <f>(Z21+Z22+Z99+Z100)*'Data - P&amp;L'!$C$9</f>
        <v>0</v>
      </c>
      <c r="AA165" s="137">
        <f>(AA21+AA22+AA99+AA100)*'Data - P&amp;L'!$C$9</f>
        <v>0</v>
      </c>
      <c r="AB165" s="137">
        <f>(AB21+AB22+AB99+AB100)*'Data - P&amp;L'!$C$9</f>
        <v>0</v>
      </c>
      <c r="AC165" s="137">
        <f>(AC21+AC22+AC99+AC100)*'Data - P&amp;L'!$C$9</f>
        <v>0</v>
      </c>
      <c r="AD165" s="137">
        <f>(AD21+AD22+AD99+AD100)*'Data - P&amp;L'!$C$9</f>
        <v>0</v>
      </c>
      <c r="AE165" s="95">
        <f t="shared" si="40"/>
        <v>0</v>
      </c>
    </row>
    <row r="166">
      <c r="A166" s="240" t="s">
        <v>1170</v>
      </c>
      <c r="B166" s="137">
        <f>(B23+B24+B101+B102)*'Data - P&amp;L'!$C$5</f>
        <v>0</v>
      </c>
      <c r="C166" s="137">
        <f>(C23+C24+C101+C102)*'Data - P&amp;L'!$C$5</f>
        <v>0</v>
      </c>
      <c r="D166" s="137">
        <f>(D23+D24+D101+D102)*'Data - P&amp;L'!$C$5</f>
        <v>0</v>
      </c>
      <c r="E166" s="137">
        <f>(E23+E24+E101+E102)*'Data - P&amp;L'!$C$5</f>
        <v>0</v>
      </c>
      <c r="F166" s="137">
        <f>(F23+F24+F101+F102)*'Data - P&amp;L'!$C$5</f>
        <v>0</v>
      </c>
      <c r="G166" s="137">
        <f>(G23+G24+G101+G102)*'Data - P&amp;L'!$C$5</f>
        <v>0</v>
      </c>
      <c r="H166" s="137">
        <f>(H23+H24+H101+H102)*'Data - P&amp;L'!$C$5</f>
        <v>0</v>
      </c>
      <c r="I166" s="137">
        <f>(I23+I24+I101+I102)*'Data - P&amp;L'!$C$5</f>
        <v>0</v>
      </c>
      <c r="J166" s="137">
        <f>(J23+J24+J101+J102)*'Data - P&amp;L'!$C$5</f>
        <v>0</v>
      </c>
      <c r="K166" s="137">
        <f>(K23+K24+K101+K102)*'Data - P&amp;L'!$C$5</f>
        <v>0</v>
      </c>
      <c r="L166" s="137">
        <f>(L23+L24+L101+L102)*'Data - P&amp;L'!$C$5</f>
        <v>0</v>
      </c>
      <c r="M166" s="137">
        <f>(M23+M24+M101+M102)*'Data - P&amp;L'!$C$5</f>
        <v>0</v>
      </c>
      <c r="N166" s="137">
        <f>(N23+N24+N101+N102)*'Data - P&amp;L'!$C$5</f>
        <v>0</v>
      </c>
      <c r="O166" s="137">
        <f>(O23+O24+O101+O102)*'Data - P&amp;L'!$C$5</f>
        <v>0</v>
      </c>
      <c r="P166" s="137">
        <f>(P23+P24+P101+P102)*'Data - P&amp;L'!$C$5</f>
        <v>0</v>
      </c>
      <c r="Q166" s="137">
        <f>(Q23+Q24+Q101+Q102)*'Data - P&amp;L'!$C$5</f>
        <v>0</v>
      </c>
      <c r="R166" s="137">
        <f>(R23+R24+R101+R102)*'Data - P&amp;L'!$C$5</f>
        <v>0</v>
      </c>
      <c r="S166" s="137">
        <f>(S23+S24+S101+S102)*'Data - P&amp;L'!$C$5</f>
        <v>0</v>
      </c>
      <c r="T166" s="137">
        <f>(T23+T24+T101+T102)*'Data - P&amp;L'!$C$5</f>
        <v>0</v>
      </c>
      <c r="U166" s="137">
        <f>(U23+U24+U101+U102)*'Data - P&amp;L'!$C$5</f>
        <v>0</v>
      </c>
      <c r="V166" s="137">
        <f>(V23+V24+V101+V102)*'Data - P&amp;L'!$C$5</f>
        <v>0</v>
      </c>
      <c r="W166" s="137">
        <f>(W23+W24+W101+W102)*'Data - P&amp;L'!$C$5</f>
        <v>0</v>
      </c>
      <c r="X166" s="137">
        <f>(X23+X24+X101+X102)*'Data - P&amp;L'!$C$5</f>
        <v>0</v>
      </c>
      <c r="Y166" s="137">
        <f>(Y23+Y24+Y101+Y102)*'Data - P&amp;L'!$C$5</f>
        <v>0</v>
      </c>
      <c r="Z166" s="137">
        <f>(Z23+Z24+Z101+Z102)*'Data - P&amp;L'!$C$5</f>
        <v>0</v>
      </c>
      <c r="AA166" s="137">
        <f>(AA23+AA24+AA101+AA102)*'Data - P&amp;L'!$C$5</f>
        <v>0</v>
      </c>
      <c r="AB166" s="137">
        <f>(AB23+AB24+AB101+AB102)*'Data - P&amp;L'!$C$5</f>
        <v>0</v>
      </c>
      <c r="AC166" s="137">
        <f>(AC23+AC24+AC101+AC102)*'Data - P&amp;L'!$C$5</f>
        <v>0</v>
      </c>
      <c r="AD166" s="137">
        <f>(AD23+AD24+AD101+AD102)*'Data - P&amp;L'!$C$5</f>
        <v>0</v>
      </c>
      <c r="AE166" s="95">
        <f t="shared" si="40"/>
        <v>0</v>
      </c>
    </row>
    <row r="167">
      <c r="A167" s="240" t="s">
        <v>1171</v>
      </c>
      <c r="B167" s="137">
        <f>(B25+B26+B103+B104)*'Data - P&amp;L'!$C$10</f>
        <v>0</v>
      </c>
      <c r="C167" s="137">
        <f>(C25+C26+C103+C104)*'Data - P&amp;L'!$C$10</f>
        <v>0</v>
      </c>
      <c r="D167" s="137">
        <f>(D25+D26+D103+D104)*'Data - P&amp;L'!$C$10</f>
        <v>0</v>
      </c>
      <c r="E167" s="137">
        <f>(E25+E26+E103+E104)*'Data - P&amp;L'!$C$10</f>
        <v>0</v>
      </c>
      <c r="F167" s="137">
        <f>(F25+F26+F103+F104)*'Data - P&amp;L'!$C$10</f>
        <v>0</v>
      </c>
      <c r="G167" s="137">
        <f>(G25+G26+G103+G104)*'Data - P&amp;L'!$C$10</f>
        <v>0</v>
      </c>
      <c r="H167" s="137">
        <f>(H25+H26+H103+H104)*'Data - P&amp;L'!$C$10</f>
        <v>0</v>
      </c>
      <c r="I167" s="137">
        <f>(I25+I26+I103+I104)*'Data - P&amp;L'!$C$10</f>
        <v>0</v>
      </c>
      <c r="J167" s="137">
        <f>(J25+J26+J103+J104)*'Data - P&amp;L'!$C$10</f>
        <v>0</v>
      </c>
      <c r="K167" s="137">
        <f>(K25+K26+K103+K104)*'Data - P&amp;L'!$C$10</f>
        <v>0</v>
      </c>
      <c r="L167" s="137">
        <f>(L25+L26+L103+L104)*'Data - P&amp;L'!$C$10</f>
        <v>0</v>
      </c>
      <c r="M167" s="137">
        <f>(M25+M26+M103+M104)*'Data - P&amp;L'!$C$10</f>
        <v>0</v>
      </c>
      <c r="N167" s="137">
        <f>(N25+N26+N103+N104)*'Data - P&amp;L'!$C$10</f>
        <v>0</v>
      </c>
      <c r="O167" s="137">
        <f>(O25+O26+O103+O104)*'Data - P&amp;L'!$C$10</f>
        <v>0</v>
      </c>
      <c r="P167" s="137">
        <f>(P25+P26+P103+P104)*'Data - P&amp;L'!$C$10</f>
        <v>0</v>
      </c>
      <c r="Q167" s="137">
        <f>(Q25+Q26+Q103+Q104)*'Data - P&amp;L'!$C$10</f>
        <v>0</v>
      </c>
      <c r="R167" s="137">
        <f>(R25+R26+R103+R104)*'Data - P&amp;L'!$C$10</f>
        <v>0</v>
      </c>
      <c r="S167" s="137">
        <f>(S25+S26+S103+S104)*'Data - P&amp;L'!$C$10</f>
        <v>0</v>
      </c>
      <c r="T167" s="137">
        <f>(T25+T26+T103+T104)*'Data - P&amp;L'!$C$10</f>
        <v>0</v>
      </c>
      <c r="U167" s="137">
        <f>(U25+U26+U103+U104)*'Data - P&amp;L'!$C$10</f>
        <v>0</v>
      </c>
      <c r="V167" s="137">
        <f>(V25+V26+V103+V104)*'Data - P&amp;L'!$C$10</f>
        <v>0</v>
      </c>
      <c r="W167" s="137">
        <f>(W25+W26+W103+W104)*'Data - P&amp;L'!$C$10</f>
        <v>0</v>
      </c>
      <c r="X167" s="137">
        <f>(X25+X26+X103+X104)*'Data - P&amp;L'!$C$10</f>
        <v>0</v>
      </c>
      <c r="Y167" s="137">
        <f>(Y25+Y26+Y103+Y104)*'Data - P&amp;L'!$C$10</f>
        <v>0</v>
      </c>
      <c r="Z167" s="137">
        <f>(Z25+Z26+Z103+Z104)*'Data - P&amp;L'!$C$10</f>
        <v>0</v>
      </c>
      <c r="AA167" s="137">
        <f>(AA25+AA26+AA103+AA104)*'Data - P&amp;L'!$C$10</f>
        <v>0</v>
      </c>
      <c r="AB167" s="137">
        <f>(AB25+AB26+AB103+AB104)*'Data - P&amp;L'!$C$10</f>
        <v>0</v>
      </c>
      <c r="AC167" s="137">
        <f>(AC25+AC26+AC103+AC104)*'Data - P&amp;L'!$C$10</f>
        <v>0</v>
      </c>
      <c r="AD167" s="137">
        <f>(AD25+AD26+AD103+AD104)*'Data - P&amp;L'!$C$10</f>
        <v>0</v>
      </c>
      <c r="AE167" s="95">
        <f t="shared" si="40"/>
        <v>0</v>
      </c>
    </row>
    <row r="168">
      <c r="A168" s="442" t="s">
        <v>1172</v>
      </c>
      <c r="B168" s="241">
        <f>(B17*'Data - P&amp;L'!$C$38)+(B95*'Data - P&amp;L'!$C$39)</f>
        <v>238.8</v>
      </c>
      <c r="C168" s="241">
        <f>(C17*'Data - P&amp;L'!$C$38)+(C95*'Data - P&amp;L'!$C$39)</f>
        <v>358.2</v>
      </c>
      <c r="D168" s="241">
        <f>(D17*'Data - P&amp;L'!$C$38)+(D95*'Data - P&amp;L'!$C$39)</f>
        <v>23.88</v>
      </c>
      <c r="E168" s="241">
        <f>(E17*'Data - P&amp;L'!$C$38)+(E95*'Data - P&amp;L'!$C$39)</f>
        <v>47.76</v>
      </c>
      <c r="F168" s="241">
        <f>(F17*'Data - P&amp;L'!$C$38)+(F95*'Data - P&amp;L'!$C$39)</f>
        <v>262.68</v>
      </c>
      <c r="G168" s="241">
        <f>(G17*'Data - P&amp;L'!$C$38)+(G95*'Data - P&amp;L'!$C$39)</f>
        <v>179.1</v>
      </c>
      <c r="H168" s="241">
        <f>(H17*'Data - P&amp;L'!$C$38)+(H95*'Data - P&amp;L'!$C$39)</f>
        <v>143.28</v>
      </c>
      <c r="I168" s="241">
        <f>(I17*'Data - P&amp;L'!$C$38)+(I95*'Data - P&amp;L'!$C$39)</f>
        <v>155.22</v>
      </c>
      <c r="J168" s="241">
        <f>(J17*'Data - P&amp;L'!$C$38)+(J95*'Data - P&amp;L'!$C$39)</f>
        <v>155.22</v>
      </c>
      <c r="K168" s="241">
        <f>(K17*'Data - P&amp;L'!$C$38)+(K95*'Data - P&amp;L'!$C$39)</f>
        <v>23.88</v>
      </c>
      <c r="L168" s="241">
        <f>(L17*'Data - P&amp;L'!$C$38)+(L95*'Data - P&amp;L'!$C$39)</f>
        <v>83.58</v>
      </c>
      <c r="M168" s="241">
        <f>(M17*'Data - P&amp;L'!$C$38)+(M95*'Data - P&amp;L'!$C$39)</f>
        <v>250.74</v>
      </c>
      <c r="N168" s="241">
        <f>(N17*'Data - P&amp;L'!$C$38)+(N95*'Data - P&amp;L'!$C$39)</f>
        <v>143.28</v>
      </c>
      <c r="O168" s="241">
        <f>(O17*'Data - P&amp;L'!$C$38)+(O95*'Data - P&amp;L'!$C$39)</f>
        <v>83.58</v>
      </c>
      <c r="P168" s="241">
        <f>(P17*'Data - P&amp;L'!$C$38)+(P95*'Data - P&amp;L'!$C$39)</f>
        <v>107.46</v>
      </c>
      <c r="Q168" s="241">
        <f>(Q17*'Data - P&amp;L'!$C$38)+(Q95*'Data - P&amp;L'!$C$39)</f>
        <v>119.4</v>
      </c>
      <c r="R168" s="241">
        <f>(R17*'Data - P&amp;L'!$C$38)+(R95*'Data - P&amp;L'!$C$39)</f>
        <v>11.94</v>
      </c>
      <c r="S168" s="241">
        <f>(S17*'Data - P&amp;L'!$C$38)+(S95*'Data - P&amp;L'!$C$39)</f>
        <v>119.4</v>
      </c>
      <c r="T168" s="241">
        <f>(T17*'Data - P&amp;L'!$C$38)+(T95*'Data - P&amp;L'!$C$39)</f>
        <v>716.4</v>
      </c>
      <c r="U168" s="241">
        <f>(U17*'Data - P&amp;L'!$C$38)+(U95*'Data - P&amp;L'!$C$39)</f>
        <v>704.46</v>
      </c>
      <c r="V168" s="241">
        <f>(V17*'Data - P&amp;L'!$C$38)+(V95*'Data - P&amp;L'!$C$39)</f>
        <v>179.1</v>
      </c>
      <c r="W168" s="241">
        <f>(W17*'Data - P&amp;L'!$C$38)+(W95*'Data - P&amp;L'!$C$39)</f>
        <v>358.2</v>
      </c>
      <c r="X168" s="241">
        <f>(X17*'Data - P&amp;L'!$C$38)+(X95*'Data - P&amp;L'!$C$39)</f>
        <v>429.84</v>
      </c>
      <c r="Y168" s="241">
        <f>(Y17*'Data - P&amp;L'!$C$38)+(Y95*'Data - P&amp;L'!$C$39)</f>
        <v>167.16</v>
      </c>
      <c r="Z168" s="241">
        <f>(Z17*'Data - P&amp;L'!$C$38)+(Z95*'Data - P&amp;L'!$C$39)</f>
        <v>250.74</v>
      </c>
      <c r="AA168" s="241">
        <f>(AA17*'Data - P&amp;L'!$C$38)+(AA95*'Data - P&amp;L'!$C$39)</f>
        <v>489.54</v>
      </c>
      <c r="AB168" s="241">
        <f>(AB17*'Data - P&amp;L'!$C$38)+(AB95*'Data - P&amp;L'!$C$39)</f>
        <v>405.96</v>
      </c>
      <c r="AC168" s="241">
        <f>(AC17*'Data - P&amp;L'!$C$38)+(AC95*'Data - P&amp;L'!$C$39)</f>
        <v>405.96</v>
      </c>
      <c r="AD168" s="241">
        <f>(AD17*'Data - P&amp;L'!$C$38)+(AD95*'Data - P&amp;L'!$C$39)</f>
        <v>585.06</v>
      </c>
      <c r="AE168" s="242">
        <f t="shared" si="40"/>
        <v>7199.82</v>
      </c>
    </row>
    <row r="169">
      <c r="A169" s="240" t="s">
        <v>1173</v>
      </c>
      <c r="B169" s="137">
        <f>(B17*'Data - P&amp;L'!$C$34)+(B95*'Data - P&amp;L'!$C$35)</f>
        <v>571.56</v>
      </c>
      <c r="C169" s="137">
        <f>(C17*'Data - P&amp;L'!$C$34)+(C95*'Data - P&amp;L'!$C$35)</f>
        <v>782.24</v>
      </c>
      <c r="D169" s="137">
        <f>(D17*'Data - P&amp;L'!$C$34)+(D95*'Data - P&amp;L'!$C$35)</f>
        <v>30.12</v>
      </c>
      <c r="E169" s="137">
        <f>(E17*'Data - P&amp;L'!$C$34)+(E95*'Data - P&amp;L'!$C$35)</f>
        <v>105.3</v>
      </c>
      <c r="F169" s="137">
        <f>(F17*'Data - P&amp;L'!$C$34)+(F95*'Data - P&amp;L'!$C$35)</f>
        <v>646.74</v>
      </c>
      <c r="G169" s="137">
        <f>(G17*'Data - P&amp;L'!$C$34)+(G95*'Data - P&amp;L'!$C$35)</f>
        <v>436.18</v>
      </c>
      <c r="H169" s="137">
        <f>(H17*'Data - P&amp;L'!$C$34)+(H95*'Data - P&amp;L'!$C$35)</f>
        <v>345.94</v>
      </c>
      <c r="I169" s="137">
        <f>(I17*'Data - P&amp;L'!$C$34)+(I95*'Data - P&amp;L'!$C$35)</f>
        <v>361</v>
      </c>
      <c r="J169" s="137">
        <f>(J17*'Data - P&amp;L'!$C$34)+(J95*'Data - P&amp;L'!$C$35)</f>
        <v>330.96</v>
      </c>
      <c r="K169" s="137">
        <f>(K17*'Data - P&amp;L'!$C$34)+(K95*'Data - P&amp;L'!$C$35)</f>
        <v>30.12</v>
      </c>
      <c r="L169" s="137">
        <f>(L17*'Data - P&amp;L'!$C$34)+(L95*'Data - P&amp;L'!$C$35)</f>
        <v>195.54</v>
      </c>
      <c r="M169" s="137">
        <f>(M17*'Data - P&amp;L'!$C$34)+(M95*'Data - P&amp;L'!$C$35)</f>
        <v>586.62</v>
      </c>
      <c r="N169" s="137">
        <f>(N17*'Data - P&amp;L'!$C$34)+(N95*'Data - P&amp;L'!$C$35)</f>
        <v>330.92</v>
      </c>
      <c r="O169" s="137">
        <f>(O17*'Data - P&amp;L'!$C$34)+(O95*'Data - P&amp;L'!$C$35)</f>
        <v>165.5</v>
      </c>
      <c r="P169" s="137">
        <f>(P17*'Data - P&amp;L'!$C$34)+(P95*'Data - P&amp;L'!$C$35)</f>
        <v>240.68</v>
      </c>
      <c r="Q169" s="137">
        <f>(Q17*'Data - P&amp;L'!$C$34)+(Q95*'Data - P&amp;L'!$C$35)</f>
        <v>210.68</v>
      </c>
      <c r="R169" s="137">
        <f>(R17*'Data - P&amp;L'!$C$34)+(R95*'Data - P&amp;L'!$C$35)</f>
        <v>15.06</v>
      </c>
      <c r="S169" s="137">
        <f>(S17*'Data - P&amp;L'!$C$34)+(S95*'Data - P&amp;L'!$C$35)</f>
        <v>270.76</v>
      </c>
      <c r="T169" s="137">
        <f>(T17*'Data - P&amp;L'!$C$34)+(T95*'Data - P&amp;L'!$C$35)</f>
        <v>1804.8</v>
      </c>
      <c r="U169" s="137">
        <f>(U17*'Data - P&amp;L'!$C$34)+(U95*'Data - P&amp;L'!$C$35)</f>
        <v>1729.66</v>
      </c>
      <c r="V169" s="137">
        <f>(V17*'Data - P&amp;L'!$C$34)+(V95*'Data - P&amp;L'!$C$35)</f>
        <v>391.12</v>
      </c>
      <c r="W169" s="137">
        <f>(W17*'Data - P&amp;L'!$C$34)+(W95*'Data - P&amp;L'!$C$35)</f>
        <v>722.16</v>
      </c>
      <c r="X169" s="137">
        <f>(X17*'Data - P&amp;L'!$C$34)+(X95*'Data - P&amp;L'!$C$35)</f>
        <v>827.54</v>
      </c>
      <c r="Y169" s="137">
        <f>(Y17*'Data - P&amp;L'!$C$34)+(Y95*'Data - P&amp;L'!$C$35)</f>
        <v>210.84</v>
      </c>
      <c r="Z169" s="137">
        <f>(Z17*'Data - P&amp;L'!$C$34)+(Z95*'Data - P&amp;L'!$C$35)</f>
        <v>466.46</v>
      </c>
      <c r="AA169" s="137">
        <f>(AA17*'Data - P&amp;L'!$C$34)+(AA95*'Data - P&amp;L'!$C$35)</f>
        <v>1023</v>
      </c>
      <c r="AB169" s="137">
        <f>(AB17*'Data - P&amp;L'!$C$34)+(AB95*'Data - P&amp;L'!$C$35)</f>
        <v>857.5</v>
      </c>
      <c r="AC169" s="137">
        <f>(AC17*'Data - P&amp;L'!$C$34)+(AC95*'Data - P&amp;L'!$C$35)</f>
        <v>872.52</v>
      </c>
      <c r="AD169" s="137">
        <f>(AD17*'Data - P&amp;L'!$C$34)+(AD95*'Data - P&amp;L'!$C$35)</f>
        <v>1308.7</v>
      </c>
      <c r="AE169" s="95">
        <f t="shared" si="40"/>
        <v>15870.22</v>
      </c>
    </row>
    <row r="170">
      <c r="A170" s="240" t="s">
        <v>1174</v>
      </c>
      <c r="B170" s="137">
        <f>(B27*'Data - P&amp;L'!$D$38)+(B105*'Data - P&amp;L'!$D$39)</f>
        <v>0</v>
      </c>
      <c r="C170" s="137">
        <f>(C27*'Data - P&amp;L'!$D$38)+(C105*'Data - P&amp;L'!$D$39)</f>
        <v>0</v>
      </c>
      <c r="D170" s="137">
        <f>(D27*'Data - P&amp;L'!$D$38)+(D105*'Data - P&amp;L'!$D$39)</f>
        <v>0</v>
      </c>
      <c r="E170" s="137">
        <f>(E27*'Data - P&amp;L'!$D$38)+(E105*'Data - P&amp;L'!$D$39)</f>
        <v>0</v>
      </c>
      <c r="F170" s="137">
        <f>(F27*'Data - P&amp;L'!$D$38)+(F105*'Data - P&amp;L'!$D$39)</f>
        <v>0</v>
      </c>
      <c r="G170" s="137">
        <f>(G27*'Data - P&amp;L'!$D$38)+(G105*'Data - P&amp;L'!$D$39)</f>
        <v>0</v>
      </c>
      <c r="H170" s="137">
        <f>(H27*'Data - P&amp;L'!$D$38)+(H105*'Data - P&amp;L'!$D$39)</f>
        <v>0</v>
      </c>
      <c r="I170" s="137">
        <f>(I27*'Data - P&amp;L'!$D$38)+(I105*'Data - P&amp;L'!$D$39)</f>
        <v>0</v>
      </c>
      <c r="J170" s="137">
        <f>(J27*'Data - P&amp;L'!$D$38)+(J105*'Data - P&amp;L'!$D$39)</f>
        <v>0</v>
      </c>
      <c r="K170" s="137">
        <f>(K27*'Data - P&amp;L'!$D$38)+(K105*'Data - P&amp;L'!$D$39)</f>
        <v>0</v>
      </c>
      <c r="L170" s="137">
        <f>(L27*'Data - P&amp;L'!$D$38)+(L105*'Data - P&amp;L'!$D$39)</f>
        <v>0</v>
      </c>
      <c r="M170" s="137">
        <f>(M27*'Data - P&amp;L'!$D$38)+(M105*'Data - P&amp;L'!$D$39)</f>
        <v>0</v>
      </c>
      <c r="N170" s="137">
        <f>(N27*'Data - P&amp;L'!$D$38)+(N105*'Data - P&amp;L'!$D$39)</f>
        <v>0</v>
      </c>
      <c r="O170" s="137">
        <f>(O27*'Data - P&amp;L'!$D$38)+(O105*'Data - P&amp;L'!$D$39)</f>
        <v>0</v>
      </c>
      <c r="P170" s="137">
        <f>(P27*'Data - P&amp;L'!$D$38)+(P105*'Data - P&amp;L'!$D$39)</f>
        <v>0</v>
      </c>
      <c r="Q170" s="137">
        <f>(Q27*'Data - P&amp;L'!$D$38)+(Q105*'Data - P&amp;L'!$D$39)</f>
        <v>0</v>
      </c>
      <c r="R170" s="137">
        <f>(R27*'Data - P&amp;L'!$D$38)+(R105*'Data - P&amp;L'!$D$39)</f>
        <v>0</v>
      </c>
      <c r="S170" s="137">
        <f>(S27*'Data - P&amp;L'!$D$38)+(S105*'Data - P&amp;L'!$D$39)</f>
        <v>0</v>
      </c>
      <c r="T170" s="137">
        <f>(T27*'Data - P&amp;L'!$D$38)+(T105*'Data - P&amp;L'!$D$39)</f>
        <v>0</v>
      </c>
      <c r="U170" s="137">
        <f>(U27*'Data - P&amp;L'!$D$38)+(U105*'Data - P&amp;L'!$D$39)</f>
        <v>0</v>
      </c>
      <c r="V170" s="137">
        <f>(V27*'Data - P&amp;L'!$D$38)+(V105*'Data - P&amp;L'!$D$39)</f>
        <v>0</v>
      </c>
      <c r="W170" s="137">
        <f>(W27*'Data - P&amp;L'!$D$38)+(W105*'Data - P&amp;L'!$D$39)</f>
        <v>0</v>
      </c>
      <c r="X170" s="137">
        <f>(X27*'Data - P&amp;L'!$D$38)+(X105*'Data - P&amp;L'!$D$39)</f>
        <v>0</v>
      </c>
      <c r="Y170" s="137">
        <f>(Y27*'Data - P&amp;L'!$D$38)+(Y105*'Data - P&amp;L'!$D$39)</f>
        <v>0</v>
      </c>
      <c r="Z170" s="137">
        <f>(Z27*'Data - P&amp;L'!$D$38)+(Z105*'Data - P&amp;L'!$D$39)</f>
        <v>0</v>
      </c>
      <c r="AA170" s="137">
        <f>(AA27*'Data - P&amp;L'!$D$38)+(AA105*'Data - P&amp;L'!$D$39)</f>
        <v>0</v>
      </c>
      <c r="AB170" s="137">
        <f>(AB27*'Data - P&amp;L'!$D$38)+(AB105*'Data - P&amp;L'!$D$39)</f>
        <v>0</v>
      </c>
      <c r="AC170" s="137">
        <f>(AC27*'Data - P&amp;L'!$D$38)+(AC105*'Data - P&amp;L'!$D$39)</f>
        <v>0</v>
      </c>
      <c r="AD170" s="137">
        <f>(AD27*'Data - P&amp;L'!$D$38)+(AD105*'Data - P&amp;L'!$D$39)</f>
        <v>0</v>
      </c>
      <c r="AE170" s="95">
        <f t="shared" si="40"/>
        <v>0</v>
      </c>
    </row>
    <row r="171">
      <c r="A171" s="246" t="s">
        <v>1175</v>
      </c>
      <c r="B171" s="247">
        <f>(B27*'Data - P&amp;L'!$D$34)+(B105*'Data - P&amp;L'!$D$35)</f>
        <v>0</v>
      </c>
      <c r="C171" s="247">
        <f>(C27*'Data - P&amp;L'!$D$34)+(C105*'Data - P&amp;L'!$D$35)</f>
        <v>0</v>
      </c>
      <c r="D171" s="247">
        <f>(D27*'Data - P&amp;L'!$D$34)+(D105*'Data - P&amp;L'!$D$35)</f>
        <v>0</v>
      </c>
      <c r="E171" s="247">
        <f>(E27*'Data - P&amp;L'!$D$34)+(E105*'Data - P&amp;L'!$D$35)</f>
        <v>0</v>
      </c>
      <c r="F171" s="247">
        <f>(F27*'Data - P&amp;L'!$D$34)+(F105*'Data - P&amp;L'!$D$35)</f>
        <v>0</v>
      </c>
      <c r="G171" s="247">
        <f>(G27*'Data - P&amp;L'!$D$34)+(G105*'Data - P&amp;L'!$D$35)</f>
        <v>0</v>
      </c>
      <c r="H171" s="247">
        <f>(H27*'Data - P&amp;L'!$D$34)+(H105*'Data - P&amp;L'!$D$35)</f>
        <v>0</v>
      </c>
      <c r="I171" s="247">
        <f>(I27*'Data - P&amp;L'!$D$34)+(I105*'Data - P&amp;L'!$D$35)</f>
        <v>0</v>
      </c>
      <c r="J171" s="247">
        <f>(J27*'Data - P&amp;L'!$D$34)+(J105*'Data - P&amp;L'!$D$35)</f>
        <v>0</v>
      </c>
      <c r="K171" s="247">
        <f>(K27*'Data - P&amp;L'!$D$34)+(K105*'Data - P&amp;L'!$D$35)</f>
        <v>0</v>
      </c>
      <c r="L171" s="247">
        <f>(L27*'Data - P&amp;L'!$D$34)+(L105*'Data - P&amp;L'!$D$35)</f>
        <v>0</v>
      </c>
      <c r="M171" s="247">
        <f>(M27*'Data - P&amp;L'!$D$34)+(M105*'Data - P&amp;L'!$D$35)</f>
        <v>0</v>
      </c>
      <c r="N171" s="247">
        <f>(N27*'Data - P&amp;L'!$D$34)+(N105*'Data - P&amp;L'!$D$35)</f>
        <v>0</v>
      </c>
      <c r="O171" s="247">
        <f>(O27*'Data - P&amp;L'!$D$34)+(O105*'Data - P&amp;L'!$D$35)</f>
        <v>0</v>
      </c>
      <c r="P171" s="247">
        <f>(P27*'Data - P&amp;L'!$D$34)+(P105*'Data - P&amp;L'!$D$35)</f>
        <v>0</v>
      </c>
      <c r="Q171" s="247">
        <f>(Q27*'Data - P&amp;L'!$D$34)+(Q105*'Data - P&amp;L'!$D$35)</f>
        <v>0</v>
      </c>
      <c r="R171" s="247">
        <f>(R27*'Data - P&amp;L'!$D$34)+(R105*'Data - P&amp;L'!$D$35)</f>
        <v>0</v>
      </c>
      <c r="S171" s="247">
        <f>(S27*'Data - P&amp;L'!$D$34)+(S105*'Data - P&amp;L'!$D$35)</f>
        <v>0</v>
      </c>
      <c r="T171" s="247">
        <f>(T27*'Data - P&amp;L'!$D$34)+(T105*'Data - P&amp;L'!$D$35)</f>
        <v>0</v>
      </c>
      <c r="U171" s="247">
        <f>(U27*'Data - P&amp;L'!$D$34)+(U105*'Data - P&amp;L'!$D$35)</f>
        <v>0</v>
      </c>
      <c r="V171" s="247">
        <f>(V27*'Data - P&amp;L'!$D$34)+(V105*'Data - P&amp;L'!$D$35)</f>
        <v>0</v>
      </c>
      <c r="W171" s="247">
        <f>(W27*'Data - P&amp;L'!$D$34)+(W105*'Data - P&amp;L'!$D$35)</f>
        <v>0</v>
      </c>
      <c r="X171" s="247">
        <f>(X27*'Data - P&amp;L'!$D$34)+(X105*'Data - P&amp;L'!$D$35)</f>
        <v>0</v>
      </c>
      <c r="Y171" s="247">
        <f>(Y27*'Data - P&amp;L'!$D$34)+(Y105*'Data - P&amp;L'!$D$35)</f>
        <v>0</v>
      </c>
      <c r="Z171" s="247">
        <f>(Z27*'Data - P&amp;L'!$D$34)+(Z105*'Data - P&amp;L'!$D$35)</f>
        <v>0</v>
      </c>
      <c r="AA171" s="247">
        <f>(AA27*'Data - P&amp;L'!$D$34)+(AA105*'Data - P&amp;L'!$D$35)</f>
        <v>0</v>
      </c>
      <c r="AB171" s="247">
        <f>(AB27*'Data - P&amp;L'!$D$34)+(AB105*'Data - P&amp;L'!$D$35)</f>
        <v>0</v>
      </c>
      <c r="AC171" s="247">
        <f>(AC27*'Data - P&amp;L'!$D$34)+(AC105*'Data - P&amp;L'!$D$35)</f>
        <v>0</v>
      </c>
      <c r="AD171" s="247">
        <f>(AD27*'Data - P&amp;L'!$D$34)+(AD105*'Data - P&amp;L'!$D$35)</f>
        <v>0</v>
      </c>
      <c r="AE171" s="248">
        <f t="shared" si="40"/>
        <v>0</v>
      </c>
    </row>
    <row r="172">
      <c r="AE172" s="257"/>
    </row>
    <row r="173">
      <c r="A173" s="826" t="s">
        <v>1176</v>
      </c>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c r="AA173" s="259"/>
      <c r="AB173" s="259"/>
      <c r="AC173" s="259"/>
      <c r="AD173" s="259"/>
      <c r="AE173" s="260"/>
    </row>
    <row r="174">
      <c r="A174" s="261">
        <f>SUM(B173:AD173)</f>
        <v>0</v>
      </c>
      <c r="B174" s="255"/>
      <c r="C174" s="255"/>
      <c r="D174" s="255"/>
      <c r="E174" s="255"/>
      <c r="F174" s="255"/>
      <c r="G174" s="255"/>
      <c r="H174" s="255"/>
      <c r="I174" s="255"/>
      <c r="J174" s="255"/>
      <c r="K174" s="255"/>
      <c r="L174" s="255"/>
      <c r="M174" s="255"/>
      <c r="N174" s="255"/>
      <c r="O174" s="255"/>
      <c r="P174" s="255"/>
      <c r="Q174" s="255"/>
      <c r="R174" s="255"/>
      <c r="S174" s="255"/>
      <c r="T174" s="255"/>
      <c r="U174" s="255"/>
      <c r="V174" s="255"/>
      <c r="W174" s="255"/>
      <c r="X174" s="255"/>
      <c r="Y174" s="255"/>
      <c r="Z174" s="255"/>
      <c r="AA174" s="255"/>
      <c r="AB174" s="255"/>
      <c r="AC174" s="255"/>
      <c r="AD174" s="255"/>
      <c r="AE174" s="95"/>
    </row>
    <row r="175">
      <c r="A175" s="827" t="s">
        <v>1177</v>
      </c>
      <c r="B175" s="255"/>
      <c r="C175" s="255"/>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95"/>
    </row>
    <row r="176">
      <c r="A176" s="261">
        <f>SUM(B175:AD175)</f>
        <v>0</v>
      </c>
      <c r="B176" s="255"/>
      <c r="C176" s="255"/>
      <c r="D176" s="255"/>
      <c r="E176" s="255"/>
      <c r="F176" s="255"/>
      <c r="G176" s="255"/>
      <c r="H176" s="255"/>
      <c r="I176" s="255"/>
      <c r="J176" s="255"/>
      <c r="K176" s="255"/>
      <c r="L176" s="255"/>
      <c r="M176" s="255"/>
      <c r="N176" s="255"/>
      <c r="O176" s="255"/>
      <c r="P176" s="255"/>
      <c r="Q176" s="255"/>
      <c r="R176" s="255"/>
      <c r="S176" s="255"/>
      <c r="T176" s="255"/>
      <c r="U176" s="255"/>
      <c r="V176" s="255"/>
      <c r="W176" s="255"/>
      <c r="X176" s="255"/>
      <c r="Y176" s="255"/>
      <c r="Z176" s="255"/>
      <c r="AA176" s="255"/>
      <c r="AB176" s="255"/>
      <c r="AC176" s="255"/>
      <c r="AD176" s="255"/>
      <c r="AE176" s="95"/>
    </row>
    <row r="177">
      <c r="A177" s="826" t="s">
        <v>1178</v>
      </c>
      <c r="B177" s="259" t="str">
        <f t="shared" ref="B177:AD177" si="41">#REF!-B169</f>
        <v>#REF!</v>
      </c>
      <c r="C177" s="259" t="str">
        <f t="shared" si="41"/>
        <v>#REF!</v>
      </c>
      <c r="D177" s="259" t="str">
        <f t="shared" si="41"/>
        <v>#REF!</v>
      </c>
      <c r="E177" s="259" t="str">
        <f t="shared" si="41"/>
        <v>#REF!</v>
      </c>
      <c r="F177" s="259" t="str">
        <f t="shared" si="41"/>
        <v>#REF!</v>
      </c>
      <c r="G177" s="259" t="str">
        <f t="shared" si="41"/>
        <v>#REF!</v>
      </c>
      <c r="H177" s="259" t="str">
        <f t="shared" si="41"/>
        <v>#REF!</v>
      </c>
      <c r="I177" s="259" t="str">
        <f t="shared" si="41"/>
        <v>#REF!</v>
      </c>
      <c r="J177" s="259" t="str">
        <f t="shared" si="41"/>
        <v>#REF!</v>
      </c>
      <c r="K177" s="259" t="str">
        <f t="shared" si="41"/>
        <v>#REF!</v>
      </c>
      <c r="L177" s="259" t="str">
        <f t="shared" si="41"/>
        <v>#REF!</v>
      </c>
      <c r="M177" s="259" t="str">
        <f t="shared" si="41"/>
        <v>#REF!</v>
      </c>
      <c r="N177" s="259" t="str">
        <f t="shared" si="41"/>
        <v>#REF!</v>
      </c>
      <c r="O177" s="259" t="str">
        <f t="shared" si="41"/>
        <v>#REF!</v>
      </c>
      <c r="P177" s="259" t="str">
        <f t="shared" si="41"/>
        <v>#REF!</v>
      </c>
      <c r="Q177" s="259" t="str">
        <f t="shared" si="41"/>
        <v>#REF!</v>
      </c>
      <c r="R177" s="259" t="str">
        <f t="shared" si="41"/>
        <v>#REF!</v>
      </c>
      <c r="S177" s="259" t="str">
        <f t="shared" si="41"/>
        <v>#REF!</v>
      </c>
      <c r="T177" s="259" t="str">
        <f t="shared" si="41"/>
        <v>#REF!</v>
      </c>
      <c r="U177" s="259" t="str">
        <f t="shared" si="41"/>
        <v>#REF!</v>
      </c>
      <c r="V177" s="259" t="str">
        <f t="shared" si="41"/>
        <v>#REF!</v>
      </c>
      <c r="W177" s="259" t="str">
        <f t="shared" si="41"/>
        <v>#REF!</v>
      </c>
      <c r="X177" s="259" t="str">
        <f t="shared" si="41"/>
        <v>#REF!</v>
      </c>
      <c r="Y177" s="259" t="str">
        <f t="shared" si="41"/>
        <v>#REF!</v>
      </c>
      <c r="Z177" s="259" t="str">
        <f t="shared" si="41"/>
        <v>#REF!</v>
      </c>
      <c r="AA177" s="259" t="str">
        <f t="shared" si="41"/>
        <v>#REF!</v>
      </c>
      <c r="AB177" s="259" t="str">
        <f t="shared" si="41"/>
        <v>#REF!</v>
      </c>
      <c r="AC177" s="259" t="str">
        <f t="shared" si="41"/>
        <v>#REF!</v>
      </c>
      <c r="AD177" s="259" t="str">
        <f t="shared" si="41"/>
        <v>#REF!</v>
      </c>
      <c r="AE177" s="260" t="str">
        <f>SUM(B177:AD177)</f>
        <v>#REF!</v>
      </c>
    </row>
    <row r="178">
      <c r="A178" s="458" t="str">
        <f>SUM(B177:AD177)</f>
        <v>#REF!</v>
      </c>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c r="AB178" s="264"/>
      <c r="AC178" s="264"/>
      <c r="AD178" s="264"/>
      <c r="AE178" s="95"/>
    </row>
    <row r="179">
      <c r="A179" s="827" t="s">
        <v>1179</v>
      </c>
      <c r="B179" s="255" t="str">
        <f t="shared" ref="B179:AD179" si="42">#REF!-B171</f>
        <v>#REF!</v>
      </c>
      <c r="C179" s="255" t="str">
        <f t="shared" si="42"/>
        <v>#REF!</v>
      </c>
      <c r="D179" s="255" t="str">
        <f t="shared" si="42"/>
        <v>#REF!</v>
      </c>
      <c r="E179" s="255" t="str">
        <f t="shared" si="42"/>
        <v>#REF!</v>
      </c>
      <c r="F179" s="255" t="str">
        <f t="shared" si="42"/>
        <v>#REF!</v>
      </c>
      <c r="G179" s="255" t="str">
        <f t="shared" si="42"/>
        <v>#REF!</v>
      </c>
      <c r="H179" s="255" t="str">
        <f t="shared" si="42"/>
        <v>#REF!</v>
      </c>
      <c r="I179" s="255" t="str">
        <f t="shared" si="42"/>
        <v>#REF!</v>
      </c>
      <c r="J179" s="255" t="str">
        <f t="shared" si="42"/>
        <v>#REF!</v>
      </c>
      <c r="K179" s="255" t="str">
        <f t="shared" si="42"/>
        <v>#REF!</v>
      </c>
      <c r="L179" s="255" t="str">
        <f t="shared" si="42"/>
        <v>#REF!</v>
      </c>
      <c r="M179" s="255" t="str">
        <f t="shared" si="42"/>
        <v>#REF!</v>
      </c>
      <c r="N179" s="255" t="str">
        <f t="shared" si="42"/>
        <v>#REF!</v>
      </c>
      <c r="O179" s="255" t="str">
        <f t="shared" si="42"/>
        <v>#REF!</v>
      </c>
      <c r="P179" s="255" t="str">
        <f t="shared" si="42"/>
        <v>#REF!</v>
      </c>
      <c r="Q179" s="255" t="str">
        <f t="shared" si="42"/>
        <v>#REF!</v>
      </c>
      <c r="R179" s="255" t="str">
        <f t="shared" si="42"/>
        <v>#REF!</v>
      </c>
      <c r="S179" s="255" t="str">
        <f t="shared" si="42"/>
        <v>#REF!</v>
      </c>
      <c r="T179" s="255" t="str">
        <f t="shared" si="42"/>
        <v>#REF!</v>
      </c>
      <c r="U179" s="255" t="str">
        <f t="shared" si="42"/>
        <v>#REF!</v>
      </c>
      <c r="V179" s="255" t="str">
        <f t="shared" si="42"/>
        <v>#REF!</v>
      </c>
      <c r="W179" s="255" t="str">
        <f t="shared" si="42"/>
        <v>#REF!</v>
      </c>
      <c r="X179" s="255" t="str">
        <f t="shared" si="42"/>
        <v>#REF!</v>
      </c>
      <c r="Y179" s="255" t="str">
        <f t="shared" si="42"/>
        <v>#REF!</v>
      </c>
      <c r="Z179" s="255" t="str">
        <f t="shared" si="42"/>
        <v>#REF!</v>
      </c>
      <c r="AA179" s="255" t="str">
        <f t="shared" si="42"/>
        <v>#REF!</v>
      </c>
      <c r="AB179" s="255" t="str">
        <f t="shared" si="42"/>
        <v>#REF!</v>
      </c>
      <c r="AC179" s="255" t="str">
        <f t="shared" si="42"/>
        <v>#REF!</v>
      </c>
      <c r="AD179" s="255" t="str">
        <f t="shared" si="42"/>
        <v>#REF!</v>
      </c>
      <c r="AE179" s="95" t="str">
        <f>SUM(B179:AD179)</f>
        <v>#REF!</v>
      </c>
    </row>
    <row r="180">
      <c r="A180" s="828" t="str">
        <f>SUM(B179:AD179)</f>
        <v>#REF!</v>
      </c>
      <c r="B180" s="462"/>
      <c r="C180" s="462"/>
      <c r="D180" s="462"/>
      <c r="E180" s="462"/>
      <c r="F180" s="462"/>
      <c r="G180" s="462"/>
      <c r="H180" s="462"/>
      <c r="I180" s="462"/>
      <c r="J180" s="462"/>
      <c r="K180" s="462"/>
      <c r="L180" s="462"/>
      <c r="M180" s="462"/>
      <c r="N180" s="462"/>
      <c r="O180" s="462"/>
      <c r="P180" s="462"/>
      <c r="Q180" s="462"/>
      <c r="R180" s="462"/>
      <c r="S180" s="462"/>
      <c r="T180" s="462"/>
      <c r="U180" s="462"/>
      <c r="V180" s="462"/>
      <c r="W180" s="462"/>
      <c r="X180" s="462"/>
      <c r="Y180" s="462"/>
      <c r="Z180" s="462"/>
      <c r="AA180" s="462"/>
      <c r="AB180" s="462"/>
      <c r="AC180" s="462"/>
      <c r="AD180" s="462"/>
      <c r="AE180" s="268"/>
    </row>
    <row r="181">
      <c r="AE181" s="257"/>
    </row>
    <row r="182">
      <c r="AE182" s="257"/>
    </row>
    <row r="183">
      <c r="AE183" s="257"/>
    </row>
    <row r="184">
      <c r="AE184" s="257"/>
    </row>
    <row r="185">
      <c r="AE185" s="257"/>
    </row>
    <row r="186">
      <c r="AE186" s="257"/>
    </row>
    <row r="187">
      <c r="AE187" s="257"/>
    </row>
    <row r="188">
      <c r="AE188" s="257"/>
    </row>
    <row r="189">
      <c r="AE189" s="257"/>
    </row>
    <row r="190">
      <c r="AE190" s="257"/>
    </row>
    <row r="191">
      <c r="AE191" s="257"/>
    </row>
    <row r="192">
      <c r="AE192" s="257"/>
    </row>
    <row r="193">
      <c r="AE193" s="257"/>
    </row>
    <row r="194">
      <c r="AE194" s="257"/>
    </row>
    <row r="195">
      <c r="AE195" s="257"/>
    </row>
    <row r="196">
      <c r="AE196" s="257"/>
    </row>
    <row r="197">
      <c r="AE197" s="257"/>
    </row>
    <row r="198">
      <c r="AE198" s="257"/>
    </row>
    <row r="199">
      <c r="AE199" s="257"/>
    </row>
    <row r="200">
      <c r="AE200" s="257"/>
    </row>
    <row r="201">
      <c r="AE201" s="257"/>
    </row>
    <row r="202">
      <c r="AE202" s="257"/>
    </row>
    <row r="203">
      <c r="AE203" s="257"/>
    </row>
    <row r="204">
      <c r="AE204" s="257"/>
    </row>
    <row r="205">
      <c r="AE205" s="257"/>
    </row>
    <row r="206">
      <c r="AE206" s="257"/>
    </row>
    <row r="207">
      <c r="AE207" s="257"/>
    </row>
    <row r="208">
      <c r="AE208" s="257"/>
    </row>
    <row r="209">
      <c r="AE209" s="257"/>
    </row>
    <row r="210">
      <c r="AE210" s="257"/>
    </row>
    <row r="211">
      <c r="AE211" s="257"/>
    </row>
    <row r="212">
      <c r="AE212" s="257"/>
    </row>
    <row r="213">
      <c r="AE213" s="257"/>
    </row>
    <row r="214">
      <c r="AE214" s="257"/>
    </row>
    <row r="215">
      <c r="AE215" s="257"/>
    </row>
    <row r="216">
      <c r="AE216" s="257"/>
    </row>
    <row r="217">
      <c r="AE217" s="257"/>
    </row>
    <row r="218">
      <c r="AE218" s="257"/>
    </row>
    <row r="219">
      <c r="AE219" s="257"/>
    </row>
    <row r="220">
      <c r="AE220" s="257"/>
    </row>
    <row r="221">
      <c r="AE221" s="257"/>
    </row>
    <row r="222">
      <c r="AE222" s="257"/>
    </row>
    <row r="223">
      <c r="AE223" s="257"/>
    </row>
    <row r="224">
      <c r="AE224" s="257"/>
    </row>
    <row r="225">
      <c r="AE225" s="257"/>
    </row>
    <row r="226">
      <c r="AE226" s="257"/>
    </row>
    <row r="227">
      <c r="AE227" s="257"/>
    </row>
    <row r="228">
      <c r="AE228" s="257"/>
    </row>
    <row r="229">
      <c r="AE229" s="257"/>
    </row>
    <row r="230">
      <c r="AE230" s="257"/>
    </row>
    <row r="231">
      <c r="AE231" s="257"/>
    </row>
    <row r="232">
      <c r="AE232" s="257"/>
    </row>
    <row r="233">
      <c r="AE233" s="257"/>
    </row>
    <row r="234">
      <c r="AE234" s="257"/>
    </row>
    <row r="235">
      <c r="AE235" s="257"/>
    </row>
    <row r="236">
      <c r="AE236" s="257"/>
    </row>
    <row r="237">
      <c r="AE237" s="257"/>
    </row>
    <row r="238">
      <c r="AE238" s="257"/>
    </row>
    <row r="239">
      <c r="AE239" s="257"/>
    </row>
    <row r="240">
      <c r="AE240" s="257"/>
    </row>
    <row r="241">
      <c r="AE241" s="257"/>
    </row>
    <row r="242">
      <c r="AE242" s="257"/>
    </row>
    <row r="243">
      <c r="AE243" s="257"/>
    </row>
    <row r="244">
      <c r="AE244" s="257"/>
    </row>
    <row r="245">
      <c r="AE245" s="257"/>
    </row>
    <row r="246">
      <c r="AE246" s="257"/>
    </row>
    <row r="247">
      <c r="AE247" s="257"/>
    </row>
    <row r="248">
      <c r="AE248" s="257"/>
    </row>
    <row r="249">
      <c r="AE249" s="257"/>
    </row>
    <row r="250">
      <c r="AE250" s="257"/>
    </row>
    <row r="251">
      <c r="AE251" s="257"/>
    </row>
    <row r="252">
      <c r="AE252" s="257"/>
    </row>
    <row r="253">
      <c r="AE253" s="257"/>
    </row>
    <row r="254">
      <c r="AE254" s="257"/>
    </row>
    <row r="255">
      <c r="AE255" s="257"/>
    </row>
    <row r="256">
      <c r="AE256" s="257"/>
    </row>
    <row r="257">
      <c r="AE257" s="257"/>
    </row>
    <row r="258">
      <c r="AE258" s="257"/>
    </row>
    <row r="259">
      <c r="AE259" s="257"/>
    </row>
    <row r="260">
      <c r="AE260" s="257"/>
    </row>
    <row r="261">
      <c r="AE261" s="257"/>
    </row>
    <row r="262">
      <c r="AE262" s="257"/>
    </row>
    <row r="263">
      <c r="AE263" s="257"/>
    </row>
    <row r="264">
      <c r="AE264" s="257"/>
    </row>
    <row r="265">
      <c r="AE265" s="257"/>
    </row>
    <row r="266">
      <c r="AE266" s="257"/>
    </row>
    <row r="267">
      <c r="AE267" s="257"/>
    </row>
    <row r="268">
      <c r="AE268" s="257"/>
    </row>
    <row r="269">
      <c r="AE269" s="257"/>
    </row>
    <row r="270">
      <c r="AE270" s="257"/>
    </row>
    <row r="271">
      <c r="AE271" s="257"/>
    </row>
    <row r="272">
      <c r="AE272" s="257"/>
    </row>
    <row r="273">
      <c r="AE273" s="257"/>
    </row>
    <row r="274">
      <c r="AE274" s="257"/>
    </row>
    <row r="275">
      <c r="AE275" s="257"/>
    </row>
    <row r="276">
      <c r="AE276" s="257"/>
    </row>
    <row r="277">
      <c r="AE277" s="257"/>
    </row>
    <row r="278">
      <c r="AE278" s="257"/>
    </row>
    <row r="279">
      <c r="AE279" s="257"/>
    </row>
    <row r="280">
      <c r="AE280" s="257"/>
    </row>
    <row r="281">
      <c r="AE281" s="257"/>
    </row>
    <row r="282">
      <c r="AE282" s="257"/>
    </row>
    <row r="283">
      <c r="AE283" s="257"/>
    </row>
    <row r="284">
      <c r="AE284" s="257"/>
    </row>
    <row r="285">
      <c r="AE285" s="257"/>
    </row>
    <row r="286">
      <c r="AE286" s="257"/>
    </row>
    <row r="287">
      <c r="AE287" s="257"/>
    </row>
    <row r="288">
      <c r="AE288" s="257"/>
    </row>
    <row r="289">
      <c r="AE289" s="257"/>
    </row>
    <row r="290">
      <c r="AE290" s="257"/>
    </row>
    <row r="291">
      <c r="AE291" s="257"/>
    </row>
    <row r="292">
      <c r="AE292" s="257"/>
    </row>
    <row r="293">
      <c r="AE293" s="257"/>
    </row>
    <row r="294">
      <c r="AE294" s="257"/>
    </row>
    <row r="295">
      <c r="AE295" s="257"/>
    </row>
    <row r="296">
      <c r="AE296" s="257"/>
    </row>
    <row r="297">
      <c r="AE297" s="257"/>
    </row>
    <row r="298">
      <c r="AE298" s="257"/>
    </row>
    <row r="299">
      <c r="AE299" s="257"/>
    </row>
    <row r="300">
      <c r="AE300" s="257"/>
    </row>
    <row r="301">
      <c r="AE301" s="257"/>
    </row>
    <row r="302">
      <c r="AE302" s="257"/>
    </row>
    <row r="303">
      <c r="AE303" s="257"/>
    </row>
    <row r="304">
      <c r="AE304" s="257"/>
    </row>
    <row r="305">
      <c r="AE305" s="257"/>
    </row>
    <row r="306">
      <c r="AE306" s="257"/>
    </row>
    <row r="307">
      <c r="AE307" s="257"/>
    </row>
    <row r="308">
      <c r="AE308" s="257"/>
    </row>
    <row r="309">
      <c r="AE309" s="257"/>
    </row>
    <row r="310">
      <c r="AE310" s="257"/>
    </row>
    <row r="311">
      <c r="AE311" s="257"/>
    </row>
    <row r="312">
      <c r="AE312" s="257"/>
    </row>
    <row r="313">
      <c r="AE313" s="257"/>
    </row>
    <row r="314">
      <c r="AE314" s="257"/>
    </row>
    <row r="315">
      <c r="AE315" s="257"/>
    </row>
    <row r="316">
      <c r="AE316" s="257"/>
    </row>
    <row r="317">
      <c r="AE317" s="257"/>
    </row>
    <row r="318">
      <c r="AE318" s="257"/>
    </row>
    <row r="319">
      <c r="AE319" s="257"/>
    </row>
    <row r="320">
      <c r="AE320" s="257"/>
    </row>
    <row r="321">
      <c r="AE321" s="257"/>
    </row>
    <row r="322">
      <c r="AE322" s="257"/>
    </row>
    <row r="323">
      <c r="AE323" s="257"/>
    </row>
    <row r="324">
      <c r="AE324" s="257"/>
    </row>
    <row r="325">
      <c r="AE325" s="257"/>
    </row>
    <row r="326">
      <c r="AE326" s="257"/>
    </row>
    <row r="327">
      <c r="AE327" s="257"/>
    </row>
    <row r="328">
      <c r="AE328" s="257"/>
    </row>
    <row r="329">
      <c r="AE329" s="257"/>
    </row>
    <row r="330">
      <c r="AE330" s="257"/>
    </row>
    <row r="331">
      <c r="AE331" s="257"/>
    </row>
    <row r="332">
      <c r="AE332" s="257"/>
    </row>
    <row r="333">
      <c r="AE333" s="257"/>
    </row>
    <row r="334">
      <c r="AE334" s="257"/>
    </row>
    <row r="335">
      <c r="AE335" s="257"/>
    </row>
    <row r="336">
      <c r="AE336" s="257"/>
    </row>
    <row r="337">
      <c r="AE337" s="257"/>
    </row>
    <row r="338">
      <c r="AE338" s="257"/>
    </row>
    <row r="339">
      <c r="AE339" s="257"/>
    </row>
    <row r="340">
      <c r="AE340" s="257"/>
    </row>
    <row r="341">
      <c r="AE341" s="257"/>
    </row>
    <row r="342">
      <c r="AE342" s="257"/>
    </row>
    <row r="343">
      <c r="AE343" s="257"/>
    </row>
    <row r="344">
      <c r="AE344" s="257"/>
    </row>
    <row r="345">
      <c r="AE345" s="257"/>
    </row>
    <row r="346">
      <c r="AE346" s="257"/>
    </row>
    <row r="347">
      <c r="AE347" s="257"/>
    </row>
    <row r="348">
      <c r="AE348" s="257"/>
    </row>
    <row r="349">
      <c r="AE349" s="257"/>
    </row>
    <row r="350">
      <c r="AE350" s="257"/>
    </row>
    <row r="351">
      <c r="AE351" s="257"/>
    </row>
    <row r="352">
      <c r="AE352" s="257"/>
    </row>
    <row r="353">
      <c r="AE353" s="257"/>
    </row>
    <row r="354">
      <c r="AE354" s="257"/>
    </row>
    <row r="355">
      <c r="AE355" s="257"/>
    </row>
    <row r="356">
      <c r="AE356" s="257"/>
    </row>
    <row r="357">
      <c r="AE357" s="257"/>
    </row>
    <row r="358">
      <c r="AE358" s="257"/>
    </row>
    <row r="359">
      <c r="AE359" s="257"/>
    </row>
    <row r="360">
      <c r="AE360" s="257"/>
    </row>
    <row r="361">
      <c r="AE361" s="257"/>
    </row>
    <row r="362">
      <c r="AE362" s="257"/>
    </row>
    <row r="363">
      <c r="AE363" s="257"/>
    </row>
    <row r="364">
      <c r="AE364" s="257"/>
    </row>
    <row r="365">
      <c r="AE365" s="257"/>
    </row>
    <row r="366">
      <c r="AE366" s="257"/>
    </row>
    <row r="367">
      <c r="AE367" s="257"/>
    </row>
    <row r="368">
      <c r="AE368" s="257"/>
    </row>
    <row r="369">
      <c r="AE369" s="257"/>
    </row>
    <row r="370">
      <c r="AE370" s="257"/>
    </row>
    <row r="371">
      <c r="AE371" s="257"/>
    </row>
    <row r="372">
      <c r="AE372" s="257"/>
    </row>
    <row r="373">
      <c r="AE373" s="257"/>
    </row>
    <row r="374">
      <c r="AE374" s="257"/>
    </row>
    <row r="375">
      <c r="AE375" s="257"/>
    </row>
    <row r="376">
      <c r="AE376" s="257"/>
    </row>
    <row r="377">
      <c r="AE377" s="257"/>
    </row>
    <row r="378">
      <c r="AE378" s="257"/>
    </row>
    <row r="379">
      <c r="AE379" s="257"/>
    </row>
    <row r="380">
      <c r="AE380" s="257"/>
    </row>
    <row r="381">
      <c r="AE381" s="257"/>
    </row>
    <row r="382">
      <c r="AE382" s="257"/>
    </row>
    <row r="383">
      <c r="AE383" s="257"/>
    </row>
    <row r="384">
      <c r="AE384" s="257"/>
    </row>
    <row r="385">
      <c r="AE385" s="257"/>
    </row>
    <row r="386">
      <c r="AE386" s="257"/>
    </row>
    <row r="387">
      <c r="AE387" s="257"/>
    </row>
    <row r="388">
      <c r="AE388" s="257"/>
    </row>
    <row r="389">
      <c r="AE389" s="257"/>
    </row>
    <row r="390">
      <c r="AE390" s="257"/>
    </row>
    <row r="391">
      <c r="AE391" s="257"/>
    </row>
    <row r="392">
      <c r="AE392" s="257"/>
    </row>
    <row r="393">
      <c r="AE393" s="257"/>
    </row>
    <row r="394">
      <c r="AE394" s="257"/>
    </row>
    <row r="395">
      <c r="AE395" s="257"/>
    </row>
    <row r="396">
      <c r="AE396" s="257"/>
    </row>
    <row r="397">
      <c r="AE397" s="257"/>
    </row>
    <row r="398">
      <c r="AE398" s="257"/>
    </row>
    <row r="399">
      <c r="AE399" s="257"/>
    </row>
    <row r="400">
      <c r="AE400" s="257"/>
    </row>
    <row r="401">
      <c r="AE401" s="257"/>
    </row>
    <row r="402">
      <c r="AE402" s="257"/>
    </row>
    <row r="403">
      <c r="AE403" s="257"/>
    </row>
    <row r="404">
      <c r="AE404" s="257"/>
    </row>
    <row r="405">
      <c r="AE405" s="257"/>
    </row>
    <row r="406">
      <c r="AE406" s="257"/>
    </row>
    <row r="407">
      <c r="AE407" s="257"/>
    </row>
    <row r="408">
      <c r="AE408" s="257"/>
    </row>
    <row r="409">
      <c r="AE409" s="257"/>
    </row>
    <row r="410">
      <c r="AE410" s="257"/>
    </row>
    <row r="411">
      <c r="AE411" s="257"/>
    </row>
    <row r="412">
      <c r="AE412" s="257"/>
    </row>
    <row r="413">
      <c r="AE413" s="257"/>
    </row>
    <row r="414">
      <c r="AE414" s="257"/>
    </row>
    <row r="415">
      <c r="AE415" s="257"/>
    </row>
    <row r="416">
      <c r="AE416" s="257"/>
    </row>
    <row r="417">
      <c r="AE417" s="257"/>
    </row>
    <row r="418">
      <c r="AE418" s="257"/>
    </row>
    <row r="419">
      <c r="AE419" s="257"/>
    </row>
    <row r="420">
      <c r="AE420" s="257"/>
    </row>
    <row r="421">
      <c r="AE421" s="257"/>
    </row>
    <row r="422">
      <c r="AE422" s="257"/>
    </row>
    <row r="423">
      <c r="AE423" s="257"/>
    </row>
    <row r="424">
      <c r="AE424" s="257"/>
    </row>
    <row r="425">
      <c r="AE425" s="257"/>
    </row>
    <row r="426">
      <c r="AE426" s="257"/>
    </row>
    <row r="427">
      <c r="AE427" s="257"/>
    </row>
    <row r="428">
      <c r="AE428" s="257"/>
    </row>
    <row r="429">
      <c r="AE429" s="257"/>
    </row>
    <row r="430">
      <c r="AE430" s="257"/>
    </row>
    <row r="431">
      <c r="AE431" s="257"/>
    </row>
    <row r="432">
      <c r="AE432" s="257"/>
    </row>
    <row r="433">
      <c r="AE433" s="257"/>
    </row>
    <row r="434">
      <c r="AE434" s="257"/>
    </row>
    <row r="435">
      <c r="AE435" s="257"/>
    </row>
    <row r="436">
      <c r="AE436" s="257"/>
    </row>
    <row r="437">
      <c r="AE437" s="257"/>
    </row>
    <row r="438">
      <c r="AE438" s="257"/>
    </row>
    <row r="439">
      <c r="AE439" s="257"/>
    </row>
    <row r="440">
      <c r="AE440" s="257"/>
    </row>
    <row r="441">
      <c r="AE441" s="257"/>
    </row>
    <row r="442">
      <c r="AE442" s="257"/>
    </row>
    <row r="443">
      <c r="AE443" s="257"/>
    </row>
    <row r="444">
      <c r="AE444" s="257"/>
    </row>
    <row r="445">
      <c r="AE445" s="257"/>
    </row>
    <row r="446">
      <c r="AE446" s="257"/>
    </row>
    <row r="447">
      <c r="AE447" s="257"/>
    </row>
    <row r="448">
      <c r="AE448" s="257"/>
    </row>
    <row r="449">
      <c r="AE449" s="257"/>
    </row>
    <row r="450">
      <c r="AE450" s="257"/>
    </row>
    <row r="451">
      <c r="AE451" s="257"/>
    </row>
    <row r="452">
      <c r="AE452" s="257"/>
    </row>
    <row r="453">
      <c r="AE453" s="257"/>
    </row>
    <row r="454">
      <c r="AE454" s="257"/>
    </row>
    <row r="455">
      <c r="AE455" s="257"/>
    </row>
    <row r="456">
      <c r="AE456" s="257"/>
    </row>
    <row r="457">
      <c r="AE457" s="257"/>
    </row>
    <row r="458">
      <c r="AE458" s="257"/>
    </row>
    <row r="459">
      <c r="AE459" s="257"/>
    </row>
    <row r="460">
      <c r="AE460" s="257"/>
    </row>
    <row r="461">
      <c r="AE461" s="257"/>
    </row>
    <row r="462">
      <c r="AE462" s="257"/>
    </row>
    <row r="463">
      <c r="AE463" s="257"/>
    </row>
    <row r="464">
      <c r="AE464" s="257"/>
    </row>
    <row r="465">
      <c r="AE465" s="257"/>
    </row>
    <row r="466">
      <c r="AE466" s="257"/>
    </row>
    <row r="467">
      <c r="AE467" s="257"/>
    </row>
    <row r="468">
      <c r="AE468" s="257"/>
    </row>
    <row r="469">
      <c r="AE469" s="257"/>
    </row>
    <row r="470">
      <c r="AE470" s="257"/>
    </row>
    <row r="471">
      <c r="AE471" s="257"/>
    </row>
    <row r="472">
      <c r="AE472" s="257"/>
    </row>
    <row r="473">
      <c r="AE473" s="257"/>
    </row>
    <row r="474">
      <c r="AE474" s="257"/>
    </row>
    <row r="475">
      <c r="AE475" s="257"/>
    </row>
    <row r="476">
      <c r="AE476" s="257"/>
    </row>
    <row r="477">
      <c r="AE477" s="257"/>
    </row>
    <row r="478">
      <c r="AE478" s="257"/>
    </row>
    <row r="479">
      <c r="AE479" s="257"/>
    </row>
    <row r="480">
      <c r="AE480" s="257"/>
    </row>
    <row r="481">
      <c r="AE481" s="257"/>
    </row>
    <row r="482">
      <c r="AE482" s="257"/>
    </row>
    <row r="483">
      <c r="AE483" s="257"/>
    </row>
    <row r="484">
      <c r="AE484" s="257"/>
    </row>
    <row r="485">
      <c r="AE485" s="257"/>
    </row>
    <row r="486">
      <c r="AE486" s="257"/>
    </row>
    <row r="487">
      <c r="AE487" s="257"/>
    </row>
    <row r="488">
      <c r="AE488" s="257"/>
    </row>
    <row r="489">
      <c r="AE489" s="257"/>
    </row>
    <row r="490">
      <c r="AE490" s="257"/>
    </row>
    <row r="491">
      <c r="AE491" s="257"/>
    </row>
    <row r="492">
      <c r="AE492" s="257"/>
    </row>
    <row r="493">
      <c r="AE493" s="257"/>
    </row>
    <row r="494">
      <c r="AE494" s="257"/>
    </row>
    <row r="495">
      <c r="AE495" s="257"/>
    </row>
    <row r="496">
      <c r="AE496" s="257"/>
    </row>
    <row r="497">
      <c r="AE497" s="257"/>
    </row>
    <row r="498">
      <c r="AE498" s="257"/>
    </row>
    <row r="499">
      <c r="AE499" s="257"/>
    </row>
    <row r="500">
      <c r="AE500" s="257"/>
    </row>
    <row r="501">
      <c r="AE501" s="257"/>
    </row>
    <row r="502">
      <c r="AE502" s="257"/>
    </row>
    <row r="503">
      <c r="AE503" s="257"/>
    </row>
    <row r="504">
      <c r="AE504" s="257"/>
    </row>
    <row r="505">
      <c r="AE505" s="257"/>
    </row>
    <row r="506">
      <c r="AE506" s="257"/>
    </row>
    <row r="507">
      <c r="AE507" s="257"/>
    </row>
    <row r="508">
      <c r="AE508" s="257"/>
    </row>
    <row r="509">
      <c r="AE509" s="257"/>
    </row>
    <row r="510">
      <c r="AE510" s="257"/>
    </row>
    <row r="511">
      <c r="AE511" s="257"/>
    </row>
    <row r="512">
      <c r="AE512" s="257"/>
    </row>
    <row r="513">
      <c r="AE513" s="257"/>
    </row>
    <row r="514">
      <c r="AE514" s="257"/>
    </row>
    <row r="515">
      <c r="AE515" s="257"/>
    </row>
    <row r="516">
      <c r="AE516" s="257"/>
    </row>
    <row r="517">
      <c r="AE517" s="257"/>
    </row>
    <row r="518">
      <c r="AE518" s="257"/>
    </row>
    <row r="519">
      <c r="AE519" s="257"/>
    </row>
    <row r="520">
      <c r="AE520" s="257"/>
    </row>
    <row r="521">
      <c r="AE521" s="257"/>
    </row>
    <row r="522">
      <c r="AE522" s="257"/>
    </row>
    <row r="523">
      <c r="AE523" s="257"/>
    </row>
    <row r="524">
      <c r="AE524" s="257"/>
    </row>
    <row r="525">
      <c r="AE525" s="257"/>
    </row>
    <row r="526">
      <c r="AE526" s="257"/>
    </row>
    <row r="527">
      <c r="AE527" s="257"/>
    </row>
    <row r="528">
      <c r="AE528" s="257"/>
    </row>
    <row r="529">
      <c r="AE529" s="257"/>
    </row>
    <row r="530">
      <c r="AE530" s="257"/>
    </row>
    <row r="531">
      <c r="AE531" s="257"/>
    </row>
    <row r="532">
      <c r="AE532" s="257"/>
    </row>
    <row r="533">
      <c r="AE533" s="257"/>
    </row>
    <row r="534">
      <c r="AE534" s="257"/>
    </row>
    <row r="535">
      <c r="AE535" s="257"/>
    </row>
    <row r="536">
      <c r="AE536" s="257"/>
    </row>
    <row r="537">
      <c r="AE537" s="257"/>
    </row>
    <row r="538">
      <c r="AE538" s="257"/>
    </row>
    <row r="539">
      <c r="AE539" s="257"/>
    </row>
    <row r="540">
      <c r="AE540" s="257"/>
    </row>
    <row r="541">
      <c r="AE541" s="257"/>
    </row>
    <row r="542">
      <c r="AE542" s="257"/>
    </row>
    <row r="543">
      <c r="AE543" s="257"/>
    </row>
    <row r="544">
      <c r="AE544" s="257"/>
    </row>
    <row r="545">
      <c r="AE545" s="257"/>
    </row>
    <row r="546">
      <c r="AE546" s="257"/>
    </row>
    <row r="547">
      <c r="AE547" s="257"/>
    </row>
    <row r="548">
      <c r="AE548" s="257"/>
    </row>
    <row r="549">
      <c r="AE549" s="257"/>
    </row>
    <row r="550">
      <c r="AE550" s="257"/>
    </row>
    <row r="551">
      <c r="AE551" s="257"/>
    </row>
    <row r="552">
      <c r="AE552" s="257"/>
    </row>
    <row r="553">
      <c r="AE553" s="257"/>
    </row>
    <row r="554">
      <c r="AE554" s="257"/>
    </row>
    <row r="555">
      <c r="AE555" s="257"/>
    </row>
    <row r="556">
      <c r="AE556" s="257"/>
    </row>
    <row r="557">
      <c r="AE557" s="257"/>
    </row>
    <row r="558">
      <c r="AE558" s="257"/>
    </row>
    <row r="559">
      <c r="AE559" s="257"/>
    </row>
    <row r="560">
      <c r="AE560" s="257"/>
    </row>
    <row r="561">
      <c r="AE561" s="257"/>
    </row>
    <row r="562">
      <c r="AE562" s="257"/>
    </row>
    <row r="563">
      <c r="AE563" s="257"/>
    </row>
    <row r="564">
      <c r="AE564" s="257"/>
    </row>
    <row r="565">
      <c r="AE565" s="257"/>
    </row>
    <row r="566">
      <c r="AE566" s="257"/>
    </row>
    <row r="567">
      <c r="AE567" s="257"/>
    </row>
    <row r="568">
      <c r="AE568" s="257"/>
    </row>
    <row r="569">
      <c r="AE569" s="257"/>
    </row>
    <row r="570">
      <c r="AE570" s="257"/>
    </row>
    <row r="571">
      <c r="AE571" s="257"/>
    </row>
    <row r="572">
      <c r="AE572" s="257"/>
    </row>
    <row r="573">
      <c r="AE573" s="257"/>
    </row>
    <row r="574">
      <c r="AE574" s="257"/>
    </row>
    <row r="575">
      <c r="AE575" s="257"/>
    </row>
    <row r="576">
      <c r="AE576" s="257"/>
    </row>
    <row r="577">
      <c r="AE577" s="257"/>
    </row>
    <row r="578">
      <c r="AE578" s="257"/>
    </row>
    <row r="579">
      <c r="AE579" s="257"/>
    </row>
    <row r="580">
      <c r="AE580" s="257"/>
    </row>
    <row r="581">
      <c r="AE581" s="257"/>
    </row>
    <row r="582">
      <c r="AE582" s="257"/>
    </row>
    <row r="583">
      <c r="AE583" s="257"/>
    </row>
    <row r="584">
      <c r="AE584" s="257"/>
    </row>
    <row r="585">
      <c r="AE585" s="257"/>
    </row>
    <row r="586">
      <c r="AE586" s="257"/>
    </row>
    <row r="587">
      <c r="AE587" s="257"/>
    </row>
    <row r="588">
      <c r="AE588" s="257"/>
    </row>
    <row r="589">
      <c r="AE589" s="257"/>
    </row>
    <row r="590">
      <c r="AE590" s="257"/>
    </row>
    <row r="591">
      <c r="AE591" s="257"/>
    </row>
    <row r="592">
      <c r="AE592" s="257"/>
    </row>
    <row r="593">
      <c r="AE593" s="257"/>
    </row>
    <row r="594">
      <c r="AE594" s="257"/>
    </row>
    <row r="595">
      <c r="AE595" s="257"/>
    </row>
    <row r="596">
      <c r="AE596" s="257"/>
    </row>
    <row r="597">
      <c r="AE597" s="257"/>
    </row>
    <row r="598">
      <c r="AE598" s="257"/>
    </row>
    <row r="599">
      <c r="AE599" s="257"/>
    </row>
    <row r="600">
      <c r="AE600" s="257"/>
    </row>
    <row r="601">
      <c r="AE601" s="257"/>
    </row>
    <row r="602">
      <c r="AE602" s="257"/>
    </row>
    <row r="603">
      <c r="AE603" s="257"/>
    </row>
    <row r="604">
      <c r="AE604" s="257"/>
    </row>
    <row r="605">
      <c r="AE605" s="257"/>
    </row>
    <row r="606">
      <c r="AE606" s="257"/>
    </row>
    <row r="607">
      <c r="AE607" s="257"/>
    </row>
    <row r="608">
      <c r="AE608" s="257"/>
    </row>
    <row r="609">
      <c r="AE609" s="257"/>
    </row>
    <row r="610">
      <c r="AE610" s="257"/>
    </row>
    <row r="611">
      <c r="AE611" s="257"/>
    </row>
    <row r="612">
      <c r="AE612" s="257"/>
    </row>
    <row r="613">
      <c r="AE613" s="257"/>
    </row>
    <row r="614">
      <c r="AE614" s="257"/>
    </row>
    <row r="615">
      <c r="AE615" s="257"/>
    </row>
    <row r="616">
      <c r="AE616" s="257"/>
    </row>
    <row r="617">
      <c r="AE617" s="257"/>
    </row>
    <row r="618">
      <c r="AE618" s="257"/>
    </row>
    <row r="619">
      <c r="AE619" s="257"/>
    </row>
    <row r="620">
      <c r="AE620" s="257"/>
    </row>
    <row r="621">
      <c r="AE621" s="257"/>
    </row>
    <row r="622">
      <c r="AE622" s="257"/>
    </row>
    <row r="623">
      <c r="AE623" s="257"/>
    </row>
    <row r="624">
      <c r="AE624" s="257"/>
    </row>
    <row r="625">
      <c r="AE625" s="257"/>
    </row>
    <row r="626">
      <c r="AE626" s="257"/>
    </row>
    <row r="627">
      <c r="AE627" s="257"/>
    </row>
    <row r="628">
      <c r="AE628" s="257"/>
    </row>
    <row r="629">
      <c r="AE629" s="257"/>
    </row>
    <row r="630">
      <c r="AE630" s="257"/>
    </row>
    <row r="631">
      <c r="AE631" s="257"/>
    </row>
    <row r="632">
      <c r="AE632" s="257"/>
    </row>
    <row r="633">
      <c r="AE633" s="257"/>
    </row>
    <row r="634">
      <c r="AE634" s="257"/>
    </row>
    <row r="635">
      <c r="AE635" s="257"/>
    </row>
    <row r="636">
      <c r="AE636" s="257"/>
    </row>
    <row r="637">
      <c r="AE637" s="257"/>
    </row>
    <row r="638">
      <c r="AE638" s="257"/>
    </row>
    <row r="639">
      <c r="AE639" s="257"/>
    </row>
    <row r="640">
      <c r="AE640" s="257"/>
    </row>
    <row r="641">
      <c r="AE641" s="257"/>
    </row>
    <row r="642">
      <c r="AE642" s="257"/>
    </row>
    <row r="643">
      <c r="AE643" s="257"/>
    </row>
    <row r="644">
      <c r="AE644" s="257"/>
    </row>
    <row r="645">
      <c r="AE645" s="257"/>
    </row>
    <row r="646">
      <c r="AE646" s="257"/>
    </row>
    <row r="647">
      <c r="AE647" s="257"/>
    </row>
    <row r="648">
      <c r="AE648" s="257"/>
    </row>
    <row r="649">
      <c r="AE649" s="257"/>
    </row>
    <row r="650">
      <c r="AE650" s="257"/>
    </row>
    <row r="651">
      <c r="AE651" s="257"/>
    </row>
    <row r="652">
      <c r="AE652" s="257"/>
    </row>
    <row r="653">
      <c r="AE653" s="257"/>
    </row>
    <row r="654">
      <c r="AE654" s="257"/>
    </row>
    <row r="655">
      <c r="AE655" s="257"/>
    </row>
    <row r="656">
      <c r="AE656" s="257"/>
    </row>
    <row r="657">
      <c r="AE657" s="257"/>
    </row>
    <row r="658">
      <c r="AE658" s="257"/>
    </row>
    <row r="659">
      <c r="AE659" s="257"/>
    </row>
    <row r="660">
      <c r="AE660" s="257"/>
    </row>
    <row r="661">
      <c r="AE661" s="257"/>
    </row>
    <row r="662">
      <c r="AE662" s="257"/>
    </row>
    <row r="663">
      <c r="AE663" s="257"/>
    </row>
    <row r="664">
      <c r="AE664" s="257"/>
    </row>
    <row r="665">
      <c r="AE665" s="257"/>
    </row>
    <row r="666">
      <c r="AE666" s="257"/>
    </row>
    <row r="667">
      <c r="AE667" s="257"/>
    </row>
    <row r="668">
      <c r="AE668" s="257"/>
    </row>
    <row r="669">
      <c r="AE669" s="257"/>
    </row>
    <row r="670">
      <c r="AE670" s="257"/>
    </row>
    <row r="671">
      <c r="AE671" s="257"/>
    </row>
    <row r="672">
      <c r="AE672" s="257"/>
    </row>
    <row r="673">
      <c r="AE673" s="257"/>
    </row>
    <row r="674">
      <c r="AE674" s="257"/>
    </row>
    <row r="675">
      <c r="AE675" s="257"/>
    </row>
    <row r="676">
      <c r="AE676" s="257"/>
    </row>
    <row r="677">
      <c r="AE677" s="257"/>
    </row>
    <row r="678">
      <c r="AE678" s="257"/>
    </row>
    <row r="679">
      <c r="AE679" s="257"/>
    </row>
    <row r="680">
      <c r="AE680" s="257"/>
    </row>
    <row r="681">
      <c r="AE681" s="257"/>
    </row>
    <row r="682">
      <c r="AE682" s="257"/>
    </row>
    <row r="683">
      <c r="AE683" s="257"/>
    </row>
    <row r="684">
      <c r="AE684" s="257"/>
    </row>
    <row r="685">
      <c r="AE685" s="257"/>
    </row>
    <row r="686">
      <c r="AE686" s="257"/>
    </row>
    <row r="687">
      <c r="AE687" s="257"/>
    </row>
    <row r="688">
      <c r="AE688" s="257"/>
    </row>
    <row r="689">
      <c r="AE689" s="257"/>
    </row>
    <row r="690">
      <c r="AE690" s="257"/>
    </row>
    <row r="691">
      <c r="AE691" s="257"/>
    </row>
    <row r="692">
      <c r="AE692" s="257"/>
    </row>
    <row r="693">
      <c r="AE693" s="257"/>
    </row>
    <row r="694">
      <c r="AE694" s="257"/>
    </row>
    <row r="695">
      <c r="AE695" s="257"/>
    </row>
    <row r="696">
      <c r="AE696" s="257"/>
    </row>
    <row r="697">
      <c r="AE697" s="257"/>
    </row>
    <row r="698">
      <c r="AE698" s="257"/>
    </row>
    <row r="699">
      <c r="AE699" s="257"/>
    </row>
    <row r="700">
      <c r="AE700" s="257"/>
    </row>
    <row r="701">
      <c r="AE701" s="257"/>
    </row>
    <row r="702">
      <c r="AE702" s="257"/>
    </row>
    <row r="703">
      <c r="AE703" s="257"/>
    </row>
    <row r="704">
      <c r="AE704" s="257"/>
    </row>
    <row r="705">
      <c r="AE705" s="257"/>
    </row>
    <row r="706">
      <c r="AE706" s="257"/>
    </row>
    <row r="707">
      <c r="AE707" s="257"/>
    </row>
    <row r="708">
      <c r="AE708" s="257"/>
    </row>
    <row r="709">
      <c r="AE709" s="257"/>
    </row>
    <row r="710">
      <c r="AE710" s="257"/>
    </row>
    <row r="711">
      <c r="AE711" s="257"/>
    </row>
    <row r="712">
      <c r="AE712" s="257"/>
    </row>
    <row r="713">
      <c r="AE713" s="257"/>
    </row>
    <row r="714">
      <c r="AE714" s="257"/>
    </row>
    <row r="715">
      <c r="AE715" s="257"/>
    </row>
    <row r="716">
      <c r="AE716" s="257"/>
    </row>
    <row r="717">
      <c r="AE717" s="257"/>
    </row>
    <row r="718">
      <c r="AE718" s="257"/>
    </row>
    <row r="719">
      <c r="AE719" s="257"/>
    </row>
    <row r="720">
      <c r="AE720" s="257"/>
    </row>
    <row r="721">
      <c r="AE721" s="257"/>
    </row>
    <row r="722">
      <c r="AE722" s="257"/>
    </row>
    <row r="723">
      <c r="AE723" s="257"/>
    </row>
    <row r="724">
      <c r="AE724" s="257"/>
    </row>
    <row r="725">
      <c r="AE725" s="257"/>
    </row>
    <row r="726">
      <c r="AE726" s="257"/>
    </row>
    <row r="727">
      <c r="AE727" s="257"/>
    </row>
    <row r="728">
      <c r="AE728" s="257"/>
    </row>
    <row r="729">
      <c r="AE729" s="257"/>
    </row>
    <row r="730">
      <c r="AE730" s="257"/>
    </row>
    <row r="731">
      <c r="AE731" s="257"/>
    </row>
    <row r="732">
      <c r="AE732" s="257"/>
    </row>
    <row r="733">
      <c r="AE733" s="257"/>
    </row>
    <row r="734">
      <c r="AE734" s="257"/>
    </row>
    <row r="735">
      <c r="AE735" s="257"/>
    </row>
    <row r="736">
      <c r="AE736" s="257"/>
    </row>
    <row r="737">
      <c r="AE737" s="257"/>
    </row>
    <row r="738">
      <c r="AE738" s="257"/>
    </row>
    <row r="739">
      <c r="AE739" s="257"/>
    </row>
    <row r="740">
      <c r="AE740" s="257"/>
    </row>
    <row r="741">
      <c r="AE741" s="257"/>
    </row>
    <row r="742">
      <c r="AE742" s="257"/>
    </row>
    <row r="743">
      <c r="AE743" s="257"/>
    </row>
    <row r="744">
      <c r="AE744" s="257"/>
    </row>
    <row r="745">
      <c r="AE745" s="257"/>
    </row>
    <row r="746">
      <c r="AE746" s="257"/>
    </row>
    <row r="747">
      <c r="AE747" s="257"/>
    </row>
    <row r="748">
      <c r="AE748" s="257"/>
    </row>
    <row r="749">
      <c r="AE749" s="257"/>
    </row>
    <row r="750">
      <c r="AE750" s="257"/>
    </row>
    <row r="751">
      <c r="AE751" s="257"/>
    </row>
    <row r="752">
      <c r="AE752" s="257"/>
    </row>
    <row r="753">
      <c r="AE753" s="257"/>
    </row>
    <row r="754">
      <c r="AE754" s="257"/>
    </row>
    <row r="755">
      <c r="AE755" s="257"/>
    </row>
    <row r="756">
      <c r="AE756" s="257"/>
    </row>
    <row r="757">
      <c r="AE757" s="257"/>
    </row>
    <row r="758">
      <c r="AE758" s="257"/>
    </row>
    <row r="759">
      <c r="AE759" s="257"/>
    </row>
    <row r="760">
      <c r="AE760" s="257"/>
    </row>
    <row r="761">
      <c r="AE761" s="257"/>
    </row>
    <row r="762">
      <c r="AE762" s="257"/>
    </row>
    <row r="763">
      <c r="AE763" s="257"/>
    </row>
    <row r="764">
      <c r="AE764" s="257"/>
    </row>
    <row r="765">
      <c r="AE765" s="257"/>
    </row>
    <row r="766">
      <c r="AE766" s="257"/>
    </row>
    <row r="767">
      <c r="AE767" s="257"/>
    </row>
    <row r="768">
      <c r="AE768" s="257"/>
    </row>
    <row r="769">
      <c r="AE769" s="257"/>
    </row>
    <row r="770">
      <c r="AE770" s="257"/>
    </row>
    <row r="771">
      <c r="AE771" s="257"/>
    </row>
    <row r="772">
      <c r="AE772" s="257"/>
    </row>
    <row r="773">
      <c r="AE773" s="257"/>
    </row>
    <row r="774">
      <c r="AE774" s="257"/>
    </row>
    <row r="775">
      <c r="AE775" s="257"/>
    </row>
    <row r="776">
      <c r="AE776" s="257"/>
    </row>
    <row r="777">
      <c r="AE777" s="257"/>
    </row>
    <row r="778">
      <c r="AE778" s="257"/>
    </row>
    <row r="779">
      <c r="AE779" s="257"/>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394" t="s">
        <v>1086</v>
      </c>
      <c r="B1" s="80">
        <v>45292.0</v>
      </c>
      <c r="C1" s="80">
        <v>45293.0</v>
      </c>
      <c r="D1" s="80">
        <v>45294.0</v>
      </c>
      <c r="E1" s="80">
        <v>45295.0</v>
      </c>
      <c r="F1" s="80">
        <v>45296.0</v>
      </c>
      <c r="G1" s="80">
        <v>45297.0</v>
      </c>
      <c r="H1" s="80">
        <v>45298.0</v>
      </c>
      <c r="I1" s="80">
        <v>45299.0</v>
      </c>
      <c r="J1" s="80">
        <v>45300.0</v>
      </c>
      <c r="K1" s="80">
        <v>45301.0</v>
      </c>
      <c r="L1" s="80">
        <v>45302.0</v>
      </c>
      <c r="M1" s="80">
        <v>45303.0</v>
      </c>
      <c r="N1" s="80">
        <v>45304.0</v>
      </c>
      <c r="O1" s="80">
        <v>45305.0</v>
      </c>
      <c r="P1" s="80">
        <v>45306.0</v>
      </c>
      <c r="Q1" s="80">
        <v>45307.0</v>
      </c>
      <c r="R1" s="80">
        <v>45308.0</v>
      </c>
      <c r="S1" s="80">
        <v>45309.0</v>
      </c>
      <c r="T1" s="80">
        <v>45310.0</v>
      </c>
      <c r="U1" s="80">
        <v>45311.0</v>
      </c>
      <c r="V1" s="80">
        <v>45312.0</v>
      </c>
      <c r="W1" s="80">
        <v>45313.0</v>
      </c>
      <c r="X1" s="80">
        <v>45314.0</v>
      </c>
      <c r="Y1" s="80">
        <v>45315.0</v>
      </c>
      <c r="Z1" s="80">
        <v>45316.0</v>
      </c>
      <c r="AA1" s="80">
        <v>45317.0</v>
      </c>
      <c r="AB1" s="80">
        <v>45318.0</v>
      </c>
      <c r="AC1" s="80">
        <v>45319.0</v>
      </c>
      <c r="AD1" s="80">
        <v>45320.0</v>
      </c>
      <c r="AE1" s="80">
        <v>45321.0</v>
      </c>
      <c r="AF1" s="80">
        <v>45322.0</v>
      </c>
      <c r="AG1" s="829"/>
    </row>
    <row r="2">
      <c r="A2" s="82" t="s">
        <v>105</v>
      </c>
      <c r="B2" s="83" t="s">
        <v>3</v>
      </c>
      <c r="C2" s="83" t="s">
        <v>4</v>
      </c>
      <c r="D2" s="83" t="s">
        <v>5</v>
      </c>
      <c r="E2" s="83" t="s">
        <v>6</v>
      </c>
      <c r="F2" s="83" t="s">
        <v>0</v>
      </c>
      <c r="G2" s="83" t="s">
        <v>1</v>
      </c>
      <c r="H2" s="83" t="s">
        <v>2</v>
      </c>
      <c r="I2" s="83" t="s">
        <v>3</v>
      </c>
      <c r="J2" s="83" t="s">
        <v>4</v>
      </c>
      <c r="K2" s="83" t="s">
        <v>5</v>
      </c>
      <c r="L2" s="83" t="s">
        <v>6</v>
      </c>
      <c r="M2" s="83" t="s">
        <v>0</v>
      </c>
      <c r="N2" s="83" t="s">
        <v>1</v>
      </c>
      <c r="O2" s="83" t="s">
        <v>2</v>
      </c>
      <c r="P2" s="83" t="s">
        <v>3</v>
      </c>
      <c r="Q2" s="83" t="s">
        <v>4</v>
      </c>
      <c r="R2" s="83" t="s">
        <v>5</v>
      </c>
      <c r="S2" s="83" t="s">
        <v>6</v>
      </c>
      <c r="T2" s="83" t="s">
        <v>0</v>
      </c>
      <c r="U2" s="83" t="s">
        <v>1</v>
      </c>
      <c r="V2" s="83" t="s">
        <v>2</v>
      </c>
      <c r="W2" s="83" t="s">
        <v>3</v>
      </c>
      <c r="X2" s="83" t="s">
        <v>4</v>
      </c>
      <c r="Y2" s="83" t="s">
        <v>5</v>
      </c>
      <c r="Z2" s="83" t="s">
        <v>6</v>
      </c>
      <c r="AA2" s="83" t="s">
        <v>0</v>
      </c>
      <c r="AB2" s="83" t="s">
        <v>1</v>
      </c>
      <c r="AC2" s="83" t="s">
        <v>2</v>
      </c>
      <c r="AD2" s="83" t="s">
        <v>3</v>
      </c>
      <c r="AE2" s="83" t="s">
        <v>4</v>
      </c>
      <c r="AF2" s="83" t="s">
        <v>5</v>
      </c>
      <c r="AG2" s="829"/>
    </row>
    <row r="3">
      <c r="A3" s="135" t="s">
        <v>90</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30"/>
    </row>
    <row r="4">
      <c r="A4" s="136" t="s">
        <v>1180</v>
      </c>
      <c r="B4" s="137">
        <f>Summary!B23</f>
        <v>403.310772</v>
      </c>
      <c r="C4" s="137">
        <f>Summary!C23</f>
        <v>222.883386</v>
      </c>
      <c r="D4" s="137">
        <f>Summary!D23</f>
        <v>0</v>
      </c>
      <c r="E4" s="137">
        <f>Summary!E23</f>
        <v>0</v>
      </c>
      <c r="F4" s="137">
        <f>Summary!F23</f>
        <v>0</v>
      </c>
      <c r="G4" s="137">
        <f>Summary!G23</f>
        <v>222.883386</v>
      </c>
      <c r="H4" s="137">
        <f>Summary!H23</f>
        <v>0</v>
      </c>
      <c r="I4" s="137">
        <f>Summary!I23</f>
        <v>445.766772</v>
      </c>
      <c r="J4" s="137">
        <f>Summary!J23</f>
        <v>0</v>
      </c>
      <c r="K4" s="137">
        <f>Summary!K23</f>
        <v>1071.96093</v>
      </c>
      <c r="L4" s="137">
        <f>Summary!L23</f>
        <v>222.883386</v>
      </c>
      <c r="M4" s="137">
        <f>Summary!M23</f>
        <v>222.883386</v>
      </c>
      <c r="N4" s="137">
        <f>Summary!N23</f>
        <v>0</v>
      </c>
      <c r="O4" s="137">
        <f>Summary!O23</f>
        <v>0</v>
      </c>
      <c r="P4" s="137">
        <f>Summary!P23</f>
        <v>0</v>
      </c>
      <c r="Q4" s="137">
        <f>Summary!Q23</f>
        <v>0</v>
      </c>
      <c r="R4" s="137">
        <f>Summary!R23</f>
        <v>0</v>
      </c>
      <c r="S4" s="137">
        <f>Summary!S23</f>
        <v>0</v>
      </c>
      <c r="T4" s="137">
        <f>Summary!T23</f>
        <v>0</v>
      </c>
      <c r="U4" s="137">
        <f>Summary!U23</f>
        <v>0</v>
      </c>
      <c r="V4" s="137">
        <f>Summary!V23</f>
        <v>0</v>
      </c>
      <c r="W4" s="137">
        <f>Summary!W23</f>
        <v>0</v>
      </c>
      <c r="X4" s="137">
        <f>Summary!X23</f>
        <v>0</v>
      </c>
      <c r="Y4" s="137">
        <f>Summary!Y23</f>
        <v>0</v>
      </c>
      <c r="Z4" s="137">
        <f>Summary!Z23</f>
        <v>0</v>
      </c>
      <c r="AA4" s="137">
        <f>Summary!AA23</f>
        <v>0</v>
      </c>
      <c r="AB4" s="137">
        <f>Summary!AB23</f>
        <v>0</v>
      </c>
      <c r="AC4" s="137">
        <f>Summary!AC23</f>
        <v>318.409386</v>
      </c>
      <c r="AD4" s="137">
        <f>Summary!AD23</f>
        <v>0</v>
      </c>
      <c r="AE4" s="137" t="str">
        <f t="shared" ref="AE4:AF4" si="1">#REF!</f>
        <v>#REF!</v>
      </c>
      <c r="AF4" s="137" t="str">
        <f t="shared" si="1"/>
        <v>#REF!</v>
      </c>
      <c r="AG4" s="830" t="str">
        <f t="shared" ref="AG4:AG7" si="3">sum(B4:AF4)</f>
        <v>#REF!</v>
      </c>
    </row>
    <row r="5">
      <c r="A5" s="136" t="s">
        <v>1181</v>
      </c>
      <c r="B5" s="831">
        <f>Summary!B27</f>
        <v>0</v>
      </c>
      <c r="C5" s="831">
        <f>Summary!C27</f>
        <v>0</v>
      </c>
      <c r="D5" s="831">
        <f>Summary!D27</f>
        <v>0</v>
      </c>
      <c r="E5" s="831">
        <f>Summary!E27</f>
        <v>0</v>
      </c>
      <c r="F5" s="831">
        <f>Summary!F27</f>
        <v>0</v>
      </c>
      <c r="G5" s="831">
        <f>Summary!G27</f>
        <v>0</v>
      </c>
      <c r="H5" s="137">
        <f>Summary!H27</f>
        <v>317.3586</v>
      </c>
      <c r="I5" s="137">
        <f>Summary!I27</f>
        <v>0</v>
      </c>
      <c r="J5" s="137">
        <f>Summary!J27</f>
        <v>0</v>
      </c>
      <c r="K5" s="137">
        <f>Summary!K27</f>
        <v>0</v>
      </c>
      <c r="L5" s="137">
        <f>Summary!L27</f>
        <v>317.3586</v>
      </c>
      <c r="M5" s="137">
        <f>Summary!M27</f>
        <v>0</v>
      </c>
      <c r="N5" s="137">
        <f>Summary!N27</f>
        <v>0</v>
      </c>
      <c r="O5" s="137">
        <f>Summary!O27</f>
        <v>0</v>
      </c>
      <c r="P5" s="137">
        <f>Summary!P27</f>
        <v>0</v>
      </c>
      <c r="Q5" s="137">
        <f>Summary!Q27</f>
        <v>0</v>
      </c>
      <c r="R5" s="137">
        <f>Summary!R27</f>
        <v>0</v>
      </c>
      <c r="S5" s="137">
        <f>Summary!S27</f>
        <v>0</v>
      </c>
      <c r="T5" s="137">
        <f>Summary!T27</f>
        <v>0</v>
      </c>
      <c r="U5" s="137">
        <f>Summary!U27</f>
        <v>0</v>
      </c>
      <c r="V5" s="137">
        <f>Summary!V27</f>
        <v>0</v>
      </c>
      <c r="W5" s="137">
        <f>Summary!W27</f>
        <v>0</v>
      </c>
      <c r="X5" s="137">
        <f>Summary!X27</f>
        <v>0</v>
      </c>
      <c r="Y5" s="137">
        <f>Summary!Y27</f>
        <v>0</v>
      </c>
      <c r="Z5" s="137">
        <f>Summary!Z27</f>
        <v>507.3492</v>
      </c>
      <c r="AA5" s="137">
        <f>Summary!AA27</f>
        <v>0</v>
      </c>
      <c r="AB5" s="137">
        <f>Summary!AB27</f>
        <v>0</v>
      </c>
      <c r="AC5" s="137">
        <f>Summary!AC27</f>
        <v>0</v>
      </c>
      <c r="AD5" s="137">
        <f>Summary!AD27</f>
        <v>0</v>
      </c>
      <c r="AE5" s="137" t="str">
        <f t="shared" ref="AE5:AF5" si="2">#REF!</f>
        <v>#REF!</v>
      </c>
      <c r="AF5" s="137" t="str">
        <f t="shared" si="2"/>
        <v>#REF!</v>
      </c>
      <c r="AG5" s="830" t="str">
        <f t="shared" si="3"/>
        <v>#REF!</v>
      </c>
    </row>
    <row r="6">
      <c r="A6" s="136" t="s">
        <v>1182</v>
      </c>
      <c r="B6" s="832">
        <f>Summary!B34</f>
        <v>3992.9868</v>
      </c>
      <c r="C6" s="832">
        <f>Summary!C35</f>
        <v>4598</v>
      </c>
      <c r="D6" s="832">
        <f>Summary!D35</f>
        <v>0</v>
      </c>
      <c r="E6" s="832">
        <f>Summary!E35</f>
        <v>627</v>
      </c>
      <c r="F6" s="832">
        <f>Summary!F35</f>
        <v>4389</v>
      </c>
      <c r="G6" s="832">
        <f>Summary!G35</f>
        <v>2926</v>
      </c>
      <c r="H6" s="832">
        <f>Summary!H35</f>
        <v>2299</v>
      </c>
      <c r="I6" s="832">
        <f>Summary!I35</f>
        <v>2299</v>
      </c>
      <c r="J6" s="832">
        <f>Summary!J35</f>
        <v>1881</v>
      </c>
      <c r="K6" s="832">
        <f>Summary!K35</f>
        <v>0</v>
      </c>
      <c r="L6" s="832">
        <f>Summary!L35</f>
        <v>1254</v>
      </c>
      <c r="M6" s="832">
        <f>Summary!M35</f>
        <v>5382</v>
      </c>
      <c r="N6" s="832">
        <f>Summary!N35</f>
        <v>2990</v>
      </c>
      <c r="O6" s="832">
        <f>Summary!O35</f>
        <v>1196</v>
      </c>
      <c r="P6" s="832">
        <f>Summary!P35</f>
        <v>2093</v>
      </c>
      <c r="Q6" s="832">
        <f>Summary!Q35</f>
        <v>1196</v>
      </c>
      <c r="R6" s="832">
        <f>Summary!R35</f>
        <v>0</v>
      </c>
      <c r="S6" s="832">
        <f>Summary!S35</f>
        <v>2392</v>
      </c>
      <c r="T6" s="832">
        <f>Summary!T35</f>
        <v>17940</v>
      </c>
      <c r="U6" s="832">
        <f>Summary!U35</f>
        <v>16744</v>
      </c>
      <c r="V6" s="832">
        <f>Summary!V34</f>
        <v>3490.9446</v>
      </c>
      <c r="W6" s="832">
        <f>Summary!W34</f>
        <v>5712.4548</v>
      </c>
      <c r="X6" s="832">
        <f>Summary!X34</f>
        <v>6029.8134</v>
      </c>
      <c r="Y6" s="832">
        <f>Summary!Y34</f>
        <v>0</v>
      </c>
      <c r="Z6" s="832">
        <f>Summary!Z34</f>
        <v>3173.586</v>
      </c>
      <c r="AA6" s="832">
        <f>Summary!AA34</f>
        <v>8568.6822</v>
      </c>
      <c r="AB6" s="832">
        <f>Summary!AB34</f>
        <v>7299.2478</v>
      </c>
      <c r="AC6" s="832">
        <f>Summary!AC34</f>
        <v>7616.6064</v>
      </c>
      <c r="AD6" s="832">
        <f>Summary!AD34</f>
        <v>12059.6268</v>
      </c>
      <c r="AE6" s="832" t="str">
        <f t="shared" ref="AE6:AF6" si="4">#REF!</f>
        <v>#REF!</v>
      </c>
      <c r="AF6" s="832" t="str">
        <f t="shared" si="4"/>
        <v>#REF!</v>
      </c>
      <c r="AG6" s="830" t="str">
        <f t="shared" si="3"/>
        <v>#REF!</v>
      </c>
    </row>
    <row r="7">
      <c r="A7" s="833" t="s">
        <v>1183</v>
      </c>
      <c r="B7" s="832">
        <f t="shared" ref="B7:AF7" si="5">SUM(B4:B6)</f>
        <v>4396.297572</v>
      </c>
      <c r="C7" s="832">
        <f t="shared" si="5"/>
        <v>4820.883386</v>
      </c>
      <c r="D7" s="832">
        <f t="shared" si="5"/>
        <v>0</v>
      </c>
      <c r="E7" s="832">
        <f t="shared" si="5"/>
        <v>627</v>
      </c>
      <c r="F7" s="832">
        <f t="shared" si="5"/>
        <v>4389</v>
      </c>
      <c r="G7" s="832">
        <f t="shared" si="5"/>
        <v>3148.883386</v>
      </c>
      <c r="H7" s="832">
        <f t="shared" si="5"/>
        <v>2616.3586</v>
      </c>
      <c r="I7" s="832">
        <f t="shared" si="5"/>
        <v>2744.766772</v>
      </c>
      <c r="J7" s="832">
        <f t="shared" si="5"/>
        <v>1881</v>
      </c>
      <c r="K7" s="832">
        <f t="shared" si="5"/>
        <v>1071.96093</v>
      </c>
      <c r="L7" s="832">
        <f t="shared" si="5"/>
        <v>1794.241986</v>
      </c>
      <c r="M7" s="832">
        <f t="shared" si="5"/>
        <v>5604.883386</v>
      </c>
      <c r="N7" s="832">
        <f t="shared" si="5"/>
        <v>2990</v>
      </c>
      <c r="O7" s="832">
        <f t="shared" si="5"/>
        <v>1196</v>
      </c>
      <c r="P7" s="832">
        <f t="shared" si="5"/>
        <v>2093</v>
      </c>
      <c r="Q7" s="832">
        <f t="shared" si="5"/>
        <v>1196</v>
      </c>
      <c r="R7" s="832">
        <f t="shared" si="5"/>
        <v>0</v>
      </c>
      <c r="S7" s="832">
        <f t="shared" si="5"/>
        <v>2392</v>
      </c>
      <c r="T7" s="832">
        <f t="shared" si="5"/>
        <v>17940</v>
      </c>
      <c r="U7" s="832">
        <f t="shared" si="5"/>
        <v>16744</v>
      </c>
      <c r="V7" s="832">
        <f t="shared" si="5"/>
        <v>3490.9446</v>
      </c>
      <c r="W7" s="832">
        <f t="shared" si="5"/>
        <v>5712.4548</v>
      </c>
      <c r="X7" s="832">
        <f t="shared" si="5"/>
        <v>6029.8134</v>
      </c>
      <c r="Y7" s="832">
        <f t="shared" si="5"/>
        <v>0</v>
      </c>
      <c r="Z7" s="832">
        <f t="shared" si="5"/>
        <v>3680.9352</v>
      </c>
      <c r="AA7" s="832">
        <f t="shared" si="5"/>
        <v>8568.6822</v>
      </c>
      <c r="AB7" s="832">
        <f t="shared" si="5"/>
        <v>7299.2478</v>
      </c>
      <c r="AC7" s="832">
        <f t="shared" si="5"/>
        <v>7935.015786</v>
      </c>
      <c r="AD7" s="832">
        <f t="shared" si="5"/>
        <v>12059.6268</v>
      </c>
      <c r="AE7" s="832" t="str">
        <f t="shared" si="5"/>
        <v>#REF!</v>
      </c>
      <c r="AF7" s="832" t="str">
        <f t="shared" si="5"/>
        <v>#REF!</v>
      </c>
      <c r="AG7" s="830" t="str">
        <f t="shared" si="3"/>
        <v>#REF!</v>
      </c>
    </row>
    <row r="8">
      <c r="A8" s="100"/>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34"/>
    </row>
    <row r="9">
      <c r="A9" s="141" t="s">
        <v>97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34"/>
    </row>
    <row r="10">
      <c r="A10" s="142" t="s">
        <v>1184</v>
      </c>
      <c r="B10" s="160">
        <f>Summary!B62</f>
        <v>2</v>
      </c>
      <c r="C10" s="160">
        <f>Summary!C62</f>
        <v>1</v>
      </c>
      <c r="D10" s="160">
        <f>Summary!D62</f>
        <v>0</v>
      </c>
      <c r="E10" s="160">
        <f>Summary!E62</f>
        <v>0</v>
      </c>
      <c r="F10" s="160">
        <f>Summary!F62</f>
        <v>0</v>
      </c>
      <c r="G10" s="160">
        <f>Summary!G62</f>
        <v>1</v>
      </c>
      <c r="H10" s="160">
        <f>Summary!H62</f>
        <v>0</v>
      </c>
      <c r="I10" s="160">
        <f>Summary!I62</f>
        <v>2</v>
      </c>
      <c r="J10" s="160">
        <f>Summary!J62</f>
        <v>0</v>
      </c>
      <c r="K10" s="160">
        <f>Summary!K62</f>
        <v>5</v>
      </c>
      <c r="L10" s="160">
        <f>Summary!L62</f>
        <v>1</v>
      </c>
      <c r="M10" s="160">
        <f>Summary!M62</f>
        <v>1</v>
      </c>
      <c r="N10" s="160">
        <f>Summary!N62</f>
        <v>0</v>
      </c>
      <c r="O10" s="160">
        <f>Summary!O62</f>
        <v>0</v>
      </c>
      <c r="P10" s="160">
        <f>Summary!P62</f>
        <v>0</v>
      </c>
      <c r="Q10" s="160">
        <f>Summary!Q62</f>
        <v>0</v>
      </c>
      <c r="R10" s="160">
        <f>Summary!R62</f>
        <v>0</v>
      </c>
      <c r="S10" s="160">
        <f>Summary!S62</f>
        <v>0</v>
      </c>
      <c r="T10" s="160">
        <f>Summary!T62</f>
        <v>0</v>
      </c>
      <c r="U10" s="160">
        <f>Summary!U62</f>
        <v>0</v>
      </c>
      <c r="V10" s="160">
        <f>Summary!V62</f>
        <v>0</v>
      </c>
      <c r="W10" s="160">
        <f>Summary!W62</f>
        <v>0</v>
      </c>
      <c r="X10" s="160">
        <f>Summary!X62</f>
        <v>0</v>
      </c>
      <c r="Y10" s="160">
        <f>Summary!Y62</f>
        <v>0</v>
      </c>
      <c r="Z10" s="160">
        <f>Summary!Z62</f>
        <v>0</v>
      </c>
      <c r="AA10" s="160">
        <f>Summary!AA62</f>
        <v>0</v>
      </c>
      <c r="AB10" s="160">
        <f>Summary!AB62</f>
        <v>0</v>
      </c>
      <c r="AC10" s="160">
        <f>Summary!AC62</f>
        <v>1</v>
      </c>
      <c r="AD10" s="160">
        <f>Summary!AD62</f>
        <v>0</v>
      </c>
      <c r="AE10" s="160" t="str">
        <f t="shared" ref="AE10:AF10" si="6">#REF!</f>
        <v>#REF!</v>
      </c>
      <c r="AF10" s="160" t="str">
        <f t="shared" si="6"/>
        <v>#REF!</v>
      </c>
      <c r="AG10" s="830" t="str">
        <f t="shared" ref="AG10:AG13" si="8">sum(B10:AF10)</f>
        <v>#REF!</v>
      </c>
    </row>
    <row r="11">
      <c r="A11" s="142" t="s">
        <v>1185</v>
      </c>
      <c r="B11" s="835">
        <f>Summary!B63</f>
        <v>0</v>
      </c>
      <c r="C11" s="835">
        <f>Summary!C63</f>
        <v>0</v>
      </c>
      <c r="D11" s="835">
        <f>Summary!D63</f>
        <v>0</v>
      </c>
      <c r="E11" s="835">
        <f>Summary!E63</f>
        <v>0</v>
      </c>
      <c r="F11" s="835">
        <f>Summary!F63</f>
        <v>0</v>
      </c>
      <c r="G11" s="835">
        <f>Summary!G63</f>
        <v>0</v>
      </c>
      <c r="H11" s="160">
        <f>Summary!H63</f>
        <v>1</v>
      </c>
      <c r="I11" s="160">
        <f>Summary!I63</f>
        <v>0</v>
      </c>
      <c r="J11" s="160">
        <f>Summary!J63</f>
        <v>0</v>
      </c>
      <c r="K11" s="160">
        <f>Summary!K63</f>
        <v>0</v>
      </c>
      <c r="L11" s="160">
        <f>Summary!L63</f>
        <v>1</v>
      </c>
      <c r="M11" s="160">
        <f>Summary!M63</f>
        <v>0</v>
      </c>
      <c r="N11" s="160">
        <f>Summary!N63</f>
        <v>0</v>
      </c>
      <c r="O11" s="160">
        <f>Summary!O63</f>
        <v>0</v>
      </c>
      <c r="P11" s="160">
        <f>Summary!P63</f>
        <v>0</v>
      </c>
      <c r="Q11" s="160">
        <f>Summary!Q63</f>
        <v>0</v>
      </c>
      <c r="R11" s="160">
        <f>Summary!R63</f>
        <v>0</v>
      </c>
      <c r="S11" s="160">
        <f>Summary!S63</f>
        <v>0</v>
      </c>
      <c r="T11" s="160">
        <f>Summary!T63</f>
        <v>0</v>
      </c>
      <c r="U11" s="160">
        <f>Summary!U63</f>
        <v>0</v>
      </c>
      <c r="V11" s="160">
        <f>Summary!V63</f>
        <v>0</v>
      </c>
      <c r="W11" s="160">
        <f>Summary!W63</f>
        <v>0</v>
      </c>
      <c r="X11" s="160">
        <f>Summary!X63</f>
        <v>0</v>
      </c>
      <c r="Y11" s="160">
        <f>Summary!Y63</f>
        <v>0</v>
      </c>
      <c r="Z11" s="160">
        <f>Summary!Z63</f>
        <v>2</v>
      </c>
      <c r="AA11" s="160">
        <f>Summary!AA63</f>
        <v>0</v>
      </c>
      <c r="AB11" s="160">
        <f>Summary!AB63</f>
        <v>0</v>
      </c>
      <c r="AC11" s="160">
        <f>Summary!AC63</f>
        <v>0</v>
      </c>
      <c r="AD11" s="160">
        <f>Summary!AD63</f>
        <v>0</v>
      </c>
      <c r="AE11" s="160" t="str">
        <f t="shared" ref="AE11:AF11" si="7">#REF!</f>
        <v>#REF!</v>
      </c>
      <c r="AF11" s="160" t="str">
        <f t="shared" si="7"/>
        <v>#REF!</v>
      </c>
      <c r="AG11" s="830" t="str">
        <f t="shared" si="8"/>
        <v>#REF!</v>
      </c>
    </row>
    <row r="12">
      <c r="A12" s="142" t="s">
        <v>1186</v>
      </c>
      <c r="B12" s="144">
        <f>Summary!B67</f>
        <v>18</v>
      </c>
      <c r="C12" s="144">
        <f>Summary!C67</f>
        <v>22</v>
      </c>
      <c r="D12" s="144">
        <f>Summary!D67</f>
        <v>0</v>
      </c>
      <c r="E12" s="144">
        <f>Summary!E67</f>
        <v>3</v>
      </c>
      <c r="F12" s="144">
        <f>Summary!F67</f>
        <v>21</v>
      </c>
      <c r="G12" s="144">
        <f>Summary!G67</f>
        <v>14</v>
      </c>
      <c r="H12" s="144">
        <f>Summary!H67</f>
        <v>11</v>
      </c>
      <c r="I12" s="144">
        <f>Summary!I67</f>
        <v>11</v>
      </c>
      <c r="J12" s="144">
        <f>Summary!J67</f>
        <v>9</v>
      </c>
      <c r="K12" s="144">
        <f>Summary!K67</f>
        <v>0</v>
      </c>
      <c r="L12" s="144">
        <f>Summary!L67</f>
        <v>6</v>
      </c>
      <c r="M12" s="144">
        <f>Summary!M67</f>
        <v>18</v>
      </c>
      <c r="N12" s="144">
        <f>Summary!N67</f>
        <v>10</v>
      </c>
      <c r="O12" s="144">
        <f>Summary!O67</f>
        <v>4</v>
      </c>
      <c r="P12" s="144">
        <f>Summary!P67</f>
        <v>7</v>
      </c>
      <c r="Q12" s="144">
        <f>Summary!Q67</f>
        <v>4</v>
      </c>
      <c r="R12" s="144">
        <f>Summary!R67</f>
        <v>0</v>
      </c>
      <c r="S12" s="144">
        <f>Summary!S67</f>
        <v>8</v>
      </c>
      <c r="T12" s="144">
        <f>Summary!T67</f>
        <v>60</v>
      </c>
      <c r="U12" s="144">
        <f>Summary!U67</f>
        <v>56</v>
      </c>
      <c r="V12" s="144">
        <f>Summary!V67</f>
        <v>11</v>
      </c>
      <c r="W12" s="144">
        <f>Summary!W67</f>
        <v>18</v>
      </c>
      <c r="X12" s="144">
        <f>Summary!X67</f>
        <v>19</v>
      </c>
      <c r="Y12" s="144">
        <f>Summary!Y67</f>
        <v>0</v>
      </c>
      <c r="Z12" s="144">
        <f>Summary!Z67</f>
        <v>10</v>
      </c>
      <c r="AA12" s="144">
        <f>Summary!AA67</f>
        <v>27</v>
      </c>
      <c r="AB12" s="144">
        <f>Summary!AB67</f>
        <v>23</v>
      </c>
      <c r="AC12" s="144">
        <f>Summary!AC67</f>
        <v>24</v>
      </c>
      <c r="AD12" s="144">
        <f>Summary!AD67</f>
        <v>38</v>
      </c>
      <c r="AE12" s="144" t="str">
        <f t="shared" ref="AE12:AF12" si="9">#REF!</f>
        <v>#REF!</v>
      </c>
      <c r="AF12" s="144" t="str">
        <f t="shared" si="9"/>
        <v>#REF!</v>
      </c>
      <c r="AG12" s="830" t="str">
        <f t="shared" si="8"/>
        <v>#REF!</v>
      </c>
    </row>
    <row r="13">
      <c r="A13" s="142" t="s">
        <v>1187</v>
      </c>
      <c r="B13" s="144">
        <f t="shared" ref="B13:AF13" si="10">SUM(B10:B12)</f>
        <v>20</v>
      </c>
      <c r="C13" s="144">
        <f t="shared" si="10"/>
        <v>23</v>
      </c>
      <c r="D13" s="144">
        <f t="shared" si="10"/>
        <v>0</v>
      </c>
      <c r="E13" s="144">
        <f t="shared" si="10"/>
        <v>3</v>
      </c>
      <c r="F13" s="144">
        <f t="shared" si="10"/>
        <v>21</v>
      </c>
      <c r="G13" s="144">
        <f t="shared" si="10"/>
        <v>15</v>
      </c>
      <c r="H13" s="144">
        <f t="shared" si="10"/>
        <v>12</v>
      </c>
      <c r="I13" s="144">
        <f t="shared" si="10"/>
        <v>13</v>
      </c>
      <c r="J13" s="144">
        <f t="shared" si="10"/>
        <v>9</v>
      </c>
      <c r="K13" s="144">
        <f t="shared" si="10"/>
        <v>5</v>
      </c>
      <c r="L13" s="144">
        <f t="shared" si="10"/>
        <v>8</v>
      </c>
      <c r="M13" s="144">
        <f t="shared" si="10"/>
        <v>19</v>
      </c>
      <c r="N13" s="144">
        <f t="shared" si="10"/>
        <v>10</v>
      </c>
      <c r="O13" s="144">
        <f t="shared" si="10"/>
        <v>4</v>
      </c>
      <c r="P13" s="144">
        <f t="shared" si="10"/>
        <v>7</v>
      </c>
      <c r="Q13" s="144">
        <f t="shared" si="10"/>
        <v>4</v>
      </c>
      <c r="R13" s="144">
        <f t="shared" si="10"/>
        <v>0</v>
      </c>
      <c r="S13" s="144">
        <f t="shared" si="10"/>
        <v>8</v>
      </c>
      <c r="T13" s="144">
        <f t="shared" si="10"/>
        <v>60</v>
      </c>
      <c r="U13" s="144">
        <f t="shared" si="10"/>
        <v>56</v>
      </c>
      <c r="V13" s="144">
        <f t="shared" si="10"/>
        <v>11</v>
      </c>
      <c r="W13" s="144">
        <f t="shared" si="10"/>
        <v>18</v>
      </c>
      <c r="X13" s="144">
        <f t="shared" si="10"/>
        <v>19</v>
      </c>
      <c r="Y13" s="144">
        <f t="shared" si="10"/>
        <v>0</v>
      </c>
      <c r="Z13" s="144">
        <f t="shared" si="10"/>
        <v>12</v>
      </c>
      <c r="AA13" s="144">
        <f t="shared" si="10"/>
        <v>27</v>
      </c>
      <c r="AB13" s="144">
        <f t="shared" si="10"/>
        <v>23</v>
      </c>
      <c r="AC13" s="144">
        <f t="shared" si="10"/>
        <v>25</v>
      </c>
      <c r="AD13" s="144">
        <f t="shared" si="10"/>
        <v>38</v>
      </c>
      <c r="AE13" s="144" t="str">
        <f t="shared" si="10"/>
        <v>#REF!</v>
      </c>
      <c r="AF13" s="144" t="str">
        <f t="shared" si="10"/>
        <v>#REF!</v>
      </c>
      <c r="AG13" s="830" t="str">
        <f t="shared" si="8"/>
        <v>#REF!</v>
      </c>
    </row>
    <row r="14">
      <c r="A14" s="100"/>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34"/>
    </row>
    <row r="15">
      <c r="A15" s="141" t="s">
        <v>1188</v>
      </c>
      <c r="B15" s="85"/>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34"/>
    </row>
    <row r="16">
      <c r="A16" s="151" t="s">
        <v>1189</v>
      </c>
      <c r="B16" s="152">
        <f>Summary!B23</f>
        <v>403.310772</v>
      </c>
      <c r="C16" s="152">
        <f>Summary!C23</f>
        <v>222.883386</v>
      </c>
      <c r="D16" s="152">
        <f>Summary!D23</f>
        <v>0</v>
      </c>
      <c r="E16" s="152">
        <f>Summary!E23</f>
        <v>0</v>
      </c>
      <c r="F16" s="152">
        <f>Summary!F23</f>
        <v>0</v>
      </c>
      <c r="G16" s="152">
        <f>Summary!G23</f>
        <v>222.883386</v>
      </c>
      <c r="H16" s="152">
        <f>Summary!H23</f>
        <v>0</v>
      </c>
      <c r="I16" s="152">
        <f>Summary!I23</f>
        <v>445.766772</v>
      </c>
      <c r="J16" s="152">
        <f>Summary!J23</f>
        <v>0</v>
      </c>
      <c r="K16" s="152">
        <f>Summary!K23</f>
        <v>1071.96093</v>
      </c>
      <c r="L16" s="152">
        <f>Summary!L23</f>
        <v>222.883386</v>
      </c>
      <c r="M16" s="152">
        <f>Summary!M23</f>
        <v>222.883386</v>
      </c>
      <c r="N16" s="152">
        <f>Summary!N23</f>
        <v>0</v>
      </c>
      <c r="O16" s="152">
        <f>Summary!O23</f>
        <v>0</v>
      </c>
      <c r="P16" s="152">
        <f>Summary!P23</f>
        <v>0</v>
      </c>
      <c r="Q16" s="152">
        <f>Summary!Q23</f>
        <v>0</v>
      </c>
      <c r="R16" s="152">
        <f>Summary!R23</f>
        <v>0</v>
      </c>
      <c r="S16" s="152">
        <f>Summary!S23</f>
        <v>0</v>
      </c>
      <c r="T16" s="152">
        <f>Summary!T23</f>
        <v>0</v>
      </c>
      <c r="U16" s="152">
        <f>Summary!U23</f>
        <v>0</v>
      </c>
      <c r="V16" s="152">
        <f>Summary!V23</f>
        <v>0</v>
      </c>
      <c r="W16" s="152">
        <f>Summary!W23</f>
        <v>0</v>
      </c>
      <c r="X16" s="152">
        <f>Summary!X23</f>
        <v>0</v>
      </c>
      <c r="Y16" s="152">
        <f>Summary!Y23</f>
        <v>0</v>
      </c>
      <c r="Z16" s="152">
        <f>Summary!Z23</f>
        <v>0</v>
      </c>
      <c r="AA16" s="152">
        <f>Summary!AA23</f>
        <v>0</v>
      </c>
      <c r="AB16" s="152">
        <f>Summary!AB23</f>
        <v>0</v>
      </c>
      <c r="AC16" s="152">
        <f>Summary!AC23</f>
        <v>318.409386</v>
      </c>
      <c r="AD16" s="152">
        <f>Summary!AD23</f>
        <v>0</v>
      </c>
      <c r="AE16" s="152" t="str">
        <f t="shared" ref="AE16:AF16" si="11">#REF!</f>
        <v>#REF!</v>
      </c>
      <c r="AF16" s="152" t="str">
        <f t="shared" si="11"/>
        <v>#REF!</v>
      </c>
      <c r="AG16" s="836" t="str">
        <f t="shared" ref="AG16:AG20" si="12">SUM(B16:AF16)</f>
        <v>#REF!</v>
      </c>
    </row>
    <row r="17">
      <c r="A17" s="151" t="s">
        <v>1190</v>
      </c>
      <c r="B17" s="152">
        <v>0.0</v>
      </c>
      <c r="C17" s="152">
        <v>0.0</v>
      </c>
      <c r="D17" s="152">
        <v>0.0</v>
      </c>
      <c r="E17" s="152">
        <v>0.0</v>
      </c>
      <c r="F17" s="152">
        <v>0.0</v>
      </c>
      <c r="G17" s="152">
        <v>0.0</v>
      </c>
      <c r="H17" s="152">
        <v>0.0</v>
      </c>
      <c r="I17" s="152">
        <v>0.0</v>
      </c>
      <c r="J17" s="152">
        <v>0.0</v>
      </c>
      <c r="K17" s="152">
        <v>0.0</v>
      </c>
      <c r="L17" s="152">
        <v>0.0</v>
      </c>
      <c r="M17" s="152">
        <v>0.0</v>
      </c>
      <c r="N17" s="152">
        <v>0.0</v>
      </c>
      <c r="O17" s="152">
        <v>0.0</v>
      </c>
      <c r="P17" s="152">
        <v>0.0</v>
      </c>
      <c r="Q17" s="385">
        <v>0.0</v>
      </c>
      <c r="R17" s="152">
        <v>0.0</v>
      </c>
      <c r="S17" s="152">
        <v>0.0</v>
      </c>
      <c r="T17" s="152">
        <v>0.0</v>
      </c>
      <c r="U17" s="385">
        <v>0.0</v>
      </c>
      <c r="V17" s="152">
        <v>0.0</v>
      </c>
      <c r="W17" s="152">
        <v>0.0</v>
      </c>
      <c r="X17" s="152">
        <v>0.0</v>
      </c>
      <c r="Y17" s="152">
        <v>0.0</v>
      </c>
      <c r="Z17" s="152">
        <v>0.0</v>
      </c>
      <c r="AA17" s="152">
        <v>0.0</v>
      </c>
      <c r="AB17" s="152">
        <v>0.0</v>
      </c>
      <c r="AC17" s="152"/>
      <c r="AD17" s="152"/>
      <c r="AE17" s="152"/>
      <c r="AF17" s="152"/>
      <c r="AG17" s="836">
        <f t="shared" si="12"/>
        <v>0</v>
      </c>
    </row>
    <row r="18">
      <c r="A18" s="151" t="s">
        <v>1191</v>
      </c>
      <c r="B18" s="152">
        <v>0.0</v>
      </c>
      <c r="C18" s="152">
        <v>0.0</v>
      </c>
      <c r="D18" s="152">
        <v>0.0</v>
      </c>
      <c r="E18" s="152">
        <v>0.0</v>
      </c>
      <c r="F18" s="152">
        <v>0.0</v>
      </c>
      <c r="G18" s="152">
        <v>0.0</v>
      </c>
      <c r="H18" s="152">
        <v>0.0</v>
      </c>
      <c r="I18" s="152">
        <v>0.0</v>
      </c>
      <c r="J18" s="152">
        <v>0.0</v>
      </c>
      <c r="K18" s="152">
        <v>0.0</v>
      </c>
      <c r="L18" s="152">
        <v>0.0</v>
      </c>
      <c r="M18" s="152">
        <v>0.0</v>
      </c>
      <c r="N18" s="152">
        <v>0.0</v>
      </c>
      <c r="O18" s="152">
        <v>0.0</v>
      </c>
      <c r="P18" s="152">
        <v>0.0</v>
      </c>
      <c r="Q18" s="152">
        <v>0.0</v>
      </c>
      <c r="R18" s="152">
        <v>0.0</v>
      </c>
      <c r="S18" s="152">
        <v>0.0</v>
      </c>
      <c r="T18" s="152">
        <v>0.0</v>
      </c>
      <c r="U18" s="152">
        <v>0.0</v>
      </c>
      <c r="V18" s="152">
        <v>0.0</v>
      </c>
      <c r="W18" s="152">
        <v>0.0</v>
      </c>
      <c r="X18" s="152">
        <v>0.0</v>
      </c>
      <c r="Y18" s="152">
        <v>0.0</v>
      </c>
      <c r="Z18" s="152">
        <v>0.0</v>
      </c>
      <c r="AA18" s="152">
        <v>0.0</v>
      </c>
      <c r="AB18" s="152">
        <v>0.0</v>
      </c>
      <c r="AC18" s="152">
        <v>0.0</v>
      </c>
      <c r="AD18" s="152">
        <v>0.0</v>
      </c>
      <c r="AE18" s="152">
        <v>0.0</v>
      </c>
      <c r="AF18" s="152">
        <v>0.0</v>
      </c>
      <c r="AG18" s="836">
        <f t="shared" si="12"/>
        <v>0</v>
      </c>
    </row>
    <row r="19">
      <c r="A19" s="151" t="s">
        <v>1192</v>
      </c>
      <c r="B19" s="152">
        <v>0.0</v>
      </c>
      <c r="C19" s="152">
        <v>0.0</v>
      </c>
      <c r="D19" s="152">
        <v>0.0</v>
      </c>
      <c r="E19" s="152">
        <v>0.0</v>
      </c>
      <c r="F19" s="152">
        <v>0.0</v>
      </c>
      <c r="G19" s="152">
        <v>0.0</v>
      </c>
      <c r="H19" s="152">
        <v>0.0</v>
      </c>
      <c r="I19" s="152">
        <v>0.0</v>
      </c>
      <c r="J19" s="152">
        <v>0.0</v>
      </c>
      <c r="K19" s="152">
        <v>0.0</v>
      </c>
      <c r="L19" s="152">
        <v>0.0</v>
      </c>
      <c r="M19" s="152">
        <v>0.0</v>
      </c>
      <c r="N19" s="152">
        <v>0.0</v>
      </c>
      <c r="O19" s="152">
        <v>0.0</v>
      </c>
      <c r="P19" s="152">
        <v>0.0</v>
      </c>
      <c r="Q19" s="152">
        <v>0.0</v>
      </c>
      <c r="R19" s="152">
        <v>0.0</v>
      </c>
      <c r="S19" s="152">
        <v>0.0</v>
      </c>
      <c r="T19" s="152">
        <v>0.0</v>
      </c>
      <c r="U19" s="152">
        <v>0.0</v>
      </c>
      <c r="V19" s="152">
        <v>0.0</v>
      </c>
      <c r="W19" s="152">
        <v>0.0</v>
      </c>
      <c r="X19" s="152">
        <v>0.0</v>
      </c>
      <c r="Y19" s="152">
        <v>0.0</v>
      </c>
      <c r="Z19" s="152">
        <v>0.0</v>
      </c>
      <c r="AA19" s="152">
        <v>0.0</v>
      </c>
      <c r="AB19" s="152">
        <v>0.0</v>
      </c>
      <c r="AC19" s="152">
        <v>0.0</v>
      </c>
      <c r="AD19" s="152">
        <v>0.0</v>
      </c>
      <c r="AE19" s="152">
        <v>0.0</v>
      </c>
      <c r="AF19" s="152">
        <v>0.0</v>
      </c>
      <c r="AG19" s="836">
        <f t="shared" si="12"/>
        <v>0</v>
      </c>
    </row>
    <row r="20">
      <c r="A20" s="296" t="s">
        <v>1193</v>
      </c>
      <c r="B20" s="297">
        <f t="shared" ref="B20:AF20" si="13">SUM(B16:B19)</f>
        <v>403.310772</v>
      </c>
      <c r="C20" s="297">
        <f t="shared" si="13"/>
        <v>222.883386</v>
      </c>
      <c r="D20" s="297">
        <f t="shared" si="13"/>
        <v>0</v>
      </c>
      <c r="E20" s="297">
        <f t="shared" si="13"/>
        <v>0</v>
      </c>
      <c r="F20" s="297">
        <f t="shared" si="13"/>
        <v>0</v>
      </c>
      <c r="G20" s="297">
        <f t="shared" si="13"/>
        <v>222.883386</v>
      </c>
      <c r="H20" s="297">
        <f t="shared" si="13"/>
        <v>0</v>
      </c>
      <c r="I20" s="297">
        <f t="shared" si="13"/>
        <v>445.766772</v>
      </c>
      <c r="J20" s="297">
        <f t="shared" si="13"/>
        <v>0</v>
      </c>
      <c r="K20" s="297">
        <f t="shared" si="13"/>
        <v>1071.96093</v>
      </c>
      <c r="L20" s="297">
        <f t="shared" si="13"/>
        <v>222.883386</v>
      </c>
      <c r="M20" s="297">
        <f t="shared" si="13"/>
        <v>222.883386</v>
      </c>
      <c r="N20" s="297">
        <f t="shared" si="13"/>
        <v>0</v>
      </c>
      <c r="O20" s="297">
        <f t="shared" si="13"/>
        <v>0</v>
      </c>
      <c r="P20" s="297">
        <f t="shared" si="13"/>
        <v>0</v>
      </c>
      <c r="Q20" s="297">
        <f t="shared" si="13"/>
        <v>0</v>
      </c>
      <c r="R20" s="297">
        <f t="shared" si="13"/>
        <v>0</v>
      </c>
      <c r="S20" s="297">
        <f t="shared" si="13"/>
        <v>0</v>
      </c>
      <c r="T20" s="297">
        <f t="shared" si="13"/>
        <v>0</v>
      </c>
      <c r="U20" s="297">
        <f t="shared" si="13"/>
        <v>0</v>
      </c>
      <c r="V20" s="297">
        <f t="shared" si="13"/>
        <v>0</v>
      </c>
      <c r="W20" s="297">
        <f t="shared" si="13"/>
        <v>0</v>
      </c>
      <c r="X20" s="297">
        <f t="shared" si="13"/>
        <v>0</v>
      </c>
      <c r="Y20" s="297">
        <f t="shared" si="13"/>
        <v>0</v>
      </c>
      <c r="Z20" s="297">
        <f t="shared" si="13"/>
        <v>0</v>
      </c>
      <c r="AA20" s="297">
        <f t="shared" si="13"/>
        <v>0</v>
      </c>
      <c r="AB20" s="297">
        <f t="shared" si="13"/>
        <v>0</v>
      </c>
      <c r="AC20" s="297">
        <f t="shared" si="13"/>
        <v>318.409386</v>
      </c>
      <c r="AD20" s="297">
        <f t="shared" si="13"/>
        <v>0</v>
      </c>
      <c r="AE20" s="297" t="str">
        <f t="shared" si="13"/>
        <v>#REF!</v>
      </c>
      <c r="AF20" s="297" t="str">
        <f t="shared" si="13"/>
        <v>#REF!</v>
      </c>
      <c r="AG20" s="836" t="str">
        <f t="shared" si="12"/>
        <v>#REF!</v>
      </c>
    </row>
    <row r="21">
      <c r="A21" s="100"/>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34"/>
    </row>
    <row r="22">
      <c r="A22" s="141" t="s">
        <v>631</v>
      </c>
      <c r="B22" s="159"/>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30"/>
    </row>
    <row r="23">
      <c r="A23" s="157" t="s">
        <v>1194</v>
      </c>
      <c r="B23" s="159">
        <f t="shared" ref="B23:AF23" si="14">B75-B40</f>
        <v>0</v>
      </c>
      <c r="C23" s="159">
        <f t="shared" si="14"/>
        <v>0</v>
      </c>
      <c r="D23" s="159">
        <f t="shared" si="14"/>
        <v>0</v>
      </c>
      <c r="E23" s="159">
        <f t="shared" si="14"/>
        <v>0</v>
      </c>
      <c r="F23" s="159">
        <f t="shared" si="14"/>
        <v>0</v>
      </c>
      <c r="G23" s="159">
        <f t="shared" si="14"/>
        <v>0</v>
      </c>
      <c r="H23" s="159">
        <f t="shared" si="14"/>
        <v>1</v>
      </c>
      <c r="I23" s="160">
        <f t="shared" si="14"/>
        <v>1</v>
      </c>
      <c r="J23" s="160">
        <f t="shared" si="14"/>
        <v>0</v>
      </c>
      <c r="K23" s="160">
        <f t="shared" si="14"/>
        <v>1</v>
      </c>
      <c r="L23" s="160">
        <f t="shared" si="14"/>
        <v>0</v>
      </c>
      <c r="M23" s="160">
        <f t="shared" si="14"/>
        <v>2</v>
      </c>
      <c r="N23" s="160">
        <f t="shared" si="14"/>
        <v>3</v>
      </c>
      <c r="O23" s="143">
        <f t="shared" si="14"/>
        <v>0</v>
      </c>
      <c r="P23" s="143">
        <f t="shared" si="14"/>
        <v>0</v>
      </c>
      <c r="Q23" s="143">
        <f t="shared" si="14"/>
        <v>0</v>
      </c>
      <c r="R23" s="160">
        <f t="shared" si="14"/>
        <v>0</v>
      </c>
      <c r="S23" s="160">
        <f t="shared" si="14"/>
        <v>0</v>
      </c>
      <c r="T23" s="160">
        <f t="shared" si="14"/>
        <v>0</v>
      </c>
      <c r="U23" s="160">
        <f t="shared" si="14"/>
        <v>0</v>
      </c>
      <c r="V23" s="160">
        <f t="shared" si="14"/>
        <v>0</v>
      </c>
      <c r="W23" s="160">
        <f t="shared" si="14"/>
        <v>0</v>
      </c>
      <c r="X23" s="160">
        <f t="shared" si="14"/>
        <v>0</v>
      </c>
      <c r="Y23" s="160">
        <f t="shared" si="14"/>
        <v>0</v>
      </c>
      <c r="Z23" s="143">
        <f t="shared" si="14"/>
        <v>0</v>
      </c>
      <c r="AA23" s="160">
        <f t="shared" si="14"/>
        <v>0</v>
      </c>
      <c r="AB23" s="160">
        <f t="shared" si="14"/>
        <v>0</v>
      </c>
      <c r="AC23" s="143">
        <f t="shared" si="14"/>
        <v>0</v>
      </c>
      <c r="AD23" s="143">
        <f t="shared" si="14"/>
        <v>0</v>
      </c>
      <c r="AE23" s="143">
        <f t="shared" si="14"/>
        <v>0</v>
      </c>
      <c r="AF23" s="143">
        <f t="shared" si="14"/>
        <v>0</v>
      </c>
      <c r="AG23" s="830">
        <f t="shared" ref="AG23:AG27" si="16">sum(B23:AF23)</f>
        <v>8</v>
      </c>
    </row>
    <row r="24">
      <c r="A24" s="157" t="s">
        <v>1195</v>
      </c>
      <c r="B24" s="159">
        <f t="shared" ref="B24:AF24" si="15">B76-B41</f>
        <v>0</v>
      </c>
      <c r="C24" s="159">
        <f t="shared" si="15"/>
        <v>0</v>
      </c>
      <c r="D24" s="159">
        <f t="shared" si="15"/>
        <v>0</v>
      </c>
      <c r="E24" s="159">
        <f t="shared" si="15"/>
        <v>0</v>
      </c>
      <c r="F24" s="159">
        <f t="shared" si="15"/>
        <v>0</v>
      </c>
      <c r="G24" s="159">
        <f t="shared" si="15"/>
        <v>0</v>
      </c>
      <c r="H24" s="159">
        <f t="shared" si="15"/>
        <v>1</v>
      </c>
      <c r="I24" s="160">
        <f t="shared" si="15"/>
        <v>1</v>
      </c>
      <c r="J24" s="160">
        <f t="shared" si="15"/>
        <v>1</v>
      </c>
      <c r="K24" s="160">
        <f t="shared" si="15"/>
        <v>0</v>
      </c>
      <c r="L24" s="160">
        <f t="shared" si="15"/>
        <v>0</v>
      </c>
      <c r="M24" s="160">
        <f t="shared" si="15"/>
        <v>1</v>
      </c>
      <c r="N24" s="160">
        <f t="shared" si="15"/>
        <v>0</v>
      </c>
      <c r="O24" s="143">
        <f t="shared" si="15"/>
        <v>0</v>
      </c>
      <c r="P24" s="143">
        <f t="shared" si="15"/>
        <v>0</v>
      </c>
      <c r="Q24" s="143">
        <f t="shared" si="15"/>
        <v>0</v>
      </c>
      <c r="R24" s="160">
        <f t="shared" si="15"/>
        <v>0</v>
      </c>
      <c r="S24" s="160">
        <f t="shared" si="15"/>
        <v>0</v>
      </c>
      <c r="T24" s="160">
        <f t="shared" si="15"/>
        <v>0</v>
      </c>
      <c r="U24" s="160">
        <f t="shared" si="15"/>
        <v>0</v>
      </c>
      <c r="V24" s="160">
        <f t="shared" si="15"/>
        <v>0</v>
      </c>
      <c r="W24" s="160">
        <f t="shared" si="15"/>
        <v>0</v>
      </c>
      <c r="X24" s="160">
        <f t="shared" si="15"/>
        <v>0</v>
      </c>
      <c r="Y24" s="160">
        <f t="shared" si="15"/>
        <v>0</v>
      </c>
      <c r="Z24" s="143">
        <f t="shared" si="15"/>
        <v>0</v>
      </c>
      <c r="AA24" s="160">
        <f t="shared" si="15"/>
        <v>0</v>
      </c>
      <c r="AB24" s="160">
        <f t="shared" si="15"/>
        <v>0</v>
      </c>
      <c r="AC24" s="143">
        <f t="shared" si="15"/>
        <v>0</v>
      </c>
      <c r="AD24" s="143">
        <f t="shared" si="15"/>
        <v>0</v>
      </c>
      <c r="AE24" s="143">
        <f t="shared" si="15"/>
        <v>0</v>
      </c>
      <c r="AF24" s="143">
        <f t="shared" si="15"/>
        <v>0</v>
      </c>
      <c r="AG24" s="830">
        <f t="shared" si="16"/>
        <v>4</v>
      </c>
    </row>
    <row r="25">
      <c r="A25" s="157" t="s">
        <v>1196</v>
      </c>
      <c r="B25" s="159">
        <f t="shared" ref="B25:AF25" si="17">B77-B42</f>
        <v>3</v>
      </c>
      <c r="C25" s="159">
        <f t="shared" si="17"/>
        <v>0</v>
      </c>
      <c r="D25" s="159">
        <f t="shared" si="17"/>
        <v>2</v>
      </c>
      <c r="E25" s="159">
        <f t="shared" si="17"/>
        <v>1</v>
      </c>
      <c r="F25" s="159">
        <f t="shared" si="17"/>
        <v>1</v>
      </c>
      <c r="G25" s="159">
        <f t="shared" si="17"/>
        <v>0</v>
      </c>
      <c r="H25" s="159">
        <f t="shared" si="17"/>
        <v>0</v>
      </c>
      <c r="I25" s="160">
        <f t="shared" si="17"/>
        <v>2</v>
      </c>
      <c r="J25" s="160">
        <f t="shared" si="17"/>
        <v>2</v>
      </c>
      <c r="K25" s="160">
        <f t="shared" si="17"/>
        <v>2</v>
      </c>
      <c r="L25" s="160">
        <f t="shared" si="17"/>
        <v>4</v>
      </c>
      <c r="M25" s="160">
        <f t="shared" si="17"/>
        <v>64</v>
      </c>
      <c r="N25" s="160">
        <f t="shared" si="17"/>
        <v>14</v>
      </c>
      <c r="O25" s="143">
        <f t="shared" si="17"/>
        <v>0</v>
      </c>
      <c r="P25" s="143">
        <f t="shared" si="17"/>
        <v>0</v>
      </c>
      <c r="Q25" s="143">
        <f t="shared" si="17"/>
        <v>0</v>
      </c>
      <c r="R25" s="160">
        <f t="shared" si="17"/>
        <v>1</v>
      </c>
      <c r="S25" s="160">
        <f t="shared" si="17"/>
        <v>2</v>
      </c>
      <c r="T25" s="160">
        <f t="shared" si="17"/>
        <v>0</v>
      </c>
      <c r="U25" s="160">
        <f t="shared" si="17"/>
        <v>0</v>
      </c>
      <c r="V25" s="160">
        <f t="shared" si="17"/>
        <v>0</v>
      </c>
      <c r="W25" s="160">
        <f t="shared" si="17"/>
        <v>0</v>
      </c>
      <c r="X25" s="160">
        <f t="shared" si="17"/>
        <v>0</v>
      </c>
      <c r="Y25" s="160">
        <f t="shared" si="17"/>
        <v>0</v>
      </c>
      <c r="Z25" s="160">
        <f t="shared" si="17"/>
        <v>0</v>
      </c>
      <c r="AA25" s="160">
        <f t="shared" si="17"/>
        <v>0</v>
      </c>
      <c r="AB25" s="160">
        <f t="shared" si="17"/>
        <v>0</v>
      </c>
      <c r="AC25" s="160">
        <f t="shared" si="17"/>
        <v>0</v>
      </c>
      <c r="AD25" s="160">
        <f t="shared" si="17"/>
        <v>0</v>
      </c>
      <c r="AE25" s="160">
        <f t="shared" si="17"/>
        <v>0</v>
      </c>
      <c r="AF25" s="160">
        <f t="shared" si="17"/>
        <v>0</v>
      </c>
      <c r="AG25" s="830">
        <f t="shared" si="16"/>
        <v>98</v>
      </c>
    </row>
    <row r="26">
      <c r="A26" s="157" t="s">
        <v>1197</v>
      </c>
      <c r="B26" s="159">
        <f t="shared" ref="B26:AF26" si="18">B78-B43</f>
        <v>3</v>
      </c>
      <c r="C26" s="159">
        <f t="shared" si="18"/>
        <v>1</v>
      </c>
      <c r="D26" s="159">
        <f t="shared" si="18"/>
        <v>0</v>
      </c>
      <c r="E26" s="159">
        <f t="shared" si="18"/>
        <v>0</v>
      </c>
      <c r="F26" s="159">
        <f t="shared" si="18"/>
        <v>0</v>
      </c>
      <c r="G26" s="159">
        <f t="shared" si="18"/>
        <v>0</v>
      </c>
      <c r="H26" s="159">
        <f t="shared" si="18"/>
        <v>0</v>
      </c>
      <c r="I26" s="160">
        <f t="shared" si="18"/>
        <v>6</v>
      </c>
      <c r="J26" s="160">
        <f t="shared" si="18"/>
        <v>0</v>
      </c>
      <c r="K26" s="160">
        <f t="shared" si="18"/>
        <v>0</v>
      </c>
      <c r="L26" s="160">
        <f t="shared" si="18"/>
        <v>0</v>
      </c>
      <c r="M26" s="160">
        <f t="shared" si="18"/>
        <v>20</v>
      </c>
      <c r="N26" s="160">
        <f t="shared" si="18"/>
        <v>9</v>
      </c>
      <c r="O26" s="143">
        <f t="shared" si="18"/>
        <v>0</v>
      </c>
      <c r="P26" s="143">
        <f t="shared" si="18"/>
        <v>0</v>
      </c>
      <c r="Q26" s="143">
        <f t="shared" si="18"/>
        <v>0</v>
      </c>
      <c r="R26" s="160">
        <f t="shared" si="18"/>
        <v>1</v>
      </c>
      <c r="S26" s="160">
        <f t="shared" si="18"/>
        <v>0</v>
      </c>
      <c r="T26" s="160">
        <f t="shared" si="18"/>
        <v>0</v>
      </c>
      <c r="U26" s="160">
        <f t="shared" si="18"/>
        <v>0</v>
      </c>
      <c r="V26" s="160">
        <f t="shared" si="18"/>
        <v>0</v>
      </c>
      <c r="W26" s="160">
        <f t="shared" si="18"/>
        <v>0</v>
      </c>
      <c r="X26" s="160">
        <f t="shared" si="18"/>
        <v>0</v>
      </c>
      <c r="Y26" s="160">
        <f t="shared" si="18"/>
        <v>0</v>
      </c>
      <c r="Z26" s="160">
        <f t="shared" si="18"/>
        <v>0</v>
      </c>
      <c r="AA26" s="160">
        <f t="shared" si="18"/>
        <v>0</v>
      </c>
      <c r="AB26" s="160">
        <f t="shared" si="18"/>
        <v>0</v>
      </c>
      <c r="AC26" s="160">
        <f t="shared" si="18"/>
        <v>0</v>
      </c>
      <c r="AD26" s="160">
        <f t="shared" si="18"/>
        <v>0</v>
      </c>
      <c r="AE26" s="160">
        <f t="shared" si="18"/>
        <v>0</v>
      </c>
      <c r="AF26" s="160">
        <f t="shared" si="18"/>
        <v>0</v>
      </c>
      <c r="AG26" s="830">
        <f t="shared" si="16"/>
        <v>40</v>
      </c>
    </row>
    <row r="27">
      <c r="A27" s="837" t="s">
        <v>504</v>
      </c>
      <c r="B27" s="299">
        <f t="shared" ref="B27:AF27" si="19">SUM(B23:B26)</f>
        <v>6</v>
      </c>
      <c r="C27" s="299">
        <f t="shared" si="19"/>
        <v>1</v>
      </c>
      <c r="D27" s="299">
        <f t="shared" si="19"/>
        <v>2</v>
      </c>
      <c r="E27" s="299">
        <f t="shared" si="19"/>
        <v>1</v>
      </c>
      <c r="F27" s="299">
        <f t="shared" si="19"/>
        <v>1</v>
      </c>
      <c r="G27" s="299">
        <f t="shared" si="19"/>
        <v>0</v>
      </c>
      <c r="H27" s="299">
        <f t="shared" si="19"/>
        <v>2</v>
      </c>
      <c r="I27" s="299">
        <f t="shared" si="19"/>
        <v>10</v>
      </c>
      <c r="J27" s="299">
        <f t="shared" si="19"/>
        <v>3</v>
      </c>
      <c r="K27" s="299">
        <f t="shared" si="19"/>
        <v>3</v>
      </c>
      <c r="L27" s="299">
        <f t="shared" si="19"/>
        <v>4</v>
      </c>
      <c r="M27" s="299">
        <f t="shared" si="19"/>
        <v>87</v>
      </c>
      <c r="N27" s="299">
        <f t="shared" si="19"/>
        <v>26</v>
      </c>
      <c r="O27" s="299">
        <f t="shared" si="19"/>
        <v>0</v>
      </c>
      <c r="P27" s="299">
        <f t="shared" si="19"/>
        <v>0</v>
      </c>
      <c r="Q27" s="299">
        <f t="shared" si="19"/>
        <v>0</v>
      </c>
      <c r="R27" s="299">
        <f t="shared" si="19"/>
        <v>2</v>
      </c>
      <c r="S27" s="299">
        <f t="shared" si="19"/>
        <v>2</v>
      </c>
      <c r="T27" s="299">
        <f t="shared" si="19"/>
        <v>0</v>
      </c>
      <c r="U27" s="299">
        <f t="shared" si="19"/>
        <v>0</v>
      </c>
      <c r="V27" s="299">
        <f t="shared" si="19"/>
        <v>0</v>
      </c>
      <c r="W27" s="299">
        <f t="shared" si="19"/>
        <v>0</v>
      </c>
      <c r="X27" s="299">
        <f t="shared" si="19"/>
        <v>0</v>
      </c>
      <c r="Y27" s="299">
        <f t="shared" si="19"/>
        <v>0</v>
      </c>
      <c r="Z27" s="299">
        <f t="shared" si="19"/>
        <v>0</v>
      </c>
      <c r="AA27" s="299">
        <f t="shared" si="19"/>
        <v>0</v>
      </c>
      <c r="AB27" s="299">
        <f t="shared" si="19"/>
        <v>0</v>
      </c>
      <c r="AC27" s="299">
        <f t="shared" si="19"/>
        <v>0</v>
      </c>
      <c r="AD27" s="299">
        <f t="shared" si="19"/>
        <v>0</v>
      </c>
      <c r="AE27" s="299">
        <f t="shared" si="19"/>
        <v>0</v>
      </c>
      <c r="AF27" s="299">
        <f t="shared" si="19"/>
        <v>0</v>
      </c>
      <c r="AG27" s="830">
        <f t="shared" si="16"/>
        <v>150</v>
      </c>
    </row>
    <row r="28">
      <c r="A28" s="100"/>
      <c r="B28" s="167"/>
      <c r="C28" s="167"/>
      <c r="D28" s="167"/>
      <c r="E28" s="167"/>
      <c r="F28" s="167"/>
      <c r="G28" s="167"/>
      <c r="H28" s="167"/>
      <c r="I28" s="167"/>
      <c r="J28" s="85"/>
      <c r="K28" s="85"/>
      <c r="L28" s="85"/>
      <c r="M28" s="85"/>
      <c r="N28" s="85"/>
      <c r="O28" s="85"/>
      <c r="P28" s="85"/>
      <c r="Q28" s="85"/>
      <c r="R28" s="85"/>
      <c r="S28" s="85"/>
      <c r="T28" s="85"/>
      <c r="U28" s="85"/>
      <c r="V28" s="85"/>
      <c r="W28" s="85"/>
      <c r="X28" s="85"/>
      <c r="Y28" s="85"/>
      <c r="Z28" s="85"/>
      <c r="AA28" s="85"/>
      <c r="AB28" s="85"/>
      <c r="AC28" s="85"/>
      <c r="AD28" s="85"/>
      <c r="AE28" s="85"/>
      <c r="AF28" s="85"/>
      <c r="AG28" s="838"/>
    </row>
    <row r="29">
      <c r="A29" s="157" t="s">
        <v>131</v>
      </c>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830">
        <f t="shared" ref="AG29:AG37" si="20">sum(B29:AF29)</f>
        <v>0</v>
      </c>
    </row>
    <row r="30">
      <c r="A30" s="157" t="s">
        <v>132</v>
      </c>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830">
        <f t="shared" si="20"/>
        <v>0</v>
      </c>
    </row>
    <row r="31">
      <c r="A31" s="157" t="s">
        <v>1198</v>
      </c>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830">
        <f t="shared" si="20"/>
        <v>0</v>
      </c>
    </row>
    <row r="32">
      <c r="A32" s="157" t="s">
        <v>1199</v>
      </c>
      <c r="B32" s="98"/>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830">
        <f t="shared" si="20"/>
        <v>0</v>
      </c>
    </row>
    <row r="33">
      <c r="A33" s="157" t="s">
        <v>1200</v>
      </c>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830">
        <f t="shared" si="20"/>
        <v>0</v>
      </c>
    </row>
    <row r="34">
      <c r="A34" s="157" t="s">
        <v>1201</v>
      </c>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830">
        <f t="shared" si="20"/>
        <v>0</v>
      </c>
    </row>
    <row r="35">
      <c r="A35" s="157" t="s">
        <v>1202</v>
      </c>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830">
        <f t="shared" si="20"/>
        <v>0</v>
      </c>
    </row>
    <row r="36">
      <c r="A36" s="157" t="s">
        <v>1203</v>
      </c>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830">
        <f t="shared" si="20"/>
        <v>0</v>
      </c>
    </row>
    <row r="37">
      <c r="A37" s="837" t="s">
        <v>115</v>
      </c>
      <c r="B37" s="299">
        <f t="shared" ref="B37:AF37" si="21">SUM(B29:B36)</f>
        <v>0</v>
      </c>
      <c r="C37" s="299">
        <f t="shared" si="21"/>
        <v>0</v>
      </c>
      <c r="D37" s="299">
        <f t="shared" si="21"/>
        <v>0</v>
      </c>
      <c r="E37" s="299">
        <f t="shared" si="21"/>
        <v>0</v>
      </c>
      <c r="F37" s="299">
        <f t="shared" si="21"/>
        <v>0</v>
      </c>
      <c r="G37" s="299">
        <f t="shared" si="21"/>
        <v>0</v>
      </c>
      <c r="H37" s="299">
        <f t="shared" si="21"/>
        <v>0</v>
      </c>
      <c r="I37" s="299">
        <f t="shared" si="21"/>
        <v>0</v>
      </c>
      <c r="J37" s="299">
        <f t="shared" si="21"/>
        <v>0</v>
      </c>
      <c r="K37" s="299">
        <f t="shared" si="21"/>
        <v>0</v>
      </c>
      <c r="L37" s="299">
        <f t="shared" si="21"/>
        <v>0</v>
      </c>
      <c r="M37" s="299">
        <f t="shared" si="21"/>
        <v>0</v>
      </c>
      <c r="N37" s="299">
        <f t="shared" si="21"/>
        <v>0</v>
      </c>
      <c r="O37" s="299">
        <f t="shared" si="21"/>
        <v>0</v>
      </c>
      <c r="P37" s="299">
        <f t="shared" si="21"/>
        <v>0</v>
      </c>
      <c r="Q37" s="299">
        <f t="shared" si="21"/>
        <v>0</v>
      </c>
      <c r="R37" s="299">
        <f t="shared" si="21"/>
        <v>0</v>
      </c>
      <c r="S37" s="299">
        <f t="shared" si="21"/>
        <v>0</v>
      </c>
      <c r="T37" s="299">
        <f t="shared" si="21"/>
        <v>0</v>
      </c>
      <c r="U37" s="299">
        <f t="shared" si="21"/>
        <v>0</v>
      </c>
      <c r="V37" s="299">
        <f t="shared" si="21"/>
        <v>0</v>
      </c>
      <c r="W37" s="299">
        <f t="shared" si="21"/>
        <v>0</v>
      </c>
      <c r="X37" s="299">
        <f t="shared" si="21"/>
        <v>0</v>
      </c>
      <c r="Y37" s="299">
        <f t="shared" si="21"/>
        <v>0</v>
      </c>
      <c r="Z37" s="299">
        <f t="shared" si="21"/>
        <v>0</v>
      </c>
      <c r="AA37" s="299">
        <f t="shared" si="21"/>
        <v>0</v>
      </c>
      <c r="AB37" s="299">
        <f t="shared" si="21"/>
        <v>0</v>
      </c>
      <c r="AC37" s="299">
        <f t="shared" si="21"/>
        <v>0</v>
      </c>
      <c r="AD37" s="299">
        <f t="shared" si="21"/>
        <v>0</v>
      </c>
      <c r="AE37" s="299">
        <f t="shared" si="21"/>
        <v>0</v>
      </c>
      <c r="AF37" s="299">
        <f t="shared" si="21"/>
        <v>0</v>
      </c>
      <c r="AG37" s="830">
        <f t="shared" si="20"/>
        <v>0</v>
      </c>
    </row>
    <row r="38">
      <c r="A38" s="221"/>
      <c r="B38" s="159"/>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30"/>
    </row>
    <row r="39">
      <c r="A39" s="141" t="s">
        <v>685</v>
      </c>
      <c r="B39" s="159"/>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30"/>
    </row>
    <row r="40">
      <c r="A40" s="157" t="s">
        <v>1204</v>
      </c>
      <c r="B40" s="98"/>
      <c r="C40" s="98"/>
      <c r="D40" s="98"/>
      <c r="E40" s="98"/>
      <c r="F40" s="98"/>
      <c r="G40" s="98"/>
      <c r="H40" s="98"/>
      <c r="I40" s="91"/>
      <c r="J40" s="91"/>
      <c r="K40" s="160">
        <v>1.0</v>
      </c>
      <c r="L40" s="91"/>
      <c r="M40" s="160">
        <v>1.0</v>
      </c>
      <c r="N40" s="91"/>
      <c r="O40" s="817"/>
      <c r="P40" s="817"/>
      <c r="Q40" s="817"/>
      <c r="R40" s="91"/>
      <c r="S40" s="94"/>
      <c r="T40" s="94"/>
      <c r="U40" s="94"/>
      <c r="V40" s="94"/>
      <c r="W40" s="94"/>
      <c r="X40" s="94"/>
      <c r="Y40" s="94"/>
      <c r="Z40" s="818"/>
      <c r="AA40" s="94"/>
      <c r="AB40" s="94"/>
      <c r="AC40" s="818"/>
      <c r="AD40" s="818"/>
      <c r="AE40" s="818"/>
      <c r="AF40" s="818"/>
      <c r="AG40" s="830">
        <f t="shared" ref="AG40:AG44" si="22">sum(B40:AF40)</f>
        <v>2</v>
      </c>
    </row>
    <row r="41">
      <c r="A41" s="157" t="s">
        <v>1205</v>
      </c>
      <c r="B41" s="98"/>
      <c r="C41" s="98"/>
      <c r="D41" s="98"/>
      <c r="E41" s="98"/>
      <c r="F41" s="98"/>
      <c r="G41" s="98"/>
      <c r="H41" s="98"/>
      <c r="I41" s="91"/>
      <c r="J41" s="91"/>
      <c r="K41" s="160">
        <v>0.0</v>
      </c>
      <c r="L41" s="160">
        <v>1.0</v>
      </c>
      <c r="M41" s="160">
        <v>1.0</v>
      </c>
      <c r="N41" s="160">
        <v>2.0</v>
      </c>
      <c r="O41" s="817"/>
      <c r="P41" s="817"/>
      <c r="Q41" s="817"/>
      <c r="R41" s="91"/>
      <c r="S41" s="94"/>
      <c r="T41" s="94"/>
      <c r="U41" s="94"/>
      <c r="V41" s="94"/>
      <c r="W41" s="94"/>
      <c r="X41" s="94"/>
      <c r="Y41" s="94"/>
      <c r="Z41" s="818"/>
      <c r="AA41" s="94"/>
      <c r="AB41" s="94"/>
      <c r="AC41" s="818"/>
      <c r="AD41" s="818"/>
      <c r="AE41" s="818"/>
      <c r="AF41" s="818"/>
      <c r="AG41" s="830">
        <f t="shared" si="22"/>
        <v>4</v>
      </c>
    </row>
    <row r="42">
      <c r="A42" s="157" t="s">
        <v>1206</v>
      </c>
      <c r="B42" s="98"/>
      <c r="C42" s="98"/>
      <c r="D42" s="98"/>
      <c r="E42" s="98"/>
      <c r="F42" s="98"/>
      <c r="G42" s="98"/>
      <c r="H42" s="159">
        <v>3.0</v>
      </c>
      <c r="I42" s="160">
        <v>8.0</v>
      </c>
      <c r="J42" s="91"/>
      <c r="K42" s="91"/>
      <c r="L42" s="91"/>
      <c r="M42" s="160">
        <v>2.0</v>
      </c>
      <c r="N42" s="160">
        <v>1.0</v>
      </c>
      <c r="O42" s="817"/>
      <c r="P42" s="817"/>
      <c r="Q42" s="817"/>
      <c r="R42" s="160">
        <v>1.0</v>
      </c>
      <c r="S42" s="94"/>
      <c r="T42" s="94"/>
      <c r="U42" s="94"/>
      <c r="V42" s="94"/>
      <c r="W42" s="94"/>
      <c r="X42" s="94"/>
      <c r="Y42" s="94"/>
      <c r="Z42" s="819"/>
      <c r="AA42" s="94"/>
      <c r="AB42" s="94"/>
      <c r="AC42" s="94"/>
      <c r="AD42" s="94"/>
      <c r="AE42" s="94"/>
      <c r="AF42" s="94"/>
      <c r="AG42" s="830">
        <f t="shared" si="22"/>
        <v>15</v>
      </c>
    </row>
    <row r="43">
      <c r="A43" s="157" t="s">
        <v>1207</v>
      </c>
      <c r="B43" s="98"/>
      <c r="C43" s="98"/>
      <c r="D43" s="98"/>
      <c r="E43" s="98"/>
      <c r="F43" s="98"/>
      <c r="G43" s="98"/>
      <c r="H43" s="98"/>
      <c r="I43" s="160">
        <v>1.0</v>
      </c>
      <c r="J43" s="91"/>
      <c r="K43" s="91"/>
      <c r="L43" s="91"/>
      <c r="M43" s="160">
        <v>1.0</v>
      </c>
      <c r="N43" s="91"/>
      <c r="O43" s="817"/>
      <c r="P43" s="817"/>
      <c r="Q43" s="817"/>
      <c r="R43" s="91"/>
      <c r="S43" s="94"/>
      <c r="T43" s="94"/>
      <c r="U43" s="94"/>
      <c r="V43" s="94"/>
      <c r="W43" s="94"/>
      <c r="X43" s="94"/>
      <c r="Y43" s="94"/>
      <c r="Z43" s="819"/>
      <c r="AA43" s="94"/>
      <c r="AB43" s="94"/>
      <c r="AC43" s="94"/>
      <c r="AD43" s="94"/>
      <c r="AE43" s="94"/>
      <c r="AF43" s="94"/>
      <c r="AG43" s="830">
        <f t="shared" si="22"/>
        <v>2</v>
      </c>
    </row>
    <row r="44">
      <c r="A44" s="837" t="s">
        <v>504</v>
      </c>
      <c r="B44" s="299">
        <f t="shared" ref="B44:AF44" si="23">SUM(B40:B43)</f>
        <v>0</v>
      </c>
      <c r="C44" s="299">
        <f t="shared" si="23"/>
        <v>0</v>
      </c>
      <c r="D44" s="299">
        <f t="shared" si="23"/>
        <v>0</v>
      </c>
      <c r="E44" s="299">
        <f t="shared" si="23"/>
        <v>0</v>
      </c>
      <c r="F44" s="299">
        <f t="shared" si="23"/>
        <v>0</v>
      </c>
      <c r="G44" s="299">
        <f t="shared" si="23"/>
        <v>0</v>
      </c>
      <c r="H44" s="299">
        <f t="shared" si="23"/>
        <v>3</v>
      </c>
      <c r="I44" s="299">
        <f t="shared" si="23"/>
        <v>9</v>
      </c>
      <c r="J44" s="299">
        <f t="shared" si="23"/>
        <v>0</v>
      </c>
      <c r="K44" s="299">
        <f t="shared" si="23"/>
        <v>1</v>
      </c>
      <c r="L44" s="299">
        <f t="shared" si="23"/>
        <v>1</v>
      </c>
      <c r="M44" s="299">
        <f t="shared" si="23"/>
        <v>5</v>
      </c>
      <c r="N44" s="299">
        <f t="shared" si="23"/>
        <v>3</v>
      </c>
      <c r="O44" s="299">
        <f t="shared" si="23"/>
        <v>0</v>
      </c>
      <c r="P44" s="299">
        <f t="shared" si="23"/>
        <v>0</v>
      </c>
      <c r="Q44" s="299">
        <f t="shared" si="23"/>
        <v>0</v>
      </c>
      <c r="R44" s="299">
        <f t="shared" si="23"/>
        <v>1</v>
      </c>
      <c r="S44" s="299">
        <f t="shared" si="23"/>
        <v>0</v>
      </c>
      <c r="T44" s="299">
        <f t="shared" si="23"/>
        <v>0</v>
      </c>
      <c r="U44" s="299">
        <f t="shared" si="23"/>
        <v>0</v>
      </c>
      <c r="V44" s="299">
        <f t="shared" si="23"/>
        <v>0</v>
      </c>
      <c r="W44" s="299">
        <f t="shared" si="23"/>
        <v>0</v>
      </c>
      <c r="X44" s="299">
        <f t="shared" si="23"/>
        <v>0</v>
      </c>
      <c r="Y44" s="299">
        <f t="shared" si="23"/>
        <v>0</v>
      </c>
      <c r="Z44" s="299">
        <f t="shared" si="23"/>
        <v>0</v>
      </c>
      <c r="AA44" s="299">
        <f t="shared" si="23"/>
        <v>0</v>
      </c>
      <c r="AB44" s="299">
        <f t="shared" si="23"/>
        <v>0</v>
      </c>
      <c r="AC44" s="299">
        <f t="shared" si="23"/>
        <v>0</v>
      </c>
      <c r="AD44" s="299">
        <f t="shared" si="23"/>
        <v>0</v>
      </c>
      <c r="AE44" s="299">
        <f t="shared" si="23"/>
        <v>0</v>
      </c>
      <c r="AF44" s="299">
        <f t="shared" si="23"/>
        <v>0</v>
      </c>
      <c r="AG44" s="830">
        <f t="shared" si="22"/>
        <v>23</v>
      </c>
    </row>
    <row r="45">
      <c r="A45" s="100"/>
      <c r="B45" s="167"/>
      <c r="C45" s="167"/>
      <c r="D45" s="167"/>
      <c r="E45" s="167"/>
      <c r="F45" s="167"/>
      <c r="G45" s="167"/>
      <c r="H45" s="167"/>
      <c r="I45" s="167"/>
      <c r="J45" s="85"/>
      <c r="K45" s="85"/>
      <c r="L45" s="85"/>
      <c r="M45" s="85"/>
      <c r="N45" s="85"/>
      <c r="O45" s="85"/>
      <c r="P45" s="85"/>
      <c r="Q45" s="85"/>
      <c r="R45" s="85"/>
      <c r="S45" s="85"/>
      <c r="T45" s="85"/>
      <c r="U45" s="85"/>
      <c r="V45" s="85"/>
      <c r="W45" s="85"/>
      <c r="X45" s="85"/>
      <c r="Y45" s="85"/>
      <c r="Z45" s="85"/>
      <c r="AA45" s="85"/>
      <c r="AB45" s="85"/>
      <c r="AC45" s="85"/>
      <c r="AD45" s="85"/>
      <c r="AE45" s="85"/>
      <c r="AF45" s="85"/>
      <c r="AG45" s="838"/>
    </row>
    <row r="46">
      <c r="A46" s="157" t="s">
        <v>131</v>
      </c>
      <c r="B46" s="98"/>
      <c r="C46" s="98"/>
      <c r="D46" s="98"/>
      <c r="E46" s="98"/>
      <c r="F46" s="98"/>
      <c r="G46" s="98"/>
      <c r="H46" s="98"/>
      <c r="I46" s="98"/>
      <c r="J46" s="98"/>
      <c r="K46" s="98"/>
      <c r="L46" s="98"/>
      <c r="M46" s="91"/>
      <c r="N46" s="91"/>
      <c r="O46" s="91"/>
      <c r="P46" s="91"/>
      <c r="Q46" s="91"/>
      <c r="R46" s="91"/>
      <c r="S46" s="94"/>
      <c r="T46" s="94"/>
      <c r="U46" s="94"/>
      <c r="V46" s="94"/>
      <c r="W46" s="94"/>
      <c r="X46" s="94"/>
      <c r="Y46" s="94"/>
      <c r="Z46" s="422"/>
      <c r="AA46" s="94"/>
      <c r="AB46" s="94"/>
      <c r="AC46" s="422"/>
      <c r="AD46" s="422"/>
      <c r="AE46" s="422"/>
      <c r="AF46" s="422"/>
      <c r="AG46" s="830">
        <f t="shared" ref="AG46:AG54" si="24">sum(B46:AF46)</f>
        <v>0</v>
      </c>
    </row>
    <row r="47">
      <c r="A47" s="157" t="s">
        <v>132</v>
      </c>
      <c r="B47" s="98"/>
      <c r="C47" s="98"/>
      <c r="D47" s="98"/>
      <c r="E47" s="98"/>
      <c r="F47" s="98"/>
      <c r="G47" s="98"/>
      <c r="H47" s="98"/>
      <c r="I47" s="98"/>
      <c r="J47" s="98"/>
      <c r="K47" s="98"/>
      <c r="L47" s="98"/>
      <c r="M47" s="91"/>
      <c r="N47" s="91"/>
      <c r="O47" s="91"/>
      <c r="P47" s="91"/>
      <c r="Q47" s="91"/>
      <c r="R47" s="91"/>
      <c r="S47" s="94"/>
      <c r="T47" s="94"/>
      <c r="U47" s="94"/>
      <c r="V47" s="94"/>
      <c r="W47" s="94"/>
      <c r="X47" s="94"/>
      <c r="Y47" s="94"/>
      <c r="Z47" s="818"/>
      <c r="AA47" s="820"/>
      <c r="AB47" s="94"/>
      <c r="AC47" s="820"/>
      <c r="AD47" s="820"/>
      <c r="AE47" s="820"/>
      <c r="AF47" s="820"/>
      <c r="AG47" s="830">
        <f t="shared" si="24"/>
        <v>0</v>
      </c>
    </row>
    <row r="48">
      <c r="A48" s="157" t="s">
        <v>1208</v>
      </c>
      <c r="B48" s="98"/>
      <c r="C48" s="98"/>
      <c r="D48" s="98"/>
      <c r="E48" s="98"/>
      <c r="F48" s="98"/>
      <c r="G48" s="98"/>
      <c r="H48" s="98"/>
      <c r="I48" s="98"/>
      <c r="J48" s="98"/>
      <c r="K48" s="98"/>
      <c r="L48" s="98"/>
      <c r="M48" s="98"/>
      <c r="N48" s="98"/>
      <c r="O48" s="98"/>
      <c r="P48" s="98"/>
      <c r="Q48" s="98"/>
      <c r="R48" s="98"/>
      <c r="S48" s="98"/>
      <c r="T48" s="98"/>
      <c r="U48" s="98"/>
      <c r="V48" s="98"/>
      <c r="W48" s="98"/>
      <c r="X48" s="98"/>
      <c r="Y48" s="98"/>
      <c r="Z48" s="421"/>
      <c r="AA48" s="98"/>
      <c r="AB48" s="98"/>
      <c r="AC48" s="421"/>
      <c r="AD48" s="421"/>
      <c r="AE48" s="421"/>
      <c r="AF48" s="421"/>
      <c r="AG48" s="830">
        <f t="shared" si="24"/>
        <v>0</v>
      </c>
    </row>
    <row r="49">
      <c r="A49" s="157" t="s">
        <v>1209</v>
      </c>
      <c r="B49" s="403"/>
      <c r="C49" s="403"/>
      <c r="D49" s="403"/>
      <c r="E49" s="403"/>
      <c r="F49" s="403"/>
      <c r="G49" s="98"/>
      <c r="H49" s="98"/>
      <c r="I49" s="98"/>
      <c r="J49" s="98"/>
      <c r="K49" s="98"/>
      <c r="L49" s="98"/>
      <c r="M49" s="91"/>
      <c r="N49" s="91"/>
      <c r="O49" s="817"/>
      <c r="P49" s="817"/>
      <c r="Q49" s="817"/>
      <c r="R49" s="817"/>
      <c r="S49" s="94"/>
      <c r="T49" s="94"/>
      <c r="U49" s="94"/>
      <c r="V49" s="98"/>
      <c r="W49" s="98"/>
      <c r="X49" s="98"/>
      <c r="Y49" s="98"/>
      <c r="Z49" s="421"/>
      <c r="AA49" s="98"/>
      <c r="AB49" s="98"/>
      <c r="AC49" s="421"/>
      <c r="AD49" s="421"/>
      <c r="AE49" s="421"/>
      <c r="AF49" s="421"/>
      <c r="AG49" s="830">
        <f t="shared" si="24"/>
        <v>0</v>
      </c>
    </row>
    <row r="50">
      <c r="A50" s="157" t="s">
        <v>1210</v>
      </c>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4"/>
      <c r="AB50" s="98"/>
      <c r="AC50" s="421"/>
      <c r="AD50" s="421"/>
      <c r="AE50" s="421"/>
      <c r="AF50" s="421"/>
      <c r="AG50" s="830">
        <f t="shared" si="24"/>
        <v>0</v>
      </c>
    </row>
    <row r="51">
      <c r="A51" s="157" t="s">
        <v>1211</v>
      </c>
      <c r="B51" s="403"/>
      <c r="C51" s="403"/>
      <c r="D51" s="403"/>
      <c r="E51" s="403"/>
      <c r="F51" s="403"/>
      <c r="G51" s="98"/>
      <c r="H51" s="98"/>
      <c r="I51" s="98"/>
      <c r="J51" s="98"/>
      <c r="K51" s="98"/>
      <c r="L51" s="98"/>
      <c r="M51" s="91"/>
      <c r="N51" s="91"/>
      <c r="O51" s="817"/>
      <c r="P51" s="817"/>
      <c r="Q51" s="817"/>
      <c r="R51" s="817"/>
      <c r="S51" s="94"/>
      <c r="T51" s="94"/>
      <c r="U51" s="94"/>
      <c r="V51" s="98"/>
      <c r="W51" s="98"/>
      <c r="X51" s="98"/>
      <c r="Y51" s="98"/>
      <c r="Z51" s="98"/>
      <c r="AA51" s="94"/>
      <c r="AB51" s="98"/>
      <c r="AC51" s="421"/>
      <c r="AD51" s="421"/>
      <c r="AE51" s="421"/>
      <c r="AF51" s="421"/>
      <c r="AG51" s="830">
        <f t="shared" si="24"/>
        <v>0</v>
      </c>
    </row>
    <row r="52">
      <c r="A52" s="157" t="s">
        <v>1212</v>
      </c>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4"/>
      <c r="AB52" s="98"/>
      <c r="AC52" s="421"/>
      <c r="AD52" s="421"/>
      <c r="AE52" s="421"/>
      <c r="AF52" s="421"/>
      <c r="AG52" s="830">
        <f t="shared" si="24"/>
        <v>0</v>
      </c>
    </row>
    <row r="53">
      <c r="A53" s="157" t="s">
        <v>1213</v>
      </c>
      <c r="B53" s="98"/>
      <c r="C53" s="98"/>
      <c r="D53" s="98"/>
      <c r="E53" s="98"/>
      <c r="F53" s="98"/>
      <c r="G53" s="98"/>
      <c r="H53" s="98"/>
      <c r="I53" s="98"/>
      <c r="J53" s="98"/>
      <c r="K53" s="98"/>
      <c r="L53" s="98"/>
      <c r="M53" s="98"/>
      <c r="N53" s="98"/>
      <c r="O53" s="98"/>
      <c r="P53" s="98"/>
      <c r="Q53" s="98"/>
      <c r="R53" s="98"/>
      <c r="S53" s="94"/>
      <c r="T53" s="94"/>
      <c r="U53" s="94"/>
      <c r="V53" s="98"/>
      <c r="W53" s="98"/>
      <c r="X53" s="98"/>
      <c r="Y53" s="98"/>
      <c r="Z53" s="98"/>
      <c r="AA53" s="94"/>
      <c r="AB53" s="98"/>
      <c r="AC53" s="421"/>
      <c r="AD53" s="421"/>
      <c r="AE53" s="421"/>
      <c r="AF53" s="421"/>
      <c r="AG53" s="830">
        <f t="shared" si="24"/>
        <v>0</v>
      </c>
    </row>
    <row r="54">
      <c r="A54" s="837" t="s">
        <v>115</v>
      </c>
      <c r="B54" s="299">
        <f t="shared" ref="B54:AF54" si="25">SUM(B46:B53)</f>
        <v>0</v>
      </c>
      <c r="C54" s="299">
        <f t="shared" si="25"/>
        <v>0</v>
      </c>
      <c r="D54" s="299">
        <f t="shared" si="25"/>
        <v>0</v>
      </c>
      <c r="E54" s="299">
        <f t="shared" si="25"/>
        <v>0</v>
      </c>
      <c r="F54" s="299">
        <f t="shared" si="25"/>
        <v>0</v>
      </c>
      <c r="G54" s="299">
        <f t="shared" si="25"/>
        <v>0</v>
      </c>
      <c r="H54" s="299">
        <f t="shared" si="25"/>
        <v>0</v>
      </c>
      <c r="I54" s="299">
        <f t="shared" si="25"/>
        <v>0</v>
      </c>
      <c r="J54" s="299">
        <f t="shared" si="25"/>
        <v>0</v>
      </c>
      <c r="K54" s="299">
        <f t="shared" si="25"/>
        <v>0</v>
      </c>
      <c r="L54" s="299">
        <f t="shared" si="25"/>
        <v>0</v>
      </c>
      <c r="M54" s="299">
        <f t="shared" si="25"/>
        <v>0</v>
      </c>
      <c r="N54" s="299">
        <f t="shared" si="25"/>
        <v>0</v>
      </c>
      <c r="O54" s="299">
        <f t="shared" si="25"/>
        <v>0</v>
      </c>
      <c r="P54" s="299">
        <f t="shared" si="25"/>
        <v>0</v>
      </c>
      <c r="Q54" s="299">
        <f t="shared" si="25"/>
        <v>0</v>
      </c>
      <c r="R54" s="299">
        <f t="shared" si="25"/>
        <v>0</v>
      </c>
      <c r="S54" s="299">
        <f t="shared" si="25"/>
        <v>0</v>
      </c>
      <c r="T54" s="299">
        <f t="shared" si="25"/>
        <v>0</v>
      </c>
      <c r="U54" s="299">
        <f t="shared" si="25"/>
        <v>0</v>
      </c>
      <c r="V54" s="299">
        <f t="shared" si="25"/>
        <v>0</v>
      </c>
      <c r="W54" s="299">
        <f t="shared" si="25"/>
        <v>0</v>
      </c>
      <c r="X54" s="299">
        <f t="shared" si="25"/>
        <v>0</v>
      </c>
      <c r="Y54" s="299">
        <f t="shared" si="25"/>
        <v>0</v>
      </c>
      <c r="Z54" s="299">
        <f t="shared" si="25"/>
        <v>0</v>
      </c>
      <c r="AA54" s="299">
        <f t="shared" si="25"/>
        <v>0</v>
      </c>
      <c r="AB54" s="299">
        <f t="shared" si="25"/>
        <v>0</v>
      </c>
      <c r="AC54" s="299">
        <f t="shared" si="25"/>
        <v>0</v>
      </c>
      <c r="AD54" s="299">
        <f t="shared" si="25"/>
        <v>0</v>
      </c>
      <c r="AE54" s="299">
        <f t="shared" si="25"/>
        <v>0</v>
      </c>
      <c r="AF54" s="299">
        <f t="shared" si="25"/>
        <v>0</v>
      </c>
      <c r="AG54" s="830">
        <f t="shared" si="24"/>
        <v>0</v>
      </c>
    </row>
    <row r="55">
      <c r="A55" s="221"/>
      <c r="B55" s="159"/>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30"/>
    </row>
    <row r="56">
      <c r="A56" s="141" t="s">
        <v>1214</v>
      </c>
      <c r="B56" s="159"/>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30"/>
    </row>
    <row r="57">
      <c r="A57" s="157" t="s">
        <v>1215</v>
      </c>
      <c r="B57" s="403"/>
      <c r="C57" s="98"/>
      <c r="D57" s="98"/>
      <c r="E57" s="98"/>
      <c r="F57" s="403"/>
      <c r="G57" s="98"/>
      <c r="H57" s="98"/>
      <c r="I57" s="91"/>
      <c r="J57" s="91"/>
      <c r="K57" s="91"/>
      <c r="L57" s="91"/>
      <c r="M57" s="91"/>
      <c r="N57" s="91"/>
      <c r="O57" s="817"/>
      <c r="P57" s="91"/>
      <c r="Q57" s="91"/>
      <c r="R57" s="91"/>
      <c r="S57" s="94"/>
      <c r="T57" s="94"/>
      <c r="U57" s="94"/>
      <c r="V57" s="94"/>
      <c r="W57" s="94"/>
      <c r="X57" s="94"/>
      <c r="Y57" s="94"/>
      <c r="Z57" s="818"/>
      <c r="AA57" s="94"/>
      <c r="AB57" s="94"/>
      <c r="AC57" s="818"/>
      <c r="AD57" s="818"/>
      <c r="AE57" s="818"/>
      <c r="AF57" s="818"/>
      <c r="AG57" s="839">
        <f t="shared" ref="AG57:AG61" si="26">sum(B57:AF57)</f>
        <v>0</v>
      </c>
    </row>
    <row r="58">
      <c r="A58" s="157" t="s">
        <v>1216</v>
      </c>
      <c r="B58" s="403"/>
      <c r="C58" s="98"/>
      <c r="D58" s="98"/>
      <c r="E58" s="98"/>
      <c r="F58" s="403"/>
      <c r="G58" s="98"/>
      <c r="H58" s="98"/>
      <c r="I58" s="91"/>
      <c r="J58" s="91"/>
      <c r="K58" s="91"/>
      <c r="L58" s="91"/>
      <c r="M58" s="91"/>
      <c r="N58" s="91"/>
      <c r="O58" s="817"/>
      <c r="P58" s="91"/>
      <c r="Q58" s="91"/>
      <c r="R58" s="91"/>
      <c r="S58" s="94"/>
      <c r="T58" s="94"/>
      <c r="U58" s="94"/>
      <c r="V58" s="94"/>
      <c r="W58" s="94"/>
      <c r="X58" s="94"/>
      <c r="Y58" s="94"/>
      <c r="Z58" s="818"/>
      <c r="AA58" s="94"/>
      <c r="AB58" s="94"/>
      <c r="AC58" s="818"/>
      <c r="AD58" s="818"/>
      <c r="AE58" s="818"/>
      <c r="AF58" s="818"/>
      <c r="AG58" s="839">
        <f t="shared" si="26"/>
        <v>0</v>
      </c>
    </row>
    <row r="59">
      <c r="A59" s="157" t="s">
        <v>1217</v>
      </c>
      <c r="B59" s="159">
        <f>Summary!B67</f>
        <v>18</v>
      </c>
      <c r="C59" s="159">
        <f>Summary!C67</f>
        <v>22</v>
      </c>
      <c r="D59" s="159">
        <f>Summary!D67</f>
        <v>0</v>
      </c>
      <c r="E59" s="159">
        <f>Summary!E67</f>
        <v>3</v>
      </c>
      <c r="F59" s="159">
        <f>Summary!F67</f>
        <v>21</v>
      </c>
      <c r="G59" s="159">
        <f>Summary!G67</f>
        <v>14</v>
      </c>
      <c r="H59" s="159">
        <f>Summary!H67</f>
        <v>11</v>
      </c>
      <c r="I59" s="159">
        <f>Summary!I67</f>
        <v>11</v>
      </c>
      <c r="J59" s="159">
        <f>Summary!J67</f>
        <v>9</v>
      </c>
      <c r="K59" s="159">
        <f>Summary!K67</f>
        <v>0</v>
      </c>
      <c r="L59" s="159">
        <f>Summary!L67</f>
        <v>6</v>
      </c>
      <c r="M59" s="159">
        <f>Summary!M67</f>
        <v>18</v>
      </c>
      <c r="N59" s="159">
        <f>Summary!N67</f>
        <v>10</v>
      </c>
      <c r="O59" s="159">
        <f>Summary!O67</f>
        <v>4</v>
      </c>
      <c r="P59" s="159">
        <f>Summary!P67</f>
        <v>7</v>
      </c>
      <c r="Q59" s="159">
        <f>Summary!Q67</f>
        <v>4</v>
      </c>
      <c r="R59" s="159">
        <f>Summary!R67</f>
        <v>0</v>
      </c>
      <c r="S59" s="159">
        <f>Summary!S67</f>
        <v>8</v>
      </c>
      <c r="T59" s="159">
        <f>Summary!T67</f>
        <v>60</v>
      </c>
      <c r="U59" s="159">
        <f>Summary!U67</f>
        <v>56</v>
      </c>
      <c r="V59" s="159">
        <f>Summary!V67</f>
        <v>11</v>
      </c>
      <c r="W59" s="159">
        <f>Summary!W67</f>
        <v>18</v>
      </c>
      <c r="X59" s="159">
        <v>0.0</v>
      </c>
      <c r="Y59" s="159">
        <f>Summary!Y67</f>
        <v>0</v>
      </c>
      <c r="Z59" s="159">
        <f>Summary!Z67</f>
        <v>10</v>
      </c>
      <c r="AA59" s="159">
        <f>Summary!AA67</f>
        <v>27</v>
      </c>
      <c r="AB59" s="159">
        <f>Summary!AB67</f>
        <v>23</v>
      </c>
      <c r="AC59" s="159">
        <f>Summary!AC67</f>
        <v>24</v>
      </c>
      <c r="AD59" s="159">
        <f>Summary!AD67</f>
        <v>38</v>
      </c>
      <c r="AE59" s="159" t="str">
        <f t="shared" ref="AE59:AF59" si="27">#REF!</f>
        <v>#REF!</v>
      </c>
      <c r="AF59" s="159" t="str">
        <f t="shared" si="27"/>
        <v>#REF!</v>
      </c>
      <c r="AG59" s="830" t="str">
        <f t="shared" si="26"/>
        <v>#REF!</v>
      </c>
    </row>
    <row r="60">
      <c r="A60" s="157" t="s">
        <v>1218</v>
      </c>
      <c r="B60" s="403"/>
      <c r="C60" s="98"/>
      <c r="D60" s="98"/>
      <c r="E60" s="98"/>
      <c r="F60" s="98"/>
      <c r="G60" s="98"/>
      <c r="H60" s="98"/>
      <c r="I60" s="91"/>
      <c r="J60" s="91"/>
      <c r="K60" s="91"/>
      <c r="L60" s="91"/>
      <c r="M60" s="91"/>
      <c r="N60" s="91"/>
      <c r="O60" s="817"/>
      <c r="P60" s="91"/>
      <c r="Q60" s="91"/>
      <c r="R60" s="91"/>
      <c r="S60" s="94"/>
      <c r="T60" s="94"/>
      <c r="U60" s="94"/>
      <c r="V60" s="94"/>
      <c r="W60" s="94"/>
      <c r="X60" s="94"/>
      <c r="Y60" s="94"/>
      <c r="Z60" s="819"/>
      <c r="AA60" s="94"/>
      <c r="AB60" s="94"/>
      <c r="AC60" s="94"/>
      <c r="AD60" s="94"/>
      <c r="AE60" s="94"/>
      <c r="AF60" s="94"/>
      <c r="AG60" s="839">
        <f t="shared" si="26"/>
        <v>0</v>
      </c>
    </row>
    <row r="61">
      <c r="A61" s="837" t="s">
        <v>504</v>
      </c>
      <c r="B61" s="299">
        <f t="shared" ref="B61:AF61" si="28">SUM(B57:B60)</f>
        <v>18</v>
      </c>
      <c r="C61" s="299">
        <f t="shared" si="28"/>
        <v>22</v>
      </c>
      <c r="D61" s="299">
        <f t="shared" si="28"/>
        <v>0</v>
      </c>
      <c r="E61" s="299">
        <f t="shared" si="28"/>
        <v>3</v>
      </c>
      <c r="F61" s="299">
        <f t="shared" si="28"/>
        <v>21</v>
      </c>
      <c r="G61" s="299">
        <f t="shared" si="28"/>
        <v>14</v>
      </c>
      <c r="H61" s="299">
        <f t="shared" si="28"/>
        <v>11</v>
      </c>
      <c r="I61" s="299">
        <f t="shared" si="28"/>
        <v>11</v>
      </c>
      <c r="J61" s="299">
        <f t="shared" si="28"/>
        <v>9</v>
      </c>
      <c r="K61" s="299">
        <f t="shared" si="28"/>
        <v>0</v>
      </c>
      <c r="L61" s="299">
        <f t="shared" si="28"/>
        <v>6</v>
      </c>
      <c r="M61" s="299">
        <f t="shared" si="28"/>
        <v>18</v>
      </c>
      <c r="N61" s="299">
        <f t="shared" si="28"/>
        <v>10</v>
      </c>
      <c r="O61" s="299">
        <f t="shared" si="28"/>
        <v>4</v>
      </c>
      <c r="P61" s="299">
        <f t="shared" si="28"/>
        <v>7</v>
      </c>
      <c r="Q61" s="299">
        <f t="shared" si="28"/>
        <v>4</v>
      </c>
      <c r="R61" s="299">
        <f t="shared" si="28"/>
        <v>0</v>
      </c>
      <c r="S61" s="299">
        <f t="shared" si="28"/>
        <v>8</v>
      </c>
      <c r="T61" s="299">
        <f t="shared" si="28"/>
        <v>60</v>
      </c>
      <c r="U61" s="299">
        <f t="shared" si="28"/>
        <v>56</v>
      </c>
      <c r="V61" s="299">
        <f t="shared" si="28"/>
        <v>11</v>
      </c>
      <c r="W61" s="299">
        <f t="shared" si="28"/>
        <v>18</v>
      </c>
      <c r="X61" s="299">
        <f t="shared" si="28"/>
        <v>0</v>
      </c>
      <c r="Y61" s="299">
        <f t="shared" si="28"/>
        <v>0</v>
      </c>
      <c r="Z61" s="299">
        <f t="shared" si="28"/>
        <v>10</v>
      </c>
      <c r="AA61" s="299">
        <f t="shared" si="28"/>
        <v>27</v>
      </c>
      <c r="AB61" s="299">
        <f t="shared" si="28"/>
        <v>23</v>
      </c>
      <c r="AC61" s="299">
        <f t="shared" si="28"/>
        <v>24</v>
      </c>
      <c r="AD61" s="299">
        <f t="shared" si="28"/>
        <v>38</v>
      </c>
      <c r="AE61" s="299" t="str">
        <f t="shared" si="28"/>
        <v>#REF!</v>
      </c>
      <c r="AF61" s="299" t="str">
        <f t="shared" si="28"/>
        <v>#REF!</v>
      </c>
      <c r="AG61" s="830" t="str">
        <f t="shared" si="26"/>
        <v>#REF!</v>
      </c>
    </row>
    <row r="62">
      <c r="A62" s="100"/>
      <c r="B62" s="167"/>
      <c r="C62" s="167"/>
      <c r="D62" s="167"/>
      <c r="E62" s="167"/>
      <c r="F62" s="167"/>
      <c r="G62" s="167"/>
      <c r="H62" s="167"/>
      <c r="I62" s="167"/>
      <c r="J62" s="85"/>
      <c r="K62" s="85"/>
      <c r="L62" s="85"/>
      <c r="M62" s="85"/>
      <c r="N62" s="85"/>
      <c r="O62" s="85"/>
      <c r="P62" s="85"/>
      <c r="Q62" s="85"/>
      <c r="R62" s="85"/>
      <c r="S62" s="85"/>
      <c r="T62" s="85"/>
      <c r="U62" s="85"/>
      <c r="V62" s="85"/>
      <c r="W62" s="85"/>
      <c r="X62" s="85"/>
      <c r="Y62" s="85"/>
      <c r="Z62" s="85"/>
      <c r="AA62" s="85"/>
      <c r="AB62" s="85"/>
      <c r="AC62" s="85"/>
      <c r="AD62" s="85"/>
      <c r="AE62" s="85"/>
      <c r="AF62" s="85"/>
      <c r="AG62" s="838"/>
    </row>
    <row r="63">
      <c r="A63" s="157" t="s">
        <v>131</v>
      </c>
      <c r="B63" s="98"/>
      <c r="C63" s="98"/>
      <c r="D63" s="98"/>
      <c r="E63" s="98"/>
      <c r="F63" s="98"/>
      <c r="G63" s="98"/>
      <c r="H63" s="98"/>
      <c r="I63" s="91"/>
      <c r="J63" s="91"/>
      <c r="K63" s="91"/>
      <c r="L63" s="91"/>
      <c r="M63" s="91"/>
      <c r="N63" s="91"/>
      <c r="O63" s="91"/>
      <c r="P63" s="91"/>
      <c r="Q63" s="91"/>
      <c r="R63" s="91"/>
      <c r="S63" s="94"/>
      <c r="T63" s="94"/>
      <c r="U63" s="94"/>
      <c r="V63" s="94"/>
      <c r="W63" s="94"/>
      <c r="X63" s="94"/>
      <c r="Y63" s="94"/>
      <c r="Z63" s="422"/>
      <c r="AA63" s="94"/>
      <c r="AB63" s="94"/>
      <c r="AC63" s="422"/>
      <c r="AD63" s="422"/>
      <c r="AE63" s="422"/>
      <c r="AF63" s="422"/>
      <c r="AG63" s="839">
        <f t="shared" ref="AG63:AG71" si="29">sum(B63:AF63)</f>
        <v>0</v>
      </c>
    </row>
    <row r="64">
      <c r="A64" s="157" t="s">
        <v>132</v>
      </c>
      <c r="B64" s="98"/>
      <c r="C64" s="98"/>
      <c r="D64" s="98"/>
      <c r="E64" s="98"/>
      <c r="F64" s="98"/>
      <c r="G64" s="98"/>
      <c r="H64" s="98"/>
      <c r="I64" s="91"/>
      <c r="J64" s="91"/>
      <c r="K64" s="91"/>
      <c r="L64" s="91"/>
      <c r="M64" s="91"/>
      <c r="N64" s="98"/>
      <c r="O64" s="91"/>
      <c r="P64" s="98"/>
      <c r="Q64" s="91"/>
      <c r="R64" s="91"/>
      <c r="S64" s="94"/>
      <c r="T64" s="94"/>
      <c r="U64" s="94"/>
      <c r="V64" s="94"/>
      <c r="W64" s="94"/>
      <c r="X64" s="94"/>
      <c r="Y64" s="94"/>
      <c r="Z64" s="818"/>
      <c r="AA64" s="820"/>
      <c r="AB64" s="94"/>
      <c r="AC64" s="820"/>
      <c r="AD64" s="820"/>
      <c r="AE64" s="820"/>
      <c r="AF64" s="820"/>
      <c r="AG64" s="839">
        <f t="shared" si="29"/>
        <v>0</v>
      </c>
    </row>
    <row r="65">
      <c r="A65" s="157" t="s">
        <v>1219</v>
      </c>
      <c r="B65" s="98"/>
      <c r="C65" s="98"/>
      <c r="D65" s="98"/>
      <c r="E65" s="98"/>
      <c r="F65" s="98"/>
      <c r="G65" s="98"/>
      <c r="H65" s="98"/>
      <c r="I65" s="98"/>
      <c r="J65" s="98"/>
      <c r="K65" s="98"/>
      <c r="L65" s="98"/>
      <c r="M65" s="98"/>
      <c r="N65" s="98"/>
      <c r="O65" s="98"/>
      <c r="P65" s="98"/>
      <c r="Q65" s="98"/>
      <c r="R65" s="98"/>
      <c r="S65" s="98"/>
      <c r="T65" s="98"/>
      <c r="U65" s="98"/>
      <c r="V65" s="98"/>
      <c r="W65" s="98"/>
      <c r="X65" s="98"/>
      <c r="Y65" s="98"/>
      <c r="Z65" s="421"/>
      <c r="AA65" s="98"/>
      <c r="AB65" s="98"/>
      <c r="AC65" s="421"/>
      <c r="AD65" s="421"/>
      <c r="AE65" s="421"/>
      <c r="AF65" s="421"/>
      <c r="AG65" s="839">
        <f t="shared" si="29"/>
        <v>0</v>
      </c>
    </row>
    <row r="66">
      <c r="A66" s="157" t="s">
        <v>1220</v>
      </c>
      <c r="B66" s="403"/>
      <c r="C66" s="98"/>
      <c r="D66" s="98"/>
      <c r="E66" s="98"/>
      <c r="F66" s="98"/>
      <c r="G66" s="98"/>
      <c r="H66" s="98"/>
      <c r="I66" s="91"/>
      <c r="J66" s="91"/>
      <c r="K66" s="91"/>
      <c r="L66" s="91"/>
      <c r="M66" s="91"/>
      <c r="N66" s="91"/>
      <c r="O66" s="817"/>
      <c r="P66" s="91"/>
      <c r="Q66" s="91"/>
      <c r="R66" s="91"/>
      <c r="S66" s="94"/>
      <c r="T66" s="94"/>
      <c r="U66" s="98"/>
      <c r="V66" s="98"/>
      <c r="W66" s="98"/>
      <c r="X66" s="98"/>
      <c r="Y66" s="98"/>
      <c r="Z66" s="421"/>
      <c r="AA66" s="98"/>
      <c r="AB66" s="98"/>
      <c r="AC66" s="421"/>
      <c r="AD66" s="421"/>
      <c r="AE66" s="421"/>
      <c r="AF66" s="421"/>
      <c r="AG66" s="839">
        <f t="shared" si="29"/>
        <v>0</v>
      </c>
    </row>
    <row r="67">
      <c r="A67" s="157" t="s">
        <v>1221</v>
      </c>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4"/>
      <c r="AB67" s="98"/>
      <c r="AC67" s="421"/>
      <c r="AD67" s="421"/>
      <c r="AE67" s="421"/>
      <c r="AF67" s="421"/>
      <c r="AG67" s="839">
        <f t="shared" si="29"/>
        <v>0</v>
      </c>
    </row>
    <row r="68">
      <c r="A68" s="157" t="s">
        <v>1222</v>
      </c>
      <c r="B68" s="403"/>
      <c r="C68" s="98"/>
      <c r="D68" s="98"/>
      <c r="E68" s="98"/>
      <c r="F68" s="98"/>
      <c r="G68" s="98"/>
      <c r="H68" s="98"/>
      <c r="I68" s="91"/>
      <c r="J68" s="91"/>
      <c r="K68" s="91"/>
      <c r="L68" s="91"/>
      <c r="M68" s="91"/>
      <c r="N68" s="91"/>
      <c r="O68" s="817"/>
      <c r="P68" s="91"/>
      <c r="Q68" s="91"/>
      <c r="R68" s="91"/>
      <c r="S68" s="94"/>
      <c r="T68" s="94"/>
      <c r="U68" s="98"/>
      <c r="V68" s="98"/>
      <c r="W68" s="98"/>
      <c r="X68" s="98"/>
      <c r="Y68" s="98"/>
      <c r="Z68" s="98"/>
      <c r="AA68" s="94"/>
      <c r="AB68" s="98"/>
      <c r="AC68" s="421"/>
      <c r="AD68" s="421"/>
      <c r="AE68" s="421"/>
      <c r="AF68" s="421"/>
      <c r="AG68" s="839">
        <f t="shared" si="29"/>
        <v>0</v>
      </c>
    </row>
    <row r="69">
      <c r="A69" s="157" t="s">
        <v>1223</v>
      </c>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4"/>
      <c r="AB69" s="98"/>
      <c r="AC69" s="421"/>
      <c r="AD69" s="421"/>
      <c r="AE69" s="421"/>
      <c r="AF69" s="421"/>
      <c r="AG69" s="839">
        <f t="shared" si="29"/>
        <v>0</v>
      </c>
    </row>
    <row r="70">
      <c r="A70" s="157" t="s">
        <v>1224</v>
      </c>
      <c r="B70" s="98"/>
      <c r="C70" s="98"/>
      <c r="D70" s="98"/>
      <c r="E70" s="98"/>
      <c r="F70" s="98"/>
      <c r="G70" s="98"/>
      <c r="H70" s="98"/>
      <c r="I70" s="98"/>
      <c r="J70" s="98"/>
      <c r="K70" s="98"/>
      <c r="L70" s="98"/>
      <c r="M70" s="98"/>
      <c r="N70" s="98"/>
      <c r="O70" s="98"/>
      <c r="P70" s="98"/>
      <c r="Q70" s="98"/>
      <c r="R70" s="98"/>
      <c r="S70" s="94"/>
      <c r="T70" s="94"/>
      <c r="U70" s="98"/>
      <c r="V70" s="98"/>
      <c r="W70" s="98"/>
      <c r="X70" s="98"/>
      <c r="Y70" s="98"/>
      <c r="Z70" s="98"/>
      <c r="AA70" s="94"/>
      <c r="AB70" s="98"/>
      <c r="AC70" s="421"/>
      <c r="AD70" s="421"/>
      <c r="AE70" s="421"/>
      <c r="AF70" s="421"/>
      <c r="AG70" s="839">
        <f t="shared" si="29"/>
        <v>0</v>
      </c>
    </row>
    <row r="71">
      <c r="A71" s="837" t="s">
        <v>115</v>
      </c>
      <c r="B71" s="299">
        <f t="shared" ref="B71:AF71" si="30">SUM(B63:B70)</f>
        <v>0</v>
      </c>
      <c r="C71" s="299">
        <f t="shared" si="30"/>
        <v>0</v>
      </c>
      <c r="D71" s="299">
        <f t="shared" si="30"/>
        <v>0</v>
      </c>
      <c r="E71" s="299">
        <f t="shared" si="30"/>
        <v>0</v>
      </c>
      <c r="F71" s="299">
        <f t="shared" si="30"/>
        <v>0</v>
      </c>
      <c r="G71" s="299">
        <f t="shared" si="30"/>
        <v>0</v>
      </c>
      <c r="H71" s="299">
        <f t="shared" si="30"/>
        <v>0</v>
      </c>
      <c r="I71" s="299">
        <f t="shared" si="30"/>
        <v>0</v>
      </c>
      <c r="J71" s="299">
        <f t="shared" si="30"/>
        <v>0</v>
      </c>
      <c r="K71" s="299">
        <f t="shared" si="30"/>
        <v>0</v>
      </c>
      <c r="L71" s="299">
        <f t="shared" si="30"/>
        <v>0</v>
      </c>
      <c r="M71" s="299">
        <f t="shared" si="30"/>
        <v>0</v>
      </c>
      <c r="N71" s="299">
        <f t="shared" si="30"/>
        <v>0</v>
      </c>
      <c r="O71" s="299">
        <f t="shared" si="30"/>
        <v>0</v>
      </c>
      <c r="P71" s="299">
        <f t="shared" si="30"/>
        <v>0</v>
      </c>
      <c r="Q71" s="299">
        <f t="shared" si="30"/>
        <v>0</v>
      </c>
      <c r="R71" s="299">
        <f t="shared" si="30"/>
        <v>0</v>
      </c>
      <c r="S71" s="299">
        <f t="shared" si="30"/>
        <v>0</v>
      </c>
      <c r="T71" s="299">
        <f t="shared" si="30"/>
        <v>0</v>
      </c>
      <c r="U71" s="299">
        <f t="shared" si="30"/>
        <v>0</v>
      </c>
      <c r="V71" s="299">
        <f t="shared" si="30"/>
        <v>0</v>
      </c>
      <c r="W71" s="299">
        <f t="shared" si="30"/>
        <v>0</v>
      </c>
      <c r="X71" s="299">
        <f t="shared" si="30"/>
        <v>0</v>
      </c>
      <c r="Y71" s="299">
        <f t="shared" si="30"/>
        <v>0</v>
      </c>
      <c r="Z71" s="299">
        <f t="shared" si="30"/>
        <v>0</v>
      </c>
      <c r="AA71" s="299">
        <f t="shared" si="30"/>
        <v>0</v>
      </c>
      <c r="AB71" s="299">
        <f t="shared" si="30"/>
        <v>0</v>
      </c>
      <c r="AC71" s="299">
        <f t="shared" si="30"/>
        <v>0</v>
      </c>
      <c r="AD71" s="299">
        <f t="shared" si="30"/>
        <v>0</v>
      </c>
      <c r="AE71" s="299">
        <f t="shared" si="30"/>
        <v>0</v>
      </c>
      <c r="AF71" s="299">
        <f t="shared" si="30"/>
        <v>0</v>
      </c>
      <c r="AG71" s="830">
        <f t="shared" si="29"/>
        <v>0</v>
      </c>
    </row>
    <row r="72">
      <c r="A72" s="221"/>
      <c r="B72" s="159"/>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30"/>
    </row>
    <row r="73">
      <c r="A73" s="221"/>
      <c r="B73" s="159"/>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30"/>
    </row>
    <row r="74">
      <c r="A74" s="141" t="s">
        <v>1225</v>
      </c>
      <c r="B74" s="159"/>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30"/>
    </row>
    <row r="75" outlineLevel="1">
      <c r="A75" s="379" t="s">
        <v>1226</v>
      </c>
      <c r="B75" s="158">
        <v>0.0</v>
      </c>
      <c r="C75" s="159">
        <v>0.0</v>
      </c>
      <c r="D75" s="159">
        <v>0.0</v>
      </c>
      <c r="E75" s="159">
        <v>0.0</v>
      </c>
      <c r="F75" s="158">
        <v>0.0</v>
      </c>
      <c r="G75" s="159">
        <v>0.0</v>
      </c>
      <c r="H75" s="159">
        <v>1.0</v>
      </c>
      <c r="I75" s="160">
        <v>1.0</v>
      </c>
      <c r="J75" s="160">
        <v>0.0</v>
      </c>
      <c r="K75" s="160">
        <v>2.0</v>
      </c>
      <c r="L75" s="160">
        <v>0.0</v>
      </c>
      <c r="M75" s="160">
        <v>3.0</v>
      </c>
      <c r="N75" s="160">
        <v>3.0</v>
      </c>
      <c r="O75" s="143">
        <v>0.0</v>
      </c>
      <c r="P75" s="160">
        <v>0.0</v>
      </c>
      <c r="Q75" s="160">
        <v>0.0</v>
      </c>
      <c r="R75" s="160">
        <v>0.0</v>
      </c>
      <c r="S75" s="86">
        <v>0.0</v>
      </c>
      <c r="T75" s="86">
        <v>0.0</v>
      </c>
      <c r="U75" s="86">
        <v>0.0</v>
      </c>
      <c r="V75" s="86">
        <v>0.0</v>
      </c>
      <c r="W75" s="86">
        <v>0.0</v>
      </c>
      <c r="X75" s="86">
        <v>0.0</v>
      </c>
      <c r="Y75" s="86">
        <v>0.0</v>
      </c>
      <c r="Z75" s="145">
        <v>0.0</v>
      </c>
      <c r="AA75" s="840">
        <v>0.0</v>
      </c>
      <c r="AB75" s="840">
        <v>0.0</v>
      </c>
      <c r="AC75" s="161"/>
      <c r="AD75" s="161"/>
      <c r="AE75" s="161"/>
      <c r="AF75" s="161"/>
      <c r="AG75" s="830">
        <f t="shared" ref="AG75:AG79" si="31">sum(B75:AF75)</f>
        <v>10</v>
      </c>
    </row>
    <row r="76" outlineLevel="1">
      <c r="A76" s="379" t="s">
        <v>1227</v>
      </c>
      <c r="B76" s="158">
        <v>0.0</v>
      </c>
      <c r="C76" s="159">
        <v>0.0</v>
      </c>
      <c r="D76" s="159">
        <v>0.0</v>
      </c>
      <c r="E76" s="159">
        <v>0.0</v>
      </c>
      <c r="F76" s="158">
        <v>0.0</v>
      </c>
      <c r="G76" s="159">
        <v>0.0</v>
      </c>
      <c r="H76" s="159">
        <v>1.0</v>
      </c>
      <c r="I76" s="160">
        <v>1.0</v>
      </c>
      <c r="J76" s="160">
        <v>1.0</v>
      </c>
      <c r="K76" s="160">
        <v>0.0</v>
      </c>
      <c r="L76" s="160">
        <v>1.0</v>
      </c>
      <c r="M76" s="160">
        <v>2.0</v>
      </c>
      <c r="N76" s="160">
        <v>2.0</v>
      </c>
      <c r="O76" s="143">
        <v>0.0</v>
      </c>
      <c r="P76" s="160">
        <v>0.0</v>
      </c>
      <c r="Q76" s="160">
        <v>0.0</v>
      </c>
      <c r="R76" s="160">
        <v>0.0</v>
      </c>
      <c r="S76" s="86">
        <v>0.0</v>
      </c>
      <c r="T76" s="86">
        <v>0.0</v>
      </c>
      <c r="U76" s="86">
        <v>0.0</v>
      </c>
      <c r="V76" s="86">
        <v>0.0</v>
      </c>
      <c r="W76" s="86">
        <v>0.0</v>
      </c>
      <c r="X76" s="86">
        <v>0.0</v>
      </c>
      <c r="Y76" s="86">
        <v>0.0</v>
      </c>
      <c r="Z76" s="145">
        <v>0.0</v>
      </c>
      <c r="AA76" s="840">
        <v>0.0</v>
      </c>
      <c r="AB76" s="840">
        <v>0.0</v>
      </c>
      <c r="AC76" s="161"/>
      <c r="AD76" s="161"/>
      <c r="AE76" s="161"/>
      <c r="AF76" s="161"/>
      <c r="AG76" s="830">
        <f t="shared" si="31"/>
        <v>8</v>
      </c>
    </row>
    <row r="77" outlineLevel="1">
      <c r="A77" s="379" t="s">
        <v>1228</v>
      </c>
      <c r="B77" s="159">
        <v>3.0</v>
      </c>
      <c r="C77" s="159">
        <v>0.0</v>
      </c>
      <c r="D77" s="159">
        <v>2.0</v>
      </c>
      <c r="E77" s="159">
        <v>1.0</v>
      </c>
      <c r="F77" s="159">
        <v>1.0</v>
      </c>
      <c r="G77" s="159">
        <v>0.0</v>
      </c>
      <c r="H77" s="159">
        <v>3.0</v>
      </c>
      <c r="I77" s="160">
        <v>10.0</v>
      </c>
      <c r="J77" s="160">
        <v>2.0</v>
      </c>
      <c r="K77" s="160">
        <v>2.0</v>
      </c>
      <c r="L77" s="160">
        <v>4.0</v>
      </c>
      <c r="M77" s="160">
        <v>66.0</v>
      </c>
      <c r="N77" s="160">
        <v>15.0</v>
      </c>
      <c r="O77" s="143">
        <v>0.0</v>
      </c>
      <c r="P77" s="160">
        <v>0.0</v>
      </c>
      <c r="Q77" s="160">
        <v>0.0</v>
      </c>
      <c r="R77" s="160">
        <v>2.0</v>
      </c>
      <c r="S77" s="86">
        <v>2.0</v>
      </c>
      <c r="T77" s="86">
        <v>0.0</v>
      </c>
      <c r="U77" s="86">
        <v>0.0</v>
      </c>
      <c r="V77" s="86">
        <v>0.0</v>
      </c>
      <c r="W77" s="86">
        <v>0.0</v>
      </c>
      <c r="X77" s="86">
        <v>0.0</v>
      </c>
      <c r="Y77" s="86">
        <v>0.0</v>
      </c>
      <c r="Z77" s="840">
        <v>0.0</v>
      </c>
      <c r="AA77" s="840">
        <v>0.0</v>
      </c>
      <c r="AB77" s="840">
        <v>0.0</v>
      </c>
      <c r="AC77" s="86"/>
      <c r="AD77" s="86"/>
      <c r="AE77" s="86"/>
      <c r="AF77" s="86"/>
      <c r="AG77" s="830">
        <f t="shared" si="31"/>
        <v>113</v>
      </c>
    </row>
    <row r="78" outlineLevel="1">
      <c r="A78" s="379" t="s">
        <v>1229</v>
      </c>
      <c r="B78" s="158">
        <v>3.0</v>
      </c>
      <c r="C78" s="159">
        <v>1.0</v>
      </c>
      <c r="D78" s="159">
        <v>0.0</v>
      </c>
      <c r="E78" s="159">
        <v>0.0</v>
      </c>
      <c r="F78" s="159">
        <v>0.0</v>
      </c>
      <c r="G78" s="159">
        <v>0.0</v>
      </c>
      <c r="H78" s="159">
        <v>0.0</v>
      </c>
      <c r="I78" s="160">
        <v>7.0</v>
      </c>
      <c r="J78" s="160">
        <v>0.0</v>
      </c>
      <c r="K78" s="160">
        <v>0.0</v>
      </c>
      <c r="L78" s="160">
        <v>0.0</v>
      </c>
      <c r="M78" s="160">
        <v>21.0</v>
      </c>
      <c r="N78" s="160">
        <v>9.0</v>
      </c>
      <c r="O78" s="143">
        <v>0.0</v>
      </c>
      <c r="P78" s="160">
        <v>0.0</v>
      </c>
      <c r="Q78" s="160">
        <v>0.0</v>
      </c>
      <c r="R78" s="160">
        <v>1.0</v>
      </c>
      <c r="S78" s="86">
        <v>0.0</v>
      </c>
      <c r="T78" s="86">
        <v>0.0</v>
      </c>
      <c r="U78" s="86">
        <v>0.0</v>
      </c>
      <c r="V78" s="86">
        <v>0.0</v>
      </c>
      <c r="W78" s="86">
        <v>0.0</v>
      </c>
      <c r="X78" s="86">
        <v>0.0</v>
      </c>
      <c r="Y78" s="86">
        <v>0.0</v>
      </c>
      <c r="Z78" s="840">
        <v>0.0</v>
      </c>
      <c r="AA78" s="840">
        <v>0.0</v>
      </c>
      <c r="AB78" s="840">
        <v>0.0</v>
      </c>
      <c r="AC78" s="86"/>
      <c r="AD78" s="86"/>
      <c r="AE78" s="86"/>
      <c r="AF78" s="86"/>
      <c r="AG78" s="830">
        <f t="shared" si="31"/>
        <v>42</v>
      </c>
    </row>
    <row r="79" outlineLevel="1">
      <c r="A79" s="435" t="s">
        <v>504</v>
      </c>
      <c r="B79" s="436">
        <f t="shared" ref="B79:AF79" si="32">SUM(B75:B78)</f>
        <v>6</v>
      </c>
      <c r="C79" s="436">
        <f t="shared" si="32"/>
        <v>1</v>
      </c>
      <c r="D79" s="436">
        <f t="shared" si="32"/>
        <v>2</v>
      </c>
      <c r="E79" s="436">
        <f t="shared" si="32"/>
        <v>1</v>
      </c>
      <c r="F79" s="436">
        <f t="shared" si="32"/>
        <v>1</v>
      </c>
      <c r="G79" s="436">
        <f t="shared" si="32"/>
        <v>0</v>
      </c>
      <c r="H79" s="436">
        <f t="shared" si="32"/>
        <v>5</v>
      </c>
      <c r="I79" s="436">
        <f t="shared" si="32"/>
        <v>19</v>
      </c>
      <c r="J79" s="436">
        <f t="shared" si="32"/>
        <v>3</v>
      </c>
      <c r="K79" s="436">
        <f t="shared" si="32"/>
        <v>4</v>
      </c>
      <c r="L79" s="436">
        <f t="shared" si="32"/>
        <v>5</v>
      </c>
      <c r="M79" s="436">
        <f t="shared" si="32"/>
        <v>92</v>
      </c>
      <c r="N79" s="436">
        <f t="shared" si="32"/>
        <v>29</v>
      </c>
      <c r="O79" s="436">
        <f t="shared" si="32"/>
        <v>0</v>
      </c>
      <c r="P79" s="436">
        <f t="shared" si="32"/>
        <v>0</v>
      </c>
      <c r="Q79" s="436">
        <f t="shared" si="32"/>
        <v>0</v>
      </c>
      <c r="R79" s="436">
        <f t="shared" si="32"/>
        <v>3</v>
      </c>
      <c r="S79" s="436">
        <f t="shared" si="32"/>
        <v>2</v>
      </c>
      <c r="T79" s="436">
        <f t="shared" si="32"/>
        <v>0</v>
      </c>
      <c r="U79" s="436">
        <f t="shared" si="32"/>
        <v>0</v>
      </c>
      <c r="V79" s="436">
        <f t="shared" si="32"/>
        <v>0</v>
      </c>
      <c r="W79" s="436">
        <f t="shared" si="32"/>
        <v>0</v>
      </c>
      <c r="X79" s="436">
        <f t="shared" si="32"/>
        <v>0</v>
      </c>
      <c r="Y79" s="436">
        <f t="shared" si="32"/>
        <v>0</v>
      </c>
      <c r="Z79" s="436">
        <f t="shared" si="32"/>
        <v>0</v>
      </c>
      <c r="AA79" s="436">
        <f t="shared" si="32"/>
        <v>0</v>
      </c>
      <c r="AB79" s="436">
        <f t="shared" si="32"/>
        <v>0</v>
      </c>
      <c r="AC79" s="436">
        <f t="shared" si="32"/>
        <v>0</v>
      </c>
      <c r="AD79" s="436">
        <f t="shared" si="32"/>
        <v>0</v>
      </c>
      <c r="AE79" s="436">
        <f t="shared" si="32"/>
        <v>0</v>
      </c>
      <c r="AF79" s="436">
        <f t="shared" si="32"/>
        <v>0</v>
      </c>
      <c r="AG79" s="841">
        <f t="shared" si="31"/>
        <v>173</v>
      </c>
    </row>
    <row r="80" outlineLevel="1">
      <c r="A80" s="100"/>
      <c r="B80" s="167"/>
      <c r="C80" s="167"/>
      <c r="D80" s="167"/>
      <c r="E80" s="167"/>
      <c r="F80" s="167"/>
      <c r="G80" s="167"/>
      <c r="H80" s="167"/>
      <c r="I80" s="167"/>
      <c r="J80" s="85"/>
      <c r="K80" s="85"/>
      <c r="L80" s="85"/>
      <c r="M80" s="85"/>
      <c r="N80" s="85"/>
      <c r="O80" s="85"/>
      <c r="P80" s="85"/>
      <c r="Q80" s="85"/>
      <c r="R80" s="85"/>
      <c r="S80" s="85"/>
      <c r="T80" s="85"/>
      <c r="U80" s="85"/>
      <c r="V80" s="85"/>
      <c r="W80" s="85"/>
      <c r="X80" s="85"/>
      <c r="Y80" s="85"/>
      <c r="Z80" s="85"/>
      <c r="AA80" s="85"/>
      <c r="AB80" s="85"/>
      <c r="AC80" s="85"/>
      <c r="AD80" s="85"/>
      <c r="AE80" s="85"/>
      <c r="AF80" s="85"/>
      <c r="AG80" s="838"/>
    </row>
    <row r="81" outlineLevel="1">
      <c r="A81" s="379" t="s">
        <v>131</v>
      </c>
      <c r="B81" s="159">
        <v>0.0</v>
      </c>
      <c r="C81" s="159">
        <v>0.0</v>
      </c>
      <c r="D81" s="159">
        <v>0.0</v>
      </c>
      <c r="E81" s="159">
        <v>0.0</v>
      </c>
      <c r="F81" s="159">
        <v>0.0</v>
      </c>
      <c r="G81" s="159">
        <v>0.0</v>
      </c>
      <c r="H81" s="159">
        <v>0.0</v>
      </c>
      <c r="I81" s="159">
        <v>0.0</v>
      </c>
      <c r="J81" s="159">
        <v>0.0</v>
      </c>
      <c r="K81" s="159">
        <v>0.0</v>
      </c>
      <c r="L81" s="159">
        <v>0.0</v>
      </c>
      <c r="M81" s="159">
        <v>0.0</v>
      </c>
      <c r="N81" s="159">
        <v>0.0</v>
      </c>
      <c r="O81" s="160">
        <v>0.0</v>
      </c>
      <c r="P81" s="160">
        <v>0.0</v>
      </c>
      <c r="Q81" s="160">
        <v>0.0</v>
      </c>
      <c r="R81" s="160">
        <v>0.0</v>
      </c>
      <c r="S81" s="160">
        <v>0.0</v>
      </c>
      <c r="T81" s="160">
        <v>0.0</v>
      </c>
      <c r="U81" s="160">
        <v>0.0</v>
      </c>
      <c r="V81" s="86">
        <v>0.0</v>
      </c>
      <c r="W81" s="86">
        <v>0.0</v>
      </c>
      <c r="X81" s="86">
        <v>0.0</v>
      </c>
      <c r="Y81" s="86">
        <v>0.0</v>
      </c>
      <c r="Z81" s="86">
        <v>0.0</v>
      </c>
      <c r="AA81" s="86">
        <v>0.0</v>
      </c>
      <c r="AB81" s="86">
        <v>0.0</v>
      </c>
      <c r="AC81" s="169"/>
      <c r="AD81" s="169"/>
      <c r="AE81" s="169"/>
      <c r="AF81" s="169"/>
      <c r="AG81" s="830">
        <f t="shared" ref="AG81:AG89" si="33">sum(B81:AF81)</f>
        <v>0</v>
      </c>
    </row>
    <row r="82" outlineLevel="1">
      <c r="A82" s="379" t="s">
        <v>132</v>
      </c>
      <c r="B82" s="159">
        <v>0.0</v>
      </c>
      <c r="C82" s="159">
        <v>0.0</v>
      </c>
      <c r="D82" s="159">
        <v>0.0</v>
      </c>
      <c r="E82" s="159">
        <v>0.0</v>
      </c>
      <c r="F82" s="159">
        <v>0.0</v>
      </c>
      <c r="G82" s="159">
        <v>0.0</v>
      </c>
      <c r="H82" s="159">
        <v>0.0</v>
      </c>
      <c r="I82" s="159">
        <v>0.0</v>
      </c>
      <c r="J82" s="159">
        <v>0.0</v>
      </c>
      <c r="K82" s="159">
        <v>0.0</v>
      </c>
      <c r="L82" s="159">
        <v>0.0</v>
      </c>
      <c r="M82" s="159">
        <v>0.0</v>
      </c>
      <c r="N82" s="159">
        <v>0.0</v>
      </c>
      <c r="O82" s="160">
        <v>0.0</v>
      </c>
      <c r="P82" s="160">
        <v>0.0</v>
      </c>
      <c r="Q82" s="160">
        <v>0.0</v>
      </c>
      <c r="R82" s="160">
        <v>0.0</v>
      </c>
      <c r="S82" s="160">
        <v>0.0</v>
      </c>
      <c r="T82" s="160">
        <v>0.0</v>
      </c>
      <c r="U82" s="160">
        <v>0.0</v>
      </c>
      <c r="V82" s="86">
        <v>0.0</v>
      </c>
      <c r="W82" s="86">
        <v>0.0</v>
      </c>
      <c r="X82" s="86">
        <v>0.0</v>
      </c>
      <c r="Y82" s="86">
        <v>0.0</v>
      </c>
      <c r="Z82" s="86">
        <v>0.0</v>
      </c>
      <c r="AA82" s="86">
        <v>0.0</v>
      </c>
      <c r="AB82" s="86">
        <v>0.0</v>
      </c>
      <c r="AC82" s="166"/>
      <c r="AD82" s="166"/>
      <c r="AE82" s="166"/>
      <c r="AF82" s="166"/>
      <c r="AG82" s="830">
        <f t="shared" si="33"/>
        <v>0</v>
      </c>
    </row>
    <row r="83" outlineLevel="1">
      <c r="A83" s="379" t="s">
        <v>1230</v>
      </c>
      <c r="B83" s="159">
        <v>0.0</v>
      </c>
      <c r="C83" s="159">
        <v>0.0</v>
      </c>
      <c r="D83" s="159">
        <v>0.0</v>
      </c>
      <c r="E83" s="159">
        <v>0.0</v>
      </c>
      <c r="F83" s="159">
        <v>0.0</v>
      </c>
      <c r="G83" s="159">
        <v>0.0</v>
      </c>
      <c r="H83" s="159">
        <v>0.0</v>
      </c>
      <c r="I83" s="159">
        <v>0.0</v>
      </c>
      <c r="J83" s="159">
        <v>0.0</v>
      </c>
      <c r="K83" s="159">
        <v>0.0</v>
      </c>
      <c r="L83" s="159">
        <v>0.0</v>
      </c>
      <c r="M83" s="159">
        <v>0.0</v>
      </c>
      <c r="N83" s="159">
        <v>0.0</v>
      </c>
      <c r="O83" s="159">
        <v>0.0</v>
      </c>
      <c r="P83" s="159">
        <v>0.0</v>
      </c>
      <c r="Q83" s="159">
        <v>0.0</v>
      </c>
      <c r="R83" s="159">
        <v>0.0</v>
      </c>
      <c r="S83" s="159">
        <v>0.0</v>
      </c>
      <c r="T83" s="159">
        <v>0.0</v>
      </c>
      <c r="U83" s="159">
        <v>0.0</v>
      </c>
      <c r="V83" s="159">
        <v>0.0</v>
      </c>
      <c r="W83" s="159">
        <v>0.0</v>
      </c>
      <c r="X83" s="159">
        <v>0.0</v>
      </c>
      <c r="Y83" s="159">
        <v>0.0</v>
      </c>
      <c r="Z83" s="159">
        <v>0.0</v>
      </c>
      <c r="AA83" s="159">
        <v>0.0</v>
      </c>
      <c r="AB83" s="159">
        <v>0.0</v>
      </c>
      <c r="AC83" s="170"/>
      <c r="AD83" s="170"/>
      <c r="AE83" s="170"/>
      <c r="AF83" s="170"/>
      <c r="AG83" s="830">
        <f t="shared" si="33"/>
        <v>0</v>
      </c>
    </row>
    <row r="84" outlineLevel="1">
      <c r="A84" s="379" t="s">
        <v>1231</v>
      </c>
      <c r="B84" s="158">
        <v>0.0</v>
      </c>
      <c r="C84" s="158">
        <v>0.0</v>
      </c>
      <c r="D84" s="158">
        <v>0.0</v>
      </c>
      <c r="E84" s="158">
        <v>0.0</v>
      </c>
      <c r="F84" s="158">
        <v>0.0</v>
      </c>
      <c r="G84" s="159">
        <v>0.0</v>
      </c>
      <c r="H84" s="159">
        <v>0.0</v>
      </c>
      <c r="I84" s="159">
        <v>0.0</v>
      </c>
      <c r="J84" s="159">
        <v>0.0</v>
      </c>
      <c r="K84" s="159">
        <v>0.0</v>
      </c>
      <c r="L84" s="159">
        <v>0.0</v>
      </c>
      <c r="M84" s="159">
        <v>0.0</v>
      </c>
      <c r="N84" s="159">
        <v>0.0</v>
      </c>
      <c r="O84" s="143">
        <v>0.0</v>
      </c>
      <c r="P84" s="143">
        <v>0.0</v>
      </c>
      <c r="Q84" s="143">
        <v>0.0</v>
      </c>
      <c r="R84" s="143">
        <v>0.0</v>
      </c>
      <c r="S84" s="143">
        <v>0.0</v>
      </c>
      <c r="T84" s="143">
        <v>0.0</v>
      </c>
      <c r="U84" s="143">
        <v>0.0</v>
      </c>
      <c r="V84" s="159">
        <v>0.0</v>
      </c>
      <c r="W84" s="159">
        <v>0.0</v>
      </c>
      <c r="X84" s="159">
        <v>0.0</v>
      </c>
      <c r="Y84" s="159">
        <v>0.0</v>
      </c>
      <c r="Z84" s="159">
        <v>0.0</v>
      </c>
      <c r="AA84" s="159">
        <v>0.0</v>
      </c>
      <c r="AB84" s="159">
        <v>0.0</v>
      </c>
      <c r="AC84" s="170"/>
      <c r="AD84" s="170"/>
      <c r="AE84" s="170"/>
      <c r="AF84" s="170"/>
      <c r="AG84" s="830">
        <f t="shared" si="33"/>
        <v>0</v>
      </c>
    </row>
    <row r="85" outlineLevel="1">
      <c r="A85" s="379" t="s">
        <v>1232</v>
      </c>
      <c r="B85" s="159">
        <v>0.0</v>
      </c>
      <c r="C85" s="159">
        <v>0.0</v>
      </c>
      <c r="D85" s="159">
        <v>0.0</v>
      </c>
      <c r="E85" s="159">
        <v>0.0</v>
      </c>
      <c r="F85" s="159">
        <v>0.0</v>
      </c>
      <c r="G85" s="159">
        <v>0.0</v>
      </c>
      <c r="H85" s="159">
        <v>0.0</v>
      </c>
      <c r="I85" s="159">
        <v>0.0</v>
      </c>
      <c r="J85" s="159">
        <v>0.0</v>
      </c>
      <c r="K85" s="159">
        <v>0.0</v>
      </c>
      <c r="L85" s="159">
        <v>0.0</v>
      </c>
      <c r="M85" s="159">
        <v>0.0</v>
      </c>
      <c r="N85" s="159">
        <v>0.0</v>
      </c>
      <c r="O85" s="159">
        <v>0.0</v>
      </c>
      <c r="P85" s="159">
        <v>0.0</v>
      </c>
      <c r="Q85" s="159">
        <v>0.0</v>
      </c>
      <c r="R85" s="159">
        <v>0.0</v>
      </c>
      <c r="S85" s="159">
        <v>0.0</v>
      </c>
      <c r="T85" s="159">
        <v>0.0</v>
      </c>
      <c r="U85" s="159">
        <v>0.0</v>
      </c>
      <c r="V85" s="159">
        <v>0.0</v>
      </c>
      <c r="W85" s="159">
        <v>0.0</v>
      </c>
      <c r="X85" s="159">
        <v>0.0</v>
      </c>
      <c r="Y85" s="159">
        <v>0.0</v>
      </c>
      <c r="Z85" s="159">
        <v>0.0</v>
      </c>
      <c r="AA85" s="159">
        <v>0.0</v>
      </c>
      <c r="AB85" s="159">
        <v>0.0</v>
      </c>
      <c r="AC85" s="170"/>
      <c r="AD85" s="170"/>
      <c r="AE85" s="170"/>
      <c r="AF85" s="170"/>
      <c r="AG85" s="830">
        <f t="shared" si="33"/>
        <v>0</v>
      </c>
    </row>
    <row r="86" outlineLevel="1">
      <c r="A86" s="379" t="s">
        <v>1233</v>
      </c>
      <c r="B86" s="158">
        <v>0.0</v>
      </c>
      <c r="C86" s="158">
        <v>0.0</v>
      </c>
      <c r="D86" s="158">
        <v>0.0</v>
      </c>
      <c r="E86" s="158">
        <v>0.0</v>
      </c>
      <c r="F86" s="158">
        <v>0.0</v>
      </c>
      <c r="G86" s="159">
        <v>0.0</v>
      </c>
      <c r="H86" s="159">
        <v>0.0</v>
      </c>
      <c r="I86" s="159">
        <v>0.0</v>
      </c>
      <c r="J86" s="159">
        <v>0.0</v>
      </c>
      <c r="K86" s="159">
        <v>0.0</v>
      </c>
      <c r="L86" s="159">
        <v>0.0</v>
      </c>
      <c r="M86" s="159">
        <v>0.0</v>
      </c>
      <c r="N86" s="159">
        <v>0.0</v>
      </c>
      <c r="O86" s="143">
        <v>0.0</v>
      </c>
      <c r="P86" s="143">
        <v>0.0</v>
      </c>
      <c r="Q86" s="143">
        <v>0.0</v>
      </c>
      <c r="R86" s="143">
        <v>0.0</v>
      </c>
      <c r="S86" s="143">
        <v>0.0</v>
      </c>
      <c r="T86" s="143">
        <v>0.0</v>
      </c>
      <c r="U86" s="143">
        <v>0.0</v>
      </c>
      <c r="V86" s="159">
        <v>0.0</v>
      </c>
      <c r="W86" s="159">
        <v>0.0</v>
      </c>
      <c r="X86" s="159">
        <v>0.0</v>
      </c>
      <c r="Y86" s="159">
        <v>0.0</v>
      </c>
      <c r="Z86" s="159">
        <v>0.0</v>
      </c>
      <c r="AA86" s="159">
        <v>0.0</v>
      </c>
      <c r="AB86" s="159">
        <v>0.0</v>
      </c>
      <c r="AC86" s="170"/>
      <c r="AD86" s="170"/>
      <c r="AE86" s="170"/>
      <c r="AF86" s="170"/>
      <c r="AG86" s="830">
        <f t="shared" si="33"/>
        <v>0</v>
      </c>
    </row>
    <row r="87" outlineLevel="1">
      <c r="A87" s="379" t="s">
        <v>1234</v>
      </c>
      <c r="B87" s="159">
        <v>0.0</v>
      </c>
      <c r="C87" s="159">
        <v>0.0</v>
      </c>
      <c r="D87" s="159">
        <v>0.0</v>
      </c>
      <c r="E87" s="159">
        <v>0.0</v>
      </c>
      <c r="F87" s="159">
        <v>0.0</v>
      </c>
      <c r="G87" s="159">
        <v>0.0</v>
      </c>
      <c r="H87" s="159">
        <v>0.0</v>
      </c>
      <c r="I87" s="159">
        <v>0.0</v>
      </c>
      <c r="J87" s="159">
        <v>0.0</v>
      </c>
      <c r="K87" s="159">
        <v>0.0</v>
      </c>
      <c r="L87" s="159">
        <v>0.0</v>
      </c>
      <c r="M87" s="159">
        <v>0.0</v>
      </c>
      <c r="N87" s="159">
        <v>0.0</v>
      </c>
      <c r="O87" s="159">
        <v>0.0</v>
      </c>
      <c r="P87" s="159">
        <v>0.0</v>
      </c>
      <c r="Q87" s="159">
        <v>0.0</v>
      </c>
      <c r="R87" s="159">
        <v>0.0</v>
      </c>
      <c r="S87" s="159">
        <v>0.0</v>
      </c>
      <c r="T87" s="159">
        <v>0.0</v>
      </c>
      <c r="U87" s="159">
        <v>0.0</v>
      </c>
      <c r="V87" s="159">
        <v>0.0</v>
      </c>
      <c r="W87" s="159">
        <v>0.0</v>
      </c>
      <c r="X87" s="159">
        <v>0.0</v>
      </c>
      <c r="Y87" s="159">
        <v>0.0</v>
      </c>
      <c r="Z87" s="159">
        <v>0.0</v>
      </c>
      <c r="AA87" s="159">
        <v>0.0</v>
      </c>
      <c r="AB87" s="159">
        <v>0.0</v>
      </c>
      <c r="AC87" s="170"/>
      <c r="AD87" s="170"/>
      <c r="AE87" s="170"/>
      <c r="AF87" s="170"/>
      <c r="AG87" s="830">
        <f t="shared" si="33"/>
        <v>0</v>
      </c>
    </row>
    <row r="88" outlineLevel="1">
      <c r="A88" s="379" t="s">
        <v>1235</v>
      </c>
      <c r="B88" s="159">
        <v>0.0</v>
      </c>
      <c r="C88" s="159">
        <v>0.0</v>
      </c>
      <c r="D88" s="159">
        <v>0.0</v>
      </c>
      <c r="E88" s="159">
        <v>0.0</v>
      </c>
      <c r="F88" s="159">
        <v>0.0</v>
      </c>
      <c r="G88" s="159">
        <v>0.0</v>
      </c>
      <c r="H88" s="159">
        <v>0.0</v>
      </c>
      <c r="I88" s="159">
        <v>0.0</v>
      </c>
      <c r="J88" s="159">
        <v>0.0</v>
      </c>
      <c r="K88" s="159">
        <v>0.0</v>
      </c>
      <c r="L88" s="159">
        <v>0.0</v>
      </c>
      <c r="M88" s="159">
        <v>0.0</v>
      </c>
      <c r="N88" s="159">
        <v>0.0</v>
      </c>
      <c r="O88" s="159">
        <v>0.0</v>
      </c>
      <c r="P88" s="159">
        <v>0.0</v>
      </c>
      <c r="Q88" s="159">
        <v>0.0</v>
      </c>
      <c r="R88" s="159">
        <v>0.0</v>
      </c>
      <c r="S88" s="159">
        <v>0.0</v>
      </c>
      <c r="T88" s="159">
        <v>0.0</v>
      </c>
      <c r="U88" s="159">
        <v>0.0</v>
      </c>
      <c r="V88" s="159">
        <v>0.0</v>
      </c>
      <c r="W88" s="159">
        <v>0.0</v>
      </c>
      <c r="X88" s="159">
        <v>0.0</v>
      </c>
      <c r="Y88" s="159">
        <v>0.0</v>
      </c>
      <c r="Z88" s="159">
        <v>0.0</v>
      </c>
      <c r="AA88" s="159">
        <v>0.0</v>
      </c>
      <c r="AB88" s="159">
        <v>0.0</v>
      </c>
      <c r="AC88" s="170"/>
      <c r="AD88" s="170"/>
      <c r="AE88" s="170"/>
      <c r="AF88" s="170"/>
      <c r="AG88" s="830">
        <f t="shared" si="33"/>
        <v>0</v>
      </c>
    </row>
    <row r="89" outlineLevel="1">
      <c r="A89" s="435" t="s">
        <v>115</v>
      </c>
      <c r="B89" s="436">
        <f t="shared" ref="B89:AF89" si="34">SUM(B81:B88)</f>
        <v>0</v>
      </c>
      <c r="C89" s="436">
        <f t="shared" si="34"/>
        <v>0</v>
      </c>
      <c r="D89" s="436">
        <f t="shared" si="34"/>
        <v>0</v>
      </c>
      <c r="E89" s="436">
        <f t="shared" si="34"/>
        <v>0</v>
      </c>
      <c r="F89" s="436">
        <f t="shared" si="34"/>
        <v>0</v>
      </c>
      <c r="G89" s="436">
        <f t="shared" si="34"/>
        <v>0</v>
      </c>
      <c r="H89" s="436">
        <f t="shared" si="34"/>
        <v>0</v>
      </c>
      <c r="I89" s="436">
        <f t="shared" si="34"/>
        <v>0</v>
      </c>
      <c r="J89" s="436">
        <f t="shared" si="34"/>
        <v>0</v>
      </c>
      <c r="K89" s="436">
        <f t="shared" si="34"/>
        <v>0</v>
      </c>
      <c r="L89" s="436">
        <f t="shared" si="34"/>
        <v>0</v>
      </c>
      <c r="M89" s="436">
        <f t="shared" si="34"/>
        <v>0</v>
      </c>
      <c r="N89" s="436">
        <f t="shared" si="34"/>
        <v>0</v>
      </c>
      <c r="O89" s="436">
        <f t="shared" si="34"/>
        <v>0</v>
      </c>
      <c r="P89" s="436">
        <f t="shared" si="34"/>
        <v>0</v>
      </c>
      <c r="Q89" s="436">
        <f t="shared" si="34"/>
        <v>0</v>
      </c>
      <c r="R89" s="436">
        <f t="shared" si="34"/>
        <v>0</v>
      </c>
      <c r="S89" s="436">
        <f t="shared" si="34"/>
        <v>0</v>
      </c>
      <c r="T89" s="436">
        <f t="shared" si="34"/>
        <v>0</v>
      </c>
      <c r="U89" s="436">
        <f t="shared" si="34"/>
        <v>0</v>
      </c>
      <c r="V89" s="436">
        <f t="shared" si="34"/>
        <v>0</v>
      </c>
      <c r="W89" s="436">
        <f t="shared" si="34"/>
        <v>0</v>
      </c>
      <c r="X89" s="436">
        <f t="shared" si="34"/>
        <v>0</v>
      </c>
      <c r="Y89" s="436">
        <f t="shared" si="34"/>
        <v>0</v>
      </c>
      <c r="Z89" s="436">
        <f t="shared" si="34"/>
        <v>0</v>
      </c>
      <c r="AA89" s="436">
        <f t="shared" si="34"/>
        <v>0</v>
      </c>
      <c r="AB89" s="436">
        <f t="shared" si="34"/>
        <v>0</v>
      </c>
      <c r="AC89" s="436">
        <f t="shared" si="34"/>
        <v>0</v>
      </c>
      <c r="AD89" s="436">
        <f t="shared" si="34"/>
        <v>0</v>
      </c>
      <c r="AE89" s="436">
        <f t="shared" si="34"/>
        <v>0</v>
      </c>
      <c r="AF89" s="436">
        <f t="shared" si="34"/>
        <v>0</v>
      </c>
      <c r="AG89" s="841">
        <f t="shared" si="33"/>
        <v>0</v>
      </c>
    </row>
    <row r="90">
      <c r="A90" s="221"/>
      <c r="B90" s="159"/>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30"/>
    </row>
    <row r="91">
      <c r="A91" s="221"/>
      <c r="B91" s="159"/>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30"/>
    </row>
    <row r="92">
      <c r="A92" s="141" t="s">
        <v>1236</v>
      </c>
      <c r="B92" s="159"/>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30"/>
    </row>
    <row r="93">
      <c r="A93" s="157" t="s">
        <v>1237</v>
      </c>
      <c r="B93" s="183">
        <f t="shared" ref="B93:AF93" si="35">(B23+B40)-B110-B138</f>
        <v>0</v>
      </c>
      <c r="C93" s="183">
        <f t="shared" si="35"/>
        <v>0</v>
      </c>
      <c r="D93" s="183">
        <f t="shared" si="35"/>
        <v>0</v>
      </c>
      <c r="E93" s="183">
        <f t="shared" si="35"/>
        <v>0</v>
      </c>
      <c r="F93" s="183">
        <f t="shared" si="35"/>
        <v>0</v>
      </c>
      <c r="G93" s="183">
        <f t="shared" si="35"/>
        <v>-1</v>
      </c>
      <c r="H93" s="183">
        <f t="shared" si="35"/>
        <v>1</v>
      </c>
      <c r="I93" s="183">
        <f t="shared" si="35"/>
        <v>1</v>
      </c>
      <c r="J93" s="183">
        <f t="shared" si="35"/>
        <v>0</v>
      </c>
      <c r="K93" s="183">
        <f t="shared" si="35"/>
        <v>2</v>
      </c>
      <c r="L93" s="183">
        <f t="shared" si="35"/>
        <v>0</v>
      </c>
      <c r="M93" s="183">
        <f t="shared" si="35"/>
        <v>3</v>
      </c>
      <c r="N93" s="183">
        <f t="shared" si="35"/>
        <v>3</v>
      </c>
      <c r="O93" s="184">
        <f t="shared" si="35"/>
        <v>0</v>
      </c>
      <c r="P93" s="184">
        <f t="shared" si="35"/>
        <v>0</v>
      </c>
      <c r="Q93" s="184">
        <f t="shared" si="35"/>
        <v>0</v>
      </c>
      <c r="R93" s="183">
        <f t="shared" si="35"/>
        <v>0</v>
      </c>
      <c r="S93" s="183">
        <f t="shared" si="35"/>
        <v>0</v>
      </c>
      <c r="T93" s="183">
        <f t="shared" si="35"/>
        <v>-1</v>
      </c>
      <c r="U93" s="183">
        <f t="shared" si="35"/>
        <v>0</v>
      </c>
      <c r="V93" s="183">
        <f t="shared" si="35"/>
        <v>0</v>
      </c>
      <c r="W93" s="183">
        <f t="shared" si="35"/>
        <v>0</v>
      </c>
      <c r="X93" s="183">
        <f t="shared" si="35"/>
        <v>0</v>
      </c>
      <c r="Y93" s="183">
        <f t="shared" si="35"/>
        <v>0</v>
      </c>
      <c r="Z93" s="184">
        <f t="shared" si="35"/>
        <v>0</v>
      </c>
      <c r="AA93" s="183">
        <f t="shared" si="35"/>
        <v>0</v>
      </c>
      <c r="AB93" s="183">
        <f t="shared" si="35"/>
        <v>0</v>
      </c>
      <c r="AC93" s="184">
        <f t="shared" si="35"/>
        <v>0</v>
      </c>
      <c r="AD93" s="184">
        <f t="shared" si="35"/>
        <v>0</v>
      </c>
      <c r="AE93" s="184">
        <f t="shared" si="35"/>
        <v>0</v>
      </c>
      <c r="AF93" s="184">
        <f t="shared" si="35"/>
        <v>0</v>
      </c>
      <c r="AG93" s="830">
        <f t="shared" ref="AG93:AG97" si="37">sum(B93:AF93)</f>
        <v>8</v>
      </c>
    </row>
    <row r="94">
      <c r="A94" s="157" t="s">
        <v>1238</v>
      </c>
      <c r="B94" s="183">
        <f t="shared" ref="B94:AF94" si="36">(B24+B41)-B111-B139</f>
        <v>0</v>
      </c>
      <c r="C94" s="183">
        <f t="shared" si="36"/>
        <v>0</v>
      </c>
      <c r="D94" s="183">
        <f t="shared" si="36"/>
        <v>0</v>
      </c>
      <c r="E94" s="183">
        <f t="shared" si="36"/>
        <v>0</v>
      </c>
      <c r="F94" s="183">
        <f t="shared" si="36"/>
        <v>0</v>
      </c>
      <c r="G94" s="183">
        <f t="shared" si="36"/>
        <v>-1</v>
      </c>
      <c r="H94" s="183">
        <f t="shared" si="36"/>
        <v>1</v>
      </c>
      <c r="I94" s="183">
        <f t="shared" si="36"/>
        <v>1</v>
      </c>
      <c r="J94" s="183">
        <f t="shared" si="36"/>
        <v>1</v>
      </c>
      <c r="K94" s="183">
        <f t="shared" si="36"/>
        <v>0</v>
      </c>
      <c r="L94" s="183">
        <f t="shared" si="36"/>
        <v>1</v>
      </c>
      <c r="M94" s="183">
        <f t="shared" si="36"/>
        <v>2</v>
      </c>
      <c r="N94" s="183">
        <f t="shared" si="36"/>
        <v>2</v>
      </c>
      <c r="O94" s="184">
        <f t="shared" si="36"/>
        <v>0</v>
      </c>
      <c r="P94" s="184">
        <f t="shared" si="36"/>
        <v>0</v>
      </c>
      <c r="Q94" s="184">
        <f t="shared" si="36"/>
        <v>0</v>
      </c>
      <c r="R94" s="183">
        <f t="shared" si="36"/>
        <v>0</v>
      </c>
      <c r="S94" s="183">
        <f t="shared" si="36"/>
        <v>0</v>
      </c>
      <c r="T94" s="183">
        <f t="shared" si="36"/>
        <v>0</v>
      </c>
      <c r="U94" s="183">
        <f t="shared" si="36"/>
        <v>0</v>
      </c>
      <c r="V94" s="183">
        <f t="shared" si="36"/>
        <v>0</v>
      </c>
      <c r="W94" s="183">
        <f t="shared" si="36"/>
        <v>0</v>
      </c>
      <c r="X94" s="183">
        <f t="shared" si="36"/>
        <v>0</v>
      </c>
      <c r="Y94" s="183">
        <f t="shared" si="36"/>
        <v>0</v>
      </c>
      <c r="Z94" s="184">
        <f t="shared" si="36"/>
        <v>0</v>
      </c>
      <c r="AA94" s="183">
        <f t="shared" si="36"/>
        <v>0</v>
      </c>
      <c r="AB94" s="183">
        <f t="shared" si="36"/>
        <v>0</v>
      </c>
      <c r="AC94" s="184">
        <f t="shared" si="36"/>
        <v>0</v>
      </c>
      <c r="AD94" s="184">
        <f t="shared" si="36"/>
        <v>0</v>
      </c>
      <c r="AE94" s="184">
        <f t="shared" si="36"/>
        <v>0</v>
      </c>
      <c r="AF94" s="184">
        <f t="shared" si="36"/>
        <v>0</v>
      </c>
      <c r="AG94" s="830">
        <f t="shared" si="37"/>
        <v>7</v>
      </c>
    </row>
    <row r="95">
      <c r="A95" s="157" t="s">
        <v>1239</v>
      </c>
      <c r="B95" s="183">
        <f t="shared" ref="B95:AF95" si="38">(B25+B42)-B112-B140</f>
        <v>3</v>
      </c>
      <c r="C95" s="183">
        <f t="shared" si="38"/>
        <v>0</v>
      </c>
      <c r="D95" s="183">
        <f t="shared" si="38"/>
        <v>2</v>
      </c>
      <c r="E95" s="183">
        <f t="shared" si="38"/>
        <v>1</v>
      </c>
      <c r="F95" s="183">
        <f t="shared" si="38"/>
        <v>1</v>
      </c>
      <c r="G95" s="183">
        <f t="shared" si="38"/>
        <v>-1</v>
      </c>
      <c r="H95" s="183">
        <f t="shared" si="38"/>
        <v>3</v>
      </c>
      <c r="I95" s="183">
        <f t="shared" si="38"/>
        <v>10</v>
      </c>
      <c r="J95" s="183">
        <f t="shared" si="38"/>
        <v>2</v>
      </c>
      <c r="K95" s="183">
        <f t="shared" si="38"/>
        <v>2</v>
      </c>
      <c r="L95" s="183">
        <f t="shared" si="38"/>
        <v>4</v>
      </c>
      <c r="M95" s="183">
        <f t="shared" si="38"/>
        <v>66</v>
      </c>
      <c r="N95" s="183">
        <f t="shared" si="38"/>
        <v>15</v>
      </c>
      <c r="O95" s="184">
        <f t="shared" si="38"/>
        <v>0</v>
      </c>
      <c r="P95" s="184">
        <f t="shared" si="38"/>
        <v>0</v>
      </c>
      <c r="Q95" s="184">
        <f t="shared" si="38"/>
        <v>0</v>
      </c>
      <c r="R95" s="183">
        <f t="shared" si="38"/>
        <v>2</v>
      </c>
      <c r="S95" s="183">
        <f t="shared" si="38"/>
        <v>2</v>
      </c>
      <c r="T95" s="183">
        <f t="shared" si="38"/>
        <v>0</v>
      </c>
      <c r="U95" s="183">
        <f t="shared" si="38"/>
        <v>0</v>
      </c>
      <c r="V95" s="183">
        <f t="shared" si="38"/>
        <v>-1</v>
      </c>
      <c r="W95" s="183">
        <f t="shared" si="38"/>
        <v>0</v>
      </c>
      <c r="X95" s="183">
        <f t="shared" si="38"/>
        <v>0</v>
      </c>
      <c r="Y95" s="183">
        <f t="shared" si="38"/>
        <v>-1</v>
      </c>
      <c r="Z95" s="183">
        <f t="shared" si="38"/>
        <v>0</v>
      </c>
      <c r="AA95" s="183">
        <f t="shared" si="38"/>
        <v>0</v>
      </c>
      <c r="AB95" s="183">
        <f t="shared" si="38"/>
        <v>0</v>
      </c>
      <c r="AC95" s="183">
        <f t="shared" si="38"/>
        <v>0</v>
      </c>
      <c r="AD95" s="183">
        <f t="shared" si="38"/>
        <v>0</v>
      </c>
      <c r="AE95" s="183">
        <f t="shared" si="38"/>
        <v>0</v>
      </c>
      <c r="AF95" s="183">
        <f t="shared" si="38"/>
        <v>0</v>
      </c>
      <c r="AG95" s="830">
        <f t="shared" si="37"/>
        <v>110</v>
      </c>
    </row>
    <row r="96">
      <c r="A96" s="157" t="s">
        <v>1240</v>
      </c>
      <c r="B96" s="183">
        <f t="shared" ref="B96:AF96" si="39">(B26+B43)-B113-B141</f>
        <v>3</v>
      </c>
      <c r="C96" s="183">
        <f t="shared" si="39"/>
        <v>1</v>
      </c>
      <c r="D96" s="183">
        <f t="shared" si="39"/>
        <v>0</v>
      </c>
      <c r="E96" s="183">
        <f t="shared" si="39"/>
        <v>0</v>
      </c>
      <c r="F96" s="183">
        <f t="shared" si="39"/>
        <v>0</v>
      </c>
      <c r="G96" s="183">
        <f t="shared" si="39"/>
        <v>0</v>
      </c>
      <c r="H96" s="183">
        <f t="shared" si="39"/>
        <v>0</v>
      </c>
      <c r="I96" s="183">
        <f t="shared" si="39"/>
        <v>7</v>
      </c>
      <c r="J96" s="183">
        <f t="shared" si="39"/>
        <v>0</v>
      </c>
      <c r="K96" s="183">
        <f t="shared" si="39"/>
        <v>0</v>
      </c>
      <c r="L96" s="183">
        <f t="shared" si="39"/>
        <v>0</v>
      </c>
      <c r="M96" s="183">
        <f t="shared" si="39"/>
        <v>21</v>
      </c>
      <c r="N96" s="183">
        <f t="shared" si="39"/>
        <v>9</v>
      </c>
      <c r="O96" s="184">
        <f t="shared" si="39"/>
        <v>0</v>
      </c>
      <c r="P96" s="184">
        <f t="shared" si="39"/>
        <v>0</v>
      </c>
      <c r="Q96" s="184">
        <f t="shared" si="39"/>
        <v>0</v>
      </c>
      <c r="R96" s="183">
        <f t="shared" si="39"/>
        <v>1</v>
      </c>
      <c r="S96" s="183">
        <f t="shared" si="39"/>
        <v>0</v>
      </c>
      <c r="T96" s="183">
        <f t="shared" si="39"/>
        <v>0</v>
      </c>
      <c r="U96" s="183">
        <f t="shared" si="39"/>
        <v>0</v>
      </c>
      <c r="V96" s="183">
        <f t="shared" si="39"/>
        <v>0</v>
      </c>
      <c r="W96" s="183">
        <f t="shared" si="39"/>
        <v>0</v>
      </c>
      <c r="X96" s="183">
        <f t="shared" si="39"/>
        <v>0</v>
      </c>
      <c r="Y96" s="183">
        <f t="shared" si="39"/>
        <v>0</v>
      </c>
      <c r="Z96" s="183">
        <f t="shared" si="39"/>
        <v>0</v>
      </c>
      <c r="AA96" s="183">
        <f t="shared" si="39"/>
        <v>0</v>
      </c>
      <c r="AB96" s="183">
        <f t="shared" si="39"/>
        <v>0</v>
      </c>
      <c r="AC96" s="183">
        <f t="shared" si="39"/>
        <v>0</v>
      </c>
      <c r="AD96" s="183">
        <f t="shared" si="39"/>
        <v>0</v>
      </c>
      <c r="AE96" s="183">
        <f t="shared" si="39"/>
        <v>0</v>
      </c>
      <c r="AF96" s="183">
        <f t="shared" si="39"/>
        <v>0</v>
      </c>
      <c r="AG96" s="830">
        <f t="shared" si="37"/>
        <v>42</v>
      </c>
    </row>
    <row r="97">
      <c r="A97" s="837" t="s">
        <v>504</v>
      </c>
      <c r="B97" s="299">
        <f t="shared" ref="B97:AF97" si="40">SUM(B93:B96)</f>
        <v>6</v>
      </c>
      <c r="C97" s="299">
        <f t="shared" si="40"/>
        <v>1</v>
      </c>
      <c r="D97" s="299">
        <f t="shared" si="40"/>
        <v>2</v>
      </c>
      <c r="E97" s="299">
        <f t="shared" si="40"/>
        <v>1</v>
      </c>
      <c r="F97" s="299">
        <f t="shared" si="40"/>
        <v>1</v>
      </c>
      <c r="G97" s="299">
        <f t="shared" si="40"/>
        <v>-3</v>
      </c>
      <c r="H97" s="299">
        <f t="shared" si="40"/>
        <v>5</v>
      </c>
      <c r="I97" s="299">
        <f t="shared" si="40"/>
        <v>19</v>
      </c>
      <c r="J97" s="299">
        <f t="shared" si="40"/>
        <v>3</v>
      </c>
      <c r="K97" s="299">
        <f t="shared" si="40"/>
        <v>4</v>
      </c>
      <c r="L97" s="299">
        <f t="shared" si="40"/>
        <v>5</v>
      </c>
      <c r="M97" s="299">
        <f t="shared" si="40"/>
        <v>92</v>
      </c>
      <c r="N97" s="299">
        <f t="shared" si="40"/>
        <v>29</v>
      </c>
      <c r="O97" s="299">
        <f t="shared" si="40"/>
        <v>0</v>
      </c>
      <c r="P97" s="299">
        <f t="shared" si="40"/>
        <v>0</v>
      </c>
      <c r="Q97" s="299">
        <f t="shared" si="40"/>
        <v>0</v>
      </c>
      <c r="R97" s="299">
        <f t="shared" si="40"/>
        <v>3</v>
      </c>
      <c r="S97" s="299">
        <f t="shared" si="40"/>
        <v>2</v>
      </c>
      <c r="T97" s="299">
        <f t="shared" si="40"/>
        <v>-1</v>
      </c>
      <c r="U97" s="299">
        <f t="shared" si="40"/>
        <v>0</v>
      </c>
      <c r="V97" s="299">
        <f t="shared" si="40"/>
        <v>-1</v>
      </c>
      <c r="W97" s="299">
        <f t="shared" si="40"/>
        <v>0</v>
      </c>
      <c r="X97" s="299">
        <f t="shared" si="40"/>
        <v>0</v>
      </c>
      <c r="Y97" s="299">
        <f t="shared" si="40"/>
        <v>-1</v>
      </c>
      <c r="Z97" s="299">
        <f t="shared" si="40"/>
        <v>0</v>
      </c>
      <c r="AA97" s="299">
        <f t="shared" si="40"/>
        <v>0</v>
      </c>
      <c r="AB97" s="299">
        <f t="shared" si="40"/>
        <v>0</v>
      </c>
      <c r="AC97" s="299">
        <f t="shared" si="40"/>
        <v>0</v>
      </c>
      <c r="AD97" s="299">
        <f t="shared" si="40"/>
        <v>0</v>
      </c>
      <c r="AE97" s="299">
        <f t="shared" si="40"/>
        <v>0</v>
      </c>
      <c r="AF97" s="299">
        <f t="shared" si="40"/>
        <v>0</v>
      </c>
      <c r="AG97" s="830">
        <f t="shared" si="37"/>
        <v>167</v>
      </c>
    </row>
    <row r="98">
      <c r="A98" s="100"/>
      <c r="B98" s="167"/>
      <c r="C98" s="167"/>
      <c r="D98" s="167"/>
      <c r="E98" s="167"/>
      <c r="F98" s="167"/>
      <c r="G98" s="167"/>
      <c r="H98" s="167"/>
      <c r="I98" s="167"/>
      <c r="J98" s="85"/>
      <c r="K98" s="85"/>
      <c r="L98" s="85"/>
      <c r="M98" s="85"/>
      <c r="N98" s="85"/>
      <c r="O98" s="85"/>
      <c r="P98" s="85"/>
      <c r="Q98" s="85"/>
      <c r="R98" s="85"/>
      <c r="S98" s="85"/>
      <c r="T98" s="85"/>
      <c r="U98" s="85"/>
      <c r="V98" s="85"/>
      <c r="W98" s="85"/>
      <c r="X98" s="85"/>
      <c r="Y98" s="85"/>
      <c r="Z98" s="85"/>
      <c r="AA98" s="85"/>
      <c r="AB98" s="85"/>
      <c r="AC98" s="85"/>
      <c r="AD98" s="85"/>
      <c r="AE98" s="85"/>
      <c r="AF98" s="85"/>
      <c r="AG98" s="830"/>
    </row>
    <row r="99">
      <c r="A99" s="157" t="s">
        <v>131</v>
      </c>
      <c r="B99" s="185">
        <f t="shared" ref="B99:AF99" si="41">(B29+B46)-B117-B145</f>
        <v>0</v>
      </c>
      <c r="C99" s="185">
        <f t="shared" si="41"/>
        <v>0</v>
      </c>
      <c r="D99" s="185">
        <f t="shared" si="41"/>
        <v>0</v>
      </c>
      <c r="E99" s="185">
        <f t="shared" si="41"/>
        <v>0</v>
      </c>
      <c r="F99" s="185">
        <f t="shared" si="41"/>
        <v>0</v>
      </c>
      <c r="G99" s="185">
        <f t="shared" si="41"/>
        <v>0</v>
      </c>
      <c r="H99" s="185">
        <f t="shared" si="41"/>
        <v>0</v>
      </c>
      <c r="I99" s="185">
        <f t="shared" si="41"/>
        <v>0</v>
      </c>
      <c r="J99" s="185">
        <f t="shared" si="41"/>
        <v>0</v>
      </c>
      <c r="K99" s="185">
        <f t="shared" si="41"/>
        <v>0</v>
      </c>
      <c r="L99" s="185">
        <f t="shared" si="41"/>
        <v>0</v>
      </c>
      <c r="M99" s="185">
        <f t="shared" si="41"/>
        <v>0</v>
      </c>
      <c r="N99" s="185">
        <f t="shared" si="41"/>
        <v>0</v>
      </c>
      <c r="O99" s="185">
        <f t="shared" si="41"/>
        <v>0</v>
      </c>
      <c r="P99" s="185">
        <f t="shared" si="41"/>
        <v>0</v>
      </c>
      <c r="Q99" s="185">
        <f t="shared" si="41"/>
        <v>0</v>
      </c>
      <c r="R99" s="185">
        <f t="shared" si="41"/>
        <v>0</v>
      </c>
      <c r="S99" s="185">
        <f t="shared" si="41"/>
        <v>0</v>
      </c>
      <c r="T99" s="185">
        <f t="shared" si="41"/>
        <v>-1</v>
      </c>
      <c r="U99" s="185">
        <f t="shared" si="41"/>
        <v>0</v>
      </c>
      <c r="V99" s="185">
        <f t="shared" si="41"/>
        <v>0</v>
      </c>
      <c r="W99" s="185">
        <f t="shared" si="41"/>
        <v>0</v>
      </c>
      <c r="X99" s="185">
        <f t="shared" si="41"/>
        <v>0</v>
      </c>
      <c r="Y99" s="185">
        <f t="shared" si="41"/>
        <v>0</v>
      </c>
      <c r="Z99" s="185">
        <f t="shared" si="41"/>
        <v>0</v>
      </c>
      <c r="AA99" s="185">
        <f t="shared" si="41"/>
        <v>0</v>
      </c>
      <c r="AB99" s="185">
        <f t="shared" si="41"/>
        <v>0</v>
      </c>
      <c r="AC99" s="185">
        <f t="shared" si="41"/>
        <v>0</v>
      </c>
      <c r="AD99" s="185">
        <f t="shared" si="41"/>
        <v>0</v>
      </c>
      <c r="AE99" s="185">
        <f t="shared" si="41"/>
        <v>0</v>
      </c>
      <c r="AF99" s="185">
        <f t="shared" si="41"/>
        <v>0</v>
      </c>
      <c r="AG99" s="830">
        <f t="shared" ref="AG99:AG107" si="43">sum(B99:AF99)</f>
        <v>-1</v>
      </c>
    </row>
    <row r="100">
      <c r="A100" s="157" t="s">
        <v>132</v>
      </c>
      <c r="B100" s="185">
        <f t="shared" ref="B100:AF100" si="42">(B30+B47)-B118-B146</f>
        <v>0</v>
      </c>
      <c r="C100" s="185">
        <f t="shared" si="42"/>
        <v>0</v>
      </c>
      <c r="D100" s="185">
        <f t="shared" si="42"/>
        <v>0</v>
      </c>
      <c r="E100" s="185">
        <f t="shared" si="42"/>
        <v>0</v>
      </c>
      <c r="F100" s="185">
        <f t="shared" si="42"/>
        <v>0</v>
      </c>
      <c r="G100" s="185">
        <f t="shared" si="42"/>
        <v>0</v>
      </c>
      <c r="H100" s="185">
        <f t="shared" si="42"/>
        <v>0</v>
      </c>
      <c r="I100" s="185">
        <f t="shared" si="42"/>
        <v>0</v>
      </c>
      <c r="J100" s="185">
        <f t="shared" si="42"/>
        <v>0</v>
      </c>
      <c r="K100" s="185">
        <f t="shared" si="42"/>
        <v>0</v>
      </c>
      <c r="L100" s="185">
        <f t="shared" si="42"/>
        <v>0</v>
      </c>
      <c r="M100" s="185">
        <f t="shared" si="42"/>
        <v>0</v>
      </c>
      <c r="N100" s="185">
        <f t="shared" si="42"/>
        <v>0</v>
      </c>
      <c r="O100" s="185">
        <f t="shared" si="42"/>
        <v>0</v>
      </c>
      <c r="P100" s="185">
        <f t="shared" si="42"/>
        <v>0</v>
      </c>
      <c r="Q100" s="185">
        <f t="shared" si="42"/>
        <v>0</v>
      </c>
      <c r="R100" s="185">
        <f t="shared" si="42"/>
        <v>0</v>
      </c>
      <c r="S100" s="185">
        <f t="shared" si="42"/>
        <v>0</v>
      </c>
      <c r="T100" s="185">
        <f t="shared" si="42"/>
        <v>-1</v>
      </c>
      <c r="U100" s="185">
        <f t="shared" si="42"/>
        <v>0</v>
      </c>
      <c r="V100" s="185">
        <f t="shared" si="42"/>
        <v>-1</v>
      </c>
      <c r="W100" s="185">
        <f t="shared" si="42"/>
        <v>0</v>
      </c>
      <c r="X100" s="185">
        <f t="shared" si="42"/>
        <v>0</v>
      </c>
      <c r="Y100" s="185">
        <f t="shared" si="42"/>
        <v>0</v>
      </c>
      <c r="Z100" s="185">
        <f t="shared" si="42"/>
        <v>0</v>
      </c>
      <c r="AA100" s="185">
        <f t="shared" si="42"/>
        <v>0</v>
      </c>
      <c r="AB100" s="185">
        <f t="shared" si="42"/>
        <v>0</v>
      </c>
      <c r="AC100" s="185">
        <f t="shared" si="42"/>
        <v>0</v>
      </c>
      <c r="AD100" s="185">
        <f t="shared" si="42"/>
        <v>0</v>
      </c>
      <c r="AE100" s="185">
        <f t="shared" si="42"/>
        <v>0</v>
      </c>
      <c r="AF100" s="185">
        <f t="shared" si="42"/>
        <v>0</v>
      </c>
      <c r="AG100" s="830">
        <f t="shared" si="43"/>
        <v>-2</v>
      </c>
    </row>
    <row r="101">
      <c r="A101" s="157" t="s">
        <v>1241</v>
      </c>
      <c r="B101" s="185">
        <f t="shared" ref="B101:AF101" si="44">(B31+B48)-B119-B147</f>
        <v>0</v>
      </c>
      <c r="C101" s="185">
        <f t="shared" si="44"/>
        <v>0</v>
      </c>
      <c r="D101" s="185">
        <f t="shared" si="44"/>
        <v>0</v>
      </c>
      <c r="E101" s="185">
        <f t="shared" si="44"/>
        <v>0</v>
      </c>
      <c r="F101" s="185">
        <f t="shared" si="44"/>
        <v>0</v>
      </c>
      <c r="G101" s="185">
        <f t="shared" si="44"/>
        <v>0</v>
      </c>
      <c r="H101" s="185">
        <f t="shared" si="44"/>
        <v>0</v>
      </c>
      <c r="I101" s="185">
        <f t="shared" si="44"/>
        <v>0</v>
      </c>
      <c r="J101" s="185">
        <f t="shared" si="44"/>
        <v>0</v>
      </c>
      <c r="K101" s="185">
        <f t="shared" si="44"/>
        <v>0</v>
      </c>
      <c r="L101" s="185">
        <f t="shared" si="44"/>
        <v>0</v>
      </c>
      <c r="M101" s="185">
        <f t="shared" si="44"/>
        <v>0</v>
      </c>
      <c r="N101" s="185">
        <f t="shared" si="44"/>
        <v>0</v>
      </c>
      <c r="O101" s="185">
        <f t="shared" si="44"/>
        <v>0</v>
      </c>
      <c r="P101" s="185">
        <f t="shared" si="44"/>
        <v>0</v>
      </c>
      <c r="Q101" s="185">
        <f t="shared" si="44"/>
        <v>0</v>
      </c>
      <c r="R101" s="185">
        <f t="shared" si="44"/>
        <v>0</v>
      </c>
      <c r="S101" s="185">
        <f t="shared" si="44"/>
        <v>0</v>
      </c>
      <c r="T101" s="185">
        <f t="shared" si="44"/>
        <v>0</v>
      </c>
      <c r="U101" s="185">
        <f t="shared" si="44"/>
        <v>0</v>
      </c>
      <c r="V101" s="185">
        <f t="shared" si="44"/>
        <v>0</v>
      </c>
      <c r="W101" s="185">
        <f t="shared" si="44"/>
        <v>0</v>
      </c>
      <c r="X101" s="185">
        <f t="shared" si="44"/>
        <v>0</v>
      </c>
      <c r="Y101" s="185">
        <f t="shared" si="44"/>
        <v>-1</v>
      </c>
      <c r="Z101" s="185">
        <f t="shared" si="44"/>
        <v>0</v>
      </c>
      <c r="AA101" s="185">
        <f t="shared" si="44"/>
        <v>0</v>
      </c>
      <c r="AB101" s="185">
        <f t="shared" si="44"/>
        <v>0</v>
      </c>
      <c r="AC101" s="185">
        <f t="shared" si="44"/>
        <v>0</v>
      </c>
      <c r="AD101" s="185">
        <f t="shared" si="44"/>
        <v>0</v>
      </c>
      <c r="AE101" s="185">
        <f t="shared" si="44"/>
        <v>0</v>
      </c>
      <c r="AF101" s="185">
        <f t="shared" si="44"/>
        <v>0</v>
      </c>
      <c r="AG101" s="830">
        <f t="shared" si="43"/>
        <v>-1</v>
      </c>
    </row>
    <row r="102">
      <c r="A102" s="157" t="s">
        <v>1242</v>
      </c>
      <c r="B102" s="185">
        <f t="shared" ref="B102:AF102" si="45">(B32-B49)-B120-B148</f>
        <v>0</v>
      </c>
      <c r="C102" s="185">
        <f t="shared" si="45"/>
        <v>0</v>
      </c>
      <c r="D102" s="185">
        <f t="shared" si="45"/>
        <v>0</v>
      </c>
      <c r="E102" s="185">
        <f t="shared" si="45"/>
        <v>0</v>
      </c>
      <c r="F102" s="185">
        <f t="shared" si="45"/>
        <v>0</v>
      </c>
      <c r="G102" s="185">
        <f t="shared" si="45"/>
        <v>0</v>
      </c>
      <c r="H102" s="185">
        <f t="shared" si="45"/>
        <v>0</v>
      </c>
      <c r="I102" s="185">
        <f t="shared" si="45"/>
        <v>0</v>
      </c>
      <c r="J102" s="185">
        <f t="shared" si="45"/>
        <v>0</v>
      </c>
      <c r="K102" s="185">
        <f t="shared" si="45"/>
        <v>0</v>
      </c>
      <c r="L102" s="185">
        <f t="shared" si="45"/>
        <v>0</v>
      </c>
      <c r="M102" s="185">
        <f t="shared" si="45"/>
        <v>0</v>
      </c>
      <c r="N102" s="185">
        <f t="shared" si="45"/>
        <v>0</v>
      </c>
      <c r="O102" s="185">
        <f t="shared" si="45"/>
        <v>0</v>
      </c>
      <c r="P102" s="185">
        <f t="shared" si="45"/>
        <v>0</v>
      </c>
      <c r="Q102" s="185">
        <f t="shared" si="45"/>
        <v>0</v>
      </c>
      <c r="R102" s="185">
        <f t="shared" si="45"/>
        <v>0</v>
      </c>
      <c r="S102" s="185">
        <f t="shared" si="45"/>
        <v>0</v>
      </c>
      <c r="T102" s="185">
        <f t="shared" si="45"/>
        <v>0</v>
      </c>
      <c r="U102" s="185">
        <f t="shared" si="45"/>
        <v>0</v>
      </c>
      <c r="V102" s="185">
        <f t="shared" si="45"/>
        <v>0</v>
      </c>
      <c r="W102" s="185">
        <f t="shared" si="45"/>
        <v>0</v>
      </c>
      <c r="X102" s="185">
        <f t="shared" si="45"/>
        <v>0</v>
      </c>
      <c r="Y102" s="185">
        <f t="shared" si="45"/>
        <v>0</v>
      </c>
      <c r="Z102" s="185">
        <f t="shared" si="45"/>
        <v>0</v>
      </c>
      <c r="AA102" s="185">
        <f t="shared" si="45"/>
        <v>0</v>
      </c>
      <c r="AB102" s="185">
        <f t="shared" si="45"/>
        <v>0</v>
      </c>
      <c r="AC102" s="185">
        <f t="shared" si="45"/>
        <v>0</v>
      </c>
      <c r="AD102" s="185">
        <f t="shared" si="45"/>
        <v>0</v>
      </c>
      <c r="AE102" s="185">
        <f t="shared" si="45"/>
        <v>0</v>
      </c>
      <c r="AF102" s="185">
        <f t="shared" si="45"/>
        <v>0</v>
      </c>
      <c r="AG102" s="830">
        <f t="shared" si="43"/>
        <v>0</v>
      </c>
    </row>
    <row r="103">
      <c r="A103" s="157" t="s">
        <v>1243</v>
      </c>
      <c r="B103" s="185">
        <f t="shared" ref="B103:AF103" si="46">(B33-B50)-B121-B149</f>
        <v>0</v>
      </c>
      <c r="C103" s="185">
        <f t="shared" si="46"/>
        <v>0</v>
      </c>
      <c r="D103" s="185">
        <f t="shared" si="46"/>
        <v>0</v>
      </c>
      <c r="E103" s="185">
        <f t="shared" si="46"/>
        <v>0</v>
      </c>
      <c r="F103" s="185">
        <f t="shared" si="46"/>
        <v>0</v>
      </c>
      <c r="G103" s="185">
        <f t="shared" si="46"/>
        <v>-1</v>
      </c>
      <c r="H103" s="185">
        <f t="shared" si="46"/>
        <v>0</v>
      </c>
      <c r="I103" s="185">
        <f t="shared" si="46"/>
        <v>0</v>
      </c>
      <c r="J103" s="185">
        <f t="shared" si="46"/>
        <v>0</v>
      </c>
      <c r="K103" s="185">
        <f t="shared" si="46"/>
        <v>0</v>
      </c>
      <c r="L103" s="185">
        <f t="shared" si="46"/>
        <v>0</v>
      </c>
      <c r="M103" s="185">
        <f t="shared" si="46"/>
        <v>0</v>
      </c>
      <c r="N103" s="185">
        <f t="shared" si="46"/>
        <v>-1</v>
      </c>
      <c r="O103" s="185">
        <f t="shared" si="46"/>
        <v>0</v>
      </c>
      <c r="P103" s="185">
        <f t="shared" si="46"/>
        <v>0</v>
      </c>
      <c r="Q103" s="185">
        <f t="shared" si="46"/>
        <v>0</v>
      </c>
      <c r="R103" s="185">
        <f t="shared" si="46"/>
        <v>0</v>
      </c>
      <c r="S103" s="185">
        <f t="shared" si="46"/>
        <v>0</v>
      </c>
      <c r="T103" s="185">
        <f t="shared" si="46"/>
        <v>-1</v>
      </c>
      <c r="U103" s="185">
        <f t="shared" si="46"/>
        <v>0</v>
      </c>
      <c r="V103" s="185">
        <f t="shared" si="46"/>
        <v>0</v>
      </c>
      <c r="W103" s="185">
        <f t="shared" si="46"/>
        <v>0</v>
      </c>
      <c r="X103" s="185">
        <f t="shared" si="46"/>
        <v>0</v>
      </c>
      <c r="Y103" s="185">
        <f t="shared" si="46"/>
        <v>0</v>
      </c>
      <c r="Z103" s="185">
        <f t="shared" si="46"/>
        <v>0</v>
      </c>
      <c r="AA103" s="185">
        <f t="shared" si="46"/>
        <v>0</v>
      </c>
      <c r="AB103" s="185">
        <f t="shared" si="46"/>
        <v>0</v>
      </c>
      <c r="AC103" s="185">
        <f t="shared" si="46"/>
        <v>0</v>
      </c>
      <c r="AD103" s="185">
        <f t="shared" si="46"/>
        <v>0</v>
      </c>
      <c r="AE103" s="185">
        <f t="shared" si="46"/>
        <v>0</v>
      </c>
      <c r="AF103" s="185">
        <f t="shared" si="46"/>
        <v>0</v>
      </c>
      <c r="AG103" s="830">
        <f t="shared" si="43"/>
        <v>-3</v>
      </c>
    </row>
    <row r="104">
      <c r="A104" s="157" t="s">
        <v>1244</v>
      </c>
      <c r="B104" s="185">
        <f t="shared" ref="B104:AF104" si="47">(B34-B51)-B122-B150</f>
        <v>0</v>
      </c>
      <c r="C104" s="185">
        <f t="shared" si="47"/>
        <v>0</v>
      </c>
      <c r="D104" s="185">
        <f t="shared" si="47"/>
        <v>0</v>
      </c>
      <c r="E104" s="185">
        <f t="shared" si="47"/>
        <v>0</v>
      </c>
      <c r="F104" s="185">
        <f t="shared" si="47"/>
        <v>0</v>
      </c>
      <c r="G104" s="185">
        <f t="shared" si="47"/>
        <v>0</v>
      </c>
      <c r="H104" s="185">
        <f t="shared" si="47"/>
        <v>0</v>
      </c>
      <c r="I104" s="185">
        <f t="shared" si="47"/>
        <v>0</v>
      </c>
      <c r="J104" s="185">
        <f t="shared" si="47"/>
        <v>0</v>
      </c>
      <c r="K104" s="185">
        <f t="shared" si="47"/>
        <v>0</v>
      </c>
      <c r="L104" s="185">
        <f t="shared" si="47"/>
        <v>0</v>
      </c>
      <c r="M104" s="185">
        <f t="shared" si="47"/>
        <v>0</v>
      </c>
      <c r="N104" s="185">
        <f t="shared" si="47"/>
        <v>0</v>
      </c>
      <c r="O104" s="185">
        <f t="shared" si="47"/>
        <v>0</v>
      </c>
      <c r="P104" s="185">
        <f t="shared" si="47"/>
        <v>0</v>
      </c>
      <c r="Q104" s="185">
        <f t="shared" si="47"/>
        <v>0</v>
      </c>
      <c r="R104" s="185">
        <f t="shared" si="47"/>
        <v>0</v>
      </c>
      <c r="S104" s="185">
        <f t="shared" si="47"/>
        <v>0</v>
      </c>
      <c r="T104" s="185">
        <f t="shared" si="47"/>
        <v>0</v>
      </c>
      <c r="U104" s="185">
        <f t="shared" si="47"/>
        <v>0</v>
      </c>
      <c r="V104" s="185">
        <f t="shared" si="47"/>
        <v>0</v>
      </c>
      <c r="W104" s="185">
        <f t="shared" si="47"/>
        <v>0</v>
      </c>
      <c r="X104" s="185">
        <f t="shared" si="47"/>
        <v>0</v>
      </c>
      <c r="Y104" s="185">
        <f t="shared" si="47"/>
        <v>0</v>
      </c>
      <c r="Z104" s="185">
        <f t="shared" si="47"/>
        <v>0</v>
      </c>
      <c r="AA104" s="185">
        <f t="shared" si="47"/>
        <v>0</v>
      </c>
      <c r="AB104" s="185">
        <f t="shared" si="47"/>
        <v>0</v>
      </c>
      <c r="AC104" s="185">
        <f t="shared" si="47"/>
        <v>0</v>
      </c>
      <c r="AD104" s="185">
        <f t="shared" si="47"/>
        <v>0</v>
      </c>
      <c r="AE104" s="185">
        <f t="shared" si="47"/>
        <v>0</v>
      </c>
      <c r="AF104" s="185">
        <f t="shared" si="47"/>
        <v>0</v>
      </c>
      <c r="AG104" s="830">
        <f t="shared" si="43"/>
        <v>0</v>
      </c>
    </row>
    <row r="105">
      <c r="A105" s="157" t="s">
        <v>1245</v>
      </c>
      <c r="B105" s="185">
        <f t="shared" ref="B105:AF105" si="48">(B35-B52)-B123-B151</f>
        <v>0</v>
      </c>
      <c r="C105" s="185">
        <f t="shared" si="48"/>
        <v>0</v>
      </c>
      <c r="D105" s="185">
        <f t="shared" si="48"/>
        <v>0</v>
      </c>
      <c r="E105" s="185">
        <f t="shared" si="48"/>
        <v>0</v>
      </c>
      <c r="F105" s="185">
        <f t="shared" si="48"/>
        <v>0</v>
      </c>
      <c r="G105" s="185">
        <f t="shared" si="48"/>
        <v>0</v>
      </c>
      <c r="H105" s="185">
        <f t="shared" si="48"/>
        <v>0</v>
      </c>
      <c r="I105" s="185">
        <f t="shared" si="48"/>
        <v>0</v>
      </c>
      <c r="J105" s="185">
        <f t="shared" si="48"/>
        <v>0</v>
      </c>
      <c r="K105" s="185">
        <f t="shared" si="48"/>
        <v>0</v>
      </c>
      <c r="L105" s="185">
        <f t="shared" si="48"/>
        <v>0</v>
      </c>
      <c r="M105" s="185">
        <f t="shared" si="48"/>
        <v>0</v>
      </c>
      <c r="N105" s="185">
        <f t="shared" si="48"/>
        <v>0</v>
      </c>
      <c r="O105" s="185">
        <f t="shared" si="48"/>
        <v>0</v>
      </c>
      <c r="P105" s="185">
        <f t="shared" si="48"/>
        <v>0</v>
      </c>
      <c r="Q105" s="185">
        <f t="shared" si="48"/>
        <v>0</v>
      </c>
      <c r="R105" s="185">
        <f t="shared" si="48"/>
        <v>0</v>
      </c>
      <c r="S105" s="185">
        <f t="shared" si="48"/>
        <v>0</v>
      </c>
      <c r="T105" s="185">
        <f t="shared" si="48"/>
        <v>0</v>
      </c>
      <c r="U105" s="185">
        <f t="shared" si="48"/>
        <v>0</v>
      </c>
      <c r="V105" s="185">
        <f t="shared" si="48"/>
        <v>0</v>
      </c>
      <c r="W105" s="185">
        <f t="shared" si="48"/>
        <v>0</v>
      </c>
      <c r="X105" s="185">
        <f t="shared" si="48"/>
        <v>0</v>
      </c>
      <c r="Y105" s="185">
        <f t="shared" si="48"/>
        <v>0</v>
      </c>
      <c r="Z105" s="185">
        <f t="shared" si="48"/>
        <v>0</v>
      </c>
      <c r="AA105" s="185">
        <f t="shared" si="48"/>
        <v>0</v>
      </c>
      <c r="AB105" s="185">
        <f t="shared" si="48"/>
        <v>0</v>
      </c>
      <c r="AC105" s="185">
        <f t="shared" si="48"/>
        <v>0</v>
      </c>
      <c r="AD105" s="185">
        <f t="shared" si="48"/>
        <v>0</v>
      </c>
      <c r="AE105" s="185">
        <f t="shared" si="48"/>
        <v>0</v>
      </c>
      <c r="AF105" s="185">
        <f t="shared" si="48"/>
        <v>0</v>
      </c>
      <c r="AG105" s="830">
        <f t="shared" si="43"/>
        <v>0</v>
      </c>
    </row>
    <row r="106">
      <c r="A106" s="157" t="s">
        <v>1246</v>
      </c>
      <c r="B106" s="185">
        <f t="shared" ref="B106:AF106" si="49">(B36-B53)-B124-B152</f>
        <v>0</v>
      </c>
      <c r="C106" s="185">
        <f t="shared" si="49"/>
        <v>0</v>
      </c>
      <c r="D106" s="185">
        <f t="shared" si="49"/>
        <v>0</v>
      </c>
      <c r="E106" s="185">
        <f t="shared" si="49"/>
        <v>0</v>
      </c>
      <c r="F106" s="185">
        <f t="shared" si="49"/>
        <v>0</v>
      </c>
      <c r="G106" s="185">
        <f t="shared" si="49"/>
        <v>0</v>
      </c>
      <c r="H106" s="185">
        <f t="shared" si="49"/>
        <v>0</v>
      </c>
      <c r="I106" s="185">
        <f t="shared" si="49"/>
        <v>0</v>
      </c>
      <c r="J106" s="185">
        <f t="shared" si="49"/>
        <v>0</v>
      </c>
      <c r="K106" s="185">
        <f t="shared" si="49"/>
        <v>0</v>
      </c>
      <c r="L106" s="185">
        <f t="shared" si="49"/>
        <v>0</v>
      </c>
      <c r="M106" s="185">
        <f t="shared" si="49"/>
        <v>0</v>
      </c>
      <c r="N106" s="185">
        <f t="shared" si="49"/>
        <v>0</v>
      </c>
      <c r="O106" s="185">
        <f t="shared" si="49"/>
        <v>0</v>
      </c>
      <c r="P106" s="185">
        <f t="shared" si="49"/>
        <v>0</v>
      </c>
      <c r="Q106" s="185">
        <f t="shared" si="49"/>
        <v>0</v>
      </c>
      <c r="R106" s="185">
        <f t="shared" si="49"/>
        <v>0</v>
      </c>
      <c r="S106" s="185">
        <f t="shared" si="49"/>
        <v>0</v>
      </c>
      <c r="T106" s="185">
        <f t="shared" si="49"/>
        <v>0</v>
      </c>
      <c r="U106" s="185">
        <f t="shared" si="49"/>
        <v>0</v>
      </c>
      <c r="V106" s="185">
        <f t="shared" si="49"/>
        <v>0</v>
      </c>
      <c r="W106" s="185">
        <f t="shared" si="49"/>
        <v>0</v>
      </c>
      <c r="X106" s="185">
        <f t="shared" si="49"/>
        <v>0</v>
      </c>
      <c r="Y106" s="185">
        <f t="shared" si="49"/>
        <v>0</v>
      </c>
      <c r="Z106" s="185">
        <f t="shared" si="49"/>
        <v>0</v>
      </c>
      <c r="AA106" s="185">
        <f t="shared" si="49"/>
        <v>0</v>
      </c>
      <c r="AB106" s="185">
        <f t="shared" si="49"/>
        <v>0</v>
      </c>
      <c r="AC106" s="185">
        <f t="shared" si="49"/>
        <v>0</v>
      </c>
      <c r="AD106" s="185">
        <f t="shared" si="49"/>
        <v>0</v>
      </c>
      <c r="AE106" s="185">
        <f t="shared" si="49"/>
        <v>0</v>
      </c>
      <c r="AF106" s="185">
        <f t="shared" si="49"/>
        <v>0</v>
      </c>
      <c r="AG106" s="830">
        <f t="shared" si="43"/>
        <v>0</v>
      </c>
    </row>
    <row r="107">
      <c r="A107" s="837" t="s">
        <v>115</v>
      </c>
      <c r="B107" s="299">
        <f t="shared" ref="B107:AF107" si="50">SUM(B99:B106)</f>
        <v>0</v>
      </c>
      <c r="C107" s="299">
        <f t="shared" si="50"/>
        <v>0</v>
      </c>
      <c r="D107" s="299">
        <f t="shared" si="50"/>
        <v>0</v>
      </c>
      <c r="E107" s="299">
        <f t="shared" si="50"/>
        <v>0</v>
      </c>
      <c r="F107" s="299">
        <f t="shared" si="50"/>
        <v>0</v>
      </c>
      <c r="G107" s="299">
        <f t="shared" si="50"/>
        <v>-1</v>
      </c>
      <c r="H107" s="299">
        <f t="shared" si="50"/>
        <v>0</v>
      </c>
      <c r="I107" s="299">
        <f t="shared" si="50"/>
        <v>0</v>
      </c>
      <c r="J107" s="299">
        <f t="shared" si="50"/>
        <v>0</v>
      </c>
      <c r="K107" s="299">
        <f t="shared" si="50"/>
        <v>0</v>
      </c>
      <c r="L107" s="299">
        <f t="shared" si="50"/>
        <v>0</v>
      </c>
      <c r="M107" s="299">
        <f t="shared" si="50"/>
        <v>0</v>
      </c>
      <c r="N107" s="299">
        <f t="shared" si="50"/>
        <v>-1</v>
      </c>
      <c r="O107" s="299">
        <f t="shared" si="50"/>
        <v>0</v>
      </c>
      <c r="P107" s="299">
        <f t="shared" si="50"/>
        <v>0</v>
      </c>
      <c r="Q107" s="299">
        <f t="shared" si="50"/>
        <v>0</v>
      </c>
      <c r="R107" s="299">
        <f t="shared" si="50"/>
        <v>0</v>
      </c>
      <c r="S107" s="299">
        <f t="shared" si="50"/>
        <v>0</v>
      </c>
      <c r="T107" s="299">
        <f t="shared" si="50"/>
        <v>-3</v>
      </c>
      <c r="U107" s="299">
        <f t="shared" si="50"/>
        <v>0</v>
      </c>
      <c r="V107" s="299">
        <f t="shared" si="50"/>
        <v>-1</v>
      </c>
      <c r="W107" s="299">
        <f t="shared" si="50"/>
        <v>0</v>
      </c>
      <c r="X107" s="299">
        <f t="shared" si="50"/>
        <v>0</v>
      </c>
      <c r="Y107" s="299">
        <f t="shared" si="50"/>
        <v>-1</v>
      </c>
      <c r="Z107" s="299">
        <f t="shared" si="50"/>
        <v>0</v>
      </c>
      <c r="AA107" s="299">
        <f t="shared" si="50"/>
        <v>0</v>
      </c>
      <c r="AB107" s="299">
        <f t="shared" si="50"/>
        <v>0</v>
      </c>
      <c r="AC107" s="299">
        <f t="shared" si="50"/>
        <v>0</v>
      </c>
      <c r="AD107" s="299">
        <f t="shared" si="50"/>
        <v>0</v>
      </c>
      <c r="AE107" s="299">
        <f t="shared" si="50"/>
        <v>0</v>
      </c>
      <c r="AF107" s="299">
        <f t="shared" si="50"/>
        <v>0</v>
      </c>
      <c r="AG107" s="830">
        <f t="shared" si="43"/>
        <v>-7</v>
      </c>
    </row>
    <row r="109">
      <c r="A109" s="141" t="s">
        <v>1247</v>
      </c>
      <c r="B109" s="130"/>
      <c r="C109" s="130"/>
      <c r="D109" s="130"/>
      <c r="E109" s="130"/>
      <c r="F109" s="130"/>
      <c r="G109" s="130"/>
      <c r="H109" s="130"/>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42"/>
    </row>
    <row r="110">
      <c r="A110" s="213" t="s">
        <v>1248</v>
      </c>
      <c r="B110" s="165">
        <v>0.0</v>
      </c>
      <c r="C110" s="165">
        <v>0.0</v>
      </c>
      <c r="D110" s="165">
        <v>0.0</v>
      </c>
      <c r="E110" s="165">
        <v>0.0</v>
      </c>
      <c r="F110" s="165">
        <v>0.0</v>
      </c>
      <c r="G110" s="165">
        <v>0.0</v>
      </c>
      <c r="H110" s="165">
        <v>0.0</v>
      </c>
      <c r="I110" s="165">
        <v>0.0</v>
      </c>
      <c r="J110" s="165">
        <v>0.0</v>
      </c>
      <c r="K110" s="165">
        <v>0.0</v>
      </c>
      <c r="L110" s="165">
        <v>0.0</v>
      </c>
      <c r="M110" s="165">
        <v>0.0</v>
      </c>
      <c r="N110" s="165">
        <v>0.0</v>
      </c>
      <c r="O110" s="165">
        <v>0.0</v>
      </c>
      <c r="P110" s="165">
        <v>0.0</v>
      </c>
      <c r="Q110" s="165">
        <v>0.0</v>
      </c>
      <c r="R110" s="165">
        <v>0.0</v>
      </c>
      <c r="S110" s="165">
        <v>0.0</v>
      </c>
      <c r="T110" s="165">
        <v>0.0</v>
      </c>
      <c r="U110" s="165">
        <v>0.0</v>
      </c>
      <c r="V110" s="165">
        <v>0.0</v>
      </c>
      <c r="W110" s="165">
        <v>0.0</v>
      </c>
      <c r="X110" s="165">
        <v>0.0</v>
      </c>
      <c r="Y110" s="165">
        <v>0.0</v>
      </c>
      <c r="Z110" s="165">
        <v>0.0</v>
      </c>
      <c r="AA110" s="165">
        <v>0.0</v>
      </c>
      <c r="AB110" s="165">
        <v>0.0</v>
      </c>
      <c r="AC110" s="165"/>
      <c r="AD110" s="165"/>
      <c r="AE110" s="165"/>
      <c r="AF110" s="165"/>
      <c r="AG110" s="830">
        <f t="shared" ref="AG110:AG115" si="51">SUM(B110:AF110)</f>
        <v>0</v>
      </c>
    </row>
    <row r="111">
      <c r="A111" s="213" t="s">
        <v>1249</v>
      </c>
      <c r="B111" s="165">
        <v>0.0</v>
      </c>
      <c r="C111" s="165">
        <v>0.0</v>
      </c>
      <c r="D111" s="165">
        <v>0.0</v>
      </c>
      <c r="E111" s="165">
        <v>0.0</v>
      </c>
      <c r="F111" s="165">
        <v>0.0</v>
      </c>
      <c r="G111" s="165">
        <v>0.0</v>
      </c>
      <c r="H111" s="165">
        <v>0.0</v>
      </c>
      <c r="I111" s="165">
        <v>0.0</v>
      </c>
      <c r="J111" s="165">
        <v>0.0</v>
      </c>
      <c r="K111" s="165">
        <v>0.0</v>
      </c>
      <c r="L111" s="165">
        <v>0.0</v>
      </c>
      <c r="M111" s="165">
        <v>0.0</v>
      </c>
      <c r="N111" s="165">
        <v>0.0</v>
      </c>
      <c r="O111" s="165">
        <v>0.0</v>
      </c>
      <c r="P111" s="165">
        <v>0.0</v>
      </c>
      <c r="Q111" s="165">
        <v>0.0</v>
      </c>
      <c r="R111" s="165">
        <v>0.0</v>
      </c>
      <c r="S111" s="165">
        <v>0.0</v>
      </c>
      <c r="T111" s="165">
        <v>0.0</v>
      </c>
      <c r="U111" s="165">
        <v>0.0</v>
      </c>
      <c r="V111" s="165">
        <v>0.0</v>
      </c>
      <c r="W111" s="165">
        <v>0.0</v>
      </c>
      <c r="X111" s="165">
        <v>0.0</v>
      </c>
      <c r="Y111" s="165">
        <v>0.0</v>
      </c>
      <c r="Z111" s="165">
        <v>0.0</v>
      </c>
      <c r="AA111" s="165">
        <v>0.0</v>
      </c>
      <c r="AB111" s="165">
        <v>0.0</v>
      </c>
      <c r="AC111" s="165"/>
      <c r="AD111" s="165"/>
      <c r="AE111" s="165"/>
      <c r="AF111" s="165"/>
      <c r="AG111" s="830">
        <f t="shared" si="51"/>
        <v>0</v>
      </c>
    </row>
    <row r="112">
      <c r="A112" s="213" t="s">
        <v>1250</v>
      </c>
      <c r="B112" s="158">
        <v>0.0</v>
      </c>
      <c r="C112" s="158">
        <v>0.0</v>
      </c>
      <c r="D112" s="158">
        <v>0.0</v>
      </c>
      <c r="E112" s="158">
        <v>0.0</v>
      </c>
      <c r="F112" s="158">
        <v>0.0</v>
      </c>
      <c r="G112" s="165">
        <v>1.0</v>
      </c>
      <c r="H112" s="165">
        <v>0.0</v>
      </c>
      <c r="I112" s="165">
        <v>0.0</v>
      </c>
      <c r="J112" s="165">
        <v>0.0</v>
      </c>
      <c r="K112" s="165">
        <v>0.0</v>
      </c>
      <c r="L112" s="165">
        <v>0.0</v>
      </c>
      <c r="M112" s="165">
        <v>0.0</v>
      </c>
      <c r="N112" s="165">
        <v>0.0</v>
      </c>
      <c r="O112" s="165">
        <v>0.0</v>
      </c>
      <c r="P112" s="165">
        <v>0.0</v>
      </c>
      <c r="Q112" s="165">
        <v>0.0</v>
      </c>
      <c r="R112" s="165">
        <v>0.0</v>
      </c>
      <c r="S112" s="165">
        <v>0.0</v>
      </c>
      <c r="T112" s="165">
        <v>0.0</v>
      </c>
      <c r="U112" s="165">
        <v>0.0</v>
      </c>
      <c r="V112" s="165">
        <v>0.0</v>
      </c>
      <c r="W112" s="165">
        <v>0.0</v>
      </c>
      <c r="X112" s="165">
        <v>0.0</v>
      </c>
      <c r="Y112" s="165">
        <v>0.0</v>
      </c>
      <c r="Z112" s="165">
        <v>0.0</v>
      </c>
      <c r="AA112" s="165">
        <v>0.0</v>
      </c>
      <c r="AB112" s="165">
        <v>0.0</v>
      </c>
      <c r="AC112" s="165"/>
      <c r="AD112" s="165"/>
      <c r="AE112" s="165"/>
      <c r="AF112" s="165"/>
      <c r="AG112" s="830">
        <f t="shared" si="51"/>
        <v>1</v>
      </c>
    </row>
    <row r="113">
      <c r="A113" s="213" t="s">
        <v>1251</v>
      </c>
      <c r="B113" s="158">
        <v>0.0</v>
      </c>
      <c r="C113" s="158">
        <v>0.0</v>
      </c>
      <c r="D113" s="158">
        <v>0.0</v>
      </c>
      <c r="E113" s="158">
        <v>0.0</v>
      </c>
      <c r="F113" s="158">
        <v>0.0</v>
      </c>
      <c r="G113" s="165">
        <v>0.0</v>
      </c>
      <c r="H113" s="165">
        <v>0.0</v>
      </c>
      <c r="I113" s="165">
        <v>0.0</v>
      </c>
      <c r="J113" s="165">
        <v>0.0</v>
      </c>
      <c r="K113" s="165">
        <v>0.0</v>
      </c>
      <c r="L113" s="165">
        <v>0.0</v>
      </c>
      <c r="M113" s="165">
        <v>0.0</v>
      </c>
      <c r="N113" s="165">
        <v>0.0</v>
      </c>
      <c r="O113" s="165">
        <v>0.0</v>
      </c>
      <c r="P113" s="165">
        <v>0.0</v>
      </c>
      <c r="Q113" s="165">
        <v>0.0</v>
      </c>
      <c r="R113" s="165">
        <v>0.0</v>
      </c>
      <c r="S113" s="165">
        <v>0.0</v>
      </c>
      <c r="T113" s="165">
        <v>0.0</v>
      </c>
      <c r="U113" s="165">
        <v>0.0</v>
      </c>
      <c r="V113" s="165">
        <v>0.0</v>
      </c>
      <c r="W113" s="165">
        <v>0.0</v>
      </c>
      <c r="X113" s="165">
        <v>0.0</v>
      </c>
      <c r="Y113" s="165">
        <v>0.0</v>
      </c>
      <c r="Z113" s="165">
        <v>0.0</v>
      </c>
      <c r="AA113" s="165">
        <v>0.0</v>
      </c>
      <c r="AB113" s="165">
        <v>0.0</v>
      </c>
      <c r="AC113" s="165"/>
      <c r="AD113" s="165"/>
      <c r="AE113" s="165"/>
      <c r="AF113" s="165"/>
      <c r="AG113" s="830">
        <f t="shared" si="51"/>
        <v>0</v>
      </c>
    </row>
    <row r="114">
      <c r="A114" s="843" t="s">
        <v>504</v>
      </c>
      <c r="B114" s="330">
        <f t="shared" ref="B114:AF114" si="52">SUM(B110:B111)</f>
        <v>0</v>
      </c>
      <c r="C114" s="330">
        <f t="shared" si="52"/>
        <v>0</v>
      </c>
      <c r="D114" s="330">
        <f t="shared" si="52"/>
        <v>0</v>
      </c>
      <c r="E114" s="330">
        <f t="shared" si="52"/>
        <v>0</v>
      </c>
      <c r="F114" s="330">
        <f t="shared" si="52"/>
        <v>0</v>
      </c>
      <c r="G114" s="330">
        <f t="shared" si="52"/>
        <v>0</v>
      </c>
      <c r="H114" s="330">
        <f t="shared" si="52"/>
        <v>0</v>
      </c>
      <c r="I114" s="330">
        <f t="shared" si="52"/>
        <v>0</v>
      </c>
      <c r="J114" s="330">
        <f t="shared" si="52"/>
        <v>0</v>
      </c>
      <c r="K114" s="330">
        <f t="shared" si="52"/>
        <v>0</v>
      </c>
      <c r="L114" s="330">
        <f t="shared" si="52"/>
        <v>0</v>
      </c>
      <c r="M114" s="330">
        <f t="shared" si="52"/>
        <v>0</v>
      </c>
      <c r="N114" s="330">
        <f t="shared" si="52"/>
        <v>0</v>
      </c>
      <c r="O114" s="330">
        <f t="shared" si="52"/>
        <v>0</v>
      </c>
      <c r="P114" s="330">
        <f t="shared" si="52"/>
        <v>0</v>
      </c>
      <c r="Q114" s="330">
        <f t="shared" si="52"/>
        <v>0</v>
      </c>
      <c r="R114" s="330">
        <f t="shared" si="52"/>
        <v>0</v>
      </c>
      <c r="S114" s="330">
        <f t="shared" si="52"/>
        <v>0</v>
      </c>
      <c r="T114" s="330">
        <f t="shared" si="52"/>
        <v>0</v>
      </c>
      <c r="U114" s="330">
        <f t="shared" si="52"/>
        <v>0</v>
      </c>
      <c r="V114" s="330">
        <f t="shared" si="52"/>
        <v>0</v>
      </c>
      <c r="W114" s="330">
        <f t="shared" si="52"/>
        <v>0</v>
      </c>
      <c r="X114" s="330">
        <f t="shared" si="52"/>
        <v>0</v>
      </c>
      <c r="Y114" s="330">
        <f t="shared" si="52"/>
        <v>0</v>
      </c>
      <c r="Z114" s="330">
        <f t="shared" si="52"/>
        <v>0</v>
      </c>
      <c r="AA114" s="330">
        <f t="shared" si="52"/>
        <v>0</v>
      </c>
      <c r="AB114" s="330">
        <f t="shared" si="52"/>
        <v>0</v>
      </c>
      <c r="AC114" s="330">
        <f t="shared" si="52"/>
        <v>0</v>
      </c>
      <c r="AD114" s="330">
        <f t="shared" si="52"/>
        <v>0</v>
      </c>
      <c r="AE114" s="330">
        <f t="shared" si="52"/>
        <v>0</v>
      </c>
      <c r="AF114" s="330">
        <f t="shared" si="52"/>
        <v>0</v>
      </c>
      <c r="AG114" s="830">
        <f t="shared" si="51"/>
        <v>0</v>
      </c>
    </row>
    <row r="115">
      <c r="A115" s="843" t="s">
        <v>505</v>
      </c>
      <c r="B115" s="330">
        <f t="shared" ref="B115:AF115" si="53">SUM(B112:B113)</f>
        <v>0</v>
      </c>
      <c r="C115" s="330">
        <f t="shared" si="53"/>
        <v>0</v>
      </c>
      <c r="D115" s="330">
        <f t="shared" si="53"/>
        <v>0</v>
      </c>
      <c r="E115" s="330">
        <f t="shared" si="53"/>
        <v>0</v>
      </c>
      <c r="F115" s="330">
        <f t="shared" si="53"/>
        <v>0</v>
      </c>
      <c r="G115" s="330">
        <f t="shared" si="53"/>
        <v>1</v>
      </c>
      <c r="H115" s="330">
        <f t="shared" si="53"/>
        <v>0</v>
      </c>
      <c r="I115" s="330">
        <f t="shared" si="53"/>
        <v>0</v>
      </c>
      <c r="J115" s="330">
        <f t="shared" si="53"/>
        <v>0</v>
      </c>
      <c r="K115" s="330">
        <f t="shared" si="53"/>
        <v>0</v>
      </c>
      <c r="L115" s="330">
        <f t="shared" si="53"/>
        <v>0</v>
      </c>
      <c r="M115" s="330">
        <f t="shared" si="53"/>
        <v>0</v>
      </c>
      <c r="N115" s="330">
        <f t="shared" si="53"/>
        <v>0</v>
      </c>
      <c r="O115" s="330">
        <f t="shared" si="53"/>
        <v>0</v>
      </c>
      <c r="P115" s="330">
        <f t="shared" si="53"/>
        <v>0</v>
      </c>
      <c r="Q115" s="330">
        <f t="shared" si="53"/>
        <v>0</v>
      </c>
      <c r="R115" s="330">
        <f t="shared" si="53"/>
        <v>0</v>
      </c>
      <c r="S115" s="330">
        <f t="shared" si="53"/>
        <v>0</v>
      </c>
      <c r="T115" s="330">
        <f t="shared" si="53"/>
        <v>0</v>
      </c>
      <c r="U115" s="330">
        <f t="shared" si="53"/>
        <v>0</v>
      </c>
      <c r="V115" s="330">
        <f t="shared" si="53"/>
        <v>0</v>
      </c>
      <c r="W115" s="330">
        <f t="shared" si="53"/>
        <v>0</v>
      </c>
      <c r="X115" s="330">
        <f t="shared" si="53"/>
        <v>0</v>
      </c>
      <c r="Y115" s="330">
        <f t="shared" si="53"/>
        <v>0</v>
      </c>
      <c r="Z115" s="330">
        <f t="shared" si="53"/>
        <v>0</v>
      </c>
      <c r="AA115" s="330">
        <f t="shared" si="53"/>
        <v>0</v>
      </c>
      <c r="AB115" s="330">
        <f t="shared" si="53"/>
        <v>0</v>
      </c>
      <c r="AC115" s="330">
        <f t="shared" si="53"/>
        <v>0</v>
      </c>
      <c r="AD115" s="330">
        <f t="shared" si="53"/>
        <v>0</v>
      </c>
      <c r="AE115" s="330">
        <f t="shared" si="53"/>
        <v>0</v>
      </c>
      <c r="AF115" s="330">
        <f t="shared" si="53"/>
        <v>0</v>
      </c>
      <c r="AG115" s="830">
        <f t="shared" si="51"/>
        <v>1</v>
      </c>
    </row>
    <row r="116">
      <c r="A116" s="100"/>
      <c r="B116" s="130"/>
      <c r="C116" s="130"/>
      <c r="D116" s="130"/>
      <c r="E116" s="130"/>
      <c r="F116" s="130"/>
      <c r="G116" s="130"/>
      <c r="H116" s="130"/>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30"/>
    </row>
    <row r="117">
      <c r="A117" s="213" t="s">
        <v>1252</v>
      </c>
      <c r="B117" s="165">
        <v>0.0</v>
      </c>
      <c r="C117" s="165">
        <v>0.0</v>
      </c>
      <c r="D117" s="165">
        <v>0.0</v>
      </c>
      <c r="E117" s="165">
        <v>0.0</v>
      </c>
      <c r="F117" s="165">
        <v>0.0</v>
      </c>
      <c r="G117" s="165">
        <v>0.0</v>
      </c>
      <c r="H117" s="165">
        <v>0.0</v>
      </c>
      <c r="I117" s="165">
        <v>0.0</v>
      </c>
      <c r="J117" s="165">
        <v>0.0</v>
      </c>
      <c r="K117" s="165">
        <v>0.0</v>
      </c>
      <c r="L117" s="165">
        <v>0.0</v>
      </c>
      <c r="M117" s="165">
        <v>0.0</v>
      </c>
      <c r="N117" s="165">
        <v>0.0</v>
      </c>
      <c r="O117" s="165">
        <v>0.0</v>
      </c>
      <c r="P117" s="165">
        <v>0.0</v>
      </c>
      <c r="Q117" s="165">
        <v>0.0</v>
      </c>
      <c r="R117" s="165">
        <v>0.0</v>
      </c>
      <c r="S117" s="165">
        <v>0.0</v>
      </c>
      <c r="T117" s="165">
        <v>0.0</v>
      </c>
      <c r="U117" s="165">
        <v>0.0</v>
      </c>
      <c r="V117" s="165">
        <v>0.0</v>
      </c>
      <c r="W117" s="165">
        <v>0.0</v>
      </c>
      <c r="X117" s="165">
        <v>0.0</v>
      </c>
      <c r="Y117" s="165">
        <v>0.0</v>
      </c>
      <c r="Z117" s="165">
        <v>0.0</v>
      </c>
      <c r="AA117" s="165">
        <v>0.0</v>
      </c>
      <c r="AB117" s="165">
        <v>0.0</v>
      </c>
      <c r="AC117" s="165"/>
      <c r="AD117" s="165"/>
      <c r="AE117" s="165"/>
      <c r="AF117" s="165"/>
      <c r="AG117" s="830">
        <f t="shared" ref="AG117:AG125" si="54">SUM(B117:AF117)</f>
        <v>0</v>
      </c>
    </row>
    <row r="118">
      <c r="A118" s="213" t="s">
        <v>1253</v>
      </c>
      <c r="B118" s="165">
        <v>0.0</v>
      </c>
      <c r="C118" s="165">
        <v>0.0</v>
      </c>
      <c r="D118" s="165">
        <v>0.0</v>
      </c>
      <c r="E118" s="165">
        <v>0.0</v>
      </c>
      <c r="F118" s="165">
        <v>0.0</v>
      </c>
      <c r="G118" s="165">
        <v>0.0</v>
      </c>
      <c r="H118" s="165">
        <v>0.0</v>
      </c>
      <c r="I118" s="165">
        <v>0.0</v>
      </c>
      <c r="J118" s="165">
        <v>0.0</v>
      </c>
      <c r="K118" s="165">
        <v>0.0</v>
      </c>
      <c r="L118" s="165">
        <v>0.0</v>
      </c>
      <c r="M118" s="165">
        <v>0.0</v>
      </c>
      <c r="N118" s="165">
        <v>0.0</v>
      </c>
      <c r="O118" s="165">
        <v>0.0</v>
      </c>
      <c r="P118" s="165">
        <v>0.0</v>
      </c>
      <c r="Q118" s="165">
        <v>0.0</v>
      </c>
      <c r="R118" s="165">
        <v>0.0</v>
      </c>
      <c r="S118" s="165">
        <v>0.0</v>
      </c>
      <c r="T118" s="165">
        <v>0.0</v>
      </c>
      <c r="U118" s="165">
        <v>0.0</v>
      </c>
      <c r="V118" s="165">
        <v>0.0</v>
      </c>
      <c r="W118" s="165">
        <v>0.0</v>
      </c>
      <c r="X118" s="165">
        <v>0.0</v>
      </c>
      <c r="Y118" s="165">
        <v>0.0</v>
      </c>
      <c r="Z118" s="165">
        <v>0.0</v>
      </c>
      <c r="AA118" s="165">
        <v>0.0</v>
      </c>
      <c r="AB118" s="165">
        <v>0.0</v>
      </c>
      <c r="AC118" s="165"/>
      <c r="AD118" s="165"/>
      <c r="AE118" s="165"/>
      <c r="AF118" s="165"/>
      <c r="AG118" s="830">
        <f t="shared" si="54"/>
        <v>0</v>
      </c>
    </row>
    <row r="119">
      <c r="A119" s="213" t="s">
        <v>1254</v>
      </c>
      <c r="B119" s="165">
        <v>0.0</v>
      </c>
      <c r="C119" s="165">
        <v>0.0</v>
      </c>
      <c r="D119" s="165">
        <v>0.0</v>
      </c>
      <c r="E119" s="165">
        <v>0.0</v>
      </c>
      <c r="F119" s="165">
        <v>0.0</v>
      </c>
      <c r="G119" s="165">
        <v>0.0</v>
      </c>
      <c r="H119" s="165">
        <v>0.0</v>
      </c>
      <c r="I119" s="165">
        <v>0.0</v>
      </c>
      <c r="J119" s="165">
        <v>0.0</v>
      </c>
      <c r="K119" s="165">
        <v>0.0</v>
      </c>
      <c r="L119" s="165">
        <v>0.0</v>
      </c>
      <c r="M119" s="165">
        <v>0.0</v>
      </c>
      <c r="N119" s="165">
        <v>0.0</v>
      </c>
      <c r="O119" s="165">
        <v>0.0</v>
      </c>
      <c r="P119" s="165">
        <v>0.0</v>
      </c>
      <c r="Q119" s="165">
        <v>0.0</v>
      </c>
      <c r="R119" s="165">
        <v>0.0</v>
      </c>
      <c r="S119" s="165">
        <v>0.0</v>
      </c>
      <c r="T119" s="165">
        <v>0.0</v>
      </c>
      <c r="U119" s="165">
        <v>0.0</v>
      </c>
      <c r="V119" s="165">
        <v>0.0</v>
      </c>
      <c r="W119" s="165">
        <v>0.0</v>
      </c>
      <c r="X119" s="165">
        <v>0.0</v>
      </c>
      <c r="Y119" s="165">
        <v>0.0</v>
      </c>
      <c r="Z119" s="165">
        <v>0.0</v>
      </c>
      <c r="AA119" s="165">
        <v>0.0</v>
      </c>
      <c r="AB119" s="165">
        <v>0.0</v>
      </c>
      <c r="AC119" s="165"/>
      <c r="AD119" s="165"/>
      <c r="AE119" s="165"/>
      <c r="AF119" s="165"/>
      <c r="AG119" s="830">
        <f t="shared" si="54"/>
        <v>0</v>
      </c>
    </row>
    <row r="120">
      <c r="A120" s="213" t="s">
        <v>1255</v>
      </c>
      <c r="B120" s="165">
        <v>0.0</v>
      </c>
      <c r="C120" s="165">
        <v>0.0</v>
      </c>
      <c r="D120" s="165">
        <v>0.0</v>
      </c>
      <c r="E120" s="165">
        <v>0.0</v>
      </c>
      <c r="F120" s="165">
        <v>0.0</v>
      </c>
      <c r="G120" s="165">
        <v>0.0</v>
      </c>
      <c r="H120" s="165">
        <v>0.0</v>
      </c>
      <c r="I120" s="165">
        <v>0.0</v>
      </c>
      <c r="J120" s="165">
        <v>0.0</v>
      </c>
      <c r="K120" s="165">
        <v>0.0</v>
      </c>
      <c r="L120" s="165">
        <v>0.0</v>
      </c>
      <c r="M120" s="165">
        <v>0.0</v>
      </c>
      <c r="N120" s="165">
        <v>0.0</v>
      </c>
      <c r="O120" s="165">
        <v>0.0</v>
      </c>
      <c r="P120" s="165">
        <v>0.0</v>
      </c>
      <c r="Q120" s="165">
        <v>0.0</v>
      </c>
      <c r="R120" s="165">
        <v>0.0</v>
      </c>
      <c r="S120" s="165">
        <v>0.0</v>
      </c>
      <c r="T120" s="165">
        <v>0.0</v>
      </c>
      <c r="U120" s="165">
        <v>0.0</v>
      </c>
      <c r="V120" s="165">
        <v>0.0</v>
      </c>
      <c r="W120" s="165">
        <v>0.0</v>
      </c>
      <c r="X120" s="165">
        <v>0.0</v>
      </c>
      <c r="Y120" s="165">
        <v>0.0</v>
      </c>
      <c r="Z120" s="165">
        <v>0.0</v>
      </c>
      <c r="AA120" s="165">
        <v>0.0</v>
      </c>
      <c r="AB120" s="165">
        <v>0.0</v>
      </c>
      <c r="AC120" s="165"/>
      <c r="AD120" s="165"/>
      <c r="AE120" s="165"/>
      <c r="AF120" s="165"/>
      <c r="AG120" s="830">
        <f t="shared" si="54"/>
        <v>0</v>
      </c>
    </row>
    <row r="121">
      <c r="A121" s="213" t="s">
        <v>1256</v>
      </c>
      <c r="B121" s="165">
        <v>0.0</v>
      </c>
      <c r="C121" s="165">
        <v>0.0</v>
      </c>
      <c r="D121" s="165">
        <v>0.0</v>
      </c>
      <c r="E121" s="165">
        <v>0.0</v>
      </c>
      <c r="F121" s="165">
        <v>0.0</v>
      </c>
      <c r="G121" s="165">
        <v>0.0</v>
      </c>
      <c r="H121" s="165">
        <v>0.0</v>
      </c>
      <c r="I121" s="165">
        <v>0.0</v>
      </c>
      <c r="J121" s="165">
        <v>0.0</v>
      </c>
      <c r="K121" s="165">
        <v>0.0</v>
      </c>
      <c r="L121" s="165">
        <v>0.0</v>
      </c>
      <c r="M121" s="165">
        <v>0.0</v>
      </c>
      <c r="N121" s="165">
        <v>0.0</v>
      </c>
      <c r="O121" s="165">
        <v>0.0</v>
      </c>
      <c r="P121" s="165">
        <v>0.0</v>
      </c>
      <c r="Q121" s="165">
        <v>0.0</v>
      </c>
      <c r="R121" s="165">
        <v>0.0</v>
      </c>
      <c r="S121" s="165">
        <v>0.0</v>
      </c>
      <c r="T121" s="165">
        <v>0.0</v>
      </c>
      <c r="U121" s="165">
        <v>0.0</v>
      </c>
      <c r="V121" s="165">
        <v>0.0</v>
      </c>
      <c r="W121" s="165">
        <v>0.0</v>
      </c>
      <c r="X121" s="165">
        <v>0.0</v>
      </c>
      <c r="Y121" s="165">
        <v>0.0</v>
      </c>
      <c r="Z121" s="165">
        <v>0.0</v>
      </c>
      <c r="AA121" s="165">
        <v>0.0</v>
      </c>
      <c r="AB121" s="165">
        <v>0.0</v>
      </c>
      <c r="AC121" s="165"/>
      <c r="AD121" s="165"/>
      <c r="AE121" s="165"/>
      <c r="AF121" s="165"/>
      <c r="AG121" s="830">
        <f t="shared" si="54"/>
        <v>0</v>
      </c>
    </row>
    <row r="122">
      <c r="A122" s="213" t="s">
        <v>1257</v>
      </c>
      <c r="B122" s="165">
        <v>0.0</v>
      </c>
      <c r="C122" s="165">
        <v>0.0</v>
      </c>
      <c r="D122" s="165">
        <v>0.0</v>
      </c>
      <c r="E122" s="165">
        <v>0.0</v>
      </c>
      <c r="F122" s="165">
        <v>0.0</v>
      </c>
      <c r="G122" s="165">
        <v>0.0</v>
      </c>
      <c r="H122" s="165">
        <v>0.0</v>
      </c>
      <c r="I122" s="165">
        <v>0.0</v>
      </c>
      <c r="J122" s="165">
        <v>0.0</v>
      </c>
      <c r="K122" s="165">
        <v>0.0</v>
      </c>
      <c r="L122" s="165">
        <v>0.0</v>
      </c>
      <c r="M122" s="165">
        <v>0.0</v>
      </c>
      <c r="N122" s="165">
        <v>0.0</v>
      </c>
      <c r="O122" s="165">
        <v>0.0</v>
      </c>
      <c r="P122" s="165">
        <v>0.0</v>
      </c>
      <c r="Q122" s="165">
        <v>0.0</v>
      </c>
      <c r="R122" s="165">
        <v>0.0</v>
      </c>
      <c r="S122" s="165">
        <v>0.0</v>
      </c>
      <c r="T122" s="165">
        <v>0.0</v>
      </c>
      <c r="U122" s="165">
        <v>0.0</v>
      </c>
      <c r="V122" s="165">
        <v>0.0</v>
      </c>
      <c r="W122" s="165">
        <v>0.0</v>
      </c>
      <c r="X122" s="165">
        <v>0.0</v>
      </c>
      <c r="Y122" s="165">
        <v>0.0</v>
      </c>
      <c r="Z122" s="165">
        <v>0.0</v>
      </c>
      <c r="AA122" s="165">
        <v>0.0</v>
      </c>
      <c r="AB122" s="165">
        <v>0.0</v>
      </c>
      <c r="AC122" s="165"/>
      <c r="AD122" s="165"/>
      <c r="AE122" s="165"/>
      <c r="AF122" s="165"/>
      <c r="AG122" s="830">
        <f t="shared" si="54"/>
        <v>0</v>
      </c>
    </row>
    <row r="123">
      <c r="A123" s="213" t="s">
        <v>1258</v>
      </c>
      <c r="B123" s="165">
        <v>0.0</v>
      </c>
      <c r="C123" s="165">
        <v>0.0</v>
      </c>
      <c r="D123" s="165">
        <v>0.0</v>
      </c>
      <c r="E123" s="165">
        <v>0.0</v>
      </c>
      <c r="F123" s="165">
        <v>0.0</v>
      </c>
      <c r="G123" s="165">
        <v>0.0</v>
      </c>
      <c r="H123" s="165">
        <v>0.0</v>
      </c>
      <c r="I123" s="165">
        <v>0.0</v>
      </c>
      <c r="J123" s="165">
        <v>0.0</v>
      </c>
      <c r="K123" s="165">
        <v>0.0</v>
      </c>
      <c r="L123" s="165">
        <v>0.0</v>
      </c>
      <c r="M123" s="165">
        <v>0.0</v>
      </c>
      <c r="N123" s="165">
        <v>0.0</v>
      </c>
      <c r="O123" s="165">
        <v>0.0</v>
      </c>
      <c r="P123" s="165">
        <v>0.0</v>
      </c>
      <c r="Q123" s="165">
        <v>0.0</v>
      </c>
      <c r="R123" s="165">
        <v>0.0</v>
      </c>
      <c r="S123" s="165">
        <v>0.0</v>
      </c>
      <c r="T123" s="165">
        <v>0.0</v>
      </c>
      <c r="U123" s="165">
        <v>0.0</v>
      </c>
      <c r="V123" s="165">
        <v>0.0</v>
      </c>
      <c r="W123" s="165">
        <v>0.0</v>
      </c>
      <c r="X123" s="165">
        <v>0.0</v>
      </c>
      <c r="Y123" s="165">
        <v>0.0</v>
      </c>
      <c r="Z123" s="165">
        <v>0.0</v>
      </c>
      <c r="AA123" s="165">
        <v>0.0</v>
      </c>
      <c r="AB123" s="165">
        <v>0.0</v>
      </c>
      <c r="AC123" s="165"/>
      <c r="AD123" s="165"/>
      <c r="AE123" s="165"/>
      <c r="AF123" s="165"/>
      <c r="AG123" s="830">
        <f t="shared" si="54"/>
        <v>0</v>
      </c>
    </row>
    <row r="124">
      <c r="A124" s="213" t="s">
        <v>1259</v>
      </c>
      <c r="B124" s="165">
        <v>0.0</v>
      </c>
      <c r="C124" s="165">
        <v>0.0</v>
      </c>
      <c r="D124" s="165">
        <v>0.0</v>
      </c>
      <c r="E124" s="165">
        <v>0.0</v>
      </c>
      <c r="F124" s="165">
        <v>0.0</v>
      </c>
      <c r="G124" s="165">
        <v>0.0</v>
      </c>
      <c r="H124" s="165">
        <v>0.0</v>
      </c>
      <c r="I124" s="165">
        <v>0.0</v>
      </c>
      <c r="J124" s="165">
        <v>0.0</v>
      </c>
      <c r="K124" s="165">
        <v>0.0</v>
      </c>
      <c r="L124" s="165">
        <v>0.0</v>
      </c>
      <c r="M124" s="165">
        <v>0.0</v>
      </c>
      <c r="N124" s="165">
        <v>0.0</v>
      </c>
      <c r="O124" s="165">
        <v>0.0</v>
      </c>
      <c r="P124" s="165">
        <v>0.0</v>
      </c>
      <c r="Q124" s="165">
        <v>0.0</v>
      </c>
      <c r="R124" s="165">
        <v>0.0</v>
      </c>
      <c r="S124" s="165">
        <v>0.0</v>
      </c>
      <c r="T124" s="165">
        <v>0.0</v>
      </c>
      <c r="U124" s="165">
        <v>0.0</v>
      </c>
      <c r="V124" s="165">
        <v>0.0</v>
      </c>
      <c r="W124" s="165">
        <v>0.0</v>
      </c>
      <c r="X124" s="165">
        <v>0.0</v>
      </c>
      <c r="Y124" s="165">
        <v>0.0</v>
      </c>
      <c r="Z124" s="165">
        <v>0.0</v>
      </c>
      <c r="AA124" s="165">
        <v>0.0</v>
      </c>
      <c r="AB124" s="165">
        <v>0.0</v>
      </c>
      <c r="AC124" s="165"/>
      <c r="AD124" s="165"/>
      <c r="AE124" s="165"/>
      <c r="AF124" s="165"/>
      <c r="AG124" s="830">
        <f t="shared" si="54"/>
        <v>0</v>
      </c>
    </row>
    <row r="125">
      <c r="A125" s="844" t="s">
        <v>657</v>
      </c>
      <c r="B125" s="330">
        <f t="shared" ref="B125:AF125" si="55">SUM(B117:B124)</f>
        <v>0</v>
      </c>
      <c r="C125" s="330">
        <f t="shared" si="55"/>
        <v>0</v>
      </c>
      <c r="D125" s="330">
        <f t="shared" si="55"/>
        <v>0</v>
      </c>
      <c r="E125" s="330">
        <f t="shared" si="55"/>
        <v>0</v>
      </c>
      <c r="F125" s="330">
        <f t="shared" si="55"/>
        <v>0</v>
      </c>
      <c r="G125" s="330">
        <f t="shared" si="55"/>
        <v>0</v>
      </c>
      <c r="H125" s="330">
        <f t="shared" si="55"/>
        <v>0</v>
      </c>
      <c r="I125" s="330">
        <f t="shared" si="55"/>
        <v>0</v>
      </c>
      <c r="J125" s="330">
        <f t="shared" si="55"/>
        <v>0</v>
      </c>
      <c r="K125" s="330">
        <f t="shared" si="55"/>
        <v>0</v>
      </c>
      <c r="L125" s="330">
        <f t="shared" si="55"/>
        <v>0</v>
      </c>
      <c r="M125" s="330">
        <f t="shared" si="55"/>
        <v>0</v>
      </c>
      <c r="N125" s="330">
        <f t="shared" si="55"/>
        <v>0</v>
      </c>
      <c r="O125" s="330">
        <f t="shared" si="55"/>
        <v>0</v>
      </c>
      <c r="P125" s="330">
        <f t="shared" si="55"/>
        <v>0</v>
      </c>
      <c r="Q125" s="330">
        <f t="shared" si="55"/>
        <v>0</v>
      </c>
      <c r="R125" s="330">
        <f t="shared" si="55"/>
        <v>0</v>
      </c>
      <c r="S125" s="330">
        <f t="shared" si="55"/>
        <v>0</v>
      </c>
      <c r="T125" s="330">
        <f t="shared" si="55"/>
        <v>0</v>
      </c>
      <c r="U125" s="330">
        <f t="shared" si="55"/>
        <v>0</v>
      </c>
      <c r="V125" s="330">
        <f t="shared" si="55"/>
        <v>0</v>
      </c>
      <c r="W125" s="330">
        <f t="shared" si="55"/>
        <v>0</v>
      </c>
      <c r="X125" s="330">
        <f t="shared" si="55"/>
        <v>0</v>
      </c>
      <c r="Y125" s="330">
        <f t="shared" si="55"/>
        <v>0</v>
      </c>
      <c r="Z125" s="330">
        <f t="shared" si="55"/>
        <v>0</v>
      </c>
      <c r="AA125" s="330">
        <f t="shared" si="55"/>
        <v>0</v>
      </c>
      <c r="AB125" s="330">
        <f t="shared" si="55"/>
        <v>0</v>
      </c>
      <c r="AC125" s="330">
        <f t="shared" si="55"/>
        <v>0</v>
      </c>
      <c r="AD125" s="330">
        <f t="shared" si="55"/>
        <v>0</v>
      </c>
      <c r="AE125" s="330">
        <f t="shared" si="55"/>
        <v>0</v>
      </c>
      <c r="AF125" s="330">
        <f t="shared" si="55"/>
        <v>0</v>
      </c>
      <c r="AG125" s="830">
        <f t="shared" si="54"/>
        <v>0</v>
      </c>
    </row>
    <row r="126">
      <c r="A126" s="100"/>
      <c r="B126" s="130"/>
      <c r="C126" s="130"/>
      <c r="D126" s="130"/>
      <c r="E126" s="130"/>
      <c r="F126" s="130"/>
      <c r="G126" s="130"/>
      <c r="H126" s="130"/>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30"/>
    </row>
    <row r="127">
      <c r="A127" s="213" t="s">
        <v>1260</v>
      </c>
      <c r="B127" s="165">
        <v>0.0</v>
      </c>
      <c r="C127" s="165">
        <v>0.0</v>
      </c>
      <c r="D127" s="165">
        <v>0.0</v>
      </c>
      <c r="E127" s="165">
        <v>0.0</v>
      </c>
      <c r="F127" s="165">
        <v>0.0</v>
      </c>
      <c r="G127" s="165">
        <v>0.0</v>
      </c>
      <c r="H127" s="165">
        <v>0.0</v>
      </c>
      <c r="I127" s="165">
        <v>0.0</v>
      </c>
      <c r="J127" s="165">
        <v>0.0</v>
      </c>
      <c r="K127" s="165">
        <v>0.0</v>
      </c>
      <c r="L127" s="165">
        <v>0.0</v>
      </c>
      <c r="M127" s="165">
        <v>0.0</v>
      </c>
      <c r="N127" s="165">
        <v>0.0</v>
      </c>
      <c r="O127" s="165">
        <v>0.0</v>
      </c>
      <c r="P127" s="165">
        <v>0.0</v>
      </c>
      <c r="Q127" s="165">
        <v>0.0</v>
      </c>
      <c r="R127" s="165">
        <v>0.0</v>
      </c>
      <c r="S127" s="165">
        <v>0.0</v>
      </c>
      <c r="T127" s="165">
        <v>0.0</v>
      </c>
      <c r="U127" s="165">
        <v>0.0</v>
      </c>
      <c r="V127" s="165">
        <v>0.0</v>
      </c>
      <c r="W127" s="165">
        <v>0.0</v>
      </c>
      <c r="X127" s="165">
        <v>0.0</v>
      </c>
      <c r="Y127" s="165">
        <v>0.0</v>
      </c>
      <c r="Z127" s="165">
        <v>0.0</v>
      </c>
      <c r="AA127" s="165">
        <v>0.0</v>
      </c>
      <c r="AB127" s="165">
        <v>0.0</v>
      </c>
      <c r="AC127" s="165"/>
      <c r="AD127" s="165"/>
      <c r="AE127" s="165"/>
      <c r="AF127" s="165"/>
      <c r="AG127" s="830">
        <f t="shared" ref="AG127:AG135" si="56">SUM(B127:AF127)</f>
        <v>0</v>
      </c>
    </row>
    <row r="128">
      <c r="A128" s="213" t="s">
        <v>1261</v>
      </c>
      <c r="B128" s="165">
        <v>0.0</v>
      </c>
      <c r="C128" s="165">
        <v>0.0</v>
      </c>
      <c r="D128" s="165">
        <v>0.0</v>
      </c>
      <c r="E128" s="165">
        <v>0.0</v>
      </c>
      <c r="F128" s="165">
        <v>0.0</v>
      </c>
      <c r="G128" s="165">
        <v>0.0</v>
      </c>
      <c r="H128" s="165">
        <v>0.0</v>
      </c>
      <c r="I128" s="165">
        <v>0.0</v>
      </c>
      <c r="J128" s="165">
        <v>0.0</v>
      </c>
      <c r="K128" s="165">
        <v>0.0</v>
      </c>
      <c r="L128" s="165">
        <v>0.0</v>
      </c>
      <c r="M128" s="165">
        <v>0.0</v>
      </c>
      <c r="N128" s="165">
        <v>0.0</v>
      </c>
      <c r="O128" s="165">
        <v>0.0</v>
      </c>
      <c r="P128" s="165">
        <v>0.0</v>
      </c>
      <c r="Q128" s="165">
        <v>0.0</v>
      </c>
      <c r="R128" s="165">
        <v>0.0</v>
      </c>
      <c r="S128" s="165">
        <v>0.0</v>
      </c>
      <c r="T128" s="165">
        <v>0.0</v>
      </c>
      <c r="U128" s="165">
        <v>0.0</v>
      </c>
      <c r="V128" s="165">
        <v>0.0</v>
      </c>
      <c r="W128" s="165">
        <v>0.0</v>
      </c>
      <c r="X128" s="165">
        <v>0.0</v>
      </c>
      <c r="Y128" s="165">
        <v>0.0</v>
      </c>
      <c r="Z128" s="165">
        <v>0.0</v>
      </c>
      <c r="AA128" s="165">
        <v>0.0</v>
      </c>
      <c r="AB128" s="165">
        <v>0.0</v>
      </c>
      <c r="AC128" s="165"/>
      <c r="AD128" s="165"/>
      <c r="AE128" s="165"/>
      <c r="AF128" s="165"/>
      <c r="AG128" s="830">
        <f t="shared" si="56"/>
        <v>0</v>
      </c>
    </row>
    <row r="129">
      <c r="A129" s="213" t="s">
        <v>1262</v>
      </c>
      <c r="B129" s="165">
        <v>0.0</v>
      </c>
      <c r="C129" s="165">
        <v>0.0</v>
      </c>
      <c r="D129" s="165">
        <v>0.0</v>
      </c>
      <c r="E129" s="165">
        <v>0.0</v>
      </c>
      <c r="F129" s="165">
        <v>0.0</v>
      </c>
      <c r="G129" s="165">
        <v>0.0</v>
      </c>
      <c r="H129" s="165">
        <v>0.0</v>
      </c>
      <c r="I129" s="165">
        <v>0.0</v>
      </c>
      <c r="J129" s="165">
        <v>0.0</v>
      </c>
      <c r="K129" s="165">
        <v>0.0</v>
      </c>
      <c r="L129" s="165">
        <v>0.0</v>
      </c>
      <c r="M129" s="165">
        <v>0.0</v>
      </c>
      <c r="N129" s="165">
        <v>0.0</v>
      </c>
      <c r="O129" s="165">
        <v>0.0</v>
      </c>
      <c r="P129" s="165">
        <v>0.0</v>
      </c>
      <c r="Q129" s="165">
        <v>0.0</v>
      </c>
      <c r="R129" s="165">
        <v>0.0</v>
      </c>
      <c r="S129" s="165">
        <v>0.0</v>
      </c>
      <c r="T129" s="165">
        <v>0.0</v>
      </c>
      <c r="U129" s="165">
        <v>0.0</v>
      </c>
      <c r="V129" s="165">
        <v>0.0</v>
      </c>
      <c r="W129" s="165">
        <v>0.0</v>
      </c>
      <c r="X129" s="165">
        <v>0.0</v>
      </c>
      <c r="Y129" s="165">
        <v>0.0</v>
      </c>
      <c r="Z129" s="165">
        <v>0.0</v>
      </c>
      <c r="AA129" s="165">
        <v>0.0</v>
      </c>
      <c r="AB129" s="165">
        <v>0.0</v>
      </c>
      <c r="AC129" s="165"/>
      <c r="AD129" s="165"/>
      <c r="AE129" s="165"/>
      <c r="AF129" s="165"/>
      <c r="AG129" s="830">
        <f t="shared" si="56"/>
        <v>0</v>
      </c>
    </row>
    <row r="130">
      <c r="A130" s="213" t="s">
        <v>1263</v>
      </c>
      <c r="B130" s="165">
        <v>0.0</v>
      </c>
      <c r="C130" s="165">
        <v>0.0</v>
      </c>
      <c r="D130" s="165">
        <v>0.0</v>
      </c>
      <c r="E130" s="165">
        <v>0.0</v>
      </c>
      <c r="F130" s="165">
        <v>0.0</v>
      </c>
      <c r="G130" s="165">
        <v>0.0</v>
      </c>
      <c r="H130" s="165">
        <v>0.0</v>
      </c>
      <c r="I130" s="165">
        <v>0.0</v>
      </c>
      <c r="J130" s="165">
        <v>0.0</v>
      </c>
      <c r="K130" s="165">
        <v>0.0</v>
      </c>
      <c r="L130" s="165">
        <v>0.0</v>
      </c>
      <c r="M130" s="165">
        <v>0.0</v>
      </c>
      <c r="N130" s="165">
        <v>0.0</v>
      </c>
      <c r="O130" s="165">
        <v>0.0</v>
      </c>
      <c r="P130" s="165">
        <v>0.0</v>
      </c>
      <c r="Q130" s="165">
        <v>0.0</v>
      </c>
      <c r="R130" s="165">
        <v>0.0</v>
      </c>
      <c r="S130" s="165">
        <v>0.0</v>
      </c>
      <c r="T130" s="165">
        <v>0.0</v>
      </c>
      <c r="U130" s="165">
        <v>0.0</v>
      </c>
      <c r="V130" s="165">
        <v>0.0</v>
      </c>
      <c r="W130" s="165">
        <v>0.0</v>
      </c>
      <c r="X130" s="165">
        <v>0.0</v>
      </c>
      <c r="Y130" s="165">
        <v>0.0</v>
      </c>
      <c r="Z130" s="165">
        <v>0.0</v>
      </c>
      <c r="AA130" s="165">
        <v>0.0</v>
      </c>
      <c r="AB130" s="165">
        <v>0.0</v>
      </c>
      <c r="AC130" s="165"/>
      <c r="AD130" s="165"/>
      <c r="AE130" s="165"/>
      <c r="AF130" s="165"/>
      <c r="AG130" s="830">
        <f t="shared" si="56"/>
        <v>0</v>
      </c>
    </row>
    <row r="131">
      <c r="A131" s="213" t="s">
        <v>1264</v>
      </c>
      <c r="B131" s="165">
        <v>0.0</v>
      </c>
      <c r="C131" s="165">
        <v>0.0</v>
      </c>
      <c r="D131" s="165">
        <v>0.0</v>
      </c>
      <c r="E131" s="165">
        <v>0.0</v>
      </c>
      <c r="F131" s="165">
        <v>0.0</v>
      </c>
      <c r="G131" s="165">
        <v>0.0</v>
      </c>
      <c r="H131" s="165">
        <v>0.0</v>
      </c>
      <c r="I131" s="165">
        <v>0.0</v>
      </c>
      <c r="J131" s="165">
        <v>0.0</v>
      </c>
      <c r="K131" s="165">
        <v>0.0</v>
      </c>
      <c r="L131" s="165">
        <v>0.0</v>
      </c>
      <c r="M131" s="165">
        <v>0.0</v>
      </c>
      <c r="N131" s="165">
        <v>0.0</v>
      </c>
      <c r="O131" s="165">
        <v>0.0</v>
      </c>
      <c r="P131" s="165">
        <v>0.0</v>
      </c>
      <c r="Q131" s="165">
        <v>0.0</v>
      </c>
      <c r="R131" s="165">
        <v>0.0</v>
      </c>
      <c r="S131" s="165">
        <v>0.0</v>
      </c>
      <c r="T131" s="165">
        <v>0.0</v>
      </c>
      <c r="U131" s="165">
        <v>0.0</v>
      </c>
      <c r="V131" s="165">
        <v>0.0</v>
      </c>
      <c r="W131" s="165">
        <v>0.0</v>
      </c>
      <c r="X131" s="165">
        <v>0.0</v>
      </c>
      <c r="Y131" s="165">
        <v>0.0</v>
      </c>
      <c r="Z131" s="165">
        <v>0.0</v>
      </c>
      <c r="AA131" s="165">
        <v>0.0</v>
      </c>
      <c r="AB131" s="165">
        <v>0.0</v>
      </c>
      <c r="AC131" s="165"/>
      <c r="AD131" s="165"/>
      <c r="AE131" s="165"/>
      <c r="AF131" s="165"/>
      <c r="AG131" s="830">
        <f t="shared" si="56"/>
        <v>0</v>
      </c>
    </row>
    <row r="132">
      <c r="A132" s="213" t="s">
        <v>1265</v>
      </c>
      <c r="B132" s="165">
        <v>0.0</v>
      </c>
      <c r="C132" s="165">
        <v>0.0</v>
      </c>
      <c r="D132" s="165">
        <v>0.0</v>
      </c>
      <c r="E132" s="165">
        <v>0.0</v>
      </c>
      <c r="F132" s="165">
        <v>0.0</v>
      </c>
      <c r="G132" s="165">
        <v>0.0</v>
      </c>
      <c r="H132" s="165">
        <v>0.0</v>
      </c>
      <c r="I132" s="165">
        <v>0.0</v>
      </c>
      <c r="J132" s="165">
        <v>0.0</v>
      </c>
      <c r="K132" s="165">
        <v>0.0</v>
      </c>
      <c r="L132" s="165">
        <v>0.0</v>
      </c>
      <c r="M132" s="165">
        <v>0.0</v>
      </c>
      <c r="N132" s="165">
        <v>0.0</v>
      </c>
      <c r="O132" s="165">
        <v>0.0</v>
      </c>
      <c r="P132" s="165">
        <v>0.0</v>
      </c>
      <c r="Q132" s="165">
        <v>0.0</v>
      </c>
      <c r="R132" s="165">
        <v>0.0</v>
      </c>
      <c r="S132" s="165">
        <v>0.0</v>
      </c>
      <c r="T132" s="165">
        <v>0.0</v>
      </c>
      <c r="U132" s="165">
        <v>0.0</v>
      </c>
      <c r="V132" s="165">
        <v>0.0</v>
      </c>
      <c r="W132" s="165">
        <v>0.0</v>
      </c>
      <c r="X132" s="165">
        <v>0.0</v>
      </c>
      <c r="Y132" s="165">
        <v>0.0</v>
      </c>
      <c r="Z132" s="165">
        <v>0.0</v>
      </c>
      <c r="AA132" s="165">
        <v>0.0</v>
      </c>
      <c r="AB132" s="165">
        <v>0.0</v>
      </c>
      <c r="AC132" s="165"/>
      <c r="AD132" s="165"/>
      <c r="AE132" s="165"/>
      <c r="AF132" s="165"/>
      <c r="AG132" s="830">
        <f t="shared" si="56"/>
        <v>0</v>
      </c>
    </row>
    <row r="133">
      <c r="A133" s="213" t="s">
        <v>1266</v>
      </c>
      <c r="B133" s="165">
        <v>0.0</v>
      </c>
      <c r="C133" s="165">
        <v>0.0</v>
      </c>
      <c r="D133" s="165">
        <v>0.0</v>
      </c>
      <c r="E133" s="165">
        <v>0.0</v>
      </c>
      <c r="F133" s="165">
        <v>0.0</v>
      </c>
      <c r="G133" s="165">
        <v>0.0</v>
      </c>
      <c r="H133" s="165">
        <v>0.0</v>
      </c>
      <c r="I133" s="165">
        <v>0.0</v>
      </c>
      <c r="J133" s="165">
        <v>0.0</v>
      </c>
      <c r="K133" s="165">
        <v>0.0</v>
      </c>
      <c r="L133" s="165">
        <v>0.0</v>
      </c>
      <c r="M133" s="165">
        <v>0.0</v>
      </c>
      <c r="N133" s="165">
        <v>0.0</v>
      </c>
      <c r="O133" s="165">
        <v>0.0</v>
      </c>
      <c r="P133" s="165">
        <v>0.0</v>
      </c>
      <c r="Q133" s="165">
        <v>0.0</v>
      </c>
      <c r="R133" s="165">
        <v>0.0</v>
      </c>
      <c r="S133" s="165">
        <v>0.0</v>
      </c>
      <c r="T133" s="165">
        <v>0.0</v>
      </c>
      <c r="U133" s="165">
        <v>0.0</v>
      </c>
      <c r="V133" s="165">
        <v>0.0</v>
      </c>
      <c r="W133" s="165">
        <v>0.0</v>
      </c>
      <c r="X133" s="165">
        <v>0.0</v>
      </c>
      <c r="Y133" s="165">
        <v>0.0</v>
      </c>
      <c r="Z133" s="165">
        <v>0.0</v>
      </c>
      <c r="AA133" s="165">
        <v>0.0</v>
      </c>
      <c r="AB133" s="165">
        <v>0.0</v>
      </c>
      <c r="AC133" s="165"/>
      <c r="AD133" s="165"/>
      <c r="AE133" s="165"/>
      <c r="AF133" s="165"/>
      <c r="AG133" s="830">
        <f t="shared" si="56"/>
        <v>0</v>
      </c>
    </row>
    <row r="134">
      <c r="A134" s="213" t="s">
        <v>1267</v>
      </c>
      <c r="B134" s="165">
        <v>0.0</v>
      </c>
      <c r="C134" s="165">
        <v>0.0</v>
      </c>
      <c r="D134" s="165">
        <v>0.0</v>
      </c>
      <c r="E134" s="165">
        <v>0.0</v>
      </c>
      <c r="F134" s="165">
        <v>0.0</v>
      </c>
      <c r="G134" s="165">
        <v>0.0</v>
      </c>
      <c r="H134" s="165">
        <v>0.0</v>
      </c>
      <c r="I134" s="165">
        <v>0.0</v>
      </c>
      <c r="J134" s="165">
        <v>0.0</v>
      </c>
      <c r="K134" s="165">
        <v>0.0</v>
      </c>
      <c r="L134" s="165">
        <v>0.0</v>
      </c>
      <c r="M134" s="165">
        <v>0.0</v>
      </c>
      <c r="N134" s="165">
        <v>0.0</v>
      </c>
      <c r="O134" s="165">
        <v>0.0</v>
      </c>
      <c r="P134" s="165">
        <v>0.0</v>
      </c>
      <c r="Q134" s="165">
        <v>0.0</v>
      </c>
      <c r="R134" s="165">
        <v>0.0</v>
      </c>
      <c r="S134" s="165">
        <v>0.0</v>
      </c>
      <c r="T134" s="165">
        <v>0.0</v>
      </c>
      <c r="U134" s="165">
        <v>0.0</v>
      </c>
      <c r="V134" s="165">
        <v>0.0</v>
      </c>
      <c r="W134" s="165">
        <v>0.0</v>
      </c>
      <c r="X134" s="165">
        <v>0.0</v>
      </c>
      <c r="Y134" s="165">
        <v>0.0</v>
      </c>
      <c r="Z134" s="165">
        <v>0.0</v>
      </c>
      <c r="AA134" s="165">
        <v>0.0</v>
      </c>
      <c r="AB134" s="165">
        <v>0.0</v>
      </c>
      <c r="AC134" s="165"/>
      <c r="AD134" s="165"/>
      <c r="AE134" s="165"/>
      <c r="AF134" s="165"/>
      <c r="AG134" s="830">
        <f t="shared" si="56"/>
        <v>0</v>
      </c>
    </row>
    <row r="135">
      <c r="A135" s="844" t="s">
        <v>1268</v>
      </c>
      <c r="B135" s="330">
        <f t="shared" ref="B135:AF135" si="57">SUM(B127:B134)</f>
        <v>0</v>
      </c>
      <c r="C135" s="330">
        <f t="shared" si="57"/>
        <v>0</v>
      </c>
      <c r="D135" s="330">
        <f t="shared" si="57"/>
        <v>0</v>
      </c>
      <c r="E135" s="330">
        <f t="shared" si="57"/>
        <v>0</v>
      </c>
      <c r="F135" s="330">
        <f t="shared" si="57"/>
        <v>0</v>
      </c>
      <c r="G135" s="330">
        <f t="shared" si="57"/>
        <v>0</v>
      </c>
      <c r="H135" s="330">
        <f t="shared" si="57"/>
        <v>0</v>
      </c>
      <c r="I135" s="330">
        <f t="shared" si="57"/>
        <v>0</v>
      </c>
      <c r="J135" s="330">
        <f t="shared" si="57"/>
        <v>0</v>
      </c>
      <c r="K135" s="330">
        <f t="shared" si="57"/>
        <v>0</v>
      </c>
      <c r="L135" s="330">
        <f t="shared" si="57"/>
        <v>0</v>
      </c>
      <c r="M135" s="330">
        <f t="shared" si="57"/>
        <v>0</v>
      </c>
      <c r="N135" s="330">
        <f t="shared" si="57"/>
        <v>0</v>
      </c>
      <c r="O135" s="330">
        <f t="shared" si="57"/>
        <v>0</v>
      </c>
      <c r="P135" s="330">
        <f t="shared" si="57"/>
        <v>0</v>
      </c>
      <c r="Q135" s="330">
        <f t="shared" si="57"/>
        <v>0</v>
      </c>
      <c r="R135" s="330">
        <f t="shared" si="57"/>
        <v>0</v>
      </c>
      <c r="S135" s="330">
        <f t="shared" si="57"/>
        <v>0</v>
      </c>
      <c r="T135" s="330">
        <f t="shared" si="57"/>
        <v>0</v>
      </c>
      <c r="U135" s="330">
        <f t="shared" si="57"/>
        <v>0</v>
      </c>
      <c r="V135" s="330">
        <f t="shared" si="57"/>
        <v>0</v>
      </c>
      <c r="W135" s="330">
        <f t="shared" si="57"/>
        <v>0</v>
      </c>
      <c r="X135" s="330">
        <f t="shared" si="57"/>
        <v>0</v>
      </c>
      <c r="Y135" s="330">
        <f t="shared" si="57"/>
        <v>0</v>
      </c>
      <c r="Z135" s="330">
        <f t="shared" si="57"/>
        <v>0</v>
      </c>
      <c r="AA135" s="330">
        <f t="shared" si="57"/>
        <v>0</v>
      </c>
      <c r="AB135" s="330">
        <f t="shared" si="57"/>
        <v>0</v>
      </c>
      <c r="AC135" s="330">
        <f t="shared" si="57"/>
        <v>0</v>
      </c>
      <c r="AD135" s="330">
        <f t="shared" si="57"/>
        <v>0</v>
      </c>
      <c r="AE135" s="330">
        <f t="shared" si="57"/>
        <v>0</v>
      </c>
      <c r="AF135" s="330">
        <f t="shared" si="57"/>
        <v>0</v>
      </c>
      <c r="AG135" s="830">
        <f t="shared" si="56"/>
        <v>0</v>
      </c>
    </row>
    <row r="136">
      <c r="A136" s="100"/>
      <c r="B136" s="130"/>
      <c r="C136" s="130"/>
      <c r="D136" s="130"/>
      <c r="E136" s="130"/>
      <c r="F136" s="130"/>
      <c r="G136" s="130"/>
      <c r="H136" s="130"/>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30"/>
    </row>
    <row r="137">
      <c r="A137" s="141" t="s">
        <v>1269</v>
      </c>
      <c r="T137" s="181"/>
      <c r="U137" s="181"/>
      <c r="V137" s="181"/>
      <c r="W137" s="181"/>
      <c r="X137" s="181"/>
      <c r="Y137" s="181"/>
      <c r="Z137" s="181"/>
      <c r="AA137" s="181"/>
      <c r="AB137" s="181"/>
      <c r="AC137" s="181"/>
      <c r="AD137" s="181"/>
      <c r="AE137" s="181"/>
      <c r="AF137" s="181"/>
      <c r="AG137" s="842"/>
    </row>
    <row r="138">
      <c r="A138" s="213" t="s">
        <v>1270</v>
      </c>
      <c r="B138" s="165">
        <v>0.0</v>
      </c>
      <c r="C138" s="165">
        <v>0.0</v>
      </c>
      <c r="D138" s="165">
        <v>0.0</v>
      </c>
      <c r="E138" s="165">
        <v>0.0</v>
      </c>
      <c r="F138" s="165">
        <v>0.0</v>
      </c>
      <c r="G138" s="165">
        <v>1.0</v>
      </c>
      <c r="H138" s="165">
        <v>0.0</v>
      </c>
      <c r="I138" s="165">
        <v>0.0</v>
      </c>
      <c r="J138" s="165">
        <v>0.0</v>
      </c>
      <c r="K138" s="165">
        <v>0.0</v>
      </c>
      <c r="L138" s="165">
        <v>0.0</v>
      </c>
      <c r="M138" s="165">
        <v>0.0</v>
      </c>
      <c r="N138" s="165">
        <v>0.0</v>
      </c>
      <c r="O138" s="165">
        <v>0.0</v>
      </c>
      <c r="P138" s="165">
        <v>0.0</v>
      </c>
      <c r="Q138" s="165">
        <v>0.0</v>
      </c>
      <c r="R138" s="165">
        <v>0.0</v>
      </c>
      <c r="S138" s="165">
        <v>0.0</v>
      </c>
      <c r="T138" s="165">
        <v>1.0</v>
      </c>
      <c r="U138" s="165">
        <v>0.0</v>
      </c>
      <c r="V138" s="165">
        <v>0.0</v>
      </c>
      <c r="W138" s="165">
        <v>0.0</v>
      </c>
      <c r="X138" s="165">
        <v>0.0</v>
      </c>
      <c r="Y138" s="165">
        <v>0.0</v>
      </c>
      <c r="Z138" s="165">
        <v>0.0</v>
      </c>
      <c r="AA138" s="165">
        <v>0.0</v>
      </c>
      <c r="AB138" s="165">
        <v>0.0</v>
      </c>
      <c r="AC138" s="165"/>
      <c r="AD138" s="165"/>
      <c r="AE138" s="165"/>
      <c r="AF138" s="165"/>
      <c r="AG138" s="830">
        <f t="shared" ref="AG138:AG143" si="58">SUM(B138:AF138)</f>
        <v>2</v>
      </c>
    </row>
    <row r="139">
      <c r="A139" s="213" t="s">
        <v>1271</v>
      </c>
      <c r="B139" s="165">
        <v>0.0</v>
      </c>
      <c r="C139" s="165">
        <v>0.0</v>
      </c>
      <c r="D139" s="165">
        <v>0.0</v>
      </c>
      <c r="E139" s="165">
        <v>0.0</v>
      </c>
      <c r="F139" s="165">
        <v>0.0</v>
      </c>
      <c r="G139" s="165">
        <v>1.0</v>
      </c>
      <c r="H139" s="165">
        <v>0.0</v>
      </c>
      <c r="I139" s="165">
        <v>0.0</v>
      </c>
      <c r="J139" s="165">
        <v>0.0</v>
      </c>
      <c r="K139" s="165">
        <v>0.0</v>
      </c>
      <c r="L139" s="165">
        <v>0.0</v>
      </c>
      <c r="M139" s="165">
        <v>0.0</v>
      </c>
      <c r="N139" s="165">
        <v>0.0</v>
      </c>
      <c r="O139" s="165">
        <v>0.0</v>
      </c>
      <c r="P139" s="165">
        <v>0.0</v>
      </c>
      <c r="Q139" s="165">
        <v>0.0</v>
      </c>
      <c r="R139" s="165">
        <v>0.0</v>
      </c>
      <c r="S139" s="165">
        <v>0.0</v>
      </c>
      <c r="T139" s="165">
        <v>0.0</v>
      </c>
      <c r="U139" s="165">
        <v>0.0</v>
      </c>
      <c r="V139" s="165">
        <v>0.0</v>
      </c>
      <c r="W139" s="165">
        <v>0.0</v>
      </c>
      <c r="X139" s="165">
        <v>0.0</v>
      </c>
      <c r="Y139" s="165">
        <v>0.0</v>
      </c>
      <c r="Z139" s="165">
        <v>0.0</v>
      </c>
      <c r="AA139" s="165">
        <v>0.0</v>
      </c>
      <c r="AB139" s="165">
        <v>0.0</v>
      </c>
      <c r="AC139" s="165"/>
      <c r="AD139" s="165"/>
      <c r="AE139" s="165"/>
      <c r="AF139" s="165"/>
      <c r="AG139" s="830">
        <f t="shared" si="58"/>
        <v>1</v>
      </c>
    </row>
    <row r="140">
      <c r="A140" s="213" t="s">
        <v>1272</v>
      </c>
      <c r="B140" s="165">
        <v>0.0</v>
      </c>
      <c r="C140" s="165">
        <v>0.0</v>
      </c>
      <c r="D140" s="165">
        <v>0.0</v>
      </c>
      <c r="E140" s="165">
        <v>0.0</v>
      </c>
      <c r="F140" s="165">
        <v>0.0</v>
      </c>
      <c r="G140" s="165">
        <v>0.0</v>
      </c>
      <c r="H140" s="165">
        <v>0.0</v>
      </c>
      <c r="I140" s="165">
        <v>0.0</v>
      </c>
      <c r="J140" s="165">
        <v>0.0</v>
      </c>
      <c r="K140" s="165">
        <v>0.0</v>
      </c>
      <c r="L140" s="165">
        <v>0.0</v>
      </c>
      <c r="M140" s="165">
        <v>0.0</v>
      </c>
      <c r="N140" s="165">
        <v>0.0</v>
      </c>
      <c r="O140" s="165">
        <v>0.0</v>
      </c>
      <c r="P140" s="165">
        <v>0.0</v>
      </c>
      <c r="Q140" s="165">
        <v>0.0</v>
      </c>
      <c r="R140" s="165">
        <v>0.0</v>
      </c>
      <c r="S140" s="165">
        <v>0.0</v>
      </c>
      <c r="T140" s="165">
        <v>0.0</v>
      </c>
      <c r="U140" s="165">
        <v>0.0</v>
      </c>
      <c r="V140" s="165">
        <v>1.0</v>
      </c>
      <c r="W140" s="165">
        <v>0.0</v>
      </c>
      <c r="X140" s="165">
        <v>0.0</v>
      </c>
      <c r="Y140" s="165">
        <v>1.0</v>
      </c>
      <c r="Z140" s="165">
        <v>0.0</v>
      </c>
      <c r="AA140" s="165">
        <v>0.0</v>
      </c>
      <c r="AB140" s="165">
        <v>0.0</v>
      </c>
      <c r="AC140" s="165"/>
      <c r="AD140" s="165"/>
      <c r="AE140" s="165"/>
      <c r="AF140" s="165"/>
      <c r="AG140" s="830">
        <f t="shared" si="58"/>
        <v>2</v>
      </c>
    </row>
    <row r="141">
      <c r="A141" s="213" t="s">
        <v>1273</v>
      </c>
      <c r="B141" s="165">
        <v>0.0</v>
      </c>
      <c r="C141" s="165">
        <v>0.0</v>
      </c>
      <c r="D141" s="165">
        <v>0.0</v>
      </c>
      <c r="E141" s="165">
        <v>0.0</v>
      </c>
      <c r="F141" s="165">
        <v>0.0</v>
      </c>
      <c r="G141" s="165">
        <v>0.0</v>
      </c>
      <c r="H141" s="165">
        <v>0.0</v>
      </c>
      <c r="I141" s="165">
        <v>0.0</v>
      </c>
      <c r="J141" s="165">
        <v>0.0</v>
      </c>
      <c r="K141" s="165">
        <v>0.0</v>
      </c>
      <c r="L141" s="165">
        <v>0.0</v>
      </c>
      <c r="M141" s="165">
        <v>0.0</v>
      </c>
      <c r="N141" s="165">
        <v>0.0</v>
      </c>
      <c r="O141" s="165">
        <v>0.0</v>
      </c>
      <c r="P141" s="165">
        <v>0.0</v>
      </c>
      <c r="Q141" s="165">
        <v>0.0</v>
      </c>
      <c r="R141" s="165">
        <v>0.0</v>
      </c>
      <c r="S141" s="165">
        <v>0.0</v>
      </c>
      <c r="T141" s="165">
        <v>0.0</v>
      </c>
      <c r="U141" s="165">
        <v>0.0</v>
      </c>
      <c r="V141" s="165">
        <v>0.0</v>
      </c>
      <c r="W141" s="165">
        <v>0.0</v>
      </c>
      <c r="X141" s="165">
        <v>0.0</v>
      </c>
      <c r="Y141" s="165">
        <v>0.0</v>
      </c>
      <c r="Z141" s="165">
        <v>0.0</v>
      </c>
      <c r="AA141" s="165">
        <v>0.0</v>
      </c>
      <c r="AB141" s="165">
        <v>0.0</v>
      </c>
      <c r="AC141" s="165"/>
      <c r="AD141" s="165"/>
      <c r="AE141" s="165"/>
      <c r="AF141" s="165"/>
      <c r="AG141" s="830">
        <f t="shared" si="58"/>
        <v>0</v>
      </c>
    </row>
    <row r="142">
      <c r="A142" s="843" t="s">
        <v>504</v>
      </c>
      <c r="B142" s="330">
        <f t="shared" ref="B142:AF142" si="59">SUM(B138:B139)</f>
        <v>0</v>
      </c>
      <c r="C142" s="330">
        <f t="shared" si="59"/>
        <v>0</v>
      </c>
      <c r="D142" s="330">
        <f t="shared" si="59"/>
        <v>0</v>
      </c>
      <c r="E142" s="330">
        <f t="shared" si="59"/>
        <v>0</v>
      </c>
      <c r="F142" s="330">
        <f t="shared" si="59"/>
        <v>0</v>
      </c>
      <c r="G142" s="330">
        <f t="shared" si="59"/>
        <v>2</v>
      </c>
      <c r="H142" s="330">
        <f t="shared" si="59"/>
        <v>0</v>
      </c>
      <c r="I142" s="330">
        <f t="shared" si="59"/>
        <v>0</v>
      </c>
      <c r="J142" s="330">
        <f t="shared" si="59"/>
        <v>0</v>
      </c>
      <c r="K142" s="330">
        <f t="shared" si="59"/>
        <v>0</v>
      </c>
      <c r="L142" s="330">
        <f t="shared" si="59"/>
        <v>0</v>
      </c>
      <c r="M142" s="330">
        <f t="shared" si="59"/>
        <v>0</v>
      </c>
      <c r="N142" s="330">
        <f t="shared" si="59"/>
        <v>0</v>
      </c>
      <c r="O142" s="330">
        <f t="shared" si="59"/>
        <v>0</v>
      </c>
      <c r="P142" s="330">
        <f t="shared" si="59"/>
        <v>0</v>
      </c>
      <c r="Q142" s="330">
        <f t="shared" si="59"/>
        <v>0</v>
      </c>
      <c r="R142" s="330">
        <f t="shared" si="59"/>
        <v>0</v>
      </c>
      <c r="S142" s="330">
        <f t="shared" si="59"/>
        <v>0</v>
      </c>
      <c r="T142" s="330">
        <f t="shared" si="59"/>
        <v>1</v>
      </c>
      <c r="U142" s="330">
        <f t="shared" si="59"/>
        <v>0</v>
      </c>
      <c r="V142" s="330">
        <f t="shared" si="59"/>
        <v>0</v>
      </c>
      <c r="W142" s="330">
        <f t="shared" si="59"/>
        <v>0</v>
      </c>
      <c r="X142" s="330">
        <f t="shared" si="59"/>
        <v>0</v>
      </c>
      <c r="Y142" s="330">
        <f t="shared" si="59"/>
        <v>0</v>
      </c>
      <c r="Z142" s="330">
        <f t="shared" si="59"/>
        <v>0</v>
      </c>
      <c r="AA142" s="330">
        <f t="shared" si="59"/>
        <v>0</v>
      </c>
      <c r="AB142" s="330">
        <f t="shared" si="59"/>
        <v>0</v>
      </c>
      <c r="AC142" s="330">
        <f t="shared" si="59"/>
        <v>0</v>
      </c>
      <c r="AD142" s="330">
        <f t="shared" si="59"/>
        <v>0</v>
      </c>
      <c r="AE142" s="330">
        <f t="shared" si="59"/>
        <v>0</v>
      </c>
      <c r="AF142" s="330">
        <f t="shared" si="59"/>
        <v>0</v>
      </c>
      <c r="AG142" s="830">
        <f t="shared" si="58"/>
        <v>3</v>
      </c>
    </row>
    <row r="143">
      <c r="A143" s="843" t="s">
        <v>505</v>
      </c>
      <c r="B143" s="330">
        <f t="shared" ref="B143:AF143" si="60">SUM(B140:B141)</f>
        <v>0</v>
      </c>
      <c r="C143" s="330">
        <f t="shared" si="60"/>
        <v>0</v>
      </c>
      <c r="D143" s="330">
        <f t="shared" si="60"/>
        <v>0</v>
      </c>
      <c r="E143" s="330">
        <f t="shared" si="60"/>
        <v>0</v>
      </c>
      <c r="F143" s="330">
        <f t="shared" si="60"/>
        <v>0</v>
      </c>
      <c r="G143" s="330">
        <f t="shared" si="60"/>
        <v>0</v>
      </c>
      <c r="H143" s="330">
        <f t="shared" si="60"/>
        <v>0</v>
      </c>
      <c r="I143" s="330">
        <f t="shared" si="60"/>
        <v>0</v>
      </c>
      <c r="J143" s="330">
        <f t="shared" si="60"/>
        <v>0</v>
      </c>
      <c r="K143" s="330">
        <f t="shared" si="60"/>
        <v>0</v>
      </c>
      <c r="L143" s="330">
        <f t="shared" si="60"/>
        <v>0</v>
      </c>
      <c r="M143" s="330">
        <f t="shared" si="60"/>
        <v>0</v>
      </c>
      <c r="N143" s="330">
        <f t="shared" si="60"/>
        <v>0</v>
      </c>
      <c r="O143" s="330">
        <f t="shared" si="60"/>
        <v>0</v>
      </c>
      <c r="P143" s="330">
        <f t="shared" si="60"/>
        <v>0</v>
      </c>
      <c r="Q143" s="330">
        <f t="shared" si="60"/>
        <v>0</v>
      </c>
      <c r="R143" s="330">
        <f t="shared" si="60"/>
        <v>0</v>
      </c>
      <c r="S143" s="330">
        <f t="shared" si="60"/>
        <v>0</v>
      </c>
      <c r="T143" s="330">
        <f t="shared" si="60"/>
        <v>0</v>
      </c>
      <c r="U143" s="330">
        <f t="shared" si="60"/>
        <v>0</v>
      </c>
      <c r="V143" s="330">
        <f t="shared" si="60"/>
        <v>1</v>
      </c>
      <c r="W143" s="330">
        <f t="shared" si="60"/>
        <v>0</v>
      </c>
      <c r="X143" s="330">
        <f t="shared" si="60"/>
        <v>0</v>
      </c>
      <c r="Y143" s="330">
        <f t="shared" si="60"/>
        <v>1</v>
      </c>
      <c r="Z143" s="330">
        <f t="shared" si="60"/>
        <v>0</v>
      </c>
      <c r="AA143" s="330">
        <f t="shared" si="60"/>
        <v>0</v>
      </c>
      <c r="AB143" s="330">
        <f t="shared" si="60"/>
        <v>0</v>
      </c>
      <c r="AC143" s="330">
        <f t="shared" si="60"/>
        <v>0</v>
      </c>
      <c r="AD143" s="330">
        <f t="shared" si="60"/>
        <v>0</v>
      </c>
      <c r="AE143" s="330">
        <f t="shared" si="60"/>
        <v>0</v>
      </c>
      <c r="AF143" s="330">
        <f t="shared" si="60"/>
        <v>0</v>
      </c>
      <c r="AG143" s="830">
        <f t="shared" si="58"/>
        <v>2</v>
      </c>
    </row>
    <row r="144">
      <c r="A144" s="100"/>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1"/>
      <c r="AC144" s="181"/>
      <c r="AD144" s="181"/>
      <c r="AE144" s="181"/>
      <c r="AF144" s="181"/>
      <c r="AG144" s="842"/>
    </row>
    <row r="145">
      <c r="A145" s="213" t="s">
        <v>1252</v>
      </c>
      <c r="B145" s="165">
        <v>0.0</v>
      </c>
      <c r="C145" s="165">
        <v>0.0</v>
      </c>
      <c r="D145" s="165">
        <v>0.0</v>
      </c>
      <c r="E145" s="165">
        <v>0.0</v>
      </c>
      <c r="F145" s="165">
        <v>0.0</v>
      </c>
      <c r="G145" s="165">
        <v>0.0</v>
      </c>
      <c r="H145" s="165">
        <v>0.0</v>
      </c>
      <c r="I145" s="165">
        <v>0.0</v>
      </c>
      <c r="J145" s="165">
        <v>0.0</v>
      </c>
      <c r="K145" s="165">
        <v>0.0</v>
      </c>
      <c r="L145" s="165">
        <v>0.0</v>
      </c>
      <c r="M145" s="165">
        <v>0.0</v>
      </c>
      <c r="N145" s="165">
        <v>0.0</v>
      </c>
      <c r="O145" s="165">
        <v>0.0</v>
      </c>
      <c r="P145" s="165">
        <v>0.0</v>
      </c>
      <c r="Q145" s="165">
        <v>0.0</v>
      </c>
      <c r="R145" s="165">
        <v>0.0</v>
      </c>
      <c r="S145" s="165">
        <v>0.0</v>
      </c>
      <c r="T145" s="165">
        <v>1.0</v>
      </c>
      <c r="U145" s="165">
        <v>0.0</v>
      </c>
      <c r="V145" s="165">
        <v>0.0</v>
      </c>
      <c r="W145" s="165">
        <v>0.0</v>
      </c>
      <c r="X145" s="165">
        <v>0.0</v>
      </c>
      <c r="Y145" s="165">
        <v>0.0</v>
      </c>
      <c r="Z145" s="165">
        <v>0.0</v>
      </c>
      <c r="AA145" s="165">
        <v>0.0</v>
      </c>
      <c r="AB145" s="165">
        <v>0.0</v>
      </c>
      <c r="AC145" s="165"/>
      <c r="AD145" s="165"/>
      <c r="AE145" s="165"/>
      <c r="AF145" s="165"/>
      <c r="AG145" s="830">
        <f t="shared" ref="AG145:AG153" si="61">SUM(B145:AF145)</f>
        <v>1</v>
      </c>
    </row>
    <row r="146">
      <c r="A146" s="213" t="s">
        <v>1253</v>
      </c>
      <c r="B146" s="165">
        <v>0.0</v>
      </c>
      <c r="C146" s="165">
        <v>0.0</v>
      </c>
      <c r="D146" s="165">
        <v>0.0</v>
      </c>
      <c r="E146" s="165">
        <v>0.0</v>
      </c>
      <c r="F146" s="165">
        <v>0.0</v>
      </c>
      <c r="G146" s="165">
        <v>0.0</v>
      </c>
      <c r="H146" s="165">
        <v>0.0</v>
      </c>
      <c r="I146" s="165">
        <v>0.0</v>
      </c>
      <c r="J146" s="165">
        <v>0.0</v>
      </c>
      <c r="K146" s="165">
        <v>0.0</v>
      </c>
      <c r="L146" s="165">
        <v>0.0</v>
      </c>
      <c r="M146" s="165">
        <v>0.0</v>
      </c>
      <c r="N146" s="165">
        <v>0.0</v>
      </c>
      <c r="O146" s="165">
        <v>0.0</v>
      </c>
      <c r="P146" s="165">
        <v>0.0</v>
      </c>
      <c r="Q146" s="165">
        <v>0.0</v>
      </c>
      <c r="R146" s="165">
        <v>0.0</v>
      </c>
      <c r="S146" s="165">
        <v>0.0</v>
      </c>
      <c r="T146" s="165">
        <v>1.0</v>
      </c>
      <c r="U146" s="165">
        <v>0.0</v>
      </c>
      <c r="V146" s="165">
        <v>1.0</v>
      </c>
      <c r="W146" s="165">
        <v>0.0</v>
      </c>
      <c r="X146" s="165">
        <v>0.0</v>
      </c>
      <c r="Y146" s="165">
        <v>0.0</v>
      </c>
      <c r="Z146" s="165">
        <v>0.0</v>
      </c>
      <c r="AA146" s="165">
        <v>0.0</v>
      </c>
      <c r="AB146" s="165">
        <v>0.0</v>
      </c>
      <c r="AC146" s="165"/>
      <c r="AD146" s="165"/>
      <c r="AE146" s="165"/>
      <c r="AF146" s="165"/>
      <c r="AG146" s="830">
        <f t="shared" si="61"/>
        <v>2</v>
      </c>
    </row>
    <row r="147">
      <c r="A147" s="213" t="s">
        <v>1274</v>
      </c>
      <c r="B147" s="165">
        <v>0.0</v>
      </c>
      <c r="C147" s="165">
        <v>0.0</v>
      </c>
      <c r="D147" s="165">
        <v>0.0</v>
      </c>
      <c r="E147" s="165">
        <v>0.0</v>
      </c>
      <c r="F147" s="165">
        <v>0.0</v>
      </c>
      <c r="G147" s="165">
        <v>0.0</v>
      </c>
      <c r="H147" s="165">
        <v>0.0</v>
      </c>
      <c r="I147" s="165">
        <v>0.0</v>
      </c>
      <c r="J147" s="165">
        <v>0.0</v>
      </c>
      <c r="K147" s="165">
        <v>0.0</v>
      </c>
      <c r="L147" s="165">
        <v>0.0</v>
      </c>
      <c r="M147" s="165">
        <v>0.0</v>
      </c>
      <c r="N147" s="165">
        <v>0.0</v>
      </c>
      <c r="O147" s="165">
        <v>0.0</v>
      </c>
      <c r="P147" s="165">
        <v>0.0</v>
      </c>
      <c r="Q147" s="165">
        <v>0.0</v>
      </c>
      <c r="R147" s="165">
        <v>0.0</v>
      </c>
      <c r="S147" s="165">
        <v>0.0</v>
      </c>
      <c r="T147" s="165">
        <v>0.0</v>
      </c>
      <c r="U147" s="165">
        <v>0.0</v>
      </c>
      <c r="V147" s="165">
        <v>0.0</v>
      </c>
      <c r="W147" s="165">
        <v>0.0</v>
      </c>
      <c r="X147" s="165">
        <v>0.0</v>
      </c>
      <c r="Y147" s="165">
        <v>1.0</v>
      </c>
      <c r="Z147" s="165">
        <v>0.0</v>
      </c>
      <c r="AA147" s="165">
        <v>0.0</v>
      </c>
      <c r="AB147" s="165">
        <v>0.0</v>
      </c>
      <c r="AC147" s="165"/>
      <c r="AD147" s="165"/>
      <c r="AE147" s="165"/>
      <c r="AF147" s="165"/>
      <c r="AG147" s="830">
        <f t="shared" si="61"/>
        <v>1</v>
      </c>
    </row>
    <row r="148">
      <c r="A148" s="213" t="s">
        <v>1275</v>
      </c>
      <c r="B148" s="165">
        <v>0.0</v>
      </c>
      <c r="C148" s="165">
        <v>0.0</v>
      </c>
      <c r="D148" s="165">
        <v>0.0</v>
      </c>
      <c r="E148" s="165">
        <v>0.0</v>
      </c>
      <c r="F148" s="165">
        <v>0.0</v>
      </c>
      <c r="G148" s="165">
        <v>0.0</v>
      </c>
      <c r="H148" s="165">
        <v>0.0</v>
      </c>
      <c r="I148" s="165">
        <v>0.0</v>
      </c>
      <c r="J148" s="165">
        <v>0.0</v>
      </c>
      <c r="K148" s="165">
        <v>0.0</v>
      </c>
      <c r="L148" s="165">
        <v>0.0</v>
      </c>
      <c r="M148" s="165">
        <v>0.0</v>
      </c>
      <c r="N148" s="165">
        <v>0.0</v>
      </c>
      <c r="O148" s="165">
        <v>0.0</v>
      </c>
      <c r="P148" s="165">
        <v>0.0</v>
      </c>
      <c r="Q148" s="165">
        <v>0.0</v>
      </c>
      <c r="R148" s="165">
        <v>0.0</v>
      </c>
      <c r="S148" s="165">
        <v>0.0</v>
      </c>
      <c r="T148" s="165">
        <v>0.0</v>
      </c>
      <c r="U148" s="165">
        <v>0.0</v>
      </c>
      <c r="V148" s="165">
        <v>0.0</v>
      </c>
      <c r="W148" s="165">
        <v>0.0</v>
      </c>
      <c r="X148" s="165">
        <v>0.0</v>
      </c>
      <c r="Y148" s="165">
        <v>0.0</v>
      </c>
      <c r="Z148" s="165">
        <v>0.0</v>
      </c>
      <c r="AA148" s="165">
        <v>0.0</v>
      </c>
      <c r="AB148" s="165">
        <v>0.0</v>
      </c>
      <c r="AC148" s="165"/>
      <c r="AD148" s="165"/>
      <c r="AE148" s="165"/>
      <c r="AF148" s="165"/>
      <c r="AG148" s="830">
        <f t="shared" si="61"/>
        <v>0</v>
      </c>
    </row>
    <row r="149">
      <c r="A149" s="213" t="s">
        <v>1276</v>
      </c>
      <c r="B149" s="165">
        <v>0.0</v>
      </c>
      <c r="C149" s="165">
        <v>0.0</v>
      </c>
      <c r="D149" s="165">
        <v>0.0</v>
      </c>
      <c r="E149" s="165">
        <v>0.0</v>
      </c>
      <c r="F149" s="165">
        <v>0.0</v>
      </c>
      <c r="G149" s="165">
        <v>1.0</v>
      </c>
      <c r="H149" s="165">
        <v>0.0</v>
      </c>
      <c r="I149" s="165">
        <v>0.0</v>
      </c>
      <c r="J149" s="165">
        <v>0.0</v>
      </c>
      <c r="K149" s="165">
        <v>0.0</v>
      </c>
      <c r="L149" s="165">
        <v>0.0</v>
      </c>
      <c r="M149" s="165">
        <v>0.0</v>
      </c>
      <c r="N149" s="165">
        <v>1.0</v>
      </c>
      <c r="O149" s="165">
        <v>0.0</v>
      </c>
      <c r="P149" s="165">
        <v>0.0</v>
      </c>
      <c r="Q149" s="165">
        <v>0.0</v>
      </c>
      <c r="R149" s="165">
        <v>0.0</v>
      </c>
      <c r="S149" s="165">
        <v>0.0</v>
      </c>
      <c r="T149" s="165">
        <v>1.0</v>
      </c>
      <c r="U149" s="165">
        <v>0.0</v>
      </c>
      <c r="V149" s="165">
        <v>0.0</v>
      </c>
      <c r="W149" s="165">
        <v>0.0</v>
      </c>
      <c r="X149" s="165">
        <v>0.0</v>
      </c>
      <c r="Y149" s="165">
        <v>0.0</v>
      </c>
      <c r="Z149" s="165">
        <v>0.0</v>
      </c>
      <c r="AA149" s="165">
        <v>0.0</v>
      </c>
      <c r="AB149" s="165">
        <v>0.0</v>
      </c>
      <c r="AC149" s="165"/>
      <c r="AD149" s="165"/>
      <c r="AE149" s="165"/>
      <c r="AF149" s="165"/>
      <c r="AG149" s="830">
        <f t="shared" si="61"/>
        <v>3</v>
      </c>
    </row>
    <row r="150">
      <c r="A150" s="213" t="s">
        <v>1277</v>
      </c>
      <c r="B150" s="165">
        <v>0.0</v>
      </c>
      <c r="C150" s="165">
        <v>0.0</v>
      </c>
      <c r="D150" s="165">
        <v>0.0</v>
      </c>
      <c r="E150" s="165">
        <v>0.0</v>
      </c>
      <c r="F150" s="165">
        <v>0.0</v>
      </c>
      <c r="G150" s="165">
        <v>0.0</v>
      </c>
      <c r="H150" s="165">
        <v>0.0</v>
      </c>
      <c r="I150" s="165">
        <v>0.0</v>
      </c>
      <c r="J150" s="165">
        <v>0.0</v>
      </c>
      <c r="K150" s="165">
        <v>0.0</v>
      </c>
      <c r="L150" s="165">
        <v>0.0</v>
      </c>
      <c r="M150" s="165">
        <v>0.0</v>
      </c>
      <c r="N150" s="165">
        <v>0.0</v>
      </c>
      <c r="O150" s="165">
        <v>0.0</v>
      </c>
      <c r="P150" s="165">
        <v>0.0</v>
      </c>
      <c r="Q150" s="165">
        <v>0.0</v>
      </c>
      <c r="R150" s="165">
        <v>0.0</v>
      </c>
      <c r="S150" s="165">
        <v>0.0</v>
      </c>
      <c r="T150" s="165">
        <v>0.0</v>
      </c>
      <c r="U150" s="165">
        <v>0.0</v>
      </c>
      <c r="V150" s="165">
        <v>0.0</v>
      </c>
      <c r="W150" s="165">
        <v>0.0</v>
      </c>
      <c r="X150" s="165">
        <v>0.0</v>
      </c>
      <c r="Y150" s="165">
        <v>0.0</v>
      </c>
      <c r="Z150" s="165">
        <v>0.0</v>
      </c>
      <c r="AA150" s="165">
        <v>0.0</v>
      </c>
      <c r="AB150" s="165">
        <v>0.0</v>
      </c>
      <c r="AC150" s="165"/>
      <c r="AD150" s="165"/>
      <c r="AE150" s="165"/>
      <c r="AF150" s="165"/>
      <c r="AG150" s="830">
        <f t="shared" si="61"/>
        <v>0</v>
      </c>
    </row>
    <row r="151">
      <c r="A151" s="213" t="s">
        <v>1278</v>
      </c>
      <c r="B151" s="165">
        <v>0.0</v>
      </c>
      <c r="C151" s="165">
        <v>0.0</v>
      </c>
      <c r="D151" s="165">
        <v>0.0</v>
      </c>
      <c r="E151" s="165">
        <v>0.0</v>
      </c>
      <c r="F151" s="165">
        <v>0.0</v>
      </c>
      <c r="G151" s="165">
        <v>0.0</v>
      </c>
      <c r="H151" s="165">
        <v>0.0</v>
      </c>
      <c r="I151" s="165">
        <v>0.0</v>
      </c>
      <c r="J151" s="165">
        <v>0.0</v>
      </c>
      <c r="K151" s="165">
        <v>0.0</v>
      </c>
      <c r="L151" s="165">
        <v>0.0</v>
      </c>
      <c r="M151" s="165">
        <v>0.0</v>
      </c>
      <c r="N151" s="165">
        <v>0.0</v>
      </c>
      <c r="O151" s="165">
        <v>0.0</v>
      </c>
      <c r="P151" s="165">
        <v>0.0</v>
      </c>
      <c r="Q151" s="165">
        <v>0.0</v>
      </c>
      <c r="R151" s="165">
        <v>0.0</v>
      </c>
      <c r="S151" s="165">
        <v>0.0</v>
      </c>
      <c r="T151" s="165">
        <v>0.0</v>
      </c>
      <c r="U151" s="165">
        <v>0.0</v>
      </c>
      <c r="V151" s="165">
        <v>0.0</v>
      </c>
      <c r="W151" s="165">
        <v>0.0</v>
      </c>
      <c r="X151" s="165">
        <v>0.0</v>
      </c>
      <c r="Y151" s="165">
        <v>0.0</v>
      </c>
      <c r="Z151" s="165">
        <v>0.0</v>
      </c>
      <c r="AA151" s="165">
        <v>0.0</v>
      </c>
      <c r="AB151" s="165">
        <v>0.0</v>
      </c>
      <c r="AC151" s="165"/>
      <c r="AD151" s="165"/>
      <c r="AE151" s="165"/>
      <c r="AF151" s="165"/>
      <c r="AG151" s="830">
        <f t="shared" si="61"/>
        <v>0</v>
      </c>
    </row>
    <row r="152">
      <c r="A152" s="213" t="s">
        <v>1279</v>
      </c>
      <c r="B152" s="165">
        <v>0.0</v>
      </c>
      <c r="C152" s="165">
        <v>0.0</v>
      </c>
      <c r="D152" s="165">
        <v>0.0</v>
      </c>
      <c r="E152" s="165">
        <v>0.0</v>
      </c>
      <c r="F152" s="165">
        <v>0.0</v>
      </c>
      <c r="G152" s="165">
        <v>0.0</v>
      </c>
      <c r="H152" s="165">
        <v>0.0</v>
      </c>
      <c r="I152" s="165">
        <v>0.0</v>
      </c>
      <c r="J152" s="165">
        <v>0.0</v>
      </c>
      <c r="K152" s="165">
        <v>0.0</v>
      </c>
      <c r="L152" s="165">
        <v>0.0</v>
      </c>
      <c r="M152" s="165">
        <v>0.0</v>
      </c>
      <c r="N152" s="165">
        <v>0.0</v>
      </c>
      <c r="O152" s="165">
        <v>0.0</v>
      </c>
      <c r="P152" s="165">
        <v>0.0</v>
      </c>
      <c r="Q152" s="165">
        <v>0.0</v>
      </c>
      <c r="R152" s="165">
        <v>0.0</v>
      </c>
      <c r="S152" s="165">
        <v>0.0</v>
      </c>
      <c r="T152" s="165">
        <v>0.0</v>
      </c>
      <c r="U152" s="165">
        <v>0.0</v>
      </c>
      <c r="V152" s="165">
        <v>0.0</v>
      </c>
      <c r="W152" s="165">
        <v>0.0</v>
      </c>
      <c r="X152" s="165">
        <v>0.0</v>
      </c>
      <c r="Y152" s="165">
        <v>0.0</v>
      </c>
      <c r="Z152" s="165">
        <v>0.0</v>
      </c>
      <c r="AA152" s="165">
        <v>0.0</v>
      </c>
      <c r="AB152" s="165">
        <v>0.0</v>
      </c>
      <c r="AC152" s="165"/>
      <c r="AD152" s="165"/>
      <c r="AE152" s="165"/>
      <c r="AF152" s="165"/>
      <c r="AG152" s="830">
        <f t="shared" si="61"/>
        <v>0</v>
      </c>
    </row>
    <row r="153">
      <c r="A153" s="844" t="s">
        <v>657</v>
      </c>
      <c r="B153" s="330">
        <f t="shared" ref="B153:AF153" si="62">SUM(B145:B152)</f>
        <v>0</v>
      </c>
      <c r="C153" s="330">
        <f t="shared" si="62"/>
        <v>0</v>
      </c>
      <c r="D153" s="330">
        <f t="shared" si="62"/>
        <v>0</v>
      </c>
      <c r="E153" s="330">
        <f t="shared" si="62"/>
        <v>0</v>
      </c>
      <c r="F153" s="330">
        <f t="shared" si="62"/>
        <v>0</v>
      </c>
      <c r="G153" s="330">
        <f t="shared" si="62"/>
        <v>1</v>
      </c>
      <c r="H153" s="330">
        <f t="shared" si="62"/>
        <v>0</v>
      </c>
      <c r="I153" s="330">
        <f t="shared" si="62"/>
        <v>0</v>
      </c>
      <c r="J153" s="330">
        <f t="shared" si="62"/>
        <v>0</v>
      </c>
      <c r="K153" s="330">
        <f t="shared" si="62"/>
        <v>0</v>
      </c>
      <c r="L153" s="330">
        <f t="shared" si="62"/>
        <v>0</v>
      </c>
      <c r="M153" s="330">
        <f t="shared" si="62"/>
        <v>0</v>
      </c>
      <c r="N153" s="330">
        <f t="shared" si="62"/>
        <v>1</v>
      </c>
      <c r="O153" s="330">
        <f t="shared" si="62"/>
        <v>0</v>
      </c>
      <c r="P153" s="330">
        <f t="shared" si="62"/>
        <v>0</v>
      </c>
      <c r="Q153" s="330">
        <f t="shared" si="62"/>
        <v>0</v>
      </c>
      <c r="R153" s="330">
        <f t="shared" si="62"/>
        <v>0</v>
      </c>
      <c r="S153" s="330">
        <f t="shared" si="62"/>
        <v>0</v>
      </c>
      <c r="T153" s="330">
        <f t="shared" si="62"/>
        <v>3</v>
      </c>
      <c r="U153" s="330">
        <f t="shared" si="62"/>
        <v>0</v>
      </c>
      <c r="V153" s="330">
        <f t="shared" si="62"/>
        <v>1</v>
      </c>
      <c r="W153" s="330">
        <f t="shared" si="62"/>
        <v>0</v>
      </c>
      <c r="X153" s="330">
        <f t="shared" si="62"/>
        <v>0</v>
      </c>
      <c r="Y153" s="330">
        <f t="shared" si="62"/>
        <v>1</v>
      </c>
      <c r="Z153" s="330">
        <f t="shared" si="62"/>
        <v>0</v>
      </c>
      <c r="AA153" s="330">
        <f t="shared" si="62"/>
        <v>0</v>
      </c>
      <c r="AB153" s="330">
        <f t="shared" si="62"/>
        <v>0</v>
      </c>
      <c r="AC153" s="330">
        <f t="shared" si="62"/>
        <v>0</v>
      </c>
      <c r="AD153" s="330">
        <f t="shared" si="62"/>
        <v>0</v>
      </c>
      <c r="AE153" s="330">
        <f t="shared" si="62"/>
        <v>0</v>
      </c>
      <c r="AF153" s="330">
        <f t="shared" si="62"/>
        <v>0</v>
      </c>
      <c r="AG153" s="830">
        <f t="shared" si="61"/>
        <v>7</v>
      </c>
    </row>
    <row r="154">
      <c r="A154" s="172"/>
      <c r="B154" s="181"/>
      <c r="C154" s="181"/>
      <c r="D154" s="181"/>
      <c r="E154" s="181"/>
      <c r="F154" s="181"/>
      <c r="G154" s="181"/>
      <c r="H154" s="181"/>
      <c r="I154" s="181"/>
      <c r="J154" s="181"/>
      <c r="K154" s="181"/>
      <c r="L154" s="181"/>
      <c r="M154" s="158"/>
      <c r="N154" s="181"/>
      <c r="O154" s="181"/>
      <c r="P154" s="181"/>
      <c r="Q154" s="181"/>
      <c r="R154" s="181"/>
      <c r="S154" s="181"/>
      <c r="T154" s="181"/>
      <c r="U154" s="181"/>
      <c r="V154" s="181"/>
      <c r="W154" s="181"/>
      <c r="X154" s="181"/>
      <c r="Y154" s="181"/>
      <c r="Z154" s="181"/>
      <c r="AA154" s="181"/>
      <c r="AB154" s="181"/>
      <c r="AC154" s="181"/>
      <c r="AD154" s="181"/>
      <c r="AE154" s="181"/>
      <c r="AF154" s="181"/>
      <c r="AG154" s="830"/>
    </row>
    <row r="155">
      <c r="A155" s="213" t="s">
        <v>1260</v>
      </c>
      <c r="B155" s="165">
        <v>0.0</v>
      </c>
      <c r="C155" s="165">
        <v>0.0</v>
      </c>
      <c r="D155" s="165">
        <v>0.0</v>
      </c>
      <c r="E155" s="165">
        <v>0.0</v>
      </c>
      <c r="F155" s="165">
        <v>0.0</v>
      </c>
      <c r="G155" s="165">
        <v>0.0</v>
      </c>
      <c r="H155" s="165">
        <v>0.0</v>
      </c>
      <c r="I155" s="165">
        <v>0.0</v>
      </c>
      <c r="J155" s="165">
        <v>0.0</v>
      </c>
      <c r="K155" s="165">
        <v>0.0</v>
      </c>
      <c r="L155" s="165">
        <v>0.0</v>
      </c>
      <c r="M155" s="165">
        <v>0.0</v>
      </c>
      <c r="N155" s="165">
        <v>0.0</v>
      </c>
      <c r="O155" s="165">
        <v>0.0</v>
      </c>
      <c r="P155" s="165">
        <v>0.0</v>
      </c>
      <c r="Q155" s="165">
        <v>0.0</v>
      </c>
      <c r="R155" s="165">
        <v>0.0</v>
      </c>
      <c r="S155" s="165">
        <v>0.0</v>
      </c>
      <c r="T155" s="165">
        <v>0.0</v>
      </c>
      <c r="U155" s="165">
        <v>0.0</v>
      </c>
      <c r="V155" s="165">
        <v>0.0</v>
      </c>
      <c r="W155" s="165">
        <v>0.0</v>
      </c>
      <c r="X155" s="165">
        <v>0.0</v>
      </c>
      <c r="Y155" s="165">
        <v>0.0</v>
      </c>
      <c r="Z155" s="165">
        <v>0.0</v>
      </c>
      <c r="AA155" s="165">
        <v>0.0</v>
      </c>
      <c r="AB155" s="165">
        <v>0.0</v>
      </c>
      <c r="AC155" s="165"/>
      <c r="AD155" s="165"/>
      <c r="AE155" s="165"/>
      <c r="AF155" s="165"/>
      <c r="AG155" s="830">
        <f t="shared" ref="AG155:AG163" si="63">SUM(B155:AF155)</f>
        <v>0</v>
      </c>
    </row>
    <row r="156">
      <c r="A156" s="213" t="s">
        <v>1261</v>
      </c>
      <c r="B156" s="165">
        <v>0.0</v>
      </c>
      <c r="C156" s="165">
        <v>0.0</v>
      </c>
      <c r="D156" s="165">
        <v>0.0</v>
      </c>
      <c r="E156" s="165">
        <v>0.0</v>
      </c>
      <c r="F156" s="165">
        <v>0.0</v>
      </c>
      <c r="G156" s="165">
        <v>0.0</v>
      </c>
      <c r="H156" s="165">
        <v>0.0</v>
      </c>
      <c r="I156" s="165">
        <v>0.0</v>
      </c>
      <c r="J156" s="165">
        <v>0.0</v>
      </c>
      <c r="K156" s="165">
        <v>0.0</v>
      </c>
      <c r="L156" s="165">
        <v>0.0</v>
      </c>
      <c r="M156" s="165">
        <v>0.0</v>
      </c>
      <c r="N156" s="165">
        <v>0.0</v>
      </c>
      <c r="O156" s="165">
        <v>0.0</v>
      </c>
      <c r="P156" s="165">
        <v>0.0</v>
      </c>
      <c r="Q156" s="165">
        <v>0.0</v>
      </c>
      <c r="R156" s="165">
        <v>0.0</v>
      </c>
      <c r="S156" s="165">
        <v>0.0</v>
      </c>
      <c r="T156" s="165">
        <v>0.0</v>
      </c>
      <c r="U156" s="165">
        <v>0.0</v>
      </c>
      <c r="V156" s="165">
        <v>0.0</v>
      </c>
      <c r="W156" s="165">
        <v>0.0</v>
      </c>
      <c r="X156" s="165">
        <v>0.0</v>
      </c>
      <c r="Y156" s="165">
        <v>0.0</v>
      </c>
      <c r="Z156" s="165">
        <v>0.0</v>
      </c>
      <c r="AA156" s="165">
        <v>0.0</v>
      </c>
      <c r="AB156" s="165">
        <v>0.0</v>
      </c>
      <c r="AC156" s="165"/>
      <c r="AD156" s="165"/>
      <c r="AE156" s="165"/>
      <c r="AF156" s="165"/>
      <c r="AG156" s="830">
        <f t="shared" si="63"/>
        <v>0</v>
      </c>
    </row>
    <row r="157">
      <c r="A157" s="213" t="s">
        <v>1280</v>
      </c>
      <c r="B157" s="165">
        <v>0.0</v>
      </c>
      <c r="C157" s="165">
        <v>0.0</v>
      </c>
      <c r="D157" s="165">
        <v>0.0</v>
      </c>
      <c r="E157" s="165">
        <v>0.0</v>
      </c>
      <c r="F157" s="165">
        <v>0.0</v>
      </c>
      <c r="G157" s="165">
        <v>0.0</v>
      </c>
      <c r="H157" s="165">
        <v>0.0</v>
      </c>
      <c r="I157" s="165">
        <v>0.0</v>
      </c>
      <c r="J157" s="165">
        <v>0.0</v>
      </c>
      <c r="K157" s="165">
        <v>0.0</v>
      </c>
      <c r="L157" s="165">
        <v>0.0</v>
      </c>
      <c r="M157" s="165">
        <v>0.0</v>
      </c>
      <c r="N157" s="165">
        <v>0.0</v>
      </c>
      <c r="O157" s="165">
        <v>0.0</v>
      </c>
      <c r="P157" s="165">
        <v>0.0</v>
      </c>
      <c r="Q157" s="165">
        <v>0.0</v>
      </c>
      <c r="R157" s="165">
        <v>0.0</v>
      </c>
      <c r="S157" s="165">
        <v>0.0</v>
      </c>
      <c r="T157" s="165">
        <v>0.0</v>
      </c>
      <c r="U157" s="165">
        <v>0.0</v>
      </c>
      <c r="V157" s="165">
        <v>0.0</v>
      </c>
      <c r="W157" s="165">
        <v>0.0</v>
      </c>
      <c r="X157" s="165">
        <v>0.0</v>
      </c>
      <c r="Y157" s="165">
        <v>0.0</v>
      </c>
      <c r="Z157" s="165">
        <v>0.0</v>
      </c>
      <c r="AA157" s="165">
        <v>0.0</v>
      </c>
      <c r="AB157" s="165">
        <v>0.0</v>
      </c>
      <c r="AC157" s="165"/>
      <c r="AD157" s="165"/>
      <c r="AE157" s="165"/>
      <c r="AF157" s="165"/>
      <c r="AG157" s="830">
        <f t="shared" si="63"/>
        <v>0</v>
      </c>
    </row>
    <row r="158">
      <c r="A158" s="213" t="s">
        <v>1281</v>
      </c>
      <c r="B158" s="165">
        <v>0.0</v>
      </c>
      <c r="C158" s="165">
        <v>0.0</v>
      </c>
      <c r="D158" s="165">
        <v>0.0</v>
      </c>
      <c r="E158" s="165">
        <v>0.0</v>
      </c>
      <c r="F158" s="165">
        <v>0.0</v>
      </c>
      <c r="G158" s="165">
        <v>0.0</v>
      </c>
      <c r="H158" s="165">
        <v>0.0</v>
      </c>
      <c r="I158" s="165">
        <v>0.0</v>
      </c>
      <c r="J158" s="165">
        <v>0.0</v>
      </c>
      <c r="K158" s="165">
        <v>0.0</v>
      </c>
      <c r="L158" s="165">
        <v>0.0</v>
      </c>
      <c r="M158" s="165">
        <v>0.0</v>
      </c>
      <c r="N158" s="165">
        <v>0.0</v>
      </c>
      <c r="O158" s="165">
        <v>0.0</v>
      </c>
      <c r="P158" s="165">
        <v>0.0</v>
      </c>
      <c r="Q158" s="165">
        <v>0.0</v>
      </c>
      <c r="R158" s="165">
        <v>0.0</v>
      </c>
      <c r="S158" s="165">
        <v>0.0</v>
      </c>
      <c r="T158" s="165">
        <v>0.0</v>
      </c>
      <c r="U158" s="165">
        <v>0.0</v>
      </c>
      <c r="V158" s="165">
        <v>0.0</v>
      </c>
      <c r="W158" s="165">
        <v>0.0</v>
      </c>
      <c r="X158" s="165">
        <v>0.0</v>
      </c>
      <c r="Y158" s="165">
        <v>0.0</v>
      </c>
      <c r="Z158" s="165">
        <v>0.0</v>
      </c>
      <c r="AA158" s="165">
        <v>0.0</v>
      </c>
      <c r="AB158" s="165">
        <v>0.0</v>
      </c>
      <c r="AC158" s="165"/>
      <c r="AD158" s="165"/>
      <c r="AE158" s="165"/>
      <c r="AF158" s="165"/>
      <c r="AG158" s="830">
        <f t="shared" si="63"/>
        <v>0</v>
      </c>
    </row>
    <row r="159">
      <c r="A159" s="213" t="s">
        <v>1282</v>
      </c>
      <c r="B159" s="165">
        <v>0.0</v>
      </c>
      <c r="C159" s="165">
        <v>0.0</v>
      </c>
      <c r="D159" s="165">
        <v>0.0</v>
      </c>
      <c r="E159" s="165">
        <v>0.0</v>
      </c>
      <c r="F159" s="165">
        <v>0.0</v>
      </c>
      <c r="G159" s="165">
        <v>0.0</v>
      </c>
      <c r="H159" s="165">
        <v>0.0</v>
      </c>
      <c r="I159" s="165">
        <v>0.0</v>
      </c>
      <c r="J159" s="165">
        <v>0.0</v>
      </c>
      <c r="K159" s="165">
        <v>0.0</v>
      </c>
      <c r="L159" s="165">
        <v>0.0</v>
      </c>
      <c r="M159" s="165">
        <v>0.0</v>
      </c>
      <c r="N159" s="165">
        <v>0.0</v>
      </c>
      <c r="O159" s="165">
        <v>1.0</v>
      </c>
      <c r="P159" s="165">
        <v>1.0</v>
      </c>
      <c r="Q159" s="165">
        <v>1.0</v>
      </c>
      <c r="R159" s="165">
        <v>0.0</v>
      </c>
      <c r="S159" s="165">
        <v>0.0</v>
      </c>
      <c r="T159" s="165">
        <v>0.0</v>
      </c>
      <c r="U159" s="165">
        <v>0.0</v>
      </c>
      <c r="V159" s="165">
        <v>0.0</v>
      </c>
      <c r="W159" s="165">
        <v>0.0</v>
      </c>
      <c r="X159" s="165">
        <v>0.0</v>
      </c>
      <c r="Y159" s="165">
        <v>0.0</v>
      </c>
      <c r="Z159" s="165">
        <v>0.0</v>
      </c>
      <c r="AA159" s="165">
        <v>0.0</v>
      </c>
      <c r="AB159" s="165">
        <v>0.0</v>
      </c>
      <c r="AC159" s="165"/>
      <c r="AD159" s="165"/>
      <c r="AE159" s="165"/>
      <c r="AF159" s="165"/>
      <c r="AG159" s="830">
        <f t="shared" si="63"/>
        <v>3</v>
      </c>
    </row>
    <row r="160">
      <c r="A160" s="213" t="s">
        <v>1283</v>
      </c>
      <c r="B160" s="165">
        <v>0.0</v>
      </c>
      <c r="C160" s="165">
        <v>0.0</v>
      </c>
      <c r="D160" s="165">
        <v>0.0</v>
      </c>
      <c r="E160" s="165">
        <v>0.0</v>
      </c>
      <c r="F160" s="165">
        <v>0.0</v>
      </c>
      <c r="G160" s="165">
        <v>0.0</v>
      </c>
      <c r="H160" s="165">
        <v>0.0</v>
      </c>
      <c r="I160" s="165">
        <v>0.0</v>
      </c>
      <c r="J160" s="165">
        <v>0.0</v>
      </c>
      <c r="K160" s="165">
        <v>0.0</v>
      </c>
      <c r="L160" s="165">
        <v>0.0</v>
      </c>
      <c r="M160" s="165">
        <v>0.0</v>
      </c>
      <c r="N160" s="165">
        <v>0.0</v>
      </c>
      <c r="O160" s="165">
        <v>0.0</v>
      </c>
      <c r="P160" s="165">
        <v>0.0</v>
      </c>
      <c r="Q160" s="165">
        <v>0.0</v>
      </c>
      <c r="R160" s="165">
        <v>0.0</v>
      </c>
      <c r="S160" s="165">
        <v>0.0</v>
      </c>
      <c r="T160" s="165">
        <v>0.0</v>
      </c>
      <c r="U160" s="165">
        <v>0.0</v>
      </c>
      <c r="V160" s="165">
        <v>0.0</v>
      </c>
      <c r="W160" s="165">
        <v>0.0</v>
      </c>
      <c r="X160" s="165">
        <v>0.0</v>
      </c>
      <c r="Y160" s="165">
        <v>0.0</v>
      </c>
      <c r="Z160" s="165">
        <v>0.0</v>
      </c>
      <c r="AA160" s="165">
        <v>0.0</v>
      </c>
      <c r="AB160" s="165">
        <v>0.0</v>
      </c>
      <c r="AC160" s="165"/>
      <c r="AD160" s="165"/>
      <c r="AE160" s="165"/>
      <c r="AF160" s="165"/>
      <c r="AG160" s="830">
        <f t="shared" si="63"/>
        <v>0</v>
      </c>
    </row>
    <row r="161">
      <c r="A161" s="213" t="s">
        <v>1284</v>
      </c>
      <c r="B161" s="165">
        <v>0.0</v>
      </c>
      <c r="C161" s="165">
        <v>0.0</v>
      </c>
      <c r="D161" s="165">
        <v>0.0</v>
      </c>
      <c r="E161" s="165">
        <v>0.0</v>
      </c>
      <c r="F161" s="165">
        <v>0.0</v>
      </c>
      <c r="G161" s="165">
        <v>0.0</v>
      </c>
      <c r="H161" s="165">
        <v>0.0</v>
      </c>
      <c r="I161" s="165">
        <v>0.0</v>
      </c>
      <c r="J161" s="165">
        <v>0.0</v>
      </c>
      <c r="K161" s="165">
        <v>0.0</v>
      </c>
      <c r="L161" s="165">
        <v>0.0</v>
      </c>
      <c r="M161" s="165">
        <v>0.0</v>
      </c>
      <c r="N161" s="165">
        <v>0.0</v>
      </c>
      <c r="O161" s="165">
        <v>0.0</v>
      </c>
      <c r="P161" s="165">
        <v>0.0</v>
      </c>
      <c r="Q161" s="165">
        <v>0.0</v>
      </c>
      <c r="R161" s="165">
        <v>0.0</v>
      </c>
      <c r="S161" s="165">
        <v>0.0</v>
      </c>
      <c r="T161" s="165">
        <v>0.0</v>
      </c>
      <c r="U161" s="165">
        <v>0.0</v>
      </c>
      <c r="V161" s="165">
        <v>0.0</v>
      </c>
      <c r="W161" s="165">
        <v>0.0</v>
      </c>
      <c r="X161" s="165">
        <v>0.0</v>
      </c>
      <c r="Y161" s="165">
        <v>0.0</v>
      </c>
      <c r="Z161" s="165">
        <v>0.0</v>
      </c>
      <c r="AA161" s="165">
        <v>0.0</v>
      </c>
      <c r="AB161" s="165">
        <v>0.0</v>
      </c>
      <c r="AC161" s="165"/>
      <c r="AD161" s="165"/>
      <c r="AE161" s="165"/>
      <c r="AF161" s="165"/>
      <c r="AG161" s="830">
        <f t="shared" si="63"/>
        <v>0</v>
      </c>
    </row>
    <row r="162">
      <c r="A162" s="213" t="s">
        <v>1285</v>
      </c>
      <c r="B162" s="165">
        <v>0.0</v>
      </c>
      <c r="C162" s="165">
        <v>0.0</v>
      </c>
      <c r="D162" s="165">
        <v>0.0</v>
      </c>
      <c r="E162" s="165">
        <v>0.0</v>
      </c>
      <c r="F162" s="165">
        <v>0.0</v>
      </c>
      <c r="G162" s="165">
        <v>0.0</v>
      </c>
      <c r="H162" s="165">
        <v>0.0</v>
      </c>
      <c r="I162" s="165">
        <v>0.0</v>
      </c>
      <c r="J162" s="165">
        <v>0.0</v>
      </c>
      <c r="K162" s="165">
        <v>0.0</v>
      </c>
      <c r="L162" s="165">
        <v>0.0</v>
      </c>
      <c r="M162" s="165">
        <v>0.0</v>
      </c>
      <c r="N162" s="165">
        <v>0.0</v>
      </c>
      <c r="O162" s="165">
        <v>0.0</v>
      </c>
      <c r="P162" s="165">
        <v>0.0</v>
      </c>
      <c r="Q162" s="165">
        <v>0.0</v>
      </c>
      <c r="R162" s="165">
        <v>0.0</v>
      </c>
      <c r="S162" s="165">
        <v>0.0</v>
      </c>
      <c r="T162" s="165">
        <v>0.0</v>
      </c>
      <c r="U162" s="165">
        <v>0.0</v>
      </c>
      <c r="V162" s="165">
        <v>0.0</v>
      </c>
      <c r="W162" s="165">
        <v>0.0</v>
      </c>
      <c r="X162" s="165">
        <v>0.0</v>
      </c>
      <c r="Y162" s="165">
        <v>0.0</v>
      </c>
      <c r="Z162" s="165">
        <v>0.0</v>
      </c>
      <c r="AA162" s="165">
        <v>0.0</v>
      </c>
      <c r="AB162" s="165">
        <v>0.0</v>
      </c>
      <c r="AC162" s="165"/>
      <c r="AD162" s="165"/>
      <c r="AE162" s="165"/>
      <c r="AF162" s="165"/>
      <c r="AG162" s="830">
        <f t="shared" si="63"/>
        <v>0</v>
      </c>
    </row>
    <row r="163">
      <c r="A163" s="844" t="s">
        <v>1268</v>
      </c>
      <c r="B163" s="330">
        <f t="shared" ref="B163:AF163" si="64">SUM(B155:B162)</f>
        <v>0</v>
      </c>
      <c r="C163" s="330">
        <f t="shared" si="64"/>
        <v>0</v>
      </c>
      <c r="D163" s="330">
        <f t="shared" si="64"/>
        <v>0</v>
      </c>
      <c r="E163" s="330">
        <f t="shared" si="64"/>
        <v>0</v>
      </c>
      <c r="F163" s="330">
        <f t="shared" si="64"/>
        <v>0</v>
      </c>
      <c r="G163" s="330">
        <f t="shared" si="64"/>
        <v>0</v>
      </c>
      <c r="H163" s="330">
        <f t="shared" si="64"/>
        <v>0</v>
      </c>
      <c r="I163" s="330">
        <f t="shared" si="64"/>
        <v>0</v>
      </c>
      <c r="J163" s="330">
        <f t="shared" si="64"/>
        <v>0</v>
      </c>
      <c r="K163" s="330">
        <f t="shared" si="64"/>
        <v>0</v>
      </c>
      <c r="L163" s="330">
        <f t="shared" si="64"/>
        <v>0</v>
      </c>
      <c r="M163" s="330">
        <f t="shared" si="64"/>
        <v>0</v>
      </c>
      <c r="N163" s="330">
        <f t="shared" si="64"/>
        <v>0</v>
      </c>
      <c r="O163" s="330">
        <f t="shared" si="64"/>
        <v>1</v>
      </c>
      <c r="P163" s="330">
        <f t="shared" si="64"/>
        <v>1</v>
      </c>
      <c r="Q163" s="330">
        <f t="shared" si="64"/>
        <v>1</v>
      </c>
      <c r="R163" s="330">
        <f t="shared" si="64"/>
        <v>0</v>
      </c>
      <c r="S163" s="330">
        <f t="shared" si="64"/>
        <v>0</v>
      </c>
      <c r="T163" s="330">
        <f t="shared" si="64"/>
        <v>0</v>
      </c>
      <c r="U163" s="330">
        <f t="shared" si="64"/>
        <v>0</v>
      </c>
      <c r="V163" s="330">
        <f t="shared" si="64"/>
        <v>0</v>
      </c>
      <c r="W163" s="330">
        <f t="shared" si="64"/>
        <v>0</v>
      </c>
      <c r="X163" s="330">
        <f t="shared" si="64"/>
        <v>0</v>
      </c>
      <c r="Y163" s="330">
        <f t="shared" si="64"/>
        <v>0</v>
      </c>
      <c r="Z163" s="330">
        <f t="shared" si="64"/>
        <v>0</v>
      </c>
      <c r="AA163" s="330">
        <f t="shared" si="64"/>
        <v>0</v>
      </c>
      <c r="AB163" s="330">
        <f t="shared" si="64"/>
        <v>0</v>
      </c>
      <c r="AC163" s="330">
        <f t="shared" si="64"/>
        <v>0</v>
      </c>
      <c r="AD163" s="330">
        <f t="shared" si="64"/>
        <v>0</v>
      </c>
      <c r="AE163" s="330">
        <f t="shared" si="64"/>
        <v>0</v>
      </c>
      <c r="AF163" s="330">
        <f t="shared" si="64"/>
        <v>0</v>
      </c>
      <c r="AG163" s="830">
        <f t="shared" si="63"/>
        <v>3</v>
      </c>
    </row>
    <row r="164">
      <c r="A164" s="172"/>
      <c r="B164" s="181"/>
      <c r="C164" s="181"/>
      <c r="D164" s="181"/>
      <c r="E164" s="181"/>
      <c r="F164" s="181"/>
      <c r="G164" s="181"/>
      <c r="H164" s="181"/>
      <c r="I164" s="181"/>
      <c r="J164" s="181"/>
      <c r="K164" s="181"/>
      <c r="L164" s="181"/>
      <c r="M164" s="158"/>
      <c r="N164" s="181"/>
      <c r="O164" s="181"/>
      <c r="P164" s="181"/>
      <c r="Q164" s="181"/>
      <c r="R164" s="181"/>
      <c r="S164" s="181"/>
      <c r="T164" s="181"/>
      <c r="U164" s="181"/>
      <c r="V164" s="181"/>
      <c r="W164" s="181"/>
      <c r="X164" s="181"/>
      <c r="Y164" s="181"/>
      <c r="Z164" s="181"/>
      <c r="AA164" s="181"/>
      <c r="AB164" s="181"/>
      <c r="AC164" s="181"/>
      <c r="AD164" s="181"/>
      <c r="AE164" s="181"/>
      <c r="AF164" s="181"/>
      <c r="AG164" s="830"/>
    </row>
    <row r="165">
      <c r="A165" s="172"/>
      <c r="B165" s="181"/>
      <c r="C165" s="181"/>
      <c r="D165" s="181"/>
      <c r="E165" s="181"/>
      <c r="F165" s="181"/>
      <c r="G165" s="181"/>
      <c r="H165" s="181"/>
      <c r="I165" s="181"/>
      <c r="J165" s="181"/>
      <c r="K165" s="181"/>
      <c r="L165" s="181"/>
      <c r="M165" s="158"/>
      <c r="N165" s="181"/>
      <c r="O165" s="181"/>
      <c r="P165" s="181"/>
      <c r="Q165" s="181"/>
      <c r="R165" s="181"/>
      <c r="S165" s="181"/>
      <c r="T165" s="181"/>
      <c r="U165" s="181"/>
      <c r="V165" s="181"/>
      <c r="W165" s="181"/>
      <c r="X165" s="181"/>
      <c r="Y165" s="181"/>
      <c r="Z165" s="181"/>
      <c r="AA165" s="181"/>
      <c r="AB165" s="181"/>
      <c r="AC165" s="181"/>
      <c r="AD165" s="181"/>
      <c r="AE165" s="181"/>
      <c r="AF165" s="181"/>
      <c r="AG165" s="830"/>
    </row>
    <row r="166">
      <c r="A166" s="213" t="s">
        <v>1286</v>
      </c>
      <c r="B166" s="165">
        <v>0.0</v>
      </c>
      <c r="C166" s="165">
        <v>0.0</v>
      </c>
      <c r="D166" s="165">
        <v>0.0</v>
      </c>
      <c r="E166" s="165">
        <v>0.0</v>
      </c>
      <c r="F166" s="165">
        <v>0.0</v>
      </c>
      <c r="G166" s="165">
        <v>2.0</v>
      </c>
      <c r="H166" s="165">
        <v>0.0</v>
      </c>
      <c r="I166" s="165">
        <v>0.0</v>
      </c>
      <c r="J166" s="165">
        <v>0.0</v>
      </c>
      <c r="K166" s="165">
        <v>0.0</v>
      </c>
      <c r="L166" s="165">
        <v>0.0</v>
      </c>
      <c r="M166" s="165">
        <v>0.0</v>
      </c>
      <c r="N166" s="165">
        <v>1.0</v>
      </c>
      <c r="O166" s="165">
        <v>0.0</v>
      </c>
      <c r="P166" s="165">
        <v>0.0</v>
      </c>
      <c r="Q166" s="165">
        <v>0.0</v>
      </c>
      <c r="R166" s="165">
        <v>0.0</v>
      </c>
      <c r="S166" s="165">
        <v>0.0</v>
      </c>
      <c r="T166" s="165">
        <v>2.0</v>
      </c>
      <c r="U166" s="165">
        <v>0.0</v>
      </c>
      <c r="V166" s="165">
        <v>1.0</v>
      </c>
      <c r="W166" s="165">
        <v>0.0</v>
      </c>
      <c r="X166" s="165">
        <v>0.0</v>
      </c>
      <c r="Y166" s="165">
        <v>1.0</v>
      </c>
      <c r="Z166" s="165">
        <v>0.0</v>
      </c>
      <c r="AA166" s="165">
        <v>0.0</v>
      </c>
      <c r="AB166" s="165">
        <v>0.0</v>
      </c>
      <c r="AC166" s="165"/>
      <c r="AD166" s="165"/>
      <c r="AE166" s="165"/>
      <c r="AF166" s="165"/>
      <c r="AG166" s="830">
        <f t="shared" ref="AG166:AG167" si="66">SUM(B166:AF166)</f>
        <v>7</v>
      </c>
    </row>
    <row r="167">
      <c r="A167" s="844" t="s">
        <v>591</v>
      </c>
      <c r="B167" s="330">
        <f t="shared" ref="B167:AF167" si="65">SUM(B166)</f>
        <v>0</v>
      </c>
      <c r="C167" s="330">
        <f t="shared" si="65"/>
        <v>0</v>
      </c>
      <c r="D167" s="330">
        <f t="shared" si="65"/>
        <v>0</v>
      </c>
      <c r="E167" s="330">
        <f t="shared" si="65"/>
        <v>0</v>
      </c>
      <c r="F167" s="330">
        <f t="shared" si="65"/>
        <v>0</v>
      </c>
      <c r="G167" s="330">
        <f t="shared" si="65"/>
        <v>2</v>
      </c>
      <c r="H167" s="330">
        <f t="shared" si="65"/>
        <v>0</v>
      </c>
      <c r="I167" s="330">
        <f t="shared" si="65"/>
        <v>0</v>
      </c>
      <c r="J167" s="330">
        <f t="shared" si="65"/>
        <v>0</v>
      </c>
      <c r="K167" s="330">
        <f t="shared" si="65"/>
        <v>0</v>
      </c>
      <c r="L167" s="330">
        <f t="shared" si="65"/>
        <v>0</v>
      </c>
      <c r="M167" s="330">
        <f t="shared" si="65"/>
        <v>0</v>
      </c>
      <c r="N167" s="330">
        <f t="shared" si="65"/>
        <v>1</v>
      </c>
      <c r="O167" s="330">
        <f t="shared" si="65"/>
        <v>0</v>
      </c>
      <c r="P167" s="330">
        <f t="shared" si="65"/>
        <v>0</v>
      </c>
      <c r="Q167" s="330">
        <f t="shared" si="65"/>
        <v>0</v>
      </c>
      <c r="R167" s="330">
        <f t="shared" si="65"/>
        <v>0</v>
      </c>
      <c r="S167" s="330">
        <f t="shared" si="65"/>
        <v>0</v>
      </c>
      <c r="T167" s="330">
        <f t="shared" si="65"/>
        <v>2</v>
      </c>
      <c r="U167" s="330">
        <f t="shared" si="65"/>
        <v>0</v>
      </c>
      <c r="V167" s="330">
        <f t="shared" si="65"/>
        <v>1</v>
      </c>
      <c r="W167" s="330">
        <f t="shared" si="65"/>
        <v>0</v>
      </c>
      <c r="X167" s="330">
        <f t="shared" si="65"/>
        <v>0</v>
      </c>
      <c r="Y167" s="330">
        <f t="shared" si="65"/>
        <v>1</v>
      </c>
      <c r="Z167" s="330">
        <f t="shared" si="65"/>
        <v>0</v>
      </c>
      <c r="AA167" s="330">
        <f t="shared" si="65"/>
        <v>0</v>
      </c>
      <c r="AB167" s="330">
        <f t="shared" si="65"/>
        <v>0</v>
      </c>
      <c r="AC167" s="330">
        <f t="shared" si="65"/>
        <v>0</v>
      </c>
      <c r="AD167" s="330">
        <f t="shared" si="65"/>
        <v>0</v>
      </c>
      <c r="AE167" s="330">
        <f t="shared" si="65"/>
        <v>0</v>
      </c>
      <c r="AF167" s="330">
        <f t="shared" si="65"/>
        <v>0</v>
      </c>
      <c r="AG167" s="830">
        <f t="shared" si="66"/>
        <v>7</v>
      </c>
    </row>
    <row r="168">
      <c r="A168" s="172"/>
      <c r="B168" s="225"/>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81"/>
      <c r="AB168" s="181"/>
      <c r="AC168" s="181"/>
      <c r="AD168" s="181"/>
      <c r="AE168" s="181"/>
      <c r="AF168" s="181"/>
      <c r="AG168" s="842"/>
    </row>
    <row r="169">
      <c r="A169" s="141" t="s">
        <v>1287</v>
      </c>
      <c r="B169" s="130"/>
      <c r="C169" s="130"/>
      <c r="D169" s="130"/>
      <c r="E169" s="130"/>
      <c r="F169" s="130"/>
      <c r="G169" s="199"/>
      <c r="H169" s="130"/>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42"/>
    </row>
    <row r="170">
      <c r="A170" s="213" t="s">
        <v>1288</v>
      </c>
      <c r="B170" s="199">
        <v>0.0</v>
      </c>
      <c r="C170" s="199">
        <v>0.0</v>
      </c>
      <c r="D170" s="199">
        <v>0.0</v>
      </c>
      <c r="E170" s="199">
        <v>0.0</v>
      </c>
      <c r="F170" s="199">
        <v>0.0</v>
      </c>
      <c r="G170" s="199">
        <v>299.99</v>
      </c>
      <c r="H170" s="199">
        <v>0.0</v>
      </c>
      <c r="I170" s="199">
        <v>0.0</v>
      </c>
      <c r="J170" s="199">
        <v>0.0</v>
      </c>
      <c r="K170" s="199">
        <v>0.0</v>
      </c>
      <c r="L170" s="199">
        <v>0.0</v>
      </c>
      <c r="M170" s="199">
        <v>0.0</v>
      </c>
      <c r="N170" s="199">
        <v>0.0</v>
      </c>
      <c r="O170" s="199">
        <v>0.0</v>
      </c>
      <c r="P170" s="199">
        <v>0.0</v>
      </c>
      <c r="Q170" s="199">
        <v>0.0</v>
      </c>
      <c r="R170" s="199">
        <v>0.0</v>
      </c>
      <c r="S170" s="199">
        <v>0.0</v>
      </c>
      <c r="T170" s="199">
        <v>0.0</v>
      </c>
      <c r="U170" s="199">
        <v>0.0</v>
      </c>
      <c r="V170" s="199">
        <v>306.34</v>
      </c>
      <c r="W170" s="199">
        <v>0.0</v>
      </c>
      <c r="X170" s="199">
        <v>0.0</v>
      </c>
      <c r="Y170" s="199">
        <v>0.0</v>
      </c>
      <c r="Z170" s="199">
        <v>0.0</v>
      </c>
      <c r="AA170" s="199">
        <v>0.0</v>
      </c>
      <c r="AB170" s="199">
        <v>0.0</v>
      </c>
      <c r="AC170" s="199"/>
      <c r="AD170" s="199"/>
      <c r="AE170" s="199"/>
      <c r="AF170" s="199"/>
      <c r="AG170" s="845">
        <f t="shared" ref="AG170:AG173" si="67">SUM(B170:AF170)</f>
        <v>606.33</v>
      </c>
    </row>
    <row r="171">
      <c r="A171" s="213" t="s">
        <v>1289</v>
      </c>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845">
        <f t="shared" si="67"/>
        <v>0</v>
      </c>
    </row>
    <row r="172">
      <c r="A172" s="213" t="s">
        <v>1290</v>
      </c>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845">
        <f t="shared" si="67"/>
        <v>0</v>
      </c>
    </row>
    <row r="173">
      <c r="A173" s="350" t="s">
        <v>657</v>
      </c>
      <c r="B173" s="337">
        <f t="shared" ref="B173:AF173" si="68">SUM(B170:B172)</f>
        <v>0</v>
      </c>
      <c r="C173" s="337">
        <f t="shared" si="68"/>
        <v>0</v>
      </c>
      <c r="D173" s="337">
        <f t="shared" si="68"/>
        <v>0</v>
      </c>
      <c r="E173" s="337">
        <f t="shared" si="68"/>
        <v>0</v>
      </c>
      <c r="F173" s="337">
        <f t="shared" si="68"/>
        <v>0</v>
      </c>
      <c r="G173" s="337">
        <f t="shared" si="68"/>
        <v>299.99</v>
      </c>
      <c r="H173" s="337">
        <f t="shared" si="68"/>
        <v>0</v>
      </c>
      <c r="I173" s="337">
        <f t="shared" si="68"/>
        <v>0</v>
      </c>
      <c r="J173" s="337">
        <f t="shared" si="68"/>
        <v>0</v>
      </c>
      <c r="K173" s="337">
        <f t="shared" si="68"/>
        <v>0</v>
      </c>
      <c r="L173" s="337">
        <f t="shared" si="68"/>
        <v>0</v>
      </c>
      <c r="M173" s="337">
        <f t="shared" si="68"/>
        <v>0</v>
      </c>
      <c r="N173" s="337">
        <f t="shared" si="68"/>
        <v>0</v>
      </c>
      <c r="O173" s="337">
        <f t="shared" si="68"/>
        <v>0</v>
      </c>
      <c r="P173" s="337">
        <f t="shared" si="68"/>
        <v>0</v>
      </c>
      <c r="Q173" s="337">
        <f t="shared" si="68"/>
        <v>0</v>
      </c>
      <c r="R173" s="337">
        <f t="shared" si="68"/>
        <v>0</v>
      </c>
      <c r="S173" s="337">
        <f t="shared" si="68"/>
        <v>0</v>
      </c>
      <c r="T173" s="337">
        <f t="shared" si="68"/>
        <v>0</v>
      </c>
      <c r="U173" s="337">
        <f t="shared" si="68"/>
        <v>0</v>
      </c>
      <c r="V173" s="337">
        <f t="shared" si="68"/>
        <v>306.34</v>
      </c>
      <c r="W173" s="337">
        <f t="shared" si="68"/>
        <v>0</v>
      </c>
      <c r="X173" s="337">
        <f t="shared" si="68"/>
        <v>0</v>
      </c>
      <c r="Y173" s="337">
        <f t="shared" si="68"/>
        <v>0</v>
      </c>
      <c r="Z173" s="337">
        <f t="shared" si="68"/>
        <v>0</v>
      </c>
      <c r="AA173" s="337">
        <f t="shared" si="68"/>
        <v>0</v>
      </c>
      <c r="AB173" s="337">
        <f t="shared" si="68"/>
        <v>0</v>
      </c>
      <c r="AC173" s="337">
        <f t="shared" si="68"/>
        <v>0</v>
      </c>
      <c r="AD173" s="337">
        <f t="shared" si="68"/>
        <v>0</v>
      </c>
      <c r="AE173" s="337">
        <f t="shared" si="68"/>
        <v>0</v>
      </c>
      <c r="AF173" s="337">
        <f t="shared" si="68"/>
        <v>0</v>
      </c>
      <c r="AG173" s="845">
        <f t="shared" si="67"/>
        <v>606.33</v>
      </c>
    </row>
    <row r="174">
      <c r="A174" s="172"/>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81"/>
      <c r="AB174" s="181"/>
      <c r="AC174" s="181"/>
      <c r="AD174" s="181"/>
      <c r="AE174" s="181"/>
      <c r="AF174" s="181"/>
      <c r="AG174" s="845"/>
    </row>
    <row r="175">
      <c r="A175" s="141" t="s">
        <v>1291</v>
      </c>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81"/>
      <c r="AF175" s="181"/>
      <c r="AG175" s="842"/>
    </row>
    <row r="176">
      <c r="A176" s="213" t="s">
        <v>1288</v>
      </c>
      <c r="B176" s="199">
        <v>0.0</v>
      </c>
      <c r="C176" s="199">
        <v>0.0</v>
      </c>
      <c r="D176" s="199">
        <v>0.0</v>
      </c>
      <c r="E176" s="226">
        <v>0.0</v>
      </c>
      <c r="F176" s="226">
        <v>0.0</v>
      </c>
      <c r="G176" s="226">
        <v>441.1</v>
      </c>
      <c r="H176" s="226">
        <v>0.0</v>
      </c>
      <c r="I176" s="226">
        <v>0.0</v>
      </c>
      <c r="J176" s="226">
        <v>0.0</v>
      </c>
      <c r="K176" s="226">
        <v>0.0</v>
      </c>
      <c r="L176" s="199">
        <v>0.0</v>
      </c>
      <c r="M176" s="226">
        <v>0.0</v>
      </c>
      <c r="N176" s="226">
        <v>56.0</v>
      </c>
      <c r="O176" s="226">
        <v>0.0</v>
      </c>
      <c r="P176" s="226">
        <v>0.0</v>
      </c>
      <c r="Q176" s="226">
        <v>0.0</v>
      </c>
      <c r="R176" s="226">
        <v>0.0</v>
      </c>
      <c r="S176" s="226">
        <v>0.0</v>
      </c>
      <c r="T176" s="226">
        <v>326.0</v>
      </c>
      <c r="U176" s="226">
        <v>0.0</v>
      </c>
      <c r="V176" s="226">
        <v>0.0</v>
      </c>
      <c r="W176" s="226">
        <v>0.0</v>
      </c>
      <c r="X176" s="199">
        <v>0.0</v>
      </c>
      <c r="Y176" s="226">
        <v>338.54</v>
      </c>
      <c r="Z176" s="226">
        <v>0.0</v>
      </c>
      <c r="AA176" s="226">
        <v>0.0</v>
      </c>
      <c r="AB176" s="226">
        <v>0.0</v>
      </c>
      <c r="AC176" s="226"/>
      <c r="AD176" s="199"/>
      <c r="AE176" s="226"/>
      <c r="AF176" s="226"/>
      <c r="AG176" s="845">
        <f t="shared" ref="AG176:AG179" si="69">SUM(B176:AF176)</f>
        <v>1161.64</v>
      </c>
    </row>
    <row r="177">
      <c r="A177" s="213" t="s">
        <v>1289</v>
      </c>
      <c r="B177" s="99"/>
      <c r="C177" s="99"/>
      <c r="D177" s="99"/>
      <c r="E177" s="99"/>
      <c r="F177" s="99"/>
      <c r="G177" s="313"/>
      <c r="H177" s="313"/>
      <c r="I177" s="313"/>
      <c r="J177" s="313"/>
      <c r="K177" s="99"/>
      <c r="L177" s="313"/>
      <c r="M177" s="313"/>
      <c r="N177" s="313"/>
      <c r="O177" s="313"/>
      <c r="P177" s="313"/>
      <c r="Q177" s="313"/>
      <c r="R177" s="313"/>
      <c r="S177" s="313"/>
      <c r="T177" s="313"/>
      <c r="U177" s="313"/>
      <c r="V177" s="313"/>
      <c r="W177" s="313"/>
      <c r="X177" s="313"/>
      <c r="Y177" s="313"/>
      <c r="Z177" s="313"/>
      <c r="AA177" s="313"/>
      <c r="AB177" s="313"/>
      <c r="AC177" s="313"/>
      <c r="AD177" s="313"/>
      <c r="AE177" s="313"/>
      <c r="AF177" s="313"/>
      <c r="AG177" s="845">
        <f t="shared" si="69"/>
        <v>0</v>
      </c>
    </row>
    <row r="178">
      <c r="A178" s="213" t="s">
        <v>1290</v>
      </c>
      <c r="B178" s="99"/>
      <c r="C178" s="99"/>
      <c r="D178" s="99"/>
      <c r="E178" s="99"/>
      <c r="F178" s="99"/>
      <c r="G178" s="313"/>
      <c r="H178" s="313"/>
      <c r="I178" s="313"/>
      <c r="J178" s="313"/>
      <c r="K178" s="99"/>
      <c r="L178" s="313"/>
      <c r="M178" s="313"/>
      <c r="N178" s="313"/>
      <c r="O178" s="313"/>
      <c r="P178" s="313"/>
      <c r="Q178" s="313"/>
      <c r="R178" s="313"/>
      <c r="S178" s="313"/>
      <c r="T178" s="313"/>
      <c r="U178" s="313"/>
      <c r="V178" s="313"/>
      <c r="W178" s="313"/>
      <c r="X178" s="313"/>
      <c r="Y178" s="313"/>
      <c r="Z178" s="313"/>
      <c r="AA178" s="313"/>
      <c r="AB178" s="313"/>
      <c r="AC178" s="313"/>
      <c r="AD178" s="313"/>
      <c r="AE178" s="313"/>
      <c r="AF178" s="313"/>
      <c r="AG178" s="845">
        <f t="shared" si="69"/>
        <v>0</v>
      </c>
    </row>
    <row r="179">
      <c r="A179" s="350" t="s">
        <v>657</v>
      </c>
      <c r="B179" s="342">
        <f t="shared" ref="B179:AF179" si="70">sum(B176:B178)</f>
        <v>0</v>
      </c>
      <c r="C179" s="342">
        <f t="shared" si="70"/>
        <v>0</v>
      </c>
      <c r="D179" s="342">
        <f t="shared" si="70"/>
        <v>0</v>
      </c>
      <c r="E179" s="342">
        <f t="shared" si="70"/>
        <v>0</v>
      </c>
      <c r="F179" s="342">
        <f t="shared" si="70"/>
        <v>0</v>
      </c>
      <c r="G179" s="342">
        <f t="shared" si="70"/>
        <v>441.1</v>
      </c>
      <c r="H179" s="342">
        <f t="shared" si="70"/>
        <v>0</v>
      </c>
      <c r="I179" s="342">
        <f t="shared" si="70"/>
        <v>0</v>
      </c>
      <c r="J179" s="342">
        <f t="shared" si="70"/>
        <v>0</v>
      </c>
      <c r="K179" s="342">
        <f t="shared" si="70"/>
        <v>0</v>
      </c>
      <c r="L179" s="342">
        <f t="shared" si="70"/>
        <v>0</v>
      </c>
      <c r="M179" s="342">
        <f t="shared" si="70"/>
        <v>0</v>
      </c>
      <c r="N179" s="342">
        <f t="shared" si="70"/>
        <v>56</v>
      </c>
      <c r="O179" s="342">
        <f t="shared" si="70"/>
        <v>0</v>
      </c>
      <c r="P179" s="342">
        <f t="shared" si="70"/>
        <v>0</v>
      </c>
      <c r="Q179" s="342">
        <f t="shared" si="70"/>
        <v>0</v>
      </c>
      <c r="R179" s="342">
        <f t="shared" si="70"/>
        <v>0</v>
      </c>
      <c r="S179" s="342">
        <f t="shared" si="70"/>
        <v>0</v>
      </c>
      <c r="T179" s="342">
        <f t="shared" si="70"/>
        <v>326</v>
      </c>
      <c r="U179" s="342">
        <f t="shared" si="70"/>
        <v>0</v>
      </c>
      <c r="V179" s="342">
        <f t="shared" si="70"/>
        <v>0</v>
      </c>
      <c r="W179" s="342">
        <f t="shared" si="70"/>
        <v>0</v>
      </c>
      <c r="X179" s="342">
        <f t="shared" si="70"/>
        <v>0</v>
      </c>
      <c r="Y179" s="342">
        <f t="shared" si="70"/>
        <v>338.54</v>
      </c>
      <c r="Z179" s="342">
        <f t="shared" si="70"/>
        <v>0</v>
      </c>
      <c r="AA179" s="342">
        <f t="shared" si="70"/>
        <v>0</v>
      </c>
      <c r="AB179" s="342">
        <f t="shared" si="70"/>
        <v>0</v>
      </c>
      <c r="AC179" s="342">
        <f t="shared" si="70"/>
        <v>0</v>
      </c>
      <c r="AD179" s="342">
        <f t="shared" si="70"/>
        <v>0</v>
      </c>
      <c r="AE179" s="342">
        <f t="shared" si="70"/>
        <v>0</v>
      </c>
      <c r="AF179" s="342">
        <f t="shared" si="70"/>
        <v>0</v>
      </c>
      <c r="AG179" s="845">
        <f t="shared" si="69"/>
        <v>1161.64</v>
      </c>
    </row>
    <row r="180">
      <c r="A180" s="172"/>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c r="AG180" s="842"/>
    </row>
    <row r="181">
      <c r="A181" s="172"/>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c r="AG181" s="842"/>
    </row>
    <row r="182">
      <c r="A182" s="124" t="s">
        <v>1292</v>
      </c>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42"/>
    </row>
    <row r="183">
      <c r="A183" s="88" t="s">
        <v>389</v>
      </c>
      <c r="B183" s="137">
        <f>Summary!B85</f>
        <v>80.6621544</v>
      </c>
      <c r="C183" s="137">
        <f>Summary!C85</f>
        <v>44.5766772</v>
      </c>
      <c r="D183" s="137">
        <f>Summary!D85</f>
        <v>0</v>
      </c>
      <c r="E183" s="137">
        <f>Summary!E85</f>
        <v>0</v>
      </c>
      <c r="F183" s="137">
        <f>Summary!F85</f>
        <v>0</v>
      </c>
      <c r="G183" s="137">
        <f>Summary!G85</f>
        <v>44.5766772</v>
      </c>
      <c r="H183" s="137">
        <f>Summary!H85</f>
        <v>0</v>
      </c>
      <c r="I183" s="137">
        <f>Summary!I85</f>
        <v>89.1533544</v>
      </c>
      <c r="J183" s="137">
        <f>Summary!J85</f>
        <v>0</v>
      </c>
      <c r="K183" s="137">
        <f>Summary!K85</f>
        <v>214.392186</v>
      </c>
      <c r="L183" s="137">
        <f>Summary!L85</f>
        <v>44.5766772</v>
      </c>
      <c r="M183" s="137">
        <f>Summary!M85</f>
        <v>44.5766772</v>
      </c>
      <c r="N183" s="137">
        <f>Summary!N85</f>
        <v>0</v>
      </c>
      <c r="O183" s="137">
        <f>Summary!O85</f>
        <v>0</v>
      </c>
      <c r="P183" s="137">
        <f>Summary!P85</f>
        <v>0</v>
      </c>
      <c r="Q183" s="137">
        <f>Summary!Q85</f>
        <v>0</v>
      </c>
      <c r="R183" s="137">
        <f>Summary!R85</f>
        <v>0</v>
      </c>
      <c r="S183" s="137">
        <f>Summary!S85</f>
        <v>0</v>
      </c>
      <c r="T183" s="137">
        <f>Summary!T85</f>
        <v>0</v>
      </c>
      <c r="U183" s="137">
        <f>Summary!U85</f>
        <v>0</v>
      </c>
      <c r="V183" s="137">
        <f>Summary!V85</f>
        <v>0</v>
      </c>
      <c r="W183" s="137">
        <f>Summary!W85</f>
        <v>0</v>
      </c>
      <c r="X183" s="137">
        <f>Summary!X85</f>
        <v>0</v>
      </c>
      <c r="Y183" s="137">
        <f>Summary!Y85</f>
        <v>0</v>
      </c>
      <c r="Z183" s="137">
        <f>Summary!Z85</f>
        <v>0</v>
      </c>
      <c r="AA183" s="137">
        <f>Summary!AA85</f>
        <v>0</v>
      </c>
      <c r="AB183" s="137">
        <f>Summary!AB85</f>
        <v>0</v>
      </c>
      <c r="AC183" s="137">
        <f>Summary!AC85</f>
        <v>63.6818772</v>
      </c>
      <c r="AD183" s="137">
        <f>Summary!AD85</f>
        <v>0</v>
      </c>
      <c r="AE183" s="137" t="str">
        <f t="shared" ref="AE183:AF183" si="71">#REF!</f>
        <v>#REF!</v>
      </c>
      <c r="AF183" s="137" t="str">
        <f t="shared" si="71"/>
        <v>#REF!</v>
      </c>
      <c r="AG183" s="836" t="str">
        <f t="shared" ref="AG183:AG201" si="72">SUM(B183:AF183)</f>
        <v>#REF!</v>
      </c>
    </row>
    <row r="184">
      <c r="A184" s="352" t="s">
        <v>1293</v>
      </c>
      <c r="B184" s="137">
        <f>(B93+B94)*'Data - P&amp;L'!$C$3</f>
        <v>0</v>
      </c>
      <c r="C184" s="137">
        <f>(C93+C94)*'Data - P&amp;L'!$C$3</f>
        <v>0</v>
      </c>
      <c r="D184" s="137">
        <f>(D93+D94)*'Data - P&amp;L'!$C$3</f>
        <v>0</v>
      </c>
      <c r="E184" s="137">
        <f>(E93+E94)*'Data - P&amp;L'!$C$3</f>
        <v>0</v>
      </c>
      <c r="F184" s="137">
        <f>(F93+F94)*'Data - P&amp;L'!$C$3</f>
        <v>0</v>
      </c>
      <c r="G184" s="137">
        <f>(G93+G94)*'Data - P&amp;L'!$C$3</f>
        <v>-173.8</v>
      </c>
      <c r="H184" s="137">
        <f>(H93+H94)*'Data - P&amp;L'!$C$3</f>
        <v>173.8</v>
      </c>
      <c r="I184" s="137">
        <f>(I93+I94)*'Data - P&amp;L'!$C$3</f>
        <v>173.8</v>
      </c>
      <c r="J184" s="137">
        <f>(J93+J94)*'Data - P&amp;L'!$C$3</f>
        <v>86.9</v>
      </c>
      <c r="K184" s="137">
        <f>(K93+K94)*'Data - P&amp;L'!$C$3</f>
        <v>173.8</v>
      </c>
      <c r="L184" s="137">
        <f>(L93+L94)*'Data - P&amp;L'!$C$3</f>
        <v>86.9</v>
      </c>
      <c r="M184" s="137">
        <f>(M93+M94)*'Data - P&amp;L'!$C$3</f>
        <v>434.5</v>
      </c>
      <c r="N184" s="137">
        <f>(N93+N94)*'Data - P&amp;L'!$C$3</f>
        <v>434.5</v>
      </c>
      <c r="O184" s="137">
        <f>(O93+O94)*'Data - P&amp;L'!$C$3</f>
        <v>0</v>
      </c>
      <c r="P184" s="137">
        <f>(P93+P94)*'Data - P&amp;L'!$C$3</f>
        <v>0</v>
      </c>
      <c r="Q184" s="137">
        <f>(Q93+Q94)*'Data - P&amp;L'!$C$3</f>
        <v>0</v>
      </c>
      <c r="R184" s="137">
        <f>(R93+R94)*'Data - P&amp;L'!$C$3</f>
        <v>0</v>
      </c>
      <c r="S184" s="137">
        <f>(S93+S94)*'Data - P&amp;L'!$C$3</f>
        <v>0</v>
      </c>
      <c r="T184" s="137">
        <f>(T93+T94)*'Data - P&amp;L'!$C$3</f>
        <v>-86.9</v>
      </c>
      <c r="U184" s="137">
        <f>(U93+U94)*'Data - P&amp;L'!$C$3</f>
        <v>0</v>
      </c>
      <c r="V184" s="137">
        <f>(V93+V94)*'Data - P&amp;L'!$C$3</f>
        <v>0</v>
      </c>
      <c r="W184" s="137">
        <f>(W93+W94)*'Data - P&amp;L'!$C$3</f>
        <v>0</v>
      </c>
      <c r="X184" s="137">
        <f>(X93+X94)*'Data - P&amp;L'!$C$3</f>
        <v>0</v>
      </c>
      <c r="Y184" s="137">
        <f>(Y93+Y94)*'Data - P&amp;L'!$C$3</f>
        <v>0</v>
      </c>
      <c r="Z184" s="137">
        <f>(Z93+Z94)*'Data - P&amp;L'!$C$3</f>
        <v>0</v>
      </c>
      <c r="AA184" s="137">
        <f>(AA93+AA94)*'Data - P&amp;L'!$C$3</f>
        <v>0</v>
      </c>
      <c r="AB184" s="137">
        <f>(AB93+AB94)*'Data - P&amp;L'!$C$3</f>
        <v>0</v>
      </c>
      <c r="AC184" s="137">
        <f>(AC93+AC94)*'Data - P&amp;L'!$C$3</f>
        <v>0</v>
      </c>
      <c r="AD184" s="137">
        <f>(AD93+AD94)*'Data - P&amp;L'!$C$3</f>
        <v>0</v>
      </c>
      <c r="AE184" s="137">
        <f>(AE93+AE94)*'Data - P&amp;L'!$C$3</f>
        <v>0</v>
      </c>
      <c r="AF184" s="137">
        <f>(AF93+AF94)*'Data - P&amp;L'!$C$3</f>
        <v>0</v>
      </c>
      <c r="AG184" s="836">
        <f t="shared" si="72"/>
        <v>1303.5</v>
      </c>
    </row>
    <row r="185">
      <c r="A185" s="846" t="s">
        <v>1294</v>
      </c>
      <c r="B185" s="137">
        <f>(B184)*'Data - P&amp;L'!$L$5</f>
        <v>0</v>
      </c>
      <c r="C185" s="137">
        <f>(C184)*'Data - P&amp;L'!$L$5</f>
        <v>0</v>
      </c>
      <c r="D185" s="137">
        <f>(D184)*'Data - P&amp;L'!$L$5</f>
        <v>0</v>
      </c>
      <c r="E185" s="137">
        <f>(E184)*'Data - P&amp;L'!$L$5</f>
        <v>0</v>
      </c>
      <c r="F185" s="137">
        <f>(F184)*'Data - P&amp;L'!$L$5</f>
        <v>0</v>
      </c>
      <c r="G185" s="137">
        <f>(G184)*'Data - P&amp;L'!$L$5</f>
        <v>-13.035</v>
      </c>
      <c r="H185" s="137">
        <f>(H184)*'Data - P&amp;L'!$L$5</f>
        <v>13.035</v>
      </c>
      <c r="I185" s="137">
        <f>(I184)*'Data - P&amp;L'!$L$5</f>
        <v>13.035</v>
      </c>
      <c r="J185" s="137">
        <f>(J184)*'Data - P&amp;L'!$L$5</f>
        <v>6.5175</v>
      </c>
      <c r="K185" s="137">
        <f>(K184)*'Data - P&amp;L'!$L$5</f>
        <v>13.035</v>
      </c>
      <c r="L185" s="137">
        <f>(L184)*'Data - P&amp;L'!$L$5</f>
        <v>6.5175</v>
      </c>
      <c r="M185" s="137">
        <f>(M184)*'Data - P&amp;L'!$L$5</f>
        <v>32.5875</v>
      </c>
      <c r="N185" s="137">
        <f>(N184)*'Data - P&amp;L'!$L$5</f>
        <v>32.5875</v>
      </c>
      <c r="O185" s="137">
        <f>(O184)*'Data - P&amp;L'!$L$5</f>
        <v>0</v>
      </c>
      <c r="P185" s="137">
        <f>(P184)*'Data - P&amp;L'!$L$5</f>
        <v>0</v>
      </c>
      <c r="Q185" s="137">
        <f>(Q184)*'Data - P&amp;L'!$L$5</f>
        <v>0</v>
      </c>
      <c r="R185" s="137">
        <f>(R184)*'Data - P&amp;L'!$L$5</f>
        <v>0</v>
      </c>
      <c r="S185" s="137">
        <f>(S184)*'Data - P&amp;L'!$L$5</f>
        <v>0</v>
      </c>
      <c r="T185" s="137">
        <f>(T184)*'Data - P&amp;L'!$L$5</f>
        <v>-6.5175</v>
      </c>
      <c r="U185" s="137">
        <f>(U184)*'Data - P&amp;L'!$L$5</f>
        <v>0</v>
      </c>
      <c r="V185" s="137">
        <f>(V184)*'Data - P&amp;L'!$L$5</f>
        <v>0</v>
      </c>
      <c r="W185" s="137">
        <f>(W184)*'Data - P&amp;L'!$L$5</f>
        <v>0</v>
      </c>
      <c r="X185" s="137">
        <f>(X184)*'Data - P&amp;L'!$L$5</f>
        <v>0</v>
      </c>
      <c r="Y185" s="137">
        <f>(Y184)*'Data - P&amp;L'!$L$5</f>
        <v>0</v>
      </c>
      <c r="Z185" s="137">
        <f>(Z184)*'Data - P&amp;L'!$L$5</f>
        <v>0</v>
      </c>
      <c r="AA185" s="137">
        <f>(AA184)*'Data - P&amp;L'!$L$5</f>
        <v>0</v>
      </c>
      <c r="AB185" s="137">
        <f>(AB184)*'Data - P&amp;L'!$L$5</f>
        <v>0</v>
      </c>
      <c r="AC185" s="137">
        <f>(AC184)*'Data - P&amp;L'!$L$5</f>
        <v>0</v>
      </c>
      <c r="AD185" s="137">
        <f>(AD184)*'Data - P&amp;L'!$L$5</f>
        <v>0</v>
      </c>
      <c r="AE185" s="137">
        <f>(AE184)*'Data - P&amp;L'!$L$5</f>
        <v>0</v>
      </c>
      <c r="AF185" s="137">
        <f>(AF184)*'Data - P&amp;L'!$L$5</f>
        <v>0</v>
      </c>
      <c r="AG185" s="836">
        <f t="shared" si="72"/>
        <v>97.7625</v>
      </c>
    </row>
    <row r="186">
      <c r="A186" s="352" t="s">
        <v>1295</v>
      </c>
      <c r="B186" s="137">
        <f>(B95+B96)*'Data - P&amp;L'!$C$4</f>
        <v>585.66</v>
      </c>
      <c r="C186" s="137">
        <f>(C95+C96)*'Data - P&amp;L'!$C$4</f>
        <v>97.61</v>
      </c>
      <c r="D186" s="137">
        <f>(D95+D96)*'Data - P&amp;L'!$C$4</f>
        <v>195.22</v>
      </c>
      <c r="E186" s="137">
        <f>(E95+E96)*'Data - P&amp;L'!$C$4</f>
        <v>97.61</v>
      </c>
      <c r="F186" s="137">
        <f>(F95+F96)*'Data - P&amp;L'!$C$4</f>
        <v>97.61</v>
      </c>
      <c r="G186" s="137">
        <f>(G95+G96)*'Data - P&amp;L'!$C$4</f>
        <v>-97.61</v>
      </c>
      <c r="H186" s="137">
        <f>(H95+H96)*'Data - P&amp;L'!$C$4</f>
        <v>292.83</v>
      </c>
      <c r="I186" s="137">
        <f>(I95+I96)*'Data - P&amp;L'!$C$4</f>
        <v>1659.37</v>
      </c>
      <c r="J186" s="137">
        <f>(J95+J96)*'Data - P&amp;L'!$C$4</f>
        <v>195.22</v>
      </c>
      <c r="K186" s="137">
        <f>(K95+K96)*'Data - P&amp;L'!$C$4</f>
        <v>195.22</v>
      </c>
      <c r="L186" s="137">
        <f>(L95+L96)*'Data - P&amp;L'!$C$4</f>
        <v>390.44</v>
      </c>
      <c r="M186" s="137">
        <f>(M95+M96)*'Data - P&amp;L'!$C$4</f>
        <v>8492.07</v>
      </c>
      <c r="N186" s="137">
        <f>(N95+N96)*'Data - P&amp;L'!$C$4</f>
        <v>2342.64</v>
      </c>
      <c r="O186" s="137">
        <f>(O95+O96)*'Data - P&amp;L'!$C$4</f>
        <v>0</v>
      </c>
      <c r="P186" s="137">
        <f>(P95+P96)*'Data - P&amp;L'!$C$4</f>
        <v>0</v>
      </c>
      <c r="Q186" s="137">
        <f>(Q95+Q96)*'Data - P&amp;L'!$C$4</f>
        <v>0</v>
      </c>
      <c r="R186" s="137">
        <f>(R95+R96)*'Data - P&amp;L'!$C$4</f>
        <v>292.83</v>
      </c>
      <c r="S186" s="137">
        <f>(S95+S96)*'Data - P&amp;L'!$C$4</f>
        <v>195.22</v>
      </c>
      <c r="T186" s="137">
        <f>(T95+T96)*'Data - P&amp;L'!$C$4</f>
        <v>0</v>
      </c>
      <c r="U186" s="137">
        <f>(U95+U96)*'Data - P&amp;L'!$C$4</f>
        <v>0</v>
      </c>
      <c r="V186" s="137">
        <f>(V95+V96)*'Data - P&amp;L'!$C$4</f>
        <v>-97.61</v>
      </c>
      <c r="W186" s="137">
        <f>(W95+W96)*'Data - P&amp;L'!$C$4</f>
        <v>0</v>
      </c>
      <c r="X186" s="137">
        <f>(X95+X96)*'Data - P&amp;L'!$C$4</f>
        <v>0</v>
      </c>
      <c r="Y186" s="137">
        <f>(Y95+Y96)*'Data - P&amp;L'!$C$4</f>
        <v>-97.61</v>
      </c>
      <c r="Z186" s="137">
        <f>(Z95+Z96)*'Data - P&amp;L'!$C$4</f>
        <v>0</v>
      </c>
      <c r="AA186" s="137">
        <f>(AA95+AA96)*'Data - P&amp;L'!$C$4</f>
        <v>0</v>
      </c>
      <c r="AB186" s="137">
        <f>(AB95+AB96)*'Data - P&amp;L'!$C$4</f>
        <v>0</v>
      </c>
      <c r="AC186" s="137">
        <f>(AC95+AC96)*'Data - P&amp;L'!$C$4</f>
        <v>0</v>
      </c>
      <c r="AD186" s="137">
        <f>(AD95+AD96)*'Data - P&amp;L'!$C$4</f>
        <v>0</v>
      </c>
      <c r="AE186" s="137">
        <f>(AE95+AE96)*'Data - P&amp;L'!$C$4</f>
        <v>0</v>
      </c>
      <c r="AF186" s="137">
        <f>(AF95+AF96)*'Data - P&amp;L'!$C$4</f>
        <v>0</v>
      </c>
      <c r="AG186" s="836">
        <f t="shared" si="72"/>
        <v>14836.72</v>
      </c>
    </row>
    <row r="187">
      <c r="A187" s="846" t="s">
        <v>1296</v>
      </c>
      <c r="B187" s="137">
        <f>(B186)*'Data - P&amp;L'!$L$5</f>
        <v>43.9245</v>
      </c>
      <c r="C187" s="137">
        <f>(C186)*'Data - P&amp;L'!$L$5</f>
        <v>7.32075</v>
      </c>
      <c r="D187" s="137">
        <f>(D186)*'Data - P&amp;L'!$L$5</f>
        <v>14.6415</v>
      </c>
      <c r="E187" s="137">
        <f>(E186)*'Data - P&amp;L'!$L$5</f>
        <v>7.32075</v>
      </c>
      <c r="F187" s="137">
        <f>(F186)*'Data - P&amp;L'!$L$5</f>
        <v>7.32075</v>
      </c>
      <c r="G187" s="137">
        <f>(G186)*'Data - P&amp;L'!$L$5</f>
        <v>-7.32075</v>
      </c>
      <c r="H187" s="137">
        <f>(H186)*'Data - P&amp;L'!$L$5</f>
        <v>21.96225</v>
      </c>
      <c r="I187" s="137">
        <f>(I186)*'Data - P&amp;L'!$L$5</f>
        <v>124.45275</v>
      </c>
      <c r="J187" s="137">
        <f>(J186)*'Data - P&amp;L'!$L$5</f>
        <v>14.6415</v>
      </c>
      <c r="K187" s="137">
        <f>(K186)*'Data - P&amp;L'!$L$5</f>
        <v>14.6415</v>
      </c>
      <c r="L187" s="137">
        <f>(L186)*'Data - P&amp;L'!$L$5</f>
        <v>29.283</v>
      </c>
      <c r="M187" s="137">
        <f>(M186)*'Data - P&amp;L'!$L$5</f>
        <v>636.90525</v>
      </c>
      <c r="N187" s="137">
        <f>(N186)*'Data - P&amp;L'!$L$5</f>
        <v>175.698</v>
      </c>
      <c r="O187" s="137">
        <f>(O186)*'Data - P&amp;L'!$L$5</f>
        <v>0</v>
      </c>
      <c r="P187" s="137">
        <f>(P186)*'Data - P&amp;L'!$L$5</f>
        <v>0</v>
      </c>
      <c r="Q187" s="137">
        <f>(Q186)*'Data - P&amp;L'!$L$5</f>
        <v>0</v>
      </c>
      <c r="R187" s="137">
        <f>(R186)*'Data - P&amp;L'!$L$5</f>
        <v>21.96225</v>
      </c>
      <c r="S187" s="137">
        <f>(S186)*'Data - P&amp;L'!$L$5</f>
        <v>14.6415</v>
      </c>
      <c r="T187" s="137">
        <f>(T186)*'Data - P&amp;L'!$L$5</f>
        <v>0</v>
      </c>
      <c r="U187" s="137">
        <f>(U186)*'Data - P&amp;L'!$L$5</f>
        <v>0</v>
      </c>
      <c r="V187" s="137">
        <f>(V186)*'Data - P&amp;L'!$L$5</f>
        <v>-7.32075</v>
      </c>
      <c r="W187" s="137">
        <f>(W186)*'Data - P&amp;L'!$L$5</f>
        <v>0</v>
      </c>
      <c r="X187" s="137">
        <f>(X186)*'Data - P&amp;L'!$L$5</f>
        <v>0</v>
      </c>
      <c r="Y187" s="137">
        <f>(Y186)*'Data - P&amp;L'!$L$5</f>
        <v>-7.32075</v>
      </c>
      <c r="Z187" s="137">
        <f>(Z186)*'Data - P&amp;L'!$L$5</f>
        <v>0</v>
      </c>
      <c r="AA187" s="137">
        <f>(AA186)*'Data - P&amp;L'!$L$5</f>
        <v>0</v>
      </c>
      <c r="AB187" s="137">
        <f>(AB186)*'Data - P&amp;L'!$L$5</f>
        <v>0</v>
      </c>
      <c r="AC187" s="137">
        <f>(AC186)*'Data - P&amp;L'!$L$5</f>
        <v>0</v>
      </c>
      <c r="AD187" s="137">
        <f>(AD186)*'Data - P&amp;L'!$L$5</f>
        <v>0</v>
      </c>
      <c r="AE187" s="137">
        <f>(AE186)*'Data - P&amp;L'!$L$5</f>
        <v>0</v>
      </c>
      <c r="AF187" s="137">
        <f>(AF186)*'Data - P&amp;L'!$L$5</f>
        <v>0</v>
      </c>
      <c r="AG187" s="836">
        <f t="shared" si="72"/>
        <v>1112.754</v>
      </c>
    </row>
    <row r="188">
      <c r="A188" s="352" t="s">
        <v>1297</v>
      </c>
      <c r="B188" s="137">
        <f>B99*'Data - P&amp;L'!$C$6</f>
        <v>0</v>
      </c>
      <c r="C188" s="137">
        <f>C99*'Data - P&amp;L'!$C$6</f>
        <v>0</v>
      </c>
      <c r="D188" s="137">
        <f>D99*'Data - P&amp;L'!$C$6</f>
        <v>0</v>
      </c>
      <c r="E188" s="137">
        <f>E99*'Data - P&amp;L'!$C$6</f>
        <v>0</v>
      </c>
      <c r="F188" s="137">
        <f>F99*'Data - P&amp;L'!$C$6</f>
        <v>0</v>
      </c>
      <c r="G188" s="137">
        <f>G99*'Data - P&amp;L'!$C$6</f>
        <v>0</v>
      </c>
      <c r="H188" s="137">
        <f>H99*'Data - P&amp;L'!$C$6</f>
        <v>0</v>
      </c>
      <c r="I188" s="137">
        <f>I99*'Data - P&amp;L'!$C$6</f>
        <v>0</v>
      </c>
      <c r="J188" s="137">
        <f>J99*'Data - P&amp;L'!$C$6</f>
        <v>0</v>
      </c>
      <c r="K188" s="137">
        <f>K99*'Data - P&amp;L'!$C$6</f>
        <v>0</v>
      </c>
      <c r="L188" s="137">
        <f>L99*'Data - P&amp;L'!$C$6</f>
        <v>0</v>
      </c>
      <c r="M188" s="137">
        <f>M99*'Data - P&amp;L'!$C$6</f>
        <v>0</v>
      </c>
      <c r="N188" s="137">
        <f>N99*'Data - P&amp;L'!$C$6</f>
        <v>0</v>
      </c>
      <c r="O188" s="137">
        <f>O99*'Data - P&amp;L'!$C$6</f>
        <v>0</v>
      </c>
      <c r="P188" s="137">
        <f>P99*'Data - P&amp;L'!$C$6</f>
        <v>0</v>
      </c>
      <c r="Q188" s="137">
        <f>Q99*'Data - P&amp;L'!$C$6</f>
        <v>0</v>
      </c>
      <c r="R188" s="137">
        <f>R99*'Data - P&amp;L'!$C$6</f>
        <v>0</v>
      </c>
      <c r="S188" s="137">
        <f>S99*'Data - P&amp;L'!$C$6</f>
        <v>0</v>
      </c>
      <c r="T188" s="137">
        <f>T99*'Data - P&amp;L'!$C$6</f>
        <v>-5.49</v>
      </c>
      <c r="U188" s="137">
        <f>U99*'Data - P&amp;L'!$C$6</f>
        <v>0</v>
      </c>
      <c r="V188" s="137">
        <f>V99*'Data - P&amp;L'!$C$6</f>
        <v>0</v>
      </c>
      <c r="W188" s="137">
        <f>W99*'Data - P&amp;L'!$C$6</f>
        <v>0</v>
      </c>
      <c r="X188" s="137">
        <f>X99*'Data - P&amp;L'!$C$6</f>
        <v>0</v>
      </c>
      <c r="Y188" s="137">
        <f>Y99*'Data - P&amp;L'!$C$6</f>
        <v>0</v>
      </c>
      <c r="Z188" s="137">
        <f>Z99*'Data - P&amp;L'!$C$6</f>
        <v>0</v>
      </c>
      <c r="AA188" s="137">
        <f>AA99*'Data - P&amp;L'!$C$6</f>
        <v>0</v>
      </c>
      <c r="AB188" s="137">
        <f>AB99*'Data - P&amp;L'!$C$6</f>
        <v>0</v>
      </c>
      <c r="AC188" s="137">
        <f>AC99*'Data - P&amp;L'!$C$6</f>
        <v>0</v>
      </c>
      <c r="AD188" s="137">
        <f>AD99*'Data - P&amp;L'!$C$6</f>
        <v>0</v>
      </c>
      <c r="AE188" s="137">
        <f>AE99*'Data - P&amp;L'!$C$6</f>
        <v>0</v>
      </c>
      <c r="AF188" s="137">
        <f>AF99*'Data - P&amp;L'!$C$6</f>
        <v>0</v>
      </c>
      <c r="AG188" s="836">
        <f t="shared" si="72"/>
        <v>-5.49</v>
      </c>
    </row>
    <row r="189">
      <c r="A189" s="846" t="s">
        <v>1298</v>
      </c>
      <c r="B189" s="137">
        <f>B188*'Data - P&amp;L'!$L$5</f>
        <v>0</v>
      </c>
      <c r="C189" s="137">
        <f>C188*'Data - P&amp;L'!$L$5</f>
        <v>0</v>
      </c>
      <c r="D189" s="137">
        <f>D188*'Data - P&amp;L'!$L$5</f>
        <v>0</v>
      </c>
      <c r="E189" s="137">
        <f>E188*'Data - P&amp;L'!$L$5</f>
        <v>0</v>
      </c>
      <c r="F189" s="137">
        <f>F188*'Data - P&amp;L'!$L$5</f>
        <v>0</v>
      </c>
      <c r="G189" s="137">
        <f>G188*'Data - P&amp;L'!$L$5</f>
        <v>0</v>
      </c>
      <c r="H189" s="137">
        <f>H188*'Data - P&amp;L'!$L$5</f>
        <v>0</v>
      </c>
      <c r="I189" s="137">
        <f>I188*'Data - P&amp;L'!$L$5</f>
        <v>0</v>
      </c>
      <c r="J189" s="137">
        <f>J188*'Data - P&amp;L'!$L$5</f>
        <v>0</v>
      </c>
      <c r="K189" s="137">
        <f>K188*'Data - P&amp;L'!$L$5</f>
        <v>0</v>
      </c>
      <c r="L189" s="137">
        <f>L188*'Data - P&amp;L'!$L$5</f>
        <v>0</v>
      </c>
      <c r="M189" s="137">
        <f>M188*'Data - P&amp;L'!$L$5</f>
        <v>0</v>
      </c>
      <c r="N189" s="137">
        <f>N188*'Data - P&amp;L'!$L$5</f>
        <v>0</v>
      </c>
      <c r="O189" s="137">
        <f>O188*'Data - P&amp;L'!$L$5</f>
        <v>0</v>
      </c>
      <c r="P189" s="137">
        <f>P188*'Data - P&amp;L'!$L$5</f>
        <v>0</v>
      </c>
      <c r="Q189" s="137">
        <f>Q188*'Data - P&amp;L'!$L$5</f>
        <v>0</v>
      </c>
      <c r="R189" s="137">
        <f>R188*'Data - P&amp;L'!$L$5</f>
        <v>0</v>
      </c>
      <c r="S189" s="137">
        <f>S188*'Data - P&amp;L'!$L$5</f>
        <v>0</v>
      </c>
      <c r="T189" s="137">
        <f>T188*'Data - P&amp;L'!$L$5</f>
        <v>-0.41175</v>
      </c>
      <c r="U189" s="137">
        <f>U188*'Data - P&amp;L'!$L$5</f>
        <v>0</v>
      </c>
      <c r="V189" s="137">
        <f>V188*'Data - P&amp;L'!$L$5</f>
        <v>0</v>
      </c>
      <c r="W189" s="137">
        <f>W188*'Data - P&amp;L'!$L$5</f>
        <v>0</v>
      </c>
      <c r="X189" s="137">
        <f>X188*'Data - P&amp;L'!$L$5</f>
        <v>0</v>
      </c>
      <c r="Y189" s="137">
        <f>Y188*'Data - P&amp;L'!$L$5</f>
        <v>0</v>
      </c>
      <c r="Z189" s="137">
        <f>Z188*'Data - P&amp;L'!$L$5</f>
        <v>0</v>
      </c>
      <c r="AA189" s="137">
        <f>AA188*'Data - P&amp;L'!$L$5</f>
        <v>0</v>
      </c>
      <c r="AB189" s="137">
        <f>AB188*'Data - P&amp;L'!$L$5</f>
        <v>0</v>
      </c>
      <c r="AC189" s="137">
        <f>AC188*'Data - P&amp;L'!$L$5</f>
        <v>0</v>
      </c>
      <c r="AD189" s="137">
        <f>AD188*'Data - P&amp;L'!$L$5</f>
        <v>0</v>
      </c>
      <c r="AE189" s="137">
        <f>AE188*'Data - P&amp;L'!$L$5</f>
        <v>0</v>
      </c>
      <c r="AF189" s="137">
        <f>AF188*'Data - P&amp;L'!$L$5</f>
        <v>0</v>
      </c>
      <c r="AG189" s="836">
        <f t="shared" si="72"/>
        <v>-0.41175</v>
      </c>
    </row>
    <row r="190">
      <c r="A190" s="846" t="s">
        <v>1299</v>
      </c>
      <c r="B190" s="137">
        <f>B188*'Data - P&amp;L'!$L$4</f>
        <v>0</v>
      </c>
      <c r="C190" s="137">
        <f>C188*'Data - P&amp;L'!$L$4</f>
        <v>0</v>
      </c>
      <c r="D190" s="137">
        <f>D188*'Data - P&amp;L'!$L$4</f>
        <v>0</v>
      </c>
      <c r="E190" s="137">
        <f>E188*'Data - P&amp;L'!$L$4</f>
        <v>0</v>
      </c>
      <c r="F190" s="137">
        <f>F188*'Data - P&amp;L'!$L$4</f>
        <v>0</v>
      </c>
      <c r="G190" s="137">
        <f>G188*'Data - P&amp;L'!$L$4</f>
        <v>0</v>
      </c>
      <c r="H190" s="137">
        <f>H188*'Data - P&amp;L'!$L$4</f>
        <v>0</v>
      </c>
      <c r="I190" s="137">
        <f>I188*'Data - P&amp;L'!$L$4</f>
        <v>0</v>
      </c>
      <c r="J190" s="137">
        <f>J188*'Data - P&amp;L'!$L$4</f>
        <v>0</v>
      </c>
      <c r="K190" s="137">
        <f>K188*'Data - P&amp;L'!$L$4</f>
        <v>0</v>
      </c>
      <c r="L190" s="137">
        <f>L188*'Data - P&amp;L'!$L$4</f>
        <v>0</v>
      </c>
      <c r="M190" s="137">
        <f>M188*'Data - P&amp;L'!$L$4</f>
        <v>0</v>
      </c>
      <c r="N190" s="137">
        <f>N188*'Data - P&amp;L'!$L$4</f>
        <v>0</v>
      </c>
      <c r="O190" s="137">
        <f>O188*'Data - P&amp;L'!$L$4</f>
        <v>0</v>
      </c>
      <c r="P190" s="137">
        <f>P188*'Data - P&amp;L'!$L$4</f>
        <v>0</v>
      </c>
      <c r="Q190" s="137">
        <f>Q188*'Data - P&amp;L'!$L$4</f>
        <v>0</v>
      </c>
      <c r="R190" s="137">
        <f>R188*'Data - P&amp;L'!$L$4</f>
        <v>0</v>
      </c>
      <c r="S190" s="137">
        <f>S188*'Data - P&amp;L'!$L$4</f>
        <v>0</v>
      </c>
      <c r="T190" s="137">
        <f>T188*'Data - P&amp;L'!$L$4</f>
        <v>-0.18666</v>
      </c>
      <c r="U190" s="137">
        <f>U188*'Data - P&amp;L'!$L$4</f>
        <v>0</v>
      </c>
      <c r="V190" s="137">
        <f>V188*'Data - P&amp;L'!$L$4</f>
        <v>0</v>
      </c>
      <c r="W190" s="137">
        <f>W188*'Data - P&amp;L'!$L$4</f>
        <v>0</v>
      </c>
      <c r="X190" s="137">
        <f>X188*'Data - P&amp;L'!$L$4</f>
        <v>0</v>
      </c>
      <c r="Y190" s="137">
        <f>Y188*'Data - P&amp;L'!$L$4</f>
        <v>0</v>
      </c>
      <c r="Z190" s="137">
        <f>Z188*'Data - P&amp;L'!$L$4</f>
        <v>0</v>
      </c>
      <c r="AA190" s="137">
        <f>AA188*'Data - P&amp;L'!$L$4</f>
        <v>0</v>
      </c>
      <c r="AB190" s="137">
        <f>AB188*'Data - P&amp;L'!$L$4</f>
        <v>0</v>
      </c>
      <c r="AC190" s="137">
        <f>AC188*'Data - P&amp;L'!$L$4</f>
        <v>0</v>
      </c>
      <c r="AD190" s="137">
        <f>AD188*'Data - P&amp;L'!$L$4</f>
        <v>0</v>
      </c>
      <c r="AE190" s="137">
        <f>AE188*'Data - P&amp;L'!$L$4</f>
        <v>0</v>
      </c>
      <c r="AF190" s="137">
        <f>AF188*'Data - P&amp;L'!$L$4</f>
        <v>0</v>
      </c>
      <c r="AG190" s="836">
        <f t="shared" si="72"/>
        <v>-0.18666</v>
      </c>
    </row>
    <row r="191">
      <c r="A191" s="352" t="s">
        <v>1300</v>
      </c>
      <c r="B191" s="137">
        <f>B100*'Data - P&amp;L'!$C$8</f>
        <v>0</v>
      </c>
      <c r="C191" s="137">
        <f>C100*'Data - P&amp;L'!$C$8</f>
        <v>0</v>
      </c>
      <c r="D191" s="137">
        <f>D100*'Data - P&amp;L'!$C$8</f>
        <v>0</v>
      </c>
      <c r="E191" s="137">
        <f>E100*'Data - P&amp;L'!$C$8</f>
        <v>0</v>
      </c>
      <c r="F191" s="137">
        <f>F100*'Data - P&amp;L'!$C$8</f>
        <v>0</v>
      </c>
      <c r="G191" s="137">
        <f>G100*'Data - P&amp;L'!$C$8</f>
        <v>0</v>
      </c>
      <c r="H191" s="137">
        <f>H100*'Data - P&amp;L'!$C$8</f>
        <v>0</v>
      </c>
      <c r="I191" s="137">
        <f>I100*'Data - P&amp;L'!$C$8</f>
        <v>0</v>
      </c>
      <c r="J191" s="137">
        <f>J100*'Data - P&amp;L'!$C$8</f>
        <v>0</v>
      </c>
      <c r="K191" s="137">
        <f>K100*'Data - P&amp;L'!$C$8</f>
        <v>0</v>
      </c>
      <c r="L191" s="137">
        <f>L100*'Data - P&amp;L'!$C$8</f>
        <v>0</v>
      </c>
      <c r="M191" s="137">
        <f>M100*'Data - P&amp;L'!$C$8</f>
        <v>0</v>
      </c>
      <c r="N191" s="137">
        <f>N100*'Data - P&amp;L'!$C$8</f>
        <v>0</v>
      </c>
      <c r="O191" s="137">
        <f>O100*'Data - P&amp;L'!$C$8</f>
        <v>0</v>
      </c>
      <c r="P191" s="137">
        <f>P100*'Data - P&amp;L'!$C$8</f>
        <v>0</v>
      </c>
      <c r="Q191" s="137">
        <f>Q100*'Data - P&amp;L'!$C$8</f>
        <v>0</v>
      </c>
      <c r="R191" s="137">
        <f>R100*'Data - P&amp;L'!$C$8</f>
        <v>0</v>
      </c>
      <c r="S191" s="137">
        <f>S100*'Data - P&amp;L'!$C$8</f>
        <v>0</v>
      </c>
      <c r="T191" s="137">
        <f>T100*'Data - P&amp;L'!$C$8</f>
        <v>-1.19</v>
      </c>
      <c r="U191" s="137">
        <f>U100*'Data - P&amp;L'!$C$8</f>
        <v>0</v>
      </c>
      <c r="V191" s="137">
        <f>V100*'Data - P&amp;L'!$C$8</f>
        <v>-1.19</v>
      </c>
      <c r="W191" s="137">
        <f>W100*'Data - P&amp;L'!$C$8</f>
        <v>0</v>
      </c>
      <c r="X191" s="137">
        <f>X100*'Data - P&amp;L'!$C$8</f>
        <v>0</v>
      </c>
      <c r="Y191" s="137">
        <f>Y100*'Data - P&amp;L'!$C$8</f>
        <v>0</v>
      </c>
      <c r="Z191" s="137">
        <f>Z100*'Data - P&amp;L'!$C$8</f>
        <v>0</v>
      </c>
      <c r="AA191" s="137">
        <f>AA100*'Data - P&amp;L'!$C$8</f>
        <v>0</v>
      </c>
      <c r="AB191" s="137">
        <f>AB100*'Data - P&amp;L'!$C$8</f>
        <v>0</v>
      </c>
      <c r="AC191" s="137">
        <f>AC100*'Data - P&amp;L'!$C$8</f>
        <v>0</v>
      </c>
      <c r="AD191" s="137">
        <f>AD100*'Data - P&amp;L'!$C$8</f>
        <v>0</v>
      </c>
      <c r="AE191" s="137">
        <f>AE100*'Data - P&amp;L'!$C$8</f>
        <v>0</v>
      </c>
      <c r="AF191" s="137">
        <f>AF100*'Data - P&amp;L'!$C$8</f>
        <v>0</v>
      </c>
      <c r="AG191" s="836">
        <f t="shared" si="72"/>
        <v>-2.38</v>
      </c>
    </row>
    <row r="192">
      <c r="A192" s="846" t="s">
        <v>1301</v>
      </c>
      <c r="B192" s="137">
        <f>B191*'Data - P&amp;L'!$L$5</f>
        <v>0</v>
      </c>
      <c r="C192" s="137">
        <f>C191*'Data - P&amp;L'!$L$5</f>
        <v>0</v>
      </c>
      <c r="D192" s="137">
        <f>D191*'Data - P&amp;L'!$L$5</f>
        <v>0</v>
      </c>
      <c r="E192" s="137">
        <f>E191*'Data - P&amp;L'!$L$5</f>
        <v>0</v>
      </c>
      <c r="F192" s="137">
        <f>F191*'Data - P&amp;L'!$L$5</f>
        <v>0</v>
      </c>
      <c r="G192" s="137">
        <f>G191*'Data - P&amp;L'!$L$5</f>
        <v>0</v>
      </c>
      <c r="H192" s="137">
        <f>H191*'Data - P&amp;L'!$L$5</f>
        <v>0</v>
      </c>
      <c r="I192" s="137">
        <f>I191*'Data - P&amp;L'!$L$5</f>
        <v>0</v>
      </c>
      <c r="J192" s="137">
        <f>J191*'Data - P&amp;L'!$L$5</f>
        <v>0</v>
      </c>
      <c r="K192" s="137">
        <f>K191*'Data - P&amp;L'!$L$5</f>
        <v>0</v>
      </c>
      <c r="L192" s="137">
        <f>L191*'Data - P&amp;L'!$L$5</f>
        <v>0</v>
      </c>
      <c r="M192" s="137">
        <f>M191*'Data - P&amp;L'!$L$5</f>
        <v>0</v>
      </c>
      <c r="N192" s="137">
        <f>N191*'Data - P&amp;L'!$L$5</f>
        <v>0</v>
      </c>
      <c r="O192" s="137">
        <f>O191*'Data - P&amp;L'!$L$5</f>
        <v>0</v>
      </c>
      <c r="P192" s="137">
        <f>P191*'Data - P&amp;L'!$L$5</f>
        <v>0</v>
      </c>
      <c r="Q192" s="137">
        <f>Q191*'Data - P&amp;L'!$L$5</f>
        <v>0</v>
      </c>
      <c r="R192" s="137">
        <f>R191*'Data - P&amp;L'!$L$5</f>
        <v>0</v>
      </c>
      <c r="S192" s="137">
        <f>S191*'Data - P&amp;L'!$L$5</f>
        <v>0</v>
      </c>
      <c r="T192" s="137">
        <f>T191*'Data - P&amp;L'!$L$5</f>
        <v>-0.08925</v>
      </c>
      <c r="U192" s="137">
        <f>U191*'Data - P&amp;L'!$L$5</f>
        <v>0</v>
      </c>
      <c r="V192" s="137">
        <f>V191*'Data - P&amp;L'!$L$5</f>
        <v>-0.08925</v>
      </c>
      <c r="W192" s="137">
        <f>W191*'Data - P&amp;L'!$L$5</f>
        <v>0</v>
      </c>
      <c r="X192" s="137">
        <f>X191*'Data - P&amp;L'!$L$5</f>
        <v>0</v>
      </c>
      <c r="Y192" s="137">
        <f>Y191*'Data - P&amp;L'!$L$5</f>
        <v>0</v>
      </c>
      <c r="Z192" s="137">
        <f>Z191*'Data - P&amp;L'!$L$5</f>
        <v>0</v>
      </c>
      <c r="AA192" s="137">
        <f>AA191*'Data - P&amp;L'!$L$5</f>
        <v>0</v>
      </c>
      <c r="AB192" s="137">
        <f>AB191*'Data - P&amp;L'!$L$5</f>
        <v>0</v>
      </c>
      <c r="AC192" s="137">
        <f>AC191*'Data - P&amp;L'!$L$5</f>
        <v>0</v>
      </c>
      <c r="AD192" s="137">
        <f>AD191*'Data - P&amp;L'!$L$5</f>
        <v>0</v>
      </c>
      <c r="AE192" s="137">
        <f>AE191*'Data - P&amp;L'!$L$5</f>
        <v>0</v>
      </c>
      <c r="AF192" s="137">
        <f>AF191*'Data - P&amp;L'!$L$5</f>
        <v>0</v>
      </c>
      <c r="AG192" s="836">
        <f t="shared" si="72"/>
        <v>-0.1785</v>
      </c>
    </row>
    <row r="193">
      <c r="A193" s="846" t="s">
        <v>1302</v>
      </c>
      <c r="B193" s="137">
        <f>B191*'Data - P&amp;L'!$L$4</f>
        <v>0</v>
      </c>
      <c r="C193" s="137">
        <f>C191*'Data - P&amp;L'!$L$4</f>
        <v>0</v>
      </c>
      <c r="D193" s="137">
        <f>D191*'Data - P&amp;L'!$L$4</f>
        <v>0</v>
      </c>
      <c r="E193" s="137">
        <f>E191*'Data - P&amp;L'!$L$4</f>
        <v>0</v>
      </c>
      <c r="F193" s="137">
        <f>F191*'Data - P&amp;L'!$L$4</f>
        <v>0</v>
      </c>
      <c r="G193" s="137">
        <f>G191*'Data - P&amp;L'!$L$4</f>
        <v>0</v>
      </c>
      <c r="H193" s="137">
        <f>H191*'Data - P&amp;L'!$L$4</f>
        <v>0</v>
      </c>
      <c r="I193" s="137">
        <f>I191*'Data - P&amp;L'!$L$4</f>
        <v>0</v>
      </c>
      <c r="J193" s="137">
        <f>J191*'Data - P&amp;L'!$L$4</f>
        <v>0</v>
      </c>
      <c r="K193" s="137">
        <f>K191*'Data - P&amp;L'!$L$4</f>
        <v>0</v>
      </c>
      <c r="L193" s="137">
        <f>L191*'Data - P&amp;L'!$L$4</f>
        <v>0</v>
      </c>
      <c r="M193" s="137">
        <f>M191*'Data - P&amp;L'!$L$4</f>
        <v>0</v>
      </c>
      <c r="N193" s="137">
        <f>N191*'Data - P&amp;L'!$L$4</f>
        <v>0</v>
      </c>
      <c r="O193" s="137">
        <f>O191*'Data - P&amp;L'!$L$4</f>
        <v>0</v>
      </c>
      <c r="P193" s="137">
        <f>P191*'Data - P&amp;L'!$L$4</f>
        <v>0</v>
      </c>
      <c r="Q193" s="137">
        <f>Q191*'Data - P&amp;L'!$L$4</f>
        <v>0</v>
      </c>
      <c r="R193" s="137">
        <f>R191*'Data - P&amp;L'!$L$4</f>
        <v>0</v>
      </c>
      <c r="S193" s="137">
        <f>S191*'Data - P&amp;L'!$L$4</f>
        <v>0</v>
      </c>
      <c r="T193" s="137">
        <f>T191*'Data - P&amp;L'!$L$4</f>
        <v>-0.04046</v>
      </c>
      <c r="U193" s="137">
        <f>U191*'Data - P&amp;L'!$L$4</f>
        <v>0</v>
      </c>
      <c r="V193" s="137">
        <f>V191*'Data - P&amp;L'!$L$4</f>
        <v>-0.04046</v>
      </c>
      <c r="W193" s="137">
        <f>W191*'Data - P&amp;L'!$L$4</f>
        <v>0</v>
      </c>
      <c r="X193" s="137">
        <f>X191*'Data - P&amp;L'!$L$4</f>
        <v>0</v>
      </c>
      <c r="Y193" s="137">
        <f>Y191*'Data - P&amp;L'!$L$4</f>
        <v>0</v>
      </c>
      <c r="Z193" s="137">
        <f>Z191*'Data - P&amp;L'!$L$4</f>
        <v>0</v>
      </c>
      <c r="AA193" s="137">
        <f>AA191*'Data - P&amp;L'!$L$4</f>
        <v>0</v>
      </c>
      <c r="AB193" s="137">
        <f>AB191*'Data - P&amp;L'!$L$4</f>
        <v>0</v>
      </c>
      <c r="AC193" s="137">
        <f>AC191*'Data - P&amp;L'!$L$4</f>
        <v>0</v>
      </c>
      <c r="AD193" s="137">
        <f>AD191*'Data - P&amp;L'!$L$4</f>
        <v>0</v>
      </c>
      <c r="AE193" s="137">
        <f>AE191*'Data - P&amp;L'!$L$4</f>
        <v>0</v>
      </c>
      <c r="AF193" s="137">
        <f>AF191*'Data - P&amp;L'!$L$4</f>
        <v>0</v>
      </c>
      <c r="AG193" s="836">
        <f t="shared" si="72"/>
        <v>-0.08092</v>
      </c>
    </row>
    <row r="194">
      <c r="A194" s="352" t="s">
        <v>1303</v>
      </c>
      <c r="B194" s="137">
        <f>(B101+B102)*'Data - P&amp;L'!$C$9</f>
        <v>0</v>
      </c>
      <c r="C194" s="137">
        <f>(C101+C102)*'Data - P&amp;L'!$C$9</f>
        <v>0</v>
      </c>
      <c r="D194" s="137">
        <f>(D101+D102)*'Data - P&amp;L'!$C$9</f>
        <v>0</v>
      </c>
      <c r="E194" s="137">
        <f>(E101+E102)*'Data - P&amp;L'!$C$9</f>
        <v>0</v>
      </c>
      <c r="F194" s="137">
        <f>(F101+F102)*'Data - P&amp;L'!$C$9</f>
        <v>0</v>
      </c>
      <c r="G194" s="137">
        <f>(G101+G102)*'Data - P&amp;L'!$C$9</f>
        <v>0</v>
      </c>
      <c r="H194" s="137">
        <f>(H101+H102)*'Data - P&amp;L'!$C$9</f>
        <v>0</v>
      </c>
      <c r="I194" s="137">
        <f>(I101+I102)*'Data - P&amp;L'!$C$9</f>
        <v>0</v>
      </c>
      <c r="J194" s="137">
        <f>(J101+J102)*'Data - P&amp;L'!$C$9</f>
        <v>0</v>
      </c>
      <c r="K194" s="137">
        <f>(K101+K102)*'Data - P&amp;L'!$C$9</f>
        <v>0</v>
      </c>
      <c r="L194" s="137">
        <f>(L101+L102)*'Data - P&amp;L'!$C$9</f>
        <v>0</v>
      </c>
      <c r="M194" s="137">
        <f>(M101+M102)*'Data - P&amp;L'!$C$9</f>
        <v>0</v>
      </c>
      <c r="N194" s="137">
        <f>(N101+N102)*'Data - P&amp;L'!$C$9</f>
        <v>0</v>
      </c>
      <c r="O194" s="137">
        <f>(O101+O102)*'Data - P&amp;L'!$C$9</f>
        <v>0</v>
      </c>
      <c r="P194" s="137">
        <f>(P101+P102)*'Data - P&amp;L'!$C$9</f>
        <v>0</v>
      </c>
      <c r="Q194" s="137">
        <f>(Q101+Q102)*'Data - P&amp;L'!$C$9</f>
        <v>0</v>
      </c>
      <c r="R194" s="137">
        <f>(R101+R102)*'Data - P&amp;L'!$C$9</f>
        <v>0</v>
      </c>
      <c r="S194" s="137">
        <f>(S101+S102)*'Data - P&amp;L'!$C$9</f>
        <v>0</v>
      </c>
      <c r="T194" s="137">
        <f>(T101+T102)*'Data - P&amp;L'!$C$9</f>
        <v>0</v>
      </c>
      <c r="U194" s="137">
        <f>(U101+U102)*'Data - P&amp;L'!$C$9</f>
        <v>0</v>
      </c>
      <c r="V194" s="137">
        <f>(V101+V102)*'Data - P&amp;L'!$C$9</f>
        <v>0</v>
      </c>
      <c r="W194" s="137">
        <f>(W101+W102)*'Data - P&amp;L'!$C$9</f>
        <v>0</v>
      </c>
      <c r="X194" s="137">
        <f>(X101+X102)*'Data - P&amp;L'!$C$9</f>
        <v>0</v>
      </c>
      <c r="Y194" s="137">
        <f>(Y101+Y102)*'Data - P&amp;L'!$C$9</f>
        <v>-6.66</v>
      </c>
      <c r="Z194" s="137">
        <f>(Z101+Z102)*'Data - P&amp;L'!$C$9</f>
        <v>0</v>
      </c>
      <c r="AA194" s="137">
        <f>(AA101+AA102)*'Data - P&amp;L'!$C$9</f>
        <v>0</v>
      </c>
      <c r="AB194" s="137">
        <f>(AB101+AB102)*'Data - P&amp;L'!$C$9</f>
        <v>0</v>
      </c>
      <c r="AC194" s="137">
        <f>(AC101+AC102)*'Data - P&amp;L'!$C$9</f>
        <v>0</v>
      </c>
      <c r="AD194" s="137">
        <f>(AD101+AD102)*'Data - P&amp;L'!$C$9</f>
        <v>0</v>
      </c>
      <c r="AE194" s="137">
        <f>(AE101+AE102)*'Data - P&amp;L'!$C$9</f>
        <v>0</v>
      </c>
      <c r="AF194" s="137">
        <f>(AF101+AF102)*'Data - P&amp;L'!$C$9</f>
        <v>0</v>
      </c>
      <c r="AG194" s="836">
        <f t="shared" si="72"/>
        <v>-6.66</v>
      </c>
    </row>
    <row r="195">
      <c r="A195" s="846" t="s">
        <v>1304</v>
      </c>
      <c r="B195" s="137">
        <f>B194*'Data - P&amp;L'!$L$5</f>
        <v>0</v>
      </c>
      <c r="C195" s="137">
        <f>C194*'Data - P&amp;L'!$L$5</f>
        <v>0</v>
      </c>
      <c r="D195" s="137">
        <f>D194*'Data - P&amp;L'!$L$5</f>
        <v>0</v>
      </c>
      <c r="E195" s="137">
        <f>E194*'Data - P&amp;L'!$L$5</f>
        <v>0</v>
      </c>
      <c r="F195" s="137">
        <f>F194*'Data - P&amp;L'!$L$5</f>
        <v>0</v>
      </c>
      <c r="G195" s="137">
        <f>G194*'Data - P&amp;L'!$L$5</f>
        <v>0</v>
      </c>
      <c r="H195" s="137">
        <f>H194*'Data - P&amp;L'!$L$5</f>
        <v>0</v>
      </c>
      <c r="I195" s="137">
        <f>I194*'Data - P&amp;L'!$L$5</f>
        <v>0</v>
      </c>
      <c r="J195" s="137">
        <f>J194*'Data - P&amp;L'!$L$5</f>
        <v>0</v>
      </c>
      <c r="K195" s="137">
        <f>K194*'Data - P&amp;L'!$L$5</f>
        <v>0</v>
      </c>
      <c r="L195" s="137">
        <f>L194*'Data - P&amp;L'!$L$5</f>
        <v>0</v>
      </c>
      <c r="M195" s="137">
        <f>M194*'Data - P&amp;L'!$L$5</f>
        <v>0</v>
      </c>
      <c r="N195" s="137">
        <f>N194*'Data - P&amp;L'!$L$5</f>
        <v>0</v>
      </c>
      <c r="O195" s="137">
        <f>O194*'Data - P&amp;L'!$L$5</f>
        <v>0</v>
      </c>
      <c r="P195" s="137">
        <f>P194*'Data - P&amp;L'!$L$5</f>
        <v>0</v>
      </c>
      <c r="Q195" s="137">
        <f>Q194*'Data - P&amp;L'!$L$5</f>
        <v>0</v>
      </c>
      <c r="R195" s="137">
        <f>R194*'Data - P&amp;L'!$L$5</f>
        <v>0</v>
      </c>
      <c r="S195" s="137">
        <f>S194*'Data - P&amp;L'!$L$5</f>
        <v>0</v>
      </c>
      <c r="T195" s="137">
        <f>T194*'Data - P&amp;L'!$L$5</f>
        <v>0</v>
      </c>
      <c r="U195" s="137">
        <f>U194*'Data - P&amp;L'!$L$5</f>
        <v>0</v>
      </c>
      <c r="V195" s="137">
        <f>V194*'Data - P&amp;L'!$L$5</f>
        <v>0</v>
      </c>
      <c r="W195" s="137">
        <f>W194*'Data - P&amp;L'!$L$5</f>
        <v>0</v>
      </c>
      <c r="X195" s="137">
        <f>X194*'Data - P&amp;L'!$L$5</f>
        <v>0</v>
      </c>
      <c r="Y195" s="137">
        <f>Y194*'Data - P&amp;L'!$L$5</f>
        <v>-0.4995</v>
      </c>
      <c r="Z195" s="137">
        <f>Z194*'Data - P&amp;L'!$L$5</f>
        <v>0</v>
      </c>
      <c r="AA195" s="137">
        <f>AA194*'Data - P&amp;L'!$L$5</f>
        <v>0</v>
      </c>
      <c r="AB195" s="137">
        <f>AB194*'Data - P&amp;L'!$L$5</f>
        <v>0</v>
      </c>
      <c r="AC195" s="137">
        <f>AC194*'Data - P&amp;L'!$L$5</f>
        <v>0</v>
      </c>
      <c r="AD195" s="137">
        <f>AD194*'Data - P&amp;L'!$L$5</f>
        <v>0</v>
      </c>
      <c r="AE195" s="137">
        <f>AE194*'Data - P&amp;L'!$L$5</f>
        <v>0</v>
      </c>
      <c r="AF195" s="137">
        <f>AF194*'Data - P&amp;L'!$L$5</f>
        <v>0</v>
      </c>
      <c r="AG195" s="836">
        <f t="shared" si="72"/>
        <v>-0.4995</v>
      </c>
    </row>
    <row r="196">
      <c r="A196" s="846" t="s">
        <v>1305</v>
      </c>
      <c r="B196" s="137">
        <f>B194*'Data - P&amp;L'!$L$4</f>
        <v>0</v>
      </c>
      <c r="C196" s="137">
        <f>C194*'Data - P&amp;L'!$L$4</f>
        <v>0</v>
      </c>
      <c r="D196" s="137">
        <f>D194*'Data - P&amp;L'!$L$4</f>
        <v>0</v>
      </c>
      <c r="E196" s="137">
        <f>E194*'Data - P&amp;L'!$L$4</f>
        <v>0</v>
      </c>
      <c r="F196" s="137">
        <f>F194*'Data - P&amp;L'!$L$4</f>
        <v>0</v>
      </c>
      <c r="G196" s="137">
        <f>G194*'Data - P&amp;L'!$L$4</f>
        <v>0</v>
      </c>
      <c r="H196" s="137">
        <f>H194*'Data - P&amp;L'!$L$4</f>
        <v>0</v>
      </c>
      <c r="I196" s="137">
        <f>I194*'Data - P&amp;L'!$L$4</f>
        <v>0</v>
      </c>
      <c r="J196" s="137">
        <f>J194*'Data - P&amp;L'!$L$4</f>
        <v>0</v>
      </c>
      <c r="K196" s="137">
        <f>K194*'Data - P&amp;L'!$L$4</f>
        <v>0</v>
      </c>
      <c r="L196" s="137">
        <f>L194*'Data - P&amp;L'!$L$4</f>
        <v>0</v>
      </c>
      <c r="M196" s="137">
        <f>M194*'Data - P&amp;L'!$L$4</f>
        <v>0</v>
      </c>
      <c r="N196" s="137">
        <f>N194*'Data - P&amp;L'!$L$4</f>
        <v>0</v>
      </c>
      <c r="O196" s="137">
        <f>O194*'Data - P&amp;L'!$L$4</f>
        <v>0</v>
      </c>
      <c r="P196" s="137">
        <f>P194*'Data - P&amp;L'!$L$4</f>
        <v>0</v>
      </c>
      <c r="Q196" s="137">
        <f>Q194*'Data - P&amp;L'!$L$4</f>
        <v>0</v>
      </c>
      <c r="R196" s="137">
        <f>R194*'Data - P&amp;L'!$L$4</f>
        <v>0</v>
      </c>
      <c r="S196" s="137">
        <f>S194*'Data - P&amp;L'!$L$4</f>
        <v>0</v>
      </c>
      <c r="T196" s="137">
        <f>T194*'Data - P&amp;L'!$L$4</f>
        <v>0</v>
      </c>
      <c r="U196" s="137">
        <f>U194*'Data - P&amp;L'!$L$4</f>
        <v>0</v>
      </c>
      <c r="V196" s="137">
        <f>V194*'Data - P&amp;L'!$L$4</f>
        <v>0</v>
      </c>
      <c r="W196" s="137">
        <f>W194*'Data - P&amp;L'!$L$4</f>
        <v>0</v>
      </c>
      <c r="X196" s="137">
        <f>X194*'Data - P&amp;L'!$L$4</f>
        <v>0</v>
      </c>
      <c r="Y196" s="137">
        <f>Y194*'Data - P&amp;L'!$L$4</f>
        <v>-0.22644</v>
      </c>
      <c r="Z196" s="137">
        <f>Z194*'Data - P&amp;L'!$L$4</f>
        <v>0</v>
      </c>
      <c r="AA196" s="137">
        <f>AA194*'Data - P&amp;L'!$L$4</f>
        <v>0</v>
      </c>
      <c r="AB196" s="137">
        <f>AB194*'Data - P&amp;L'!$L$4</f>
        <v>0</v>
      </c>
      <c r="AC196" s="137">
        <f>AC194*'Data - P&amp;L'!$L$4</f>
        <v>0</v>
      </c>
      <c r="AD196" s="137">
        <f>AD194*'Data - P&amp;L'!$L$4</f>
        <v>0</v>
      </c>
      <c r="AE196" s="137">
        <f>AE194*'Data - P&amp;L'!$L$4</f>
        <v>0</v>
      </c>
      <c r="AF196" s="137">
        <f>AF194*'Data - P&amp;L'!$L$4</f>
        <v>0</v>
      </c>
      <c r="AG196" s="836">
        <f t="shared" si="72"/>
        <v>-0.22644</v>
      </c>
    </row>
    <row r="197">
      <c r="A197" s="352" t="s">
        <v>1306</v>
      </c>
      <c r="B197" s="137">
        <f>(B103+B104)*'Data - P&amp;L'!$C$5</f>
        <v>0</v>
      </c>
      <c r="C197" s="137">
        <f>(C103+C104)*'Data - P&amp;L'!$C$5</f>
        <v>0</v>
      </c>
      <c r="D197" s="137">
        <f>(D103+D104)*'Data - P&amp;L'!$C$5</f>
        <v>0</v>
      </c>
      <c r="E197" s="137">
        <f>(E103+E104)*'Data - P&amp;L'!$C$5</f>
        <v>0</v>
      </c>
      <c r="F197" s="137">
        <f>(F103+F104)*'Data - P&amp;L'!$C$5</f>
        <v>0</v>
      </c>
      <c r="G197" s="137">
        <f>(G103+G104)*'Data - P&amp;L'!$C$5</f>
        <v>-13.44</v>
      </c>
      <c r="H197" s="137">
        <f>(H103+H104)*'Data - P&amp;L'!$C$5</f>
        <v>0</v>
      </c>
      <c r="I197" s="137">
        <f>(I103+I104)*'Data - P&amp;L'!$C$5</f>
        <v>0</v>
      </c>
      <c r="J197" s="137">
        <f>(J103+J104)*'Data - P&amp;L'!$C$5</f>
        <v>0</v>
      </c>
      <c r="K197" s="137">
        <f>(K103+K104)*'Data - P&amp;L'!$C$5</f>
        <v>0</v>
      </c>
      <c r="L197" s="137">
        <f>(L103+L104)*'Data - P&amp;L'!$C$5</f>
        <v>0</v>
      </c>
      <c r="M197" s="137">
        <f>(M103+M104)*'Data - P&amp;L'!$C$5</f>
        <v>0</v>
      </c>
      <c r="N197" s="137">
        <f>(N103+N104)*'Data - P&amp;L'!$C$5</f>
        <v>-13.44</v>
      </c>
      <c r="O197" s="137">
        <f>(O103+O104)*'Data - P&amp;L'!$C$5</f>
        <v>0</v>
      </c>
      <c r="P197" s="137">
        <f>(P103+P104)*'Data - P&amp;L'!$C$5</f>
        <v>0</v>
      </c>
      <c r="Q197" s="137">
        <f>(Q103+Q104)*'Data - P&amp;L'!$C$5</f>
        <v>0</v>
      </c>
      <c r="R197" s="137">
        <f>(R103+R104)*'Data - P&amp;L'!$C$5</f>
        <v>0</v>
      </c>
      <c r="S197" s="137">
        <f>(S103+S104)*'Data - P&amp;L'!$C$5</f>
        <v>0</v>
      </c>
      <c r="T197" s="137">
        <f>(T103+T104)*'Data - P&amp;L'!$C$5</f>
        <v>-13.44</v>
      </c>
      <c r="U197" s="137">
        <f>(U103+U104)*'Data - P&amp;L'!$C$5</f>
        <v>0</v>
      </c>
      <c r="V197" s="137">
        <f>(V103+V104)*'Data - P&amp;L'!$C$5</f>
        <v>0</v>
      </c>
      <c r="W197" s="137">
        <f>(W103+W104)*'Data - P&amp;L'!$C$5</f>
        <v>0</v>
      </c>
      <c r="X197" s="137">
        <f>(X103+X104)*'Data - P&amp;L'!$C$5</f>
        <v>0</v>
      </c>
      <c r="Y197" s="137">
        <f>(Y103+Y104)*'Data - P&amp;L'!$C$5</f>
        <v>0</v>
      </c>
      <c r="Z197" s="137">
        <f>(Z103+Z104)*'Data - P&amp;L'!$C$5</f>
        <v>0</v>
      </c>
      <c r="AA197" s="137">
        <f>(AA103+AA104)*'Data - P&amp;L'!$C$5</f>
        <v>0</v>
      </c>
      <c r="AB197" s="137">
        <f>(AB103+AB104)*'Data - P&amp;L'!$C$5</f>
        <v>0</v>
      </c>
      <c r="AC197" s="137">
        <f>(AC103+AC104)*'Data - P&amp;L'!$C$5</f>
        <v>0</v>
      </c>
      <c r="AD197" s="137">
        <f>(AD103+AD104)*'Data - P&amp;L'!$C$5</f>
        <v>0</v>
      </c>
      <c r="AE197" s="137">
        <f>(AE103+AE104)*'Data - P&amp;L'!$C$5</f>
        <v>0</v>
      </c>
      <c r="AF197" s="137">
        <f>(AF103+AF104)*'Data - P&amp;L'!$C$5</f>
        <v>0</v>
      </c>
      <c r="AG197" s="836">
        <f t="shared" si="72"/>
        <v>-40.32</v>
      </c>
    </row>
    <row r="198">
      <c r="A198" s="846" t="s">
        <v>1307</v>
      </c>
      <c r="B198" s="137">
        <f>B197*'Data - P&amp;L'!$L$8</f>
        <v>0</v>
      </c>
      <c r="C198" s="137">
        <f>C197*'Data - P&amp;L'!$L$8</f>
        <v>0</v>
      </c>
      <c r="D198" s="137">
        <f>D197*'Data - P&amp;L'!$L$8</f>
        <v>0</v>
      </c>
      <c r="E198" s="137">
        <f>E197*'Data - P&amp;L'!$L$8</f>
        <v>0</v>
      </c>
      <c r="F198" s="137">
        <f>F197*'Data - P&amp;L'!$L$8</f>
        <v>0</v>
      </c>
      <c r="G198" s="137">
        <f>G197*'Data - P&amp;L'!$L$8</f>
        <v>-1.008</v>
      </c>
      <c r="H198" s="137">
        <f>H197*'Data - P&amp;L'!$L$8</f>
        <v>0</v>
      </c>
      <c r="I198" s="137">
        <f>I197*'Data - P&amp;L'!$L$8</f>
        <v>0</v>
      </c>
      <c r="J198" s="137">
        <f>J197*'Data - P&amp;L'!$L$8</f>
        <v>0</v>
      </c>
      <c r="K198" s="137">
        <f>K197*'Data - P&amp;L'!$L$8</f>
        <v>0</v>
      </c>
      <c r="L198" s="137">
        <f>L197*'Data - P&amp;L'!$L$8</f>
        <v>0</v>
      </c>
      <c r="M198" s="137">
        <f>M197*'Data - P&amp;L'!$L$8</f>
        <v>0</v>
      </c>
      <c r="N198" s="137">
        <f>N197*'Data - P&amp;L'!$L$8</f>
        <v>-1.008</v>
      </c>
      <c r="O198" s="137">
        <f>O197*'Data - P&amp;L'!$L$8</f>
        <v>0</v>
      </c>
      <c r="P198" s="137">
        <f>P197*'Data - P&amp;L'!$L$8</f>
        <v>0</v>
      </c>
      <c r="Q198" s="137">
        <f>Q197*'Data - P&amp;L'!$L$8</f>
        <v>0</v>
      </c>
      <c r="R198" s="137">
        <f>R197*'Data - P&amp;L'!$L$8</f>
        <v>0</v>
      </c>
      <c r="S198" s="137">
        <f>S197*'Data - P&amp;L'!$L$8</f>
        <v>0</v>
      </c>
      <c r="T198" s="137">
        <f>T197*'Data - P&amp;L'!$L$8</f>
        <v>-1.008</v>
      </c>
      <c r="U198" s="137">
        <f>U197*'Data - P&amp;L'!$L$8</f>
        <v>0</v>
      </c>
      <c r="V198" s="137">
        <f>V197*'Data - P&amp;L'!$L$8</f>
        <v>0</v>
      </c>
      <c r="W198" s="137">
        <f>W197*'Data - P&amp;L'!$L$8</f>
        <v>0</v>
      </c>
      <c r="X198" s="137">
        <f>X197*'Data - P&amp;L'!$L$8</f>
        <v>0</v>
      </c>
      <c r="Y198" s="137">
        <f>Y197*'Data - P&amp;L'!$L$8</f>
        <v>0</v>
      </c>
      <c r="Z198" s="137">
        <f>Z197*'Data - P&amp;L'!$L$8</f>
        <v>0</v>
      </c>
      <c r="AA198" s="137">
        <f>AA197*'Data - P&amp;L'!$L$8</f>
        <v>0</v>
      </c>
      <c r="AB198" s="137">
        <f>AB197*'Data - P&amp;L'!$L$8</f>
        <v>0</v>
      </c>
      <c r="AC198" s="137">
        <f>AC197*'Data - P&amp;L'!$L$8</f>
        <v>0</v>
      </c>
      <c r="AD198" s="137">
        <f>AD197*'Data - P&amp;L'!$L$8</f>
        <v>0</v>
      </c>
      <c r="AE198" s="137">
        <f>AE197*'Data - P&amp;L'!$L$8</f>
        <v>0</v>
      </c>
      <c r="AF198" s="137">
        <f>AF197*'Data - P&amp;L'!$L$8</f>
        <v>0</v>
      </c>
      <c r="AG198" s="836">
        <f t="shared" si="72"/>
        <v>-3.024</v>
      </c>
    </row>
    <row r="199">
      <c r="A199" s="846" t="s">
        <v>1308</v>
      </c>
      <c r="B199" s="137">
        <f>B197*'Data - P&amp;L'!$L$9</f>
        <v>0</v>
      </c>
      <c r="C199" s="137">
        <f>C197*'Data - P&amp;L'!$L$9</f>
        <v>0</v>
      </c>
      <c r="D199" s="137">
        <f>D197*'Data - P&amp;L'!$L$9</f>
        <v>0</v>
      </c>
      <c r="E199" s="137">
        <f>E197*'Data - P&amp;L'!$L$9</f>
        <v>0</v>
      </c>
      <c r="F199" s="137">
        <f>F197*'Data - P&amp;L'!$L$9</f>
        <v>0</v>
      </c>
      <c r="G199" s="137">
        <f>G197*'Data - P&amp;L'!$L$9</f>
        <v>-0.336</v>
      </c>
      <c r="H199" s="137">
        <f>H197*'Data - P&amp;L'!$L$9</f>
        <v>0</v>
      </c>
      <c r="I199" s="137">
        <f>I197*'Data - P&amp;L'!$L$9</f>
        <v>0</v>
      </c>
      <c r="J199" s="137">
        <f>J197*'Data - P&amp;L'!$L$9</f>
        <v>0</v>
      </c>
      <c r="K199" s="137">
        <f>K197*'Data - P&amp;L'!$L$9</f>
        <v>0</v>
      </c>
      <c r="L199" s="137">
        <f>L197*'Data - P&amp;L'!$L$9</f>
        <v>0</v>
      </c>
      <c r="M199" s="137">
        <f>M197*'Data - P&amp;L'!$L$9</f>
        <v>0</v>
      </c>
      <c r="N199" s="137">
        <f>N197*'Data - P&amp;L'!$L$9</f>
        <v>-0.336</v>
      </c>
      <c r="O199" s="137">
        <f>O197*'Data - P&amp;L'!$L$9</f>
        <v>0</v>
      </c>
      <c r="P199" s="137">
        <f>P197*'Data - P&amp;L'!$L$9</f>
        <v>0</v>
      </c>
      <c r="Q199" s="137">
        <f>Q197*'Data - P&amp;L'!$L$9</f>
        <v>0</v>
      </c>
      <c r="R199" s="137">
        <f>R197*'Data - P&amp;L'!$L$9</f>
        <v>0</v>
      </c>
      <c r="S199" s="137">
        <f>S197*'Data - P&amp;L'!$L$9</f>
        <v>0</v>
      </c>
      <c r="T199" s="137">
        <f>T197*'Data - P&amp;L'!$L$9</f>
        <v>-0.336</v>
      </c>
      <c r="U199" s="137">
        <f>U197*'Data - P&amp;L'!$L$9</f>
        <v>0</v>
      </c>
      <c r="V199" s="137">
        <f>V197*'Data - P&amp;L'!$L$9</f>
        <v>0</v>
      </c>
      <c r="W199" s="137">
        <f>W197*'Data - P&amp;L'!$L$9</f>
        <v>0</v>
      </c>
      <c r="X199" s="137">
        <f>X197*'Data - P&amp;L'!$L$9</f>
        <v>0</v>
      </c>
      <c r="Y199" s="137">
        <f>Y197*'Data - P&amp;L'!$L$9</f>
        <v>0</v>
      </c>
      <c r="Z199" s="137">
        <f>Z197*'Data - P&amp;L'!$L$9</f>
        <v>0</v>
      </c>
      <c r="AA199" s="137">
        <f>AA197*'Data - P&amp;L'!$L$9</f>
        <v>0</v>
      </c>
      <c r="AB199" s="137">
        <f>AB197*'Data - P&amp;L'!$L$9</f>
        <v>0</v>
      </c>
      <c r="AC199" s="137">
        <f>AC197*'Data - P&amp;L'!$L$9</f>
        <v>0</v>
      </c>
      <c r="AD199" s="137">
        <f>AD197*'Data - P&amp;L'!$L$9</f>
        <v>0</v>
      </c>
      <c r="AE199" s="137">
        <f>AE197*'Data - P&amp;L'!$L$9</f>
        <v>0</v>
      </c>
      <c r="AF199" s="137">
        <f>AF197*'Data - P&amp;L'!$L$9</f>
        <v>0</v>
      </c>
      <c r="AG199" s="836">
        <f t="shared" si="72"/>
        <v>-1.008</v>
      </c>
    </row>
    <row r="200">
      <c r="A200" s="352" t="s">
        <v>1309</v>
      </c>
      <c r="B200" s="243">
        <f>(B105+B106)*'Data - P&amp;L'!$C$10</f>
        <v>0</v>
      </c>
      <c r="C200" s="243">
        <f>(C105+C106)*'Data - P&amp;L'!$C$10</f>
        <v>0</v>
      </c>
      <c r="D200" s="243">
        <f>(D105+D106)*'Data - P&amp;L'!$C$10</f>
        <v>0</v>
      </c>
      <c r="E200" s="243">
        <f>(E105+E106)*'Data - P&amp;L'!$C$10</f>
        <v>0</v>
      </c>
      <c r="F200" s="243">
        <f>(F105+F106)*'Data - P&amp;L'!$C$10</f>
        <v>0</v>
      </c>
      <c r="G200" s="243">
        <f>(G105+G106)*'Data - P&amp;L'!$C$10</f>
        <v>0</v>
      </c>
      <c r="H200" s="243">
        <f>(H105+H106)*'Data - P&amp;L'!$C$10</f>
        <v>0</v>
      </c>
      <c r="I200" s="243">
        <f>(I105+I106)*'Data - P&amp;L'!$C$10</f>
        <v>0</v>
      </c>
      <c r="J200" s="243">
        <f>(J105+J106)*'Data - P&amp;L'!$C$10</f>
        <v>0</v>
      </c>
      <c r="K200" s="243">
        <f>(K105+K106)*'Data - P&amp;L'!$C$10</f>
        <v>0</v>
      </c>
      <c r="L200" s="243">
        <f>(L105+L106)*'Data - P&amp;L'!$C$10</f>
        <v>0</v>
      </c>
      <c r="M200" s="243">
        <f>(M105+M106)*'Data - P&amp;L'!$C$10</f>
        <v>0</v>
      </c>
      <c r="N200" s="243">
        <f>(N105+N106)*'Data - P&amp;L'!$C$10</f>
        <v>0</v>
      </c>
      <c r="O200" s="243">
        <f>(O105+O106)*'Data - P&amp;L'!$C$10</f>
        <v>0</v>
      </c>
      <c r="P200" s="243">
        <f>(P105+P106)*'Data - P&amp;L'!$C$10</f>
        <v>0</v>
      </c>
      <c r="Q200" s="243">
        <f>(Q105+Q106)*'Data - P&amp;L'!$C$10</f>
        <v>0</v>
      </c>
      <c r="R200" s="243">
        <f>(R105+R106)*'Data - P&amp;L'!$C$10</f>
        <v>0</v>
      </c>
      <c r="S200" s="243">
        <f>(S105+S106)*'Data - P&amp;L'!$C$10</f>
        <v>0</v>
      </c>
      <c r="T200" s="243">
        <f>(T105+T106)*'Data - P&amp;L'!$C$10</f>
        <v>0</v>
      </c>
      <c r="U200" s="243">
        <f>(U105+U106)*'Data - P&amp;L'!$C$10</f>
        <v>0</v>
      </c>
      <c r="V200" s="243">
        <f>(V105+V106)*'Data - P&amp;L'!$C$10</f>
        <v>0</v>
      </c>
      <c r="W200" s="243">
        <f>(W105+W106)*'Data - P&amp;L'!$C$10</f>
        <v>0</v>
      </c>
      <c r="X200" s="243">
        <f>(X105+X106)*'Data - P&amp;L'!$C$10</f>
        <v>0</v>
      </c>
      <c r="Y200" s="243">
        <f>(Y105+Y106)*'Data - P&amp;L'!$C$10</f>
        <v>0</v>
      </c>
      <c r="Z200" s="243">
        <f>(Z105+Z106)*'Data - P&amp;L'!$C$10</f>
        <v>0</v>
      </c>
      <c r="AA200" s="243">
        <f>(AA105+AA106)*'Data - P&amp;L'!$C$10</f>
        <v>0</v>
      </c>
      <c r="AB200" s="243">
        <f>(AB105+AB106)*'Data - P&amp;L'!$C$10</f>
        <v>0</v>
      </c>
      <c r="AC200" s="243">
        <f>(AC105+AC106)*'Data - P&amp;L'!$C$10</f>
        <v>0</v>
      </c>
      <c r="AD200" s="243">
        <f>(AD105+AD106)*'Data - P&amp;L'!$C$10</f>
        <v>0</v>
      </c>
      <c r="AE200" s="243">
        <f>(AE105+AE106)*'Data - P&amp;L'!$C$10</f>
        <v>0</v>
      </c>
      <c r="AF200" s="243">
        <f>(AF105+AF106)*'Data - P&amp;L'!$C$10</f>
        <v>0</v>
      </c>
      <c r="AG200" s="836">
        <f t="shared" si="72"/>
        <v>0</v>
      </c>
    </row>
    <row r="201">
      <c r="A201" s="846" t="s">
        <v>1310</v>
      </c>
      <c r="B201" s="243">
        <f>(B184+B186+B188+B191+B194+B197+B200)*'Data - P&amp;L'!$L$6</f>
        <v>0.732075</v>
      </c>
      <c r="C201" s="243">
        <f>(C184+C186+C188+C191+C194+C197+C200)*'Data - P&amp;L'!$L$6</f>
        <v>0.1220125</v>
      </c>
      <c r="D201" s="243">
        <f>(D184+D186+D188+D191+D194+D197+D200)*'Data - P&amp;L'!$L$6</f>
        <v>0.244025</v>
      </c>
      <c r="E201" s="243">
        <f>(E184+E186+E188+E191+E194+E197+E200)*'Data - P&amp;L'!$L$6</f>
        <v>0.1220125</v>
      </c>
      <c r="F201" s="243">
        <f>(F184+F186+F188+F191+F194+F197+F200)*'Data - P&amp;L'!$L$6</f>
        <v>0.1220125</v>
      </c>
      <c r="G201" s="243">
        <f>(G184+G186+G188+G191+G194+G197+G200)*'Data - P&amp;L'!$L$6</f>
        <v>-0.3560625</v>
      </c>
      <c r="H201" s="243">
        <f>(H184+H186+H188+H191+H194+H197+H200)*'Data - P&amp;L'!$L$6</f>
        <v>0.5832875</v>
      </c>
      <c r="I201" s="243">
        <f>(I184+I186+I188+I191+I194+I197+I200)*'Data - P&amp;L'!$L$6</f>
        <v>2.2914625</v>
      </c>
      <c r="J201" s="243">
        <f>(J184+J186+J188+J191+J194+J197+J200)*'Data - P&amp;L'!$L$6</f>
        <v>0.35265</v>
      </c>
      <c r="K201" s="243">
        <f>(K184+K186+K188+K191+K194+K197+K200)*'Data - P&amp;L'!$L$6</f>
        <v>0.461275</v>
      </c>
      <c r="L201" s="243">
        <f>(L184+L186+L188+L191+L194+L197+L200)*'Data - P&amp;L'!$L$6</f>
        <v>0.596675</v>
      </c>
      <c r="M201" s="243">
        <f>(M184+M186+M188+M191+M194+M197+M200)*'Data - P&amp;L'!$L$6</f>
        <v>11.1582125</v>
      </c>
      <c r="N201" s="243">
        <f>(N184+N186+N188+N191+N194+N197+N200)*'Data - P&amp;L'!$L$6</f>
        <v>3.454625</v>
      </c>
      <c r="O201" s="243">
        <f>(O184+O186+O188+O191+O194+O197+O200)*'Data - P&amp;L'!$L$6</f>
        <v>0</v>
      </c>
      <c r="P201" s="243">
        <f>(P184+P186+P188+P191+P194+P197+P200)*'Data - P&amp;L'!$L$6</f>
        <v>0</v>
      </c>
      <c r="Q201" s="243">
        <f>(Q184+Q186+Q188+Q191+Q194+Q197+Q200)*'Data - P&amp;L'!$L$6</f>
        <v>0</v>
      </c>
      <c r="R201" s="243">
        <f>(R184+R186+R188+R191+R194+R197+R200)*'Data - P&amp;L'!$L$6</f>
        <v>0.3660375</v>
      </c>
      <c r="S201" s="243">
        <f>(S184+S186+S188+S191+S194+S197+S200)*'Data - P&amp;L'!$L$6</f>
        <v>0.244025</v>
      </c>
      <c r="T201" s="243">
        <f>(T184+T186+T188+T191+T194+T197+T200)*'Data - P&amp;L'!$L$6</f>
        <v>-0.133775</v>
      </c>
      <c r="U201" s="243">
        <f>(U184+U186+U188+U191+U194+U197+U200)*'Data - P&amp;L'!$L$6</f>
        <v>0</v>
      </c>
      <c r="V201" s="243">
        <f>(V184+V186+V188+V191+V194+V197+V200)*'Data - P&amp;L'!$L$6</f>
        <v>-0.1235</v>
      </c>
      <c r="W201" s="243">
        <f>(W184+W186+W188+W191+W194+W197+W200)*'Data - P&amp;L'!$L$6</f>
        <v>0</v>
      </c>
      <c r="X201" s="243">
        <f>(X184+X186+X188+X191+X194+X197+X200)*'Data - P&amp;L'!$L$6</f>
        <v>0</v>
      </c>
      <c r="Y201" s="243">
        <f>(Y184+Y186+Y188+Y191+Y194+Y197+Y200)*'Data - P&amp;L'!$L$6</f>
        <v>-0.1303375</v>
      </c>
      <c r="Z201" s="243">
        <f>(Z184+Z186+Z188+Z191+Z194+Z197+Z200)*'Data - P&amp;L'!$L$6</f>
        <v>0</v>
      </c>
      <c r="AA201" s="243">
        <f>(AA184+AA186+AA188+AA191+AA194+AA197+AA200)*'Data - P&amp;L'!$L$6</f>
        <v>0</v>
      </c>
      <c r="AB201" s="243">
        <f>(AB184+AB186+AB188+AB191+AB194+AB197+AB200)*'Data - P&amp;L'!$L$6</f>
        <v>0</v>
      </c>
      <c r="AC201" s="243">
        <f>(AC184+AC186+AC188+AC191+AC194+AC197+AC200)*'Data - P&amp;L'!$L$6</f>
        <v>0</v>
      </c>
      <c r="AD201" s="243">
        <f>(AD184+AD186+AD188+AD191+AD194+AD197+AD200)*'Data - P&amp;L'!$L$6</f>
        <v>0</v>
      </c>
      <c r="AE201" s="243">
        <f>(AE184+AE186+AE188+AE191+AE194+AE197+AE200)*'Data - P&amp;L'!$L$6</f>
        <v>0</v>
      </c>
      <c r="AF201" s="243">
        <f>(AF184+AF186+AF188+AF191+AF194+AF197+AF200)*'Data - P&amp;L'!$L$6</f>
        <v>0</v>
      </c>
      <c r="AG201" s="836">
        <f t="shared" si="72"/>
        <v>20.1067125</v>
      </c>
    </row>
    <row r="202">
      <c r="A202" s="846" t="s">
        <v>1311</v>
      </c>
      <c r="B202" s="243">
        <f t="shared" ref="B202:AF202" si="73">$AG202/31</f>
        <v>17.36774194</v>
      </c>
      <c r="C202" s="243">
        <f t="shared" si="73"/>
        <v>17.36774194</v>
      </c>
      <c r="D202" s="243">
        <f t="shared" si="73"/>
        <v>17.36774194</v>
      </c>
      <c r="E202" s="243">
        <f t="shared" si="73"/>
        <v>17.36774194</v>
      </c>
      <c r="F202" s="243">
        <f t="shared" si="73"/>
        <v>17.36774194</v>
      </c>
      <c r="G202" s="243">
        <f t="shared" si="73"/>
        <v>17.36774194</v>
      </c>
      <c r="H202" s="243">
        <f t="shared" si="73"/>
        <v>17.36774194</v>
      </c>
      <c r="I202" s="243">
        <f t="shared" si="73"/>
        <v>17.36774194</v>
      </c>
      <c r="J202" s="243">
        <f t="shared" si="73"/>
        <v>17.36774194</v>
      </c>
      <c r="K202" s="243">
        <f t="shared" si="73"/>
        <v>17.36774194</v>
      </c>
      <c r="L202" s="243">
        <f t="shared" si="73"/>
        <v>17.36774194</v>
      </c>
      <c r="M202" s="243">
        <f t="shared" si="73"/>
        <v>17.36774194</v>
      </c>
      <c r="N202" s="243">
        <f t="shared" si="73"/>
        <v>17.36774194</v>
      </c>
      <c r="O202" s="243">
        <f t="shared" si="73"/>
        <v>17.36774194</v>
      </c>
      <c r="P202" s="243">
        <f t="shared" si="73"/>
        <v>17.36774194</v>
      </c>
      <c r="Q202" s="243">
        <f t="shared" si="73"/>
        <v>17.36774194</v>
      </c>
      <c r="R202" s="243">
        <f t="shared" si="73"/>
        <v>17.36774194</v>
      </c>
      <c r="S202" s="243">
        <f t="shared" si="73"/>
        <v>17.36774194</v>
      </c>
      <c r="T202" s="243">
        <f t="shared" si="73"/>
        <v>17.36774194</v>
      </c>
      <c r="U202" s="243">
        <f t="shared" si="73"/>
        <v>17.36774194</v>
      </c>
      <c r="V202" s="243">
        <f t="shared" si="73"/>
        <v>17.36774194</v>
      </c>
      <c r="W202" s="243">
        <f t="shared" si="73"/>
        <v>17.36774194</v>
      </c>
      <c r="X202" s="243">
        <f t="shared" si="73"/>
        <v>17.36774194</v>
      </c>
      <c r="Y202" s="243">
        <f t="shared" si="73"/>
        <v>17.36774194</v>
      </c>
      <c r="Z202" s="243">
        <f t="shared" si="73"/>
        <v>17.36774194</v>
      </c>
      <c r="AA202" s="243">
        <f t="shared" si="73"/>
        <v>17.36774194</v>
      </c>
      <c r="AB202" s="243">
        <f t="shared" si="73"/>
        <v>17.36774194</v>
      </c>
      <c r="AC202" s="243">
        <f t="shared" si="73"/>
        <v>17.36774194</v>
      </c>
      <c r="AD202" s="243">
        <f t="shared" si="73"/>
        <v>17.36774194</v>
      </c>
      <c r="AE202" s="243">
        <f t="shared" si="73"/>
        <v>17.36774194</v>
      </c>
      <c r="AF202" s="243">
        <f t="shared" si="73"/>
        <v>17.36774194</v>
      </c>
      <c r="AG202" s="847">
        <v>538.4</v>
      </c>
    </row>
    <row r="203">
      <c r="A203" s="353" t="s">
        <v>1312</v>
      </c>
      <c r="B203" s="137">
        <f>((B97+B61)*'Data - P&amp;L'!$C$38)</f>
        <v>286.56</v>
      </c>
      <c r="C203" s="137">
        <f>((C97+C61)*'Data - P&amp;L'!$C$38)</f>
        <v>274.62</v>
      </c>
      <c r="D203" s="137">
        <f>((D97+D61)*'Data - P&amp;L'!$C$38)</f>
        <v>23.88</v>
      </c>
      <c r="E203" s="137">
        <f>((E97+E61)*'Data - P&amp;L'!$C$38)</f>
        <v>47.76</v>
      </c>
      <c r="F203" s="137">
        <f>((F97+F61)*'Data - P&amp;L'!$C$38)</f>
        <v>262.68</v>
      </c>
      <c r="G203" s="137">
        <f>((G97+G61)*'Data - P&amp;L'!$C$38)</f>
        <v>131.34</v>
      </c>
      <c r="H203" s="137">
        <f>((H97+H61)*'Data - P&amp;L'!$C$38)</f>
        <v>191.04</v>
      </c>
      <c r="I203" s="137">
        <f>((I97+I61)*'Data - P&amp;L'!$C$38)</f>
        <v>358.2</v>
      </c>
      <c r="J203" s="137">
        <f>((J97+J61)*'Data - P&amp;L'!$C$38)</f>
        <v>143.28</v>
      </c>
      <c r="K203" s="137">
        <f>((K97+K61)*'Data - P&amp;L'!$C$38)</f>
        <v>47.76</v>
      </c>
      <c r="L203" s="137">
        <f>((L97+L61)*'Data - P&amp;L'!$C$38)</f>
        <v>131.34</v>
      </c>
      <c r="M203" s="137">
        <f>((M97+M61)*'Data - P&amp;L'!$C$38)</f>
        <v>1313.4</v>
      </c>
      <c r="N203" s="137">
        <f>((N97+N61)*'Data - P&amp;L'!$C$38)</f>
        <v>465.66</v>
      </c>
      <c r="O203" s="137">
        <f>((O97+O61)*'Data - P&amp;L'!$C$38)</f>
        <v>47.76</v>
      </c>
      <c r="P203" s="137">
        <f>((P97+P61)*'Data - P&amp;L'!$C$38)</f>
        <v>83.58</v>
      </c>
      <c r="Q203" s="137">
        <f>((Q97+Q61)*'Data - P&amp;L'!$C$38)</f>
        <v>47.76</v>
      </c>
      <c r="R203" s="137">
        <f>((R97+R61)*'Data - P&amp;L'!$C$38)</f>
        <v>35.82</v>
      </c>
      <c r="S203" s="137">
        <f>((S97+S61)*'Data - P&amp;L'!$C$38)</f>
        <v>119.4</v>
      </c>
      <c r="T203" s="137">
        <f>((T97+T61)*'Data - P&amp;L'!$C$38)</f>
        <v>704.46</v>
      </c>
      <c r="U203" s="137">
        <f>((U97+U61)*'Data - P&amp;L'!$C$38)</f>
        <v>668.64</v>
      </c>
      <c r="V203" s="137">
        <f>((V97+V61)*'Data - P&amp;L'!$C$38)</f>
        <v>119.4</v>
      </c>
      <c r="W203" s="137">
        <f>((W97+W61)*'Data - P&amp;L'!$C$38)</f>
        <v>214.92</v>
      </c>
      <c r="X203" s="137">
        <f>((X97+X61)*'Data - P&amp;L'!$C$38)</f>
        <v>0</v>
      </c>
      <c r="Y203" s="137">
        <f>((Y97+Y61)*'Data - P&amp;L'!$C$38)</f>
        <v>-11.94</v>
      </c>
      <c r="Z203" s="137">
        <f>((Z97+Z61)*'Data - P&amp;L'!$C$38)</f>
        <v>119.4</v>
      </c>
      <c r="AA203" s="137">
        <f>((AA97+AA61)*'Data - P&amp;L'!$C$38)</f>
        <v>322.38</v>
      </c>
      <c r="AB203" s="137">
        <f>((AB97+AB61)*'Data - P&amp;L'!$C$38)</f>
        <v>274.62</v>
      </c>
      <c r="AC203" s="137">
        <f>((AC97+AC61)*'Data - P&amp;L'!$C$38)</f>
        <v>286.56</v>
      </c>
      <c r="AD203" s="137">
        <f>((AD97+AD61)*'Data - P&amp;L'!$C$38)</f>
        <v>453.72</v>
      </c>
      <c r="AE203" s="137" t="str">
        <f>((AE97+AE61)*'Data - P&amp;L'!$C$38)</f>
        <v>#REF!</v>
      </c>
      <c r="AF203" s="137" t="str">
        <f>((AF97+AF61)*'Data - P&amp;L'!$C$38)</f>
        <v>#REF!</v>
      </c>
      <c r="AG203" s="836" t="str">
        <f t="shared" ref="AG203:AG228" si="74">SUM(B203:AF203)</f>
        <v>#REF!</v>
      </c>
    </row>
    <row r="204">
      <c r="A204" s="208" t="s">
        <v>1313</v>
      </c>
      <c r="B204" s="243">
        <f>((B97)*'Data - P&amp;L'!$C$34)</f>
        <v>180.48</v>
      </c>
      <c r="C204" s="243">
        <f>((C97)*'Data - P&amp;L'!$C$34)</f>
        <v>30.08</v>
      </c>
      <c r="D204" s="243">
        <f>((D97)*'Data - P&amp;L'!$C$34)</f>
        <v>60.16</v>
      </c>
      <c r="E204" s="243">
        <f>((E97)*'Data - P&amp;L'!$C$34)</f>
        <v>30.08</v>
      </c>
      <c r="F204" s="243">
        <f>((F97)*'Data - P&amp;L'!$C$34)</f>
        <v>30.08</v>
      </c>
      <c r="G204" s="243">
        <f>((G97)*'Data - P&amp;L'!$C$34)</f>
        <v>-90.24</v>
      </c>
      <c r="H204" s="243">
        <f>((H97)*'Data - P&amp;L'!$C$34)</f>
        <v>150.4</v>
      </c>
      <c r="I204" s="243">
        <f>((I97)*'Data - P&amp;L'!$C$34)</f>
        <v>571.52</v>
      </c>
      <c r="J204" s="243">
        <f>((J97)*'Data - P&amp;L'!$C$34)</f>
        <v>90.24</v>
      </c>
      <c r="K204" s="243">
        <f>((K97)*'Data - P&amp;L'!$C$34)</f>
        <v>120.32</v>
      </c>
      <c r="L204" s="243">
        <f>((L97)*'Data - P&amp;L'!$C$34)</f>
        <v>150.4</v>
      </c>
      <c r="M204" s="243">
        <f>((M97)*'Data - P&amp;L'!$C$34)</f>
        <v>2767.36</v>
      </c>
      <c r="N204" s="243">
        <f>((N97)*'Data - P&amp;L'!$C$34)</f>
        <v>872.32</v>
      </c>
      <c r="O204" s="243">
        <f>((O97)*'Data - P&amp;L'!$C$34)</f>
        <v>0</v>
      </c>
      <c r="P204" s="243">
        <f>((P97)*'Data - P&amp;L'!$C$34)</f>
        <v>0</v>
      </c>
      <c r="Q204" s="243">
        <f>((Q97)*'Data - P&amp;L'!$C$34)</f>
        <v>0</v>
      </c>
      <c r="R204" s="243">
        <f>((R97)*'Data - P&amp;L'!$C$34)</f>
        <v>90.24</v>
      </c>
      <c r="S204" s="243">
        <f>((S97)*'Data - P&amp;L'!$C$34)</f>
        <v>60.16</v>
      </c>
      <c r="T204" s="243">
        <f>((T97)*'Data - P&amp;L'!$C$34)</f>
        <v>-30.08</v>
      </c>
      <c r="U204" s="243">
        <f>((U97)*'Data - P&amp;L'!$C$34)</f>
        <v>0</v>
      </c>
      <c r="V204" s="243">
        <f>((V97)*'Data - P&amp;L'!$C$34)</f>
        <v>-30.08</v>
      </c>
      <c r="W204" s="243">
        <f>((W97)*'Data - P&amp;L'!$C$34)</f>
        <v>0</v>
      </c>
      <c r="X204" s="243">
        <f>((X97)*'Data - P&amp;L'!$C$34)</f>
        <v>0</v>
      </c>
      <c r="Y204" s="243">
        <f>((Y97)*'Data - P&amp;L'!$C$34)</f>
        <v>-30.08</v>
      </c>
      <c r="Z204" s="243">
        <f>((Z97)*'Data - P&amp;L'!$C$34)</f>
        <v>0</v>
      </c>
      <c r="AA204" s="243">
        <f>((AA97)*'Data - P&amp;L'!$C$34)</f>
        <v>0</v>
      </c>
      <c r="AB204" s="243">
        <f>((AB97)*'Data - P&amp;L'!$C$34)</f>
        <v>0</v>
      </c>
      <c r="AC204" s="243">
        <f>((AC97)*'Data - P&amp;L'!$C$34)</f>
        <v>0</v>
      </c>
      <c r="AD204" s="243">
        <f>((AD97)*'Data - P&amp;L'!$C$34)</f>
        <v>0</v>
      </c>
      <c r="AE204" s="243">
        <f>((AE97)*'Data - P&amp;L'!$C$34)</f>
        <v>0</v>
      </c>
      <c r="AF204" s="243">
        <f>((AF97)*'Data - P&amp;L'!$C$34)</f>
        <v>0</v>
      </c>
      <c r="AG204" s="836">
        <f t="shared" si="74"/>
        <v>5023.36</v>
      </c>
    </row>
    <row r="205">
      <c r="A205" s="208" t="s">
        <v>1314</v>
      </c>
      <c r="B205" s="250">
        <f>(B107*'Data - P&amp;L'!$D$38)</f>
        <v>0</v>
      </c>
      <c r="C205" s="250">
        <f>(C107*'Data - P&amp;L'!$D$38)</f>
        <v>0</v>
      </c>
      <c r="D205" s="250">
        <f>(D107*'Data - P&amp;L'!$D$38)</f>
        <v>0</v>
      </c>
      <c r="E205" s="250">
        <f>(E107*'Data - P&amp;L'!$D$38)</f>
        <v>0</v>
      </c>
      <c r="F205" s="250">
        <f>(F107*'Data - P&amp;L'!$D$38)</f>
        <v>0</v>
      </c>
      <c r="G205" s="250">
        <f>(G107*'Data - P&amp;L'!$D$38)</f>
        <v>-1.435</v>
      </c>
      <c r="H205" s="250">
        <f>(H107*'Data - P&amp;L'!$D$38)</f>
        <v>0</v>
      </c>
      <c r="I205" s="250">
        <f>(I107*'Data - P&amp;L'!$D$38)</f>
        <v>0</v>
      </c>
      <c r="J205" s="250">
        <f>(J107*'Data - P&amp;L'!$D$38)</f>
        <v>0</v>
      </c>
      <c r="K205" s="250">
        <f>(K107*'Data - P&amp;L'!$D$38)</f>
        <v>0</v>
      </c>
      <c r="L205" s="250">
        <f>(L107*'Data - P&amp;L'!$D$38)</f>
        <v>0</v>
      </c>
      <c r="M205" s="250">
        <f>(M107*'Data - P&amp;L'!$D$38)</f>
        <v>0</v>
      </c>
      <c r="N205" s="250">
        <f>(N107*'Data - P&amp;L'!$D$38)</f>
        <v>-1.435</v>
      </c>
      <c r="O205" s="250">
        <f>(O107*'Data - P&amp;L'!$D$38)</f>
        <v>0</v>
      </c>
      <c r="P205" s="250">
        <f>(P107*'Data - P&amp;L'!$D$38)</f>
        <v>0</v>
      </c>
      <c r="Q205" s="250">
        <f>(Q107*'Data - P&amp;L'!$D$38)</f>
        <v>0</v>
      </c>
      <c r="R205" s="250">
        <f>(R107*'Data - P&amp;L'!$D$38)</f>
        <v>0</v>
      </c>
      <c r="S205" s="250">
        <f>(S107*'Data - P&amp;L'!$D$38)</f>
        <v>0</v>
      </c>
      <c r="T205" s="250">
        <f>(T107*'Data - P&amp;L'!$D$38)</f>
        <v>-4.305</v>
      </c>
      <c r="U205" s="250">
        <f>(U107*'Data - P&amp;L'!$D$38)</f>
        <v>0</v>
      </c>
      <c r="V205" s="250">
        <f>(V107*'Data - P&amp;L'!$D$38)</f>
        <v>-1.435</v>
      </c>
      <c r="W205" s="250">
        <f>(W107*'Data - P&amp;L'!$D$38)</f>
        <v>0</v>
      </c>
      <c r="X205" s="250">
        <f>(X107*'Data - P&amp;L'!$D$38)</f>
        <v>0</v>
      </c>
      <c r="Y205" s="250">
        <f>(Y107*'Data - P&amp;L'!$D$38)</f>
        <v>-1.435</v>
      </c>
      <c r="Z205" s="250">
        <f>(Z107*'Data - P&amp;L'!$D$38)</f>
        <v>0</v>
      </c>
      <c r="AA205" s="250">
        <f>(AA107*'Data - P&amp;L'!$D$38)</f>
        <v>0</v>
      </c>
      <c r="AB205" s="250">
        <f>(AB107*'Data - P&amp;L'!$D$38)</f>
        <v>0</v>
      </c>
      <c r="AC205" s="250">
        <f>(AC107*'Data - P&amp;L'!$D$38)</f>
        <v>0</v>
      </c>
      <c r="AD205" s="250">
        <f>(AD107*'Data - P&amp;L'!$D$38)</f>
        <v>0</v>
      </c>
      <c r="AE205" s="250">
        <f>(AE107*'Data - P&amp;L'!$D$38)</f>
        <v>0</v>
      </c>
      <c r="AF205" s="250">
        <f>(AF107*'Data - P&amp;L'!$D$38)</f>
        <v>0</v>
      </c>
      <c r="AG205" s="836">
        <f t="shared" si="74"/>
        <v>-10.045</v>
      </c>
    </row>
    <row r="206">
      <c r="A206" s="208" t="s">
        <v>1315</v>
      </c>
      <c r="B206" s="250">
        <f>(B107*'Data - P&amp;L'!$D$34)</f>
        <v>0</v>
      </c>
      <c r="C206" s="250">
        <f>(C107*'Data - P&amp;L'!$D$34)</f>
        <v>0</v>
      </c>
      <c r="D206" s="250">
        <f>(D107*'Data - P&amp;L'!$D$34)</f>
        <v>0</v>
      </c>
      <c r="E206" s="250">
        <f>(E107*'Data - P&amp;L'!$D$34)</f>
        <v>0</v>
      </c>
      <c r="F206" s="250">
        <f>(F107*'Data - P&amp;L'!$D$34)</f>
        <v>0</v>
      </c>
      <c r="G206" s="250">
        <f>(G107*'Data - P&amp;L'!$D$34)</f>
        <v>-9.53</v>
      </c>
      <c r="H206" s="250">
        <f>(H107*'Data - P&amp;L'!$D$34)</f>
        <v>0</v>
      </c>
      <c r="I206" s="250">
        <f>(I107*'Data - P&amp;L'!$D$34)</f>
        <v>0</v>
      </c>
      <c r="J206" s="250">
        <f>(J107*'Data - P&amp;L'!$D$34)</f>
        <v>0</v>
      </c>
      <c r="K206" s="250">
        <f>(K107*'Data - P&amp;L'!$D$34)</f>
        <v>0</v>
      </c>
      <c r="L206" s="250">
        <f>(L107*'Data - P&amp;L'!$D$34)</f>
        <v>0</v>
      </c>
      <c r="M206" s="250">
        <f>(M107*'Data - P&amp;L'!$D$34)</f>
        <v>0</v>
      </c>
      <c r="N206" s="250">
        <f>(N107*'Data - P&amp;L'!$D$34)</f>
        <v>-9.53</v>
      </c>
      <c r="O206" s="250">
        <f>(O107*'Data - P&amp;L'!$D$34)</f>
        <v>0</v>
      </c>
      <c r="P206" s="250">
        <f>(P107*'Data - P&amp;L'!$D$34)</f>
        <v>0</v>
      </c>
      <c r="Q206" s="250">
        <f>(Q107*'Data - P&amp;L'!$D$34)</f>
        <v>0</v>
      </c>
      <c r="R206" s="250">
        <f>(R107*'Data - P&amp;L'!$D$34)</f>
        <v>0</v>
      </c>
      <c r="S206" s="250">
        <f>(S107*'Data - P&amp;L'!$D$34)</f>
        <v>0</v>
      </c>
      <c r="T206" s="250">
        <f>(T107*'Data - P&amp;L'!$D$34)</f>
        <v>-28.59</v>
      </c>
      <c r="U206" s="250">
        <f>(U107*'Data - P&amp;L'!$D$34)</f>
        <v>0</v>
      </c>
      <c r="V206" s="250">
        <f>(V107*'Data - P&amp;L'!$D$34)</f>
        <v>-9.53</v>
      </c>
      <c r="W206" s="250">
        <f>(W107*'Data - P&amp;L'!$D$34)</f>
        <v>0</v>
      </c>
      <c r="X206" s="250">
        <f>(X107*'Data - P&amp;L'!$D$34)</f>
        <v>0</v>
      </c>
      <c r="Y206" s="250">
        <f>(Y107*'Data - P&amp;L'!$D$34)</f>
        <v>-9.53</v>
      </c>
      <c r="Z206" s="250">
        <f>(Z107*'Data - P&amp;L'!$D$34)</f>
        <v>0</v>
      </c>
      <c r="AA206" s="250">
        <f>(AA107*'Data - P&amp;L'!$D$34)</f>
        <v>0</v>
      </c>
      <c r="AB206" s="250">
        <f>(AB107*'Data - P&amp;L'!$D$34)</f>
        <v>0</v>
      </c>
      <c r="AC206" s="250">
        <f>(AC107*'Data - P&amp;L'!$D$34)</f>
        <v>0</v>
      </c>
      <c r="AD206" s="250">
        <f>(AD107*'Data - P&amp;L'!$D$34)</f>
        <v>0</v>
      </c>
      <c r="AE206" s="250">
        <f>(AE107*'Data - P&amp;L'!$D$34)</f>
        <v>0</v>
      </c>
      <c r="AF206" s="250">
        <f>(AF107*'Data - P&amp;L'!$D$34)</f>
        <v>0</v>
      </c>
      <c r="AG206" s="836">
        <f t="shared" si="74"/>
        <v>-66.71</v>
      </c>
    </row>
    <row r="207">
      <c r="A207" s="354" t="s">
        <v>1316</v>
      </c>
      <c r="B207" s="250">
        <f t="shared" ref="B207:AF207" si="75">B20*0.06</f>
        <v>24.19864632</v>
      </c>
      <c r="C207" s="250">
        <f t="shared" si="75"/>
        <v>13.37300316</v>
      </c>
      <c r="D207" s="250">
        <f t="shared" si="75"/>
        <v>0</v>
      </c>
      <c r="E207" s="250">
        <f t="shared" si="75"/>
        <v>0</v>
      </c>
      <c r="F207" s="250">
        <f t="shared" si="75"/>
        <v>0</v>
      </c>
      <c r="G207" s="250">
        <f t="shared" si="75"/>
        <v>13.37300316</v>
      </c>
      <c r="H207" s="250">
        <f t="shared" si="75"/>
        <v>0</v>
      </c>
      <c r="I207" s="250">
        <f t="shared" si="75"/>
        <v>26.74600632</v>
      </c>
      <c r="J207" s="250">
        <f t="shared" si="75"/>
        <v>0</v>
      </c>
      <c r="K207" s="250">
        <f t="shared" si="75"/>
        <v>64.3176558</v>
      </c>
      <c r="L207" s="250">
        <f t="shared" si="75"/>
        <v>13.37300316</v>
      </c>
      <c r="M207" s="250">
        <f t="shared" si="75"/>
        <v>13.37300316</v>
      </c>
      <c r="N207" s="250">
        <f t="shared" si="75"/>
        <v>0</v>
      </c>
      <c r="O207" s="250">
        <f t="shared" si="75"/>
        <v>0</v>
      </c>
      <c r="P207" s="250">
        <f t="shared" si="75"/>
        <v>0</v>
      </c>
      <c r="Q207" s="250">
        <f t="shared" si="75"/>
        <v>0</v>
      </c>
      <c r="R207" s="250">
        <f t="shared" si="75"/>
        <v>0</v>
      </c>
      <c r="S207" s="250">
        <f t="shared" si="75"/>
        <v>0</v>
      </c>
      <c r="T207" s="250">
        <f t="shared" si="75"/>
        <v>0</v>
      </c>
      <c r="U207" s="250">
        <f t="shared" si="75"/>
        <v>0</v>
      </c>
      <c r="V207" s="250">
        <f t="shared" si="75"/>
        <v>0</v>
      </c>
      <c r="W207" s="250">
        <f t="shared" si="75"/>
        <v>0</v>
      </c>
      <c r="X207" s="250">
        <f t="shared" si="75"/>
        <v>0</v>
      </c>
      <c r="Y207" s="250">
        <f t="shared" si="75"/>
        <v>0</v>
      </c>
      <c r="Z207" s="250">
        <f t="shared" si="75"/>
        <v>0</v>
      </c>
      <c r="AA207" s="250">
        <f t="shared" si="75"/>
        <v>0</v>
      </c>
      <c r="AB207" s="250">
        <f t="shared" si="75"/>
        <v>0</v>
      </c>
      <c r="AC207" s="250">
        <f t="shared" si="75"/>
        <v>19.10456316</v>
      </c>
      <c r="AD207" s="250">
        <f t="shared" si="75"/>
        <v>0</v>
      </c>
      <c r="AE207" s="250" t="str">
        <f t="shared" si="75"/>
        <v>#REF!</v>
      </c>
      <c r="AF207" s="250" t="str">
        <f t="shared" si="75"/>
        <v>#REF!</v>
      </c>
      <c r="AG207" s="836" t="str">
        <f t="shared" si="74"/>
        <v>#REF!</v>
      </c>
    </row>
    <row r="208" collapsed="1">
      <c r="A208" s="357" t="s">
        <v>592</v>
      </c>
      <c r="B208" s="254" t="str">
        <f t="shared" ref="B208:AF208" si="76">iferror(B209+B210+B211+B212+B213,"")</f>
        <v/>
      </c>
      <c r="C208" s="254" t="str">
        <f t="shared" si="76"/>
        <v/>
      </c>
      <c r="D208" s="254" t="str">
        <f t="shared" si="76"/>
        <v/>
      </c>
      <c r="E208" s="254" t="str">
        <f t="shared" si="76"/>
        <v/>
      </c>
      <c r="F208" s="254" t="str">
        <f t="shared" si="76"/>
        <v/>
      </c>
      <c r="G208" s="254" t="str">
        <f t="shared" si="76"/>
        <v/>
      </c>
      <c r="H208" s="254" t="str">
        <f t="shared" si="76"/>
        <v/>
      </c>
      <c r="I208" s="254" t="str">
        <f t="shared" si="76"/>
        <v/>
      </c>
      <c r="J208" s="254" t="str">
        <f t="shared" si="76"/>
        <v/>
      </c>
      <c r="K208" s="254" t="str">
        <f t="shared" si="76"/>
        <v/>
      </c>
      <c r="L208" s="254" t="str">
        <f t="shared" si="76"/>
        <v/>
      </c>
      <c r="M208" s="254" t="str">
        <f t="shared" si="76"/>
        <v/>
      </c>
      <c r="N208" s="254" t="str">
        <f t="shared" si="76"/>
        <v/>
      </c>
      <c r="O208" s="254" t="str">
        <f t="shared" si="76"/>
        <v/>
      </c>
      <c r="P208" s="254" t="str">
        <f t="shared" si="76"/>
        <v/>
      </c>
      <c r="Q208" s="254" t="str">
        <f t="shared" si="76"/>
        <v/>
      </c>
      <c r="R208" s="254" t="str">
        <f t="shared" si="76"/>
        <v/>
      </c>
      <c r="S208" s="254" t="str">
        <f t="shared" si="76"/>
        <v/>
      </c>
      <c r="T208" s="254" t="str">
        <f t="shared" si="76"/>
        <v/>
      </c>
      <c r="U208" s="254" t="str">
        <f t="shared" si="76"/>
        <v/>
      </c>
      <c r="V208" s="254" t="str">
        <f t="shared" si="76"/>
        <v/>
      </c>
      <c r="W208" s="254" t="str">
        <f t="shared" si="76"/>
        <v/>
      </c>
      <c r="X208" s="254" t="str">
        <f t="shared" si="76"/>
        <v/>
      </c>
      <c r="Y208" s="254" t="str">
        <f t="shared" si="76"/>
        <v/>
      </c>
      <c r="Z208" s="254" t="str">
        <f t="shared" si="76"/>
        <v/>
      </c>
      <c r="AA208" s="254" t="str">
        <f t="shared" si="76"/>
        <v/>
      </c>
      <c r="AB208" s="254" t="str">
        <f t="shared" si="76"/>
        <v/>
      </c>
      <c r="AC208" s="254" t="str">
        <f t="shared" si="76"/>
        <v/>
      </c>
      <c r="AD208" s="254" t="str">
        <f t="shared" si="76"/>
        <v/>
      </c>
      <c r="AE208" s="254" t="str">
        <f t="shared" si="76"/>
        <v/>
      </c>
      <c r="AF208" s="254" t="str">
        <f t="shared" si="76"/>
        <v/>
      </c>
      <c r="AG208" s="836">
        <f t="shared" si="74"/>
        <v>0</v>
      </c>
    </row>
    <row r="209" hidden="1" outlineLevel="1">
      <c r="A209" s="213" t="s">
        <v>1317</v>
      </c>
      <c r="B209" s="255">
        <f t="shared" ref="B209:AF209" si="77">B4+B16+B21</f>
        <v>806.621544</v>
      </c>
      <c r="C209" s="255">
        <f t="shared" si="77"/>
        <v>445.766772</v>
      </c>
      <c r="D209" s="255">
        <f t="shared" si="77"/>
        <v>0</v>
      </c>
      <c r="E209" s="255">
        <f t="shared" si="77"/>
        <v>0</v>
      </c>
      <c r="F209" s="255">
        <f t="shared" si="77"/>
        <v>0</v>
      </c>
      <c r="G209" s="255">
        <f t="shared" si="77"/>
        <v>445.766772</v>
      </c>
      <c r="H209" s="255">
        <f t="shared" si="77"/>
        <v>0</v>
      </c>
      <c r="I209" s="255">
        <f t="shared" si="77"/>
        <v>891.533544</v>
      </c>
      <c r="J209" s="255">
        <f t="shared" si="77"/>
        <v>0</v>
      </c>
      <c r="K209" s="255">
        <f t="shared" si="77"/>
        <v>2143.92186</v>
      </c>
      <c r="L209" s="255">
        <f t="shared" si="77"/>
        <v>445.766772</v>
      </c>
      <c r="M209" s="255">
        <f t="shared" si="77"/>
        <v>445.766772</v>
      </c>
      <c r="N209" s="255">
        <f t="shared" si="77"/>
        <v>0</v>
      </c>
      <c r="O209" s="255">
        <f t="shared" si="77"/>
        <v>0</v>
      </c>
      <c r="P209" s="255">
        <f t="shared" si="77"/>
        <v>0</v>
      </c>
      <c r="Q209" s="255">
        <f t="shared" si="77"/>
        <v>0</v>
      </c>
      <c r="R209" s="255">
        <f t="shared" si="77"/>
        <v>0</v>
      </c>
      <c r="S209" s="255">
        <f t="shared" si="77"/>
        <v>0</v>
      </c>
      <c r="T209" s="255">
        <f t="shared" si="77"/>
        <v>0</v>
      </c>
      <c r="U209" s="255">
        <f t="shared" si="77"/>
        <v>0</v>
      </c>
      <c r="V209" s="255">
        <f t="shared" si="77"/>
        <v>0</v>
      </c>
      <c r="W209" s="255">
        <f t="shared" si="77"/>
        <v>0</v>
      </c>
      <c r="X209" s="255">
        <f t="shared" si="77"/>
        <v>0</v>
      </c>
      <c r="Y209" s="255">
        <f t="shared" si="77"/>
        <v>0</v>
      </c>
      <c r="Z209" s="255">
        <f t="shared" si="77"/>
        <v>0</v>
      </c>
      <c r="AA209" s="255">
        <f t="shared" si="77"/>
        <v>0</v>
      </c>
      <c r="AB209" s="255">
        <f t="shared" si="77"/>
        <v>0</v>
      </c>
      <c r="AC209" s="255">
        <f t="shared" si="77"/>
        <v>636.818772</v>
      </c>
      <c r="AD209" s="255">
        <f t="shared" si="77"/>
        <v>0</v>
      </c>
      <c r="AE209" s="255" t="str">
        <f t="shared" si="77"/>
        <v>#REF!</v>
      </c>
      <c r="AF209" s="255" t="str">
        <f t="shared" si="77"/>
        <v>#REF!</v>
      </c>
      <c r="AG209" s="836" t="str">
        <f t="shared" si="74"/>
        <v>#REF!</v>
      </c>
    </row>
    <row r="210" hidden="1" outlineLevel="1">
      <c r="A210" s="213" t="s">
        <v>1318</v>
      </c>
      <c r="B210" s="243">
        <f t="shared" ref="B210:AF210" si="78">(B23+B28+B32)</f>
        <v>0</v>
      </c>
      <c r="C210" s="243">
        <f t="shared" si="78"/>
        <v>0</v>
      </c>
      <c r="D210" s="243">
        <f t="shared" si="78"/>
        <v>0</v>
      </c>
      <c r="E210" s="243">
        <f t="shared" si="78"/>
        <v>0</v>
      </c>
      <c r="F210" s="243">
        <f t="shared" si="78"/>
        <v>0</v>
      </c>
      <c r="G210" s="243">
        <f t="shared" si="78"/>
        <v>0</v>
      </c>
      <c r="H210" s="243">
        <f t="shared" si="78"/>
        <v>1</v>
      </c>
      <c r="I210" s="243">
        <f t="shared" si="78"/>
        <v>1</v>
      </c>
      <c r="J210" s="243">
        <f t="shared" si="78"/>
        <v>0</v>
      </c>
      <c r="K210" s="243">
        <f t="shared" si="78"/>
        <v>1</v>
      </c>
      <c r="L210" s="243">
        <f t="shared" si="78"/>
        <v>0</v>
      </c>
      <c r="M210" s="243">
        <f t="shared" si="78"/>
        <v>2</v>
      </c>
      <c r="N210" s="243">
        <f t="shared" si="78"/>
        <v>3</v>
      </c>
      <c r="O210" s="243">
        <f t="shared" si="78"/>
        <v>0</v>
      </c>
      <c r="P210" s="243">
        <f t="shared" si="78"/>
        <v>0</v>
      </c>
      <c r="Q210" s="243">
        <f t="shared" si="78"/>
        <v>0</v>
      </c>
      <c r="R210" s="243">
        <f t="shared" si="78"/>
        <v>0</v>
      </c>
      <c r="S210" s="243">
        <f t="shared" si="78"/>
        <v>0</v>
      </c>
      <c r="T210" s="243">
        <f t="shared" si="78"/>
        <v>0</v>
      </c>
      <c r="U210" s="243">
        <f t="shared" si="78"/>
        <v>0</v>
      </c>
      <c r="V210" s="243">
        <f t="shared" si="78"/>
        <v>0</v>
      </c>
      <c r="W210" s="243">
        <f t="shared" si="78"/>
        <v>0</v>
      </c>
      <c r="X210" s="243">
        <f t="shared" si="78"/>
        <v>0</v>
      </c>
      <c r="Y210" s="243">
        <f t="shared" si="78"/>
        <v>0</v>
      </c>
      <c r="Z210" s="243">
        <f t="shared" si="78"/>
        <v>0</v>
      </c>
      <c r="AA210" s="243">
        <f t="shared" si="78"/>
        <v>0</v>
      </c>
      <c r="AB210" s="243">
        <f t="shared" si="78"/>
        <v>0</v>
      </c>
      <c r="AC210" s="243">
        <f t="shared" si="78"/>
        <v>0</v>
      </c>
      <c r="AD210" s="243">
        <f t="shared" si="78"/>
        <v>0</v>
      </c>
      <c r="AE210" s="243">
        <f t="shared" si="78"/>
        <v>0</v>
      </c>
      <c r="AF210" s="243">
        <f t="shared" si="78"/>
        <v>0</v>
      </c>
      <c r="AG210" s="836">
        <f t="shared" si="74"/>
        <v>8</v>
      </c>
    </row>
    <row r="211" hidden="1" outlineLevel="1">
      <c r="A211" s="848" t="s">
        <v>1319</v>
      </c>
      <c r="B211" s="243" t="str">
        <f>(#REF!*'Data - P&amp;L'!$R$3)+(#REF!*'Data - P&amp;L'!$R$4)+(#REF!*'Data - P&amp;L'!$R$5)</f>
        <v>#REF!</v>
      </c>
      <c r="C211" s="243" t="str">
        <f>(#REF!*'Data - P&amp;L'!$R$3)+(#REF!*'Data - P&amp;L'!$R$4)+(#REF!*'Data - P&amp;L'!$R$5)</f>
        <v>#REF!</v>
      </c>
      <c r="D211" s="243" t="str">
        <f>(#REF!*'Data - P&amp;L'!$R$3)+(#REF!*'Data - P&amp;L'!$R$4)+(#REF!*'Data - P&amp;L'!$R$5)</f>
        <v>#REF!</v>
      </c>
      <c r="E211" s="243" t="str">
        <f>(#REF!*'Data - P&amp;L'!$R$3)+(#REF!*'Data - P&amp;L'!$R$4)+(#REF!*'Data - P&amp;L'!$R$5)</f>
        <v>#REF!</v>
      </c>
      <c r="F211" s="243" t="str">
        <f>(#REF!*'Data - P&amp;L'!$R$3)+(#REF!*'Data - P&amp;L'!$R$4)+(#REF!*'Data - P&amp;L'!$R$5)</f>
        <v>#REF!</v>
      </c>
      <c r="G211" s="243" t="str">
        <f>(#REF!*'Data - P&amp;L'!$R$3)+(#REF!*'Data - P&amp;L'!$R$4)+(#REF!*'Data - P&amp;L'!$R$5)</f>
        <v>#REF!</v>
      </c>
      <c r="H211" s="243" t="str">
        <f>(#REF!*'Data - P&amp;L'!$R$3)+(#REF!*'Data - P&amp;L'!$R$4)+(#REF!*'Data - P&amp;L'!$R$5)</f>
        <v>#REF!</v>
      </c>
      <c r="I211" s="243" t="str">
        <f>(#REF!*'Data - P&amp;L'!$R$3)+(#REF!*'Data - P&amp;L'!$R$4)+(#REF!*'Data - P&amp;L'!$R$5)</f>
        <v>#REF!</v>
      </c>
      <c r="J211" s="243" t="str">
        <f>(#REF!*'Data - P&amp;L'!$R$3)+(#REF!*'Data - P&amp;L'!$R$4)+(#REF!*'Data - P&amp;L'!$R$5)</f>
        <v>#REF!</v>
      </c>
      <c r="K211" s="243" t="str">
        <f>(#REF!*'Data - P&amp;L'!$R$3)+(#REF!*'Data - P&amp;L'!$R$4)+(#REF!*'Data - P&amp;L'!$R$5)</f>
        <v>#REF!</v>
      </c>
      <c r="L211" s="243" t="str">
        <f>(#REF!*'Data - P&amp;L'!$R$3)+(#REF!*'Data - P&amp;L'!$R$4)+(#REF!*'Data - P&amp;L'!$R$5)</f>
        <v>#REF!</v>
      </c>
      <c r="M211" s="243" t="str">
        <f>(#REF!*'Data - P&amp;L'!$R$3)+(#REF!*'Data - P&amp;L'!$R$4)+(#REF!*'Data - P&amp;L'!$R$5)</f>
        <v>#REF!</v>
      </c>
      <c r="N211" s="243" t="str">
        <f>(#REF!*'Data - P&amp;L'!$R$3)+(#REF!*'Data - P&amp;L'!$R$4)+(#REF!*'Data - P&amp;L'!$R$5)</f>
        <v>#REF!</v>
      </c>
      <c r="O211" s="243" t="str">
        <f>(#REF!*'Data - P&amp;L'!$R$3)+(#REF!*'Data - P&amp;L'!$R$4)+(#REF!*'Data - P&amp;L'!$R$5)</f>
        <v>#REF!</v>
      </c>
      <c r="P211" s="243" t="str">
        <f>(#REF!*'Data - P&amp;L'!$R$3)+(#REF!*'Data - P&amp;L'!$R$4)+(#REF!*'Data - P&amp;L'!$R$5)</f>
        <v>#REF!</v>
      </c>
      <c r="Q211" s="243" t="str">
        <f>(#REF!*'Data - P&amp;L'!$R$3)+(#REF!*'Data - P&amp;L'!$R$4)+(#REF!*'Data - P&amp;L'!$R$5)</f>
        <v>#REF!</v>
      </c>
      <c r="R211" s="243" t="str">
        <f>(#REF!*'Data - P&amp;L'!$R$3)+(#REF!*'Data - P&amp;L'!$R$4)+(#REF!*'Data - P&amp;L'!$R$5)</f>
        <v>#REF!</v>
      </c>
      <c r="S211" s="243" t="str">
        <f>(#REF!*'Data - P&amp;L'!$R$3)+(#REF!*'Data - P&amp;L'!$R$4)+(#REF!*'Data - P&amp;L'!$R$5)</f>
        <v>#REF!</v>
      </c>
      <c r="T211" s="243" t="str">
        <f>(#REF!*'Data - P&amp;L'!$R$3)+(#REF!*'Data - P&amp;L'!$R$4)+(#REF!*'Data - P&amp;L'!$R$5)</f>
        <v>#REF!</v>
      </c>
      <c r="U211" s="243" t="str">
        <f>(#REF!*'Data - P&amp;L'!$R$3)+(#REF!*'Data - P&amp;L'!$R$4)+(#REF!*'Data - P&amp;L'!$R$5)</f>
        <v>#REF!</v>
      </c>
      <c r="V211" s="243" t="str">
        <f>(#REF!*'Data - P&amp;L'!$R$3)+(#REF!*'Data - P&amp;L'!$R$4)+(#REF!*'Data - P&amp;L'!$R$5)</f>
        <v>#REF!</v>
      </c>
      <c r="W211" s="243" t="str">
        <f>(#REF!*'Data - P&amp;L'!$R$3)+(#REF!*'Data - P&amp;L'!$R$4)+(#REF!*'Data - P&amp;L'!$R$5)</f>
        <v>#REF!</v>
      </c>
      <c r="X211" s="243" t="str">
        <f>(#REF!*'Data - P&amp;L'!$R$3)+(#REF!*'Data - P&amp;L'!$R$4)+(#REF!*'Data - P&amp;L'!$R$5)</f>
        <v>#REF!</v>
      </c>
      <c r="Y211" s="243" t="str">
        <f>(#REF!*'Data - P&amp;L'!$R$3)+(#REF!*'Data - P&amp;L'!$R$4)+(#REF!*'Data - P&amp;L'!$R$5)</f>
        <v>#REF!</v>
      </c>
      <c r="Z211" s="243" t="str">
        <f>(#REF!*'Data - P&amp;L'!$R$3)+(#REF!*'Data - P&amp;L'!$R$4)+(#REF!*'Data - P&amp;L'!$R$5)</f>
        <v>#REF!</v>
      </c>
      <c r="AA211" s="243" t="str">
        <f>(#REF!*'Data - P&amp;L'!$R$3)+(#REF!*'Data - P&amp;L'!$R$4)+(#REF!*'Data - P&amp;L'!$R$5)</f>
        <v>#REF!</v>
      </c>
      <c r="AB211" s="243" t="str">
        <f>(#REF!*'Data - P&amp;L'!$R$3)+(#REF!*'Data - P&amp;L'!$R$4)+(#REF!*'Data - P&amp;L'!$R$5)</f>
        <v>#REF!</v>
      </c>
      <c r="AC211" s="243" t="str">
        <f>(#REF!*'Data - P&amp;L'!$R$3)+(#REF!*'Data - P&amp;L'!$R$4)+(#REF!*'Data - P&amp;L'!$R$5)</f>
        <v>#REF!</v>
      </c>
      <c r="AD211" s="243" t="str">
        <f>(#REF!*'Data - P&amp;L'!$R$3)+(#REF!*'Data - P&amp;L'!$R$4)+(#REF!*'Data - P&amp;L'!$R$5)</f>
        <v>#REF!</v>
      </c>
      <c r="AE211" s="243" t="str">
        <f>(#REF!*'Data - P&amp;L'!$R$3)+(#REF!*'Data - P&amp;L'!$R$4)+(#REF!*'Data - P&amp;L'!$R$5)</f>
        <v>#REF!</v>
      </c>
      <c r="AF211" s="243" t="str">
        <f>(#REF!*'Data - P&amp;L'!$R$3)+(#REF!*'Data - P&amp;L'!$R$4)+(#REF!*'Data - P&amp;L'!$R$5)</f>
        <v>#REF!</v>
      </c>
      <c r="AG211" s="836" t="str">
        <f t="shared" si="74"/>
        <v>#REF!</v>
      </c>
    </row>
    <row r="212" hidden="1" outlineLevel="1">
      <c r="A212" s="213" t="s">
        <v>385</v>
      </c>
      <c r="B212" s="849">
        <v>0.0</v>
      </c>
      <c r="C212" s="849">
        <v>0.0</v>
      </c>
      <c r="D212" s="849">
        <v>0.0</v>
      </c>
      <c r="E212" s="850">
        <v>0.0</v>
      </c>
      <c r="F212" s="849">
        <v>0.0</v>
      </c>
      <c r="G212" s="849"/>
      <c r="H212" s="849"/>
      <c r="I212" s="849"/>
      <c r="J212" s="849"/>
      <c r="K212" s="849"/>
      <c r="L212" s="849"/>
      <c r="M212" s="849"/>
      <c r="N212" s="849"/>
      <c r="O212" s="849"/>
      <c r="P212" s="849"/>
      <c r="Q212" s="849"/>
      <c r="R212" s="849"/>
      <c r="S212" s="849"/>
      <c r="T212" s="849"/>
      <c r="U212" s="849"/>
      <c r="V212" s="849"/>
      <c r="W212" s="849"/>
      <c r="X212" s="849"/>
      <c r="Y212" s="849"/>
      <c r="Z212" s="849"/>
      <c r="AA212" s="849"/>
      <c r="AB212" s="849"/>
      <c r="AC212" s="849"/>
      <c r="AD212" s="849"/>
      <c r="AE212" s="849"/>
      <c r="AF212" s="849"/>
      <c r="AG212" s="836">
        <f t="shared" si="74"/>
        <v>0</v>
      </c>
    </row>
    <row r="213" hidden="1" outlineLevel="1">
      <c r="A213" s="213" t="s">
        <v>469</v>
      </c>
      <c r="B213" s="849">
        <v>27.0</v>
      </c>
      <c r="C213" s="849">
        <v>126.32</v>
      </c>
      <c r="D213" s="850">
        <v>0.0</v>
      </c>
      <c r="E213" s="850">
        <v>0.0</v>
      </c>
      <c r="F213" s="849">
        <v>0.0</v>
      </c>
      <c r="G213" s="849"/>
      <c r="H213" s="849"/>
      <c r="I213" s="849"/>
      <c r="J213" s="849"/>
      <c r="K213" s="849"/>
      <c r="L213" s="849"/>
      <c r="M213" s="849"/>
      <c r="N213" s="849"/>
      <c r="O213" s="849"/>
      <c r="P213" s="849"/>
      <c r="Q213" s="849"/>
      <c r="R213" s="849"/>
      <c r="S213" s="849"/>
      <c r="T213" s="849"/>
      <c r="U213" s="849"/>
      <c r="V213" s="849"/>
      <c r="W213" s="849"/>
      <c r="X213" s="849"/>
      <c r="Y213" s="849"/>
      <c r="Z213" s="849"/>
      <c r="AA213" s="849"/>
      <c r="AB213" s="849"/>
      <c r="AC213" s="849"/>
      <c r="AD213" s="849"/>
      <c r="AE213" s="849"/>
      <c r="AF213" s="849"/>
      <c r="AG213" s="836">
        <f t="shared" si="74"/>
        <v>153.32</v>
      </c>
    </row>
    <row r="214">
      <c r="A214" s="848" t="s">
        <v>1320</v>
      </c>
      <c r="B214" s="243" t="str">
        <f>#REF!*'Data - P&amp;L'!$C$27</f>
        <v>#REF!</v>
      </c>
      <c r="C214" s="243" t="str">
        <f>#REF!*'Data - P&amp;L'!$C$27</f>
        <v>#REF!</v>
      </c>
      <c r="D214" s="243" t="str">
        <f>#REF!*'Data - P&amp;L'!$C$27</f>
        <v>#REF!</v>
      </c>
      <c r="E214" s="243" t="str">
        <f>#REF!*'Data - P&amp;L'!$C$27</f>
        <v>#REF!</v>
      </c>
      <c r="F214" s="243" t="str">
        <f>#REF!*'Data - P&amp;L'!$C$27</f>
        <v>#REF!</v>
      </c>
      <c r="G214" s="243" t="str">
        <f>#REF!*'Data - P&amp;L'!$C$27</f>
        <v>#REF!</v>
      </c>
      <c r="H214" s="243" t="str">
        <f>#REF!*'Data - P&amp;L'!$C$27</f>
        <v>#REF!</v>
      </c>
      <c r="I214" s="243" t="str">
        <f>#REF!*'Data - P&amp;L'!$C$27</f>
        <v>#REF!</v>
      </c>
      <c r="J214" s="243" t="str">
        <f>#REF!*'Data - P&amp;L'!$C$27</f>
        <v>#REF!</v>
      </c>
      <c r="K214" s="243" t="str">
        <f>#REF!*'Data - P&amp;L'!$C$27</f>
        <v>#REF!</v>
      </c>
      <c r="L214" s="243" t="str">
        <f>#REF!*'Data - P&amp;L'!$C$27</f>
        <v>#REF!</v>
      </c>
      <c r="M214" s="243" t="str">
        <f>#REF!*'Data - P&amp;L'!$C$27</f>
        <v>#REF!</v>
      </c>
      <c r="N214" s="243" t="str">
        <f>#REF!*'Data - P&amp;L'!$C$27</f>
        <v>#REF!</v>
      </c>
      <c r="O214" s="243" t="str">
        <f>#REF!*'Data - P&amp;L'!$C$27</f>
        <v>#REF!</v>
      </c>
      <c r="P214" s="243" t="str">
        <f>#REF!*'Data - P&amp;L'!$C$27</f>
        <v>#REF!</v>
      </c>
      <c r="Q214" s="243" t="str">
        <f>#REF!*'Data - P&amp;L'!$C$27</f>
        <v>#REF!</v>
      </c>
      <c r="R214" s="243" t="str">
        <f>#REF!*'Data - P&amp;L'!$C$27</f>
        <v>#REF!</v>
      </c>
      <c r="S214" s="243" t="str">
        <f>#REF!*'Data - P&amp;L'!$C$27</f>
        <v>#REF!</v>
      </c>
      <c r="T214" s="243" t="str">
        <f>#REF!*'Data - P&amp;L'!$C$27</f>
        <v>#REF!</v>
      </c>
      <c r="U214" s="243" t="str">
        <f>#REF!*'Data - P&amp;L'!$C$27</f>
        <v>#REF!</v>
      </c>
      <c r="V214" s="243" t="str">
        <f>#REF!*'Data - P&amp;L'!$C$27</f>
        <v>#REF!</v>
      </c>
      <c r="W214" s="243" t="str">
        <f>#REF!*'Data - P&amp;L'!$C$27</f>
        <v>#REF!</v>
      </c>
      <c r="X214" s="243" t="str">
        <f>#REF!*'Data - P&amp;L'!$C$27</f>
        <v>#REF!</v>
      </c>
      <c r="Y214" s="243" t="str">
        <f>#REF!*'Data - P&amp;L'!$C$27</f>
        <v>#REF!</v>
      </c>
      <c r="Z214" s="243" t="str">
        <f>#REF!*'Data - P&amp;L'!$C$27</f>
        <v>#REF!</v>
      </c>
      <c r="AA214" s="243" t="str">
        <f>#REF!*'Data - P&amp;L'!$C$27</f>
        <v>#REF!</v>
      </c>
      <c r="AB214" s="243" t="str">
        <f>#REF!*'Data - P&amp;L'!$C$27</f>
        <v>#REF!</v>
      </c>
      <c r="AC214" s="243" t="str">
        <f>#REF!*'Data - P&amp;L'!$C$27</f>
        <v>#REF!</v>
      </c>
      <c r="AD214" s="243" t="str">
        <f>#REF!*'Data - P&amp;L'!$C$27</f>
        <v>#REF!</v>
      </c>
      <c r="AE214" s="243" t="str">
        <f>#REF!*'Data - P&amp;L'!$C$27</f>
        <v>#REF!</v>
      </c>
      <c r="AF214" s="243" t="str">
        <f>#REF!*'Data - P&amp;L'!$C$27</f>
        <v>#REF!</v>
      </c>
      <c r="AG214" s="836" t="str">
        <f t="shared" si="74"/>
        <v>#REF!</v>
      </c>
    </row>
    <row r="215" collapsed="1">
      <c r="A215" s="374" t="s">
        <v>1321</v>
      </c>
      <c r="B215" s="243">
        <f t="shared" ref="B215:AF215" si="79">sum(B216:B221)</f>
        <v>14.46</v>
      </c>
      <c r="C215" s="243">
        <f t="shared" si="79"/>
        <v>2.41</v>
      </c>
      <c r="D215" s="243">
        <f t="shared" si="79"/>
        <v>4.82</v>
      </c>
      <c r="E215" s="243">
        <f t="shared" si="79"/>
        <v>2.41</v>
      </c>
      <c r="F215" s="243">
        <f t="shared" si="79"/>
        <v>2.41</v>
      </c>
      <c r="G215" s="243">
        <f t="shared" si="79"/>
        <v>-7.23</v>
      </c>
      <c r="H215" s="243">
        <f t="shared" si="79"/>
        <v>12.05</v>
      </c>
      <c r="I215" s="243">
        <f t="shared" si="79"/>
        <v>45.79</v>
      </c>
      <c r="J215" s="243">
        <f t="shared" si="79"/>
        <v>7.23</v>
      </c>
      <c r="K215" s="243">
        <f t="shared" si="79"/>
        <v>9.64</v>
      </c>
      <c r="L215" s="243">
        <f t="shared" si="79"/>
        <v>12.05</v>
      </c>
      <c r="M215" s="243">
        <f t="shared" si="79"/>
        <v>221.72</v>
      </c>
      <c r="N215" s="243">
        <f t="shared" si="79"/>
        <v>69.89</v>
      </c>
      <c r="O215" s="243">
        <f t="shared" si="79"/>
        <v>0</v>
      </c>
      <c r="P215" s="243">
        <f t="shared" si="79"/>
        <v>0</v>
      </c>
      <c r="Q215" s="243">
        <f t="shared" si="79"/>
        <v>0</v>
      </c>
      <c r="R215" s="243">
        <f t="shared" si="79"/>
        <v>7.23</v>
      </c>
      <c r="S215" s="243">
        <f t="shared" si="79"/>
        <v>4.82</v>
      </c>
      <c r="T215" s="243">
        <f t="shared" si="79"/>
        <v>-2.41</v>
      </c>
      <c r="U215" s="243">
        <f t="shared" si="79"/>
        <v>0</v>
      </c>
      <c r="V215" s="243">
        <f t="shared" si="79"/>
        <v>-2.41</v>
      </c>
      <c r="W215" s="243">
        <f t="shared" si="79"/>
        <v>0</v>
      </c>
      <c r="X215" s="243">
        <f t="shared" si="79"/>
        <v>0</v>
      </c>
      <c r="Y215" s="243">
        <f t="shared" si="79"/>
        <v>-2.41</v>
      </c>
      <c r="Z215" s="243">
        <f t="shared" si="79"/>
        <v>0</v>
      </c>
      <c r="AA215" s="243">
        <f t="shared" si="79"/>
        <v>0</v>
      </c>
      <c r="AB215" s="243">
        <f t="shared" si="79"/>
        <v>0</v>
      </c>
      <c r="AC215" s="243">
        <f t="shared" si="79"/>
        <v>0</v>
      </c>
      <c r="AD215" s="243">
        <f t="shared" si="79"/>
        <v>0</v>
      </c>
      <c r="AE215" s="243">
        <f t="shared" si="79"/>
        <v>0</v>
      </c>
      <c r="AF215" s="243">
        <f t="shared" si="79"/>
        <v>0</v>
      </c>
      <c r="AG215" s="836">
        <f t="shared" si="74"/>
        <v>402.47</v>
      </c>
    </row>
    <row r="216" hidden="1" outlineLevel="1">
      <c r="A216" s="374" t="s">
        <v>1322</v>
      </c>
      <c r="B216" s="243">
        <f>((B97)*'Data - P&amp;L'!$C$28)</f>
        <v>0.6</v>
      </c>
      <c r="C216" s="243">
        <f>((C97)*'Data - P&amp;L'!$C$28)</f>
        <v>0.1</v>
      </c>
      <c r="D216" s="243">
        <f>((D97)*'Data - P&amp;L'!$C$28)</f>
        <v>0.2</v>
      </c>
      <c r="E216" s="243">
        <f>((E97)*'Data - P&amp;L'!$C$28)</f>
        <v>0.1</v>
      </c>
      <c r="F216" s="243">
        <f>((F97)*'Data - P&amp;L'!$C$28)</f>
        <v>0.1</v>
      </c>
      <c r="G216" s="243">
        <f>((G97)*'Data - P&amp;L'!$C$28)</f>
        <v>-0.3</v>
      </c>
      <c r="H216" s="243">
        <f>((H97)*'Data - P&amp;L'!$C$28)</f>
        <v>0.5</v>
      </c>
      <c r="I216" s="243">
        <f>((I97)*'Data - P&amp;L'!$C$28)</f>
        <v>1.9</v>
      </c>
      <c r="J216" s="243">
        <f>((J97)*'Data - P&amp;L'!$C$28)</f>
        <v>0.3</v>
      </c>
      <c r="K216" s="243">
        <f>((K97)*'Data - P&amp;L'!$C$28)</f>
        <v>0.4</v>
      </c>
      <c r="L216" s="243">
        <f>((L97)*'Data - P&amp;L'!$C$28)</f>
        <v>0.5</v>
      </c>
      <c r="M216" s="243">
        <f>((M97)*'Data - P&amp;L'!$C$28)</f>
        <v>9.2</v>
      </c>
      <c r="N216" s="243">
        <f>((N97)*'Data - P&amp;L'!$C$28)</f>
        <v>2.9</v>
      </c>
      <c r="O216" s="243">
        <f>((O97)*'Data - P&amp;L'!$C$28)</f>
        <v>0</v>
      </c>
      <c r="P216" s="243">
        <f>((P97)*'Data - P&amp;L'!$C$28)</f>
        <v>0</v>
      </c>
      <c r="Q216" s="243">
        <f>((Q97)*'Data - P&amp;L'!$C$28)</f>
        <v>0</v>
      </c>
      <c r="R216" s="243">
        <f>((R97)*'Data - P&amp;L'!$C$28)</f>
        <v>0.3</v>
      </c>
      <c r="S216" s="243">
        <f>((S97)*'Data - P&amp;L'!$C$28)</f>
        <v>0.2</v>
      </c>
      <c r="T216" s="243">
        <f>((T97)*'Data - P&amp;L'!$C$28)</f>
        <v>-0.1</v>
      </c>
      <c r="U216" s="243">
        <f>((U97)*'Data - P&amp;L'!$C$28)</f>
        <v>0</v>
      </c>
      <c r="V216" s="243">
        <f>((V97)*'Data - P&amp;L'!$C$28)</f>
        <v>-0.1</v>
      </c>
      <c r="W216" s="243">
        <f>((W97)*'Data - P&amp;L'!$C$28)</f>
        <v>0</v>
      </c>
      <c r="X216" s="243">
        <f>((X97)*'Data - P&amp;L'!$C$28)</f>
        <v>0</v>
      </c>
      <c r="Y216" s="243">
        <f>((Y97)*'Data - P&amp;L'!$C$28)</f>
        <v>-0.1</v>
      </c>
      <c r="Z216" s="243">
        <f>((Z97)*'Data - P&amp;L'!$C$28)</f>
        <v>0</v>
      </c>
      <c r="AA216" s="243">
        <f>((AA97)*'Data - P&amp;L'!$C$28)</f>
        <v>0</v>
      </c>
      <c r="AB216" s="243">
        <f>((AB97)*'Data - P&amp;L'!$C$28)</f>
        <v>0</v>
      </c>
      <c r="AC216" s="243">
        <f>((AC97)*'Data - P&amp;L'!$C$28)</f>
        <v>0</v>
      </c>
      <c r="AD216" s="243">
        <f>((AD97)*'Data - P&amp;L'!$C$28)</f>
        <v>0</v>
      </c>
      <c r="AE216" s="243">
        <f>((AE97)*'Data - P&amp;L'!$C$28)</f>
        <v>0</v>
      </c>
      <c r="AF216" s="243">
        <f>((AF97)*'Data - P&amp;L'!$C$28)</f>
        <v>0</v>
      </c>
      <c r="AG216" s="836">
        <f t="shared" si="74"/>
        <v>16.7</v>
      </c>
    </row>
    <row r="217" hidden="1" outlineLevel="1">
      <c r="A217" s="374" t="s">
        <v>1323</v>
      </c>
      <c r="B217" s="204">
        <f>((B97)*'Data - P&amp;L'!$C$29)</f>
        <v>1.86</v>
      </c>
      <c r="C217" s="204">
        <f>((C97)*'Data - P&amp;L'!$C$29)</f>
        <v>0.31</v>
      </c>
      <c r="D217" s="204">
        <f>((D97)*'Data - P&amp;L'!$C$29)</f>
        <v>0.62</v>
      </c>
      <c r="E217" s="204">
        <f>((E97)*'Data - P&amp;L'!$C$29)</f>
        <v>0.31</v>
      </c>
      <c r="F217" s="204">
        <f>((F97)*'Data - P&amp;L'!$C$29)</f>
        <v>0.31</v>
      </c>
      <c r="G217" s="204">
        <f>((G97)*'Data - P&amp;L'!$C$29)</f>
        <v>-0.93</v>
      </c>
      <c r="H217" s="204">
        <f>((H97)*'Data - P&amp;L'!$C$29)</f>
        <v>1.55</v>
      </c>
      <c r="I217" s="204">
        <f>((I97)*'Data - P&amp;L'!$C$29)</f>
        <v>5.89</v>
      </c>
      <c r="J217" s="204">
        <f>((J97)*'Data - P&amp;L'!$C$29)</f>
        <v>0.93</v>
      </c>
      <c r="K217" s="204">
        <f>((K97)*'Data - P&amp;L'!$C$29)</f>
        <v>1.24</v>
      </c>
      <c r="L217" s="204">
        <f>((L97)*'Data - P&amp;L'!$C$29)</f>
        <v>1.55</v>
      </c>
      <c r="M217" s="204">
        <f>((M97)*'Data - P&amp;L'!$C$29)</f>
        <v>28.52</v>
      </c>
      <c r="N217" s="204">
        <f>((N97)*'Data - P&amp;L'!$C$29)</f>
        <v>8.99</v>
      </c>
      <c r="O217" s="204">
        <f>((O97)*'Data - P&amp;L'!$C$29)</f>
        <v>0</v>
      </c>
      <c r="P217" s="204">
        <f>((P97)*'Data - P&amp;L'!$C$29)</f>
        <v>0</v>
      </c>
      <c r="Q217" s="204">
        <f>((Q97)*'Data - P&amp;L'!$C$29)</f>
        <v>0</v>
      </c>
      <c r="R217" s="204">
        <f>((R97)*'Data - P&amp;L'!$C$29)</f>
        <v>0.93</v>
      </c>
      <c r="S217" s="204">
        <f>((S97)*'Data - P&amp;L'!$C$29)</f>
        <v>0.62</v>
      </c>
      <c r="T217" s="204">
        <f>((T97)*'Data - P&amp;L'!$C$29)</f>
        <v>-0.31</v>
      </c>
      <c r="U217" s="204">
        <f>((U97)*'Data - P&amp;L'!$C$29)</f>
        <v>0</v>
      </c>
      <c r="V217" s="204">
        <f>((V97)*'Data - P&amp;L'!$C$29)</f>
        <v>-0.31</v>
      </c>
      <c r="W217" s="204">
        <f>((W97)*'Data - P&amp;L'!$C$29)</f>
        <v>0</v>
      </c>
      <c r="X217" s="204">
        <f>((X97)*'Data - P&amp;L'!$C$29)</f>
        <v>0</v>
      </c>
      <c r="Y217" s="204">
        <f>((Y97)*'Data - P&amp;L'!$C$29)</f>
        <v>-0.31</v>
      </c>
      <c r="Z217" s="204">
        <f>((Z97)*'Data - P&amp;L'!$C$29)</f>
        <v>0</v>
      </c>
      <c r="AA217" s="204">
        <f>((AA97)*'Data - P&amp;L'!$C$29)</f>
        <v>0</v>
      </c>
      <c r="AB217" s="204">
        <f>((AB97)*'Data - P&amp;L'!$C$29)</f>
        <v>0</v>
      </c>
      <c r="AC217" s="204">
        <f>((AC97)*'Data - P&amp;L'!$C$29)</f>
        <v>0</v>
      </c>
      <c r="AD217" s="204">
        <f>((AD97)*'Data - P&amp;L'!$C$29)</f>
        <v>0</v>
      </c>
      <c r="AE217" s="204">
        <f>((AE97)*'Data - P&amp;L'!$C$29)</f>
        <v>0</v>
      </c>
      <c r="AF217" s="204">
        <f>((AF97)*'Data - P&amp;L'!$C$29)</f>
        <v>0</v>
      </c>
      <c r="AG217" s="836">
        <f t="shared" si="74"/>
        <v>51.77</v>
      </c>
    </row>
    <row r="218" hidden="1" outlineLevel="1">
      <c r="A218" s="374" t="s">
        <v>1324</v>
      </c>
      <c r="B218" s="204">
        <f>((B97)*'Data - P&amp;L'!$C$30)</f>
        <v>0</v>
      </c>
      <c r="C218" s="204">
        <f>((C97)*'Data - P&amp;L'!$C$30)</f>
        <v>0</v>
      </c>
      <c r="D218" s="204">
        <f>((D97)*'Data - P&amp;L'!$C$30)</f>
        <v>0</v>
      </c>
      <c r="E218" s="204">
        <f>((E97)*'Data - P&amp;L'!$C$30)</f>
        <v>0</v>
      </c>
      <c r="F218" s="204">
        <f>((F97)*'Data - P&amp;L'!$C$30)</f>
        <v>0</v>
      </c>
      <c r="G218" s="204">
        <f>((G97)*'Data - P&amp;L'!$C$30)</f>
        <v>0</v>
      </c>
      <c r="H218" s="204">
        <f>((H97)*'Data - P&amp;L'!$C$30)</f>
        <v>0</v>
      </c>
      <c r="I218" s="204">
        <f>((I97)*'Data - P&amp;L'!$C$30)</f>
        <v>0</v>
      </c>
      <c r="J218" s="204">
        <f>((J97)*'Data - P&amp;L'!$C$30)</f>
        <v>0</v>
      </c>
      <c r="K218" s="204">
        <f>((K97)*'Data - P&amp;L'!$C$30)</f>
        <v>0</v>
      </c>
      <c r="L218" s="204">
        <f>((L97)*'Data - P&amp;L'!$C$30)</f>
        <v>0</v>
      </c>
      <c r="M218" s="204">
        <f>((M97)*'Data - P&amp;L'!$C$30)</f>
        <v>0</v>
      </c>
      <c r="N218" s="204">
        <f>((N97)*'Data - P&amp;L'!$C$30)</f>
        <v>0</v>
      </c>
      <c r="O218" s="204">
        <f>((O97)*'Data - P&amp;L'!$C$30)</f>
        <v>0</v>
      </c>
      <c r="P218" s="204">
        <f>((P97)*'Data - P&amp;L'!$C$30)</f>
        <v>0</v>
      </c>
      <c r="Q218" s="204">
        <f>((Q97)*'Data - P&amp;L'!$C$30)</f>
        <v>0</v>
      </c>
      <c r="R218" s="204">
        <f>((R97)*'Data - P&amp;L'!$C$30)</f>
        <v>0</v>
      </c>
      <c r="S218" s="204">
        <f>((S97)*'Data - P&amp;L'!$C$30)</f>
        <v>0</v>
      </c>
      <c r="T218" s="204">
        <f>((T97)*'Data - P&amp;L'!$C$30)</f>
        <v>0</v>
      </c>
      <c r="U218" s="204">
        <f>((U97)*'Data - P&amp;L'!$C$30)</f>
        <v>0</v>
      </c>
      <c r="V218" s="204">
        <f>((V97)*'Data - P&amp;L'!$C$30)</f>
        <v>0</v>
      </c>
      <c r="W218" s="204">
        <f>((W97)*'Data - P&amp;L'!$C$30)</f>
        <v>0</v>
      </c>
      <c r="X218" s="204">
        <f>((X97)*'Data - P&amp;L'!$C$30)</f>
        <v>0</v>
      </c>
      <c r="Y218" s="204">
        <f>((Y97)*'Data - P&amp;L'!$C$30)</f>
        <v>0</v>
      </c>
      <c r="Z218" s="204">
        <f>((Z97)*'Data - P&amp;L'!$C$30)</f>
        <v>0</v>
      </c>
      <c r="AA218" s="204">
        <f>((AA97)*'Data - P&amp;L'!$C$30)</f>
        <v>0</v>
      </c>
      <c r="AB218" s="204">
        <f>((AB97)*'Data - P&amp;L'!$C$30)</f>
        <v>0</v>
      </c>
      <c r="AC218" s="204">
        <f>((AC97)*'Data - P&amp;L'!$C$30)</f>
        <v>0</v>
      </c>
      <c r="AD218" s="204">
        <f>((AD97)*'Data - P&amp;L'!$C$30)</f>
        <v>0</v>
      </c>
      <c r="AE218" s="204">
        <f>((AE97)*'Data - P&amp;L'!$C$30)</f>
        <v>0</v>
      </c>
      <c r="AF218" s="204">
        <f>((AF97)*'Data - P&amp;L'!$C$30)</f>
        <v>0</v>
      </c>
      <c r="AG218" s="836">
        <f t="shared" si="74"/>
        <v>0</v>
      </c>
    </row>
    <row r="219" hidden="1" outlineLevel="1">
      <c r="A219" s="374" t="s">
        <v>1325</v>
      </c>
      <c r="B219" s="204">
        <f>((B97)*'Data - P&amp;L'!$C$31)</f>
        <v>2.1</v>
      </c>
      <c r="C219" s="204">
        <f>((C97)*'Data - P&amp;L'!$C$31)</f>
        <v>0.35</v>
      </c>
      <c r="D219" s="204">
        <f>((D97)*'Data - P&amp;L'!$C$31)</f>
        <v>0.7</v>
      </c>
      <c r="E219" s="204">
        <f>((E97)*'Data - P&amp;L'!$C$31)</f>
        <v>0.35</v>
      </c>
      <c r="F219" s="204">
        <f>((F97)*'Data - P&amp;L'!$C$31)</f>
        <v>0.35</v>
      </c>
      <c r="G219" s="204">
        <f>((G97)*'Data - P&amp;L'!$C$31)</f>
        <v>-1.05</v>
      </c>
      <c r="H219" s="204">
        <f>((H97)*'Data - P&amp;L'!$C$31)</f>
        <v>1.75</v>
      </c>
      <c r="I219" s="204">
        <f>((I97)*'Data - P&amp;L'!$C$31)</f>
        <v>6.65</v>
      </c>
      <c r="J219" s="204">
        <f>((J97)*'Data - P&amp;L'!$C$31)</f>
        <v>1.05</v>
      </c>
      <c r="K219" s="204">
        <f>((K97)*'Data - P&amp;L'!$C$31)</f>
        <v>1.4</v>
      </c>
      <c r="L219" s="204">
        <f>((L97)*'Data - P&amp;L'!$C$31)</f>
        <v>1.75</v>
      </c>
      <c r="M219" s="204">
        <f>((M97)*'Data - P&amp;L'!$C$31)</f>
        <v>32.2</v>
      </c>
      <c r="N219" s="204">
        <f>((N97)*'Data - P&amp;L'!$C$31)</f>
        <v>10.15</v>
      </c>
      <c r="O219" s="204">
        <f>((O97)*'Data - P&amp;L'!$C$31)</f>
        <v>0</v>
      </c>
      <c r="P219" s="204">
        <f>((P97)*'Data - P&amp;L'!$C$31)</f>
        <v>0</v>
      </c>
      <c r="Q219" s="204">
        <f>((Q97)*'Data - P&amp;L'!$C$31)</f>
        <v>0</v>
      </c>
      <c r="R219" s="204">
        <f>((R97)*'Data - P&amp;L'!$C$31)</f>
        <v>1.05</v>
      </c>
      <c r="S219" s="204">
        <f>((S97)*'Data - P&amp;L'!$C$31)</f>
        <v>0.7</v>
      </c>
      <c r="T219" s="204">
        <f>((T97)*'Data - P&amp;L'!$C$31)</f>
        <v>-0.35</v>
      </c>
      <c r="U219" s="204">
        <f>((U97)*'Data - P&amp;L'!$C$31)</f>
        <v>0</v>
      </c>
      <c r="V219" s="204">
        <f>((V97)*'Data - P&amp;L'!$C$31)</f>
        <v>-0.35</v>
      </c>
      <c r="W219" s="204">
        <f>((W97)*'Data - P&amp;L'!$C$31)</f>
        <v>0</v>
      </c>
      <c r="X219" s="204">
        <f>((X97)*'Data - P&amp;L'!$C$31)</f>
        <v>0</v>
      </c>
      <c r="Y219" s="204">
        <f>((Y97)*'Data - P&amp;L'!$C$31)</f>
        <v>-0.35</v>
      </c>
      <c r="Z219" s="204">
        <f>((Z97)*'Data - P&amp;L'!$C$31)</f>
        <v>0</v>
      </c>
      <c r="AA219" s="204">
        <f>((AA97)*'Data - P&amp;L'!$C$31)</f>
        <v>0</v>
      </c>
      <c r="AB219" s="204">
        <f>((AB97)*'Data - P&amp;L'!$C$31)</f>
        <v>0</v>
      </c>
      <c r="AC219" s="204">
        <f>((AC97)*'Data - P&amp;L'!$C$31)</f>
        <v>0</v>
      </c>
      <c r="AD219" s="204">
        <f>((AD97)*'Data - P&amp;L'!$C$31)</f>
        <v>0</v>
      </c>
      <c r="AE219" s="204">
        <f>((AE97)*'Data - P&amp;L'!$C$31)</f>
        <v>0</v>
      </c>
      <c r="AF219" s="204">
        <f>((AF97)*'Data - P&amp;L'!$C$31)</f>
        <v>0</v>
      </c>
      <c r="AG219" s="836">
        <f t="shared" si="74"/>
        <v>58.45</v>
      </c>
    </row>
    <row r="220" hidden="1" outlineLevel="1">
      <c r="A220" s="374" t="s">
        <v>1326</v>
      </c>
      <c r="B220" s="204">
        <f>((B97)*'Data - P&amp;L'!$C$32)</f>
        <v>0</v>
      </c>
      <c r="C220" s="204">
        <f>((C97)*'Data - P&amp;L'!$C$32)</f>
        <v>0</v>
      </c>
      <c r="D220" s="204">
        <f>((D97)*'Data - P&amp;L'!$C$32)</f>
        <v>0</v>
      </c>
      <c r="E220" s="204">
        <f>((E97)*'Data - P&amp;L'!$C$32)</f>
        <v>0</v>
      </c>
      <c r="F220" s="204">
        <f>((F97)*'Data - P&amp;L'!$C$32)</f>
        <v>0</v>
      </c>
      <c r="G220" s="204">
        <f>((G97)*'Data - P&amp;L'!$C$32)</f>
        <v>0</v>
      </c>
      <c r="H220" s="204">
        <f>((H97)*'Data - P&amp;L'!$C$32)</f>
        <v>0</v>
      </c>
      <c r="I220" s="204">
        <f>((I97)*'Data - P&amp;L'!$C$32)</f>
        <v>0</v>
      </c>
      <c r="J220" s="204">
        <f>((J97)*'Data - P&amp;L'!$C$32)</f>
        <v>0</v>
      </c>
      <c r="K220" s="204">
        <f>((K97)*'Data - P&amp;L'!$C$32)</f>
        <v>0</v>
      </c>
      <c r="L220" s="204">
        <f>((L97)*'Data - P&amp;L'!$C$32)</f>
        <v>0</v>
      </c>
      <c r="M220" s="204">
        <f>((M97)*'Data - P&amp;L'!$C$32)</f>
        <v>0</v>
      </c>
      <c r="N220" s="204">
        <f>((N97)*'Data - P&amp;L'!$C$32)</f>
        <v>0</v>
      </c>
      <c r="O220" s="204">
        <f>((O97)*'Data - P&amp;L'!$C$32)</f>
        <v>0</v>
      </c>
      <c r="P220" s="204">
        <f>((P97)*'Data - P&amp;L'!$C$32)</f>
        <v>0</v>
      </c>
      <c r="Q220" s="204">
        <f>((Q97)*'Data - P&amp;L'!$C$32)</f>
        <v>0</v>
      </c>
      <c r="R220" s="204">
        <f>((R97)*'Data - P&amp;L'!$C$32)</f>
        <v>0</v>
      </c>
      <c r="S220" s="204">
        <f>((S97)*'Data - P&amp;L'!$C$32)</f>
        <v>0</v>
      </c>
      <c r="T220" s="204">
        <f>((T97)*'Data - P&amp;L'!$C$32)</f>
        <v>0</v>
      </c>
      <c r="U220" s="204">
        <f>((U97)*'Data - P&amp;L'!$C$32)</f>
        <v>0</v>
      </c>
      <c r="V220" s="204">
        <f>((V97)*'Data - P&amp;L'!$C$32)</f>
        <v>0</v>
      </c>
      <c r="W220" s="204">
        <f>((W97)*'Data - P&amp;L'!$C$32)</f>
        <v>0</v>
      </c>
      <c r="X220" s="204">
        <f>((X97)*'Data - P&amp;L'!$C$32)</f>
        <v>0</v>
      </c>
      <c r="Y220" s="204">
        <f>((Y97)*'Data - P&amp;L'!$C$32)</f>
        <v>0</v>
      </c>
      <c r="Z220" s="204">
        <f>((Z97)*'Data - P&amp;L'!$C$32)</f>
        <v>0</v>
      </c>
      <c r="AA220" s="204">
        <f>((AA97)*'Data - P&amp;L'!$C$32)</f>
        <v>0</v>
      </c>
      <c r="AB220" s="204">
        <f>((AB97)*'Data - P&amp;L'!$C$32)</f>
        <v>0</v>
      </c>
      <c r="AC220" s="204">
        <f>((AC97)*'Data - P&amp;L'!$C$32)</f>
        <v>0</v>
      </c>
      <c r="AD220" s="204">
        <f>((AD97)*'Data - P&amp;L'!$C$32)</f>
        <v>0</v>
      </c>
      <c r="AE220" s="204">
        <f>((AE97)*'Data - P&amp;L'!$C$32)</f>
        <v>0</v>
      </c>
      <c r="AF220" s="204">
        <f>((AF97)*'Data - P&amp;L'!$C$32)</f>
        <v>0</v>
      </c>
      <c r="AG220" s="836">
        <f t="shared" si="74"/>
        <v>0</v>
      </c>
    </row>
    <row r="221" hidden="1" outlineLevel="1">
      <c r="A221" s="374" t="s">
        <v>1327</v>
      </c>
      <c r="B221" s="204">
        <f>((B97)*'Data - P&amp;L'!$C$33)</f>
        <v>9.9</v>
      </c>
      <c r="C221" s="204">
        <f>((C97)*'Data - P&amp;L'!$C$33)</f>
        <v>1.65</v>
      </c>
      <c r="D221" s="204">
        <f>((D97)*'Data - P&amp;L'!$C$33)</f>
        <v>3.3</v>
      </c>
      <c r="E221" s="204">
        <f>((E97)*'Data - P&amp;L'!$C$33)</f>
        <v>1.65</v>
      </c>
      <c r="F221" s="204">
        <f>((F97)*'Data - P&amp;L'!$C$33)</f>
        <v>1.65</v>
      </c>
      <c r="G221" s="204">
        <f>((G97)*'Data - P&amp;L'!$C$33)</f>
        <v>-4.95</v>
      </c>
      <c r="H221" s="204">
        <f>((H97)*'Data - P&amp;L'!$C$33)</f>
        <v>8.25</v>
      </c>
      <c r="I221" s="204">
        <f>((I97)*'Data - P&amp;L'!$C$33)</f>
        <v>31.35</v>
      </c>
      <c r="J221" s="204">
        <f>((J97)*'Data - P&amp;L'!$C$33)</f>
        <v>4.95</v>
      </c>
      <c r="K221" s="204">
        <f>((K97)*'Data - P&amp;L'!$C$33)</f>
        <v>6.6</v>
      </c>
      <c r="L221" s="204">
        <f>((L97)*'Data - P&amp;L'!$C$33)</f>
        <v>8.25</v>
      </c>
      <c r="M221" s="204">
        <f>((M97)*'Data - P&amp;L'!$C$33)</f>
        <v>151.8</v>
      </c>
      <c r="N221" s="204">
        <f>((N97)*'Data - P&amp;L'!$C$33)</f>
        <v>47.85</v>
      </c>
      <c r="O221" s="204">
        <f>((O97)*'Data - P&amp;L'!$C$33)</f>
        <v>0</v>
      </c>
      <c r="P221" s="204">
        <f>((P97)*'Data - P&amp;L'!$C$33)</f>
        <v>0</v>
      </c>
      <c r="Q221" s="204">
        <f>((Q97)*'Data - P&amp;L'!$C$33)</f>
        <v>0</v>
      </c>
      <c r="R221" s="204">
        <f>((R97)*'Data - P&amp;L'!$C$33)</f>
        <v>4.95</v>
      </c>
      <c r="S221" s="204">
        <f>((S97)*'Data - P&amp;L'!$C$33)</f>
        <v>3.3</v>
      </c>
      <c r="T221" s="204">
        <f>((T97)*'Data - P&amp;L'!$C$33)</f>
        <v>-1.65</v>
      </c>
      <c r="U221" s="204">
        <f>((U97)*'Data - P&amp;L'!$C$33)</f>
        <v>0</v>
      </c>
      <c r="V221" s="204">
        <f>((V97)*'Data - P&amp;L'!$C$33)</f>
        <v>-1.65</v>
      </c>
      <c r="W221" s="204">
        <f>((W97)*'Data - P&amp;L'!$C$33)</f>
        <v>0</v>
      </c>
      <c r="X221" s="204">
        <f>((X97)*'Data - P&amp;L'!$C$33)</f>
        <v>0</v>
      </c>
      <c r="Y221" s="204">
        <f>((Y97)*'Data - P&amp;L'!$C$33)</f>
        <v>-1.65</v>
      </c>
      <c r="Z221" s="204">
        <f>((Z97)*'Data - P&amp;L'!$C$33)</f>
        <v>0</v>
      </c>
      <c r="AA221" s="204">
        <f>((AA97)*'Data - P&amp;L'!$C$33)</f>
        <v>0</v>
      </c>
      <c r="AB221" s="204">
        <f>((AB97)*'Data - P&amp;L'!$C$33)</f>
        <v>0</v>
      </c>
      <c r="AC221" s="204">
        <f>((AC97)*'Data - P&amp;L'!$C$33)</f>
        <v>0</v>
      </c>
      <c r="AD221" s="204">
        <f>((AD97)*'Data - P&amp;L'!$C$33)</f>
        <v>0</v>
      </c>
      <c r="AE221" s="204">
        <f>((AE97)*'Data - P&amp;L'!$C$33)</f>
        <v>0</v>
      </c>
      <c r="AF221" s="204">
        <f>((AF97)*'Data - P&amp;L'!$C$33)</f>
        <v>0</v>
      </c>
      <c r="AG221" s="836">
        <f t="shared" si="74"/>
        <v>275.55</v>
      </c>
    </row>
    <row r="222" collapsed="1">
      <c r="A222" s="374" t="s">
        <v>1328</v>
      </c>
      <c r="B222" s="204">
        <f t="shared" ref="B222:AF222" si="80">sum(B223:B228)</f>
        <v>0</v>
      </c>
      <c r="C222" s="204">
        <f t="shared" si="80"/>
        <v>0</v>
      </c>
      <c r="D222" s="204">
        <f t="shared" si="80"/>
        <v>0</v>
      </c>
      <c r="E222" s="204">
        <f t="shared" si="80"/>
        <v>0</v>
      </c>
      <c r="F222" s="204">
        <f t="shared" si="80"/>
        <v>0</v>
      </c>
      <c r="G222" s="204">
        <f t="shared" si="80"/>
        <v>-1.37</v>
      </c>
      <c r="H222" s="204">
        <f t="shared" si="80"/>
        <v>0</v>
      </c>
      <c r="I222" s="204">
        <f t="shared" si="80"/>
        <v>0</v>
      </c>
      <c r="J222" s="204">
        <f t="shared" si="80"/>
        <v>0</v>
      </c>
      <c r="K222" s="204">
        <f t="shared" si="80"/>
        <v>0</v>
      </c>
      <c r="L222" s="204">
        <f t="shared" si="80"/>
        <v>0</v>
      </c>
      <c r="M222" s="204">
        <f t="shared" si="80"/>
        <v>0</v>
      </c>
      <c r="N222" s="204">
        <f t="shared" si="80"/>
        <v>-1.37</v>
      </c>
      <c r="O222" s="204">
        <f t="shared" si="80"/>
        <v>0</v>
      </c>
      <c r="P222" s="204">
        <f t="shared" si="80"/>
        <v>0</v>
      </c>
      <c r="Q222" s="204">
        <f t="shared" si="80"/>
        <v>0</v>
      </c>
      <c r="R222" s="204">
        <f t="shared" si="80"/>
        <v>0</v>
      </c>
      <c r="S222" s="204">
        <f t="shared" si="80"/>
        <v>0</v>
      </c>
      <c r="T222" s="204">
        <f t="shared" si="80"/>
        <v>-4.11</v>
      </c>
      <c r="U222" s="204">
        <f t="shared" si="80"/>
        <v>0</v>
      </c>
      <c r="V222" s="204">
        <f t="shared" si="80"/>
        <v>-1.37</v>
      </c>
      <c r="W222" s="204">
        <f t="shared" si="80"/>
        <v>0</v>
      </c>
      <c r="X222" s="204">
        <f t="shared" si="80"/>
        <v>0</v>
      </c>
      <c r="Y222" s="204">
        <f t="shared" si="80"/>
        <v>-1.37</v>
      </c>
      <c r="Z222" s="204">
        <f t="shared" si="80"/>
        <v>0</v>
      </c>
      <c r="AA222" s="204">
        <f t="shared" si="80"/>
        <v>0</v>
      </c>
      <c r="AB222" s="204">
        <f t="shared" si="80"/>
        <v>0</v>
      </c>
      <c r="AC222" s="204">
        <f t="shared" si="80"/>
        <v>0</v>
      </c>
      <c r="AD222" s="204">
        <f t="shared" si="80"/>
        <v>0</v>
      </c>
      <c r="AE222" s="204">
        <f t="shared" si="80"/>
        <v>0</v>
      </c>
      <c r="AF222" s="204">
        <f t="shared" si="80"/>
        <v>0</v>
      </c>
      <c r="AG222" s="836">
        <f t="shared" si="74"/>
        <v>-9.59</v>
      </c>
    </row>
    <row r="223" hidden="1" outlineLevel="1">
      <c r="A223" s="374" t="s">
        <v>1329</v>
      </c>
      <c r="B223" s="204">
        <f>((B107)*'Data - P&amp;L'!$D$28)</f>
        <v>0</v>
      </c>
      <c r="C223" s="204">
        <f>((C107)*'Data - P&amp;L'!$D$28)</f>
        <v>0</v>
      </c>
      <c r="D223" s="204">
        <f>((D107)*'Data - P&amp;L'!$D$28)</f>
        <v>0</v>
      </c>
      <c r="E223" s="204">
        <f>((E107)*'Data - P&amp;L'!$D$28)</f>
        <v>0</v>
      </c>
      <c r="F223" s="204">
        <f>((F107)*'Data - P&amp;L'!$D$28)</f>
        <v>0</v>
      </c>
      <c r="G223" s="204">
        <f>((G107)*'Data - P&amp;L'!$D$28)</f>
        <v>0</v>
      </c>
      <c r="H223" s="204">
        <f>((H107)*'Data - P&amp;L'!$D$28)</f>
        <v>0</v>
      </c>
      <c r="I223" s="204">
        <f>((I107)*'Data - P&amp;L'!$D$28)</f>
        <v>0</v>
      </c>
      <c r="J223" s="204">
        <f>((J107)*'Data - P&amp;L'!$D$28)</f>
        <v>0</v>
      </c>
      <c r="K223" s="204">
        <f>((K107)*'Data - P&amp;L'!$D$28)</f>
        <v>0</v>
      </c>
      <c r="L223" s="204">
        <f>((L107)*'Data - P&amp;L'!$D$28)</f>
        <v>0</v>
      </c>
      <c r="M223" s="204">
        <f>((M107)*'Data - P&amp;L'!$D$28)</f>
        <v>0</v>
      </c>
      <c r="N223" s="204">
        <f>((N107)*'Data - P&amp;L'!$D$28)</f>
        <v>0</v>
      </c>
      <c r="O223" s="204">
        <f>((O107)*'Data - P&amp;L'!$D$28)</f>
        <v>0</v>
      </c>
      <c r="P223" s="204">
        <f>((P107)*'Data - P&amp;L'!$D$28)</f>
        <v>0</v>
      </c>
      <c r="Q223" s="204">
        <f>((Q107)*'Data - P&amp;L'!$D$28)</f>
        <v>0</v>
      </c>
      <c r="R223" s="204">
        <f>((R107)*'Data - P&amp;L'!$D$28)</f>
        <v>0</v>
      </c>
      <c r="S223" s="204">
        <f>((S107)*'Data - P&amp;L'!$D$28)</f>
        <v>0</v>
      </c>
      <c r="T223" s="204">
        <f>((T107)*'Data - P&amp;L'!$D$28)</f>
        <v>0</v>
      </c>
      <c r="U223" s="204">
        <f>((U107)*'Data - P&amp;L'!$D$28)</f>
        <v>0</v>
      </c>
      <c r="V223" s="204">
        <f>((V107)*'Data - P&amp;L'!$D$28)</f>
        <v>0</v>
      </c>
      <c r="W223" s="204">
        <f>((W107)*'Data - P&amp;L'!$D$28)</f>
        <v>0</v>
      </c>
      <c r="X223" s="204">
        <f>((X107)*'Data - P&amp;L'!$D$28)</f>
        <v>0</v>
      </c>
      <c r="Y223" s="204">
        <f>((Y107)*'Data - P&amp;L'!$D$28)</f>
        <v>0</v>
      </c>
      <c r="Z223" s="204">
        <f>((Z107)*'Data - P&amp;L'!$D$28)</f>
        <v>0</v>
      </c>
      <c r="AA223" s="204">
        <f>((AA107)*'Data - P&amp;L'!$D$28)</f>
        <v>0</v>
      </c>
      <c r="AB223" s="204">
        <f>((AB107)*'Data - P&amp;L'!$D$28)</f>
        <v>0</v>
      </c>
      <c r="AC223" s="204">
        <f>((AC107)*'Data - P&amp;L'!$D$28)</f>
        <v>0</v>
      </c>
      <c r="AD223" s="204">
        <f>((AD107)*'Data - P&amp;L'!$D$28)</f>
        <v>0</v>
      </c>
      <c r="AE223" s="204">
        <f>((AE107)*'Data - P&amp;L'!$D$28)</f>
        <v>0</v>
      </c>
      <c r="AF223" s="204">
        <f>((AF107)*'Data - P&amp;L'!$D$28)</f>
        <v>0</v>
      </c>
      <c r="AG223" s="836">
        <f t="shared" si="74"/>
        <v>0</v>
      </c>
    </row>
    <row r="224" hidden="1" outlineLevel="1">
      <c r="A224" s="374" t="s">
        <v>1330</v>
      </c>
      <c r="B224" s="204">
        <f>((B107)*'Data - P&amp;L'!$D$29)</f>
        <v>0</v>
      </c>
      <c r="C224" s="204">
        <f>((C107)*'Data - P&amp;L'!$D$29)</f>
        <v>0</v>
      </c>
      <c r="D224" s="204">
        <f>((D107)*'Data - P&amp;L'!$D$29)</f>
        <v>0</v>
      </c>
      <c r="E224" s="204">
        <f>((E107)*'Data - P&amp;L'!$D$29)</f>
        <v>0</v>
      </c>
      <c r="F224" s="204">
        <f>((F107)*'Data - P&amp;L'!$D$29)</f>
        <v>0</v>
      </c>
      <c r="G224" s="204">
        <f>((G107)*'Data - P&amp;L'!$D$29)</f>
        <v>-0.31</v>
      </c>
      <c r="H224" s="204">
        <f>((H107)*'Data - P&amp;L'!$D$29)</f>
        <v>0</v>
      </c>
      <c r="I224" s="204">
        <f>((I107)*'Data - P&amp;L'!$D$29)</f>
        <v>0</v>
      </c>
      <c r="J224" s="204">
        <f>((J107)*'Data - P&amp;L'!$D$29)</f>
        <v>0</v>
      </c>
      <c r="K224" s="204">
        <f>((K107)*'Data - P&amp;L'!$D$29)</f>
        <v>0</v>
      </c>
      <c r="L224" s="204">
        <f>((L107)*'Data - P&amp;L'!$D$29)</f>
        <v>0</v>
      </c>
      <c r="M224" s="204">
        <f>((M107)*'Data - P&amp;L'!$D$29)</f>
        <v>0</v>
      </c>
      <c r="N224" s="204">
        <f>((N107)*'Data - P&amp;L'!$D$29)</f>
        <v>-0.31</v>
      </c>
      <c r="O224" s="204">
        <f>((O107)*'Data - P&amp;L'!$D$29)</f>
        <v>0</v>
      </c>
      <c r="P224" s="204">
        <f>((P107)*'Data - P&amp;L'!$D$29)</f>
        <v>0</v>
      </c>
      <c r="Q224" s="204">
        <f>((Q107)*'Data - P&amp;L'!$D$29)</f>
        <v>0</v>
      </c>
      <c r="R224" s="204">
        <f>((R107)*'Data - P&amp;L'!$D$29)</f>
        <v>0</v>
      </c>
      <c r="S224" s="204">
        <f>((S107)*'Data - P&amp;L'!$D$29)</f>
        <v>0</v>
      </c>
      <c r="T224" s="204">
        <f>((T107)*'Data - P&amp;L'!$D$29)</f>
        <v>-0.93</v>
      </c>
      <c r="U224" s="204">
        <f>((U107)*'Data - P&amp;L'!$D$29)</f>
        <v>0</v>
      </c>
      <c r="V224" s="204">
        <f>((V107)*'Data - P&amp;L'!$D$29)</f>
        <v>-0.31</v>
      </c>
      <c r="W224" s="204">
        <f>((W107)*'Data - P&amp;L'!$D$29)</f>
        <v>0</v>
      </c>
      <c r="X224" s="204">
        <f>((X107)*'Data - P&amp;L'!$D$29)</f>
        <v>0</v>
      </c>
      <c r="Y224" s="204">
        <f>((Y107)*'Data - P&amp;L'!$D$29)</f>
        <v>-0.31</v>
      </c>
      <c r="Z224" s="204">
        <f>((Z107)*'Data - P&amp;L'!$D$29)</f>
        <v>0</v>
      </c>
      <c r="AA224" s="204">
        <f>((AA107)*'Data - P&amp;L'!$D$29)</f>
        <v>0</v>
      </c>
      <c r="AB224" s="204">
        <f>((AB107)*'Data - P&amp;L'!$D$29)</f>
        <v>0</v>
      </c>
      <c r="AC224" s="204">
        <f>((AC107)*'Data - P&amp;L'!$D$29)</f>
        <v>0</v>
      </c>
      <c r="AD224" s="204">
        <f>((AD107)*'Data - P&amp;L'!$D$29)</f>
        <v>0</v>
      </c>
      <c r="AE224" s="204">
        <f>((AE107)*'Data - P&amp;L'!$D$29)</f>
        <v>0</v>
      </c>
      <c r="AF224" s="204">
        <f>((AF107)*'Data - P&amp;L'!$D$29)</f>
        <v>0</v>
      </c>
      <c r="AG224" s="836">
        <f t="shared" si="74"/>
        <v>-2.17</v>
      </c>
    </row>
    <row r="225" hidden="1" outlineLevel="1">
      <c r="A225" s="374" t="s">
        <v>1331</v>
      </c>
      <c r="B225" s="204">
        <f>((B107)*'Data - P&amp;L'!$D$30)</f>
        <v>0</v>
      </c>
      <c r="C225" s="204">
        <f>((C107)*'Data - P&amp;L'!$D$30)</f>
        <v>0</v>
      </c>
      <c r="D225" s="204">
        <f>((D107)*'Data - P&amp;L'!$D$30)</f>
        <v>0</v>
      </c>
      <c r="E225" s="204">
        <f>((E107)*'Data - P&amp;L'!$D$30)</f>
        <v>0</v>
      </c>
      <c r="F225" s="204">
        <f>((F107)*'Data - P&amp;L'!$D$30)</f>
        <v>0</v>
      </c>
      <c r="G225" s="204">
        <f>((G107)*'Data - P&amp;L'!$D$30)</f>
        <v>0</v>
      </c>
      <c r="H225" s="204">
        <f>((H107)*'Data - P&amp;L'!$D$30)</f>
        <v>0</v>
      </c>
      <c r="I225" s="204">
        <f>((I107)*'Data - P&amp;L'!$D$30)</f>
        <v>0</v>
      </c>
      <c r="J225" s="204">
        <f>((J107)*'Data - P&amp;L'!$D$30)</f>
        <v>0</v>
      </c>
      <c r="K225" s="204">
        <f>((K107)*'Data - P&amp;L'!$D$30)</f>
        <v>0</v>
      </c>
      <c r="L225" s="204">
        <f>((L107)*'Data - P&amp;L'!$D$30)</f>
        <v>0</v>
      </c>
      <c r="M225" s="204">
        <f>((M107)*'Data - P&amp;L'!$D$30)</f>
        <v>0</v>
      </c>
      <c r="N225" s="204">
        <f>((N107)*'Data - P&amp;L'!$D$30)</f>
        <v>0</v>
      </c>
      <c r="O225" s="204">
        <f>((O107)*'Data - P&amp;L'!$D$30)</f>
        <v>0</v>
      </c>
      <c r="P225" s="204">
        <f>((P107)*'Data - P&amp;L'!$D$30)</f>
        <v>0</v>
      </c>
      <c r="Q225" s="204">
        <f>((Q107)*'Data - P&amp;L'!$D$30)</f>
        <v>0</v>
      </c>
      <c r="R225" s="204">
        <f>((R107)*'Data - P&amp;L'!$D$30)</f>
        <v>0</v>
      </c>
      <c r="S225" s="204">
        <f>((S107)*'Data - P&amp;L'!$D$30)</f>
        <v>0</v>
      </c>
      <c r="T225" s="204">
        <f>((T107)*'Data - P&amp;L'!$D$30)</f>
        <v>0</v>
      </c>
      <c r="U225" s="204">
        <f>((U107)*'Data - P&amp;L'!$D$30)</f>
        <v>0</v>
      </c>
      <c r="V225" s="204">
        <f>((V107)*'Data - P&amp;L'!$D$30)</f>
        <v>0</v>
      </c>
      <c r="W225" s="204">
        <f>((W107)*'Data - P&amp;L'!$D$30)</f>
        <v>0</v>
      </c>
      <c r="X225" s="204">
        <f>((X107)*'Data - P&amp;L'!$D$30)</f>
        <v>0</v>
      </c>
      <c r="Y225" s="204">
        <f>((Y107)*'Data - P&amp;L'!$D$30)</f>
        <v>0</v>
      </c>
      <c r="Z225" s="204">
        <f>((Z107)*'Data - P&amp;L'!$D$30)</f>
        <v>0</v>
      </c>
      <c r="AA225" s="204">
        <f>((AA107)*'Data - P&amp;L'!$D$30)</f>
        <v>0</v>
      </c>
      <c r="AB225" s="204">
        <f>((AB107)*'Data - P&amp;L'!$D$30)</f>
        <v>0</v>
      </c>
      <c r="AC225" s="204">
        <f>((AC107)*'Data - P&amp;L'!$D$30)</f>
        <v>0</v>
      </c>
      <c r="AD225" s="204">
        <f>((AD107)*'Data - P&amp;L'!$D$30)</f>
        <v>0</v>
      </c>
      <c r="AE225" s="204">
        <f>((AE107)*'Data - P&amp;L'!$D$30)</f>
        <v>0</v>
      </c>
      <c r="AF225" s="204">
        <f>((AF107)*'Data - P&amp;L'!$D$30)</f>
        <v>0</v>
      </c>
      <c r="AG225" s="836">
        <f t="shared" si="74"/>
        <v>0</v>
      </c>
    </row>
    <row r="226" hidden="1" outlineLevel="1">
      <c r="A226" s="374" t="s">
        <v>1332</v>
      </c>
      <c r="B226" s="204">
        <f>((B107)*'Data - P&amp;L'!$D$31)</f>
        <v>0</v>
      </c>
      <c r="C226" s="204">
        <f>((C107)*'Data - P&amp;L'!$D$31)</f>
        <v>0</v>
      </c>
      <c r="D226" s="204">
        <f>((D107)*'Data - P&amp;L'!$D$31)</f>
        <v>0</v>
      </c>
      <c r="E226" s="204">
        <f>((E107)*'Data - P&amp;L'!$D$31)</f>
        <v>0</v>
      </c>
      <c r="F226" s="204">
        <f>((F107)*'Data - P&amp;L'!$D$31)</f>
        <v>0</v>
      </c>
      <c r="G226" s="204">
        <f>((G107)*'Data - P&amp;L'!$D$31)</f>
        <v>-0.35</v>
      </c>
      <c r="H226" s="204">
        <f>((H107)*'Data - P&amp;L'!$D$31)</f>
        <v>0</v>
      </c>
      <c r="I226" s="204">
        <f>((I107)*'Data - P&amp;L'!$D$31)</f>
        <v>0</v>
      </c>
      <c r="J226" s="204">
        <f>((J107)*'Data - P&amp;L'!$D$31)</f>
        <v>0</v>
      </c>
      <c r="K226" s="204">
        <f>((K107)*'Data - P&amp;L'!$D$31)</f>
        <v>0</v>
      </c>
      <c r="L226" s="204">
        <f>((L107)*'Data - P&amp;L'!$D$31)</f>
        <v>0</v>
      </c>
      <c r="M226" s="204">
        <f>((M107)*'Data - P&amp;L'!$D$31)</f>
        <v>0</v>
      </c>
      <c r="N226" s="204">
        <f>((N107)*'Data - P&amp;L'!$D$31)</f>
        <v>-0.35</v>
      </c>
      <c r="O226" s="204">
        <f>((O107)*'Data - P&amp;L'!$D$31)</f>
        <v>0</v>
      </c>
      <c r="P226" s="204">
        <f>((P107)*'Data - P&amp;L'!$D$31)</f>
        <v>0</v>
      </c>
      <c r="Q226" s="204">
        <f>((Q107)*'Data - P&amp;L'!$D$31)</f>
        <v>0</v>
      </c>
      <c r="R226" s="204">
        <f>((R107)*'Data - P&amp;L'!$D$31)</f>
        <v>0</v>
      </c>
      <c r="S226" s="204">
        <f>((S107)*'Data - P&amp;L'!$D$31)</f>
        <v>0</v>
      </c>
      <c r="T226" s="204">
        <f>((T107)*'Data - P&amp;L'!$D$31)</f>
        <v>-1.05</v>
      </c>
      <c r="U226" s="204">
        <f>((U107)*'Data - P&amp;L'!$D$31)</f>
        <v>0</v>
      </c>
      <c r="V226" s="204">
        <f>((V107)*'Data - P&amp;L'!$D$31)</f>
        <v>-0.35</v>
      </c>
      <c r="W226" s="204">
        <f>((W107)*'Data - P&amp;L'!$D$31)</f>
        <v>0</v>
      </c>
      <c r="X226" s="204">
        <f>((X107)*'Data - P&amp;L'!$D$31)</f>
        <v>0</v>
      </c>
      <c r="Y226" s="204">
        <f>((Y107)*'Data - P&amp;L'!$D$31)</f>
        <v>-0.35</v>
      </c>
      <c r="Z226" s="204">
        <f>((Z107)*'Data - P&amp;L'!$D$31)</f>
        <v>0</v>
      </c>
      <c r="AA226" s="204">
        <f>((AA107)*'Data - P&amp;L'!$D$31)</f>
        <v>0</v>
      </c>
      <c r="AB226" s="204">
        <f>((AB107)*'Data - P&amp;L'!$D$31)</f>
        <v>0</v>
      </c>
      <c r="AC226" s="204">
        <f>((AC107)*'Data - P&amp;L'!$D$31)</f>
        <v>0</v>
      </c>
      <c r="AD226" s="204">
        <f>((AD107)*'Data - P&amp;L'!$D$31)</f>
        <v>0</v>
      </c>
      <c r="AE226" s="204">
        <f>((AE107)*'Data - P&amp;L'!$D$31)</f>
        <v>0</v>
      </c>
      <c r="AF226" s="204">
        <f>((AF107)*'Data - P&amp;L'!$D$31)</f>
        <v>0</v>
      </c>
      <c r="AG226" s="836">
        <f t="shared" si="74"/>
        <v>-2.45</v>
      </c>
    </row>
    <row r="227" hidden="1" outlineLevel="1">
      <c r="A227" s="374" t="s">
        <v>1333</v>
      </c>
      <c r="B227" s="204">
        <f>((B107)*'Data - P&amp;L'!$D$32)</f>
        <v>0</v>
      </c>
      <c r="C227" s="204">
        <f>((C107)*'Data - P&amp;L'!$D$32)</f>
        <v>0</v>
      </c>
      <c r="D227" s="204">
        <f>((D107)*'Data - P&amp;L'!$D$32)</f>
        <v>0</v>
      </c>
      <c r="E227" s="204">
        <f>((E107)*'Data - P&amp;L'!$D$32)</f>
        <v>0</v>
      </c>
      <c r="F227" s="204">
        <f>((F107)*'Data - P&amp;L'!$D$32)</f>
        <v>0</v>
      </c>
      <c r="G227" s="204">
        <f>((G107)*'Data - P&amp;L'!$D$32)</f>
        <v>0</v>
      </c>
      <c r="H227" s="204">
        <f>((H107)*'Data - P&amp;L'!$D$32)</f>
        <v>0</v>
      </c>
      <c r="I227" s="204">
        <f>((I107)*'Data - P&amp;L'!$D$32)</f>
        <v>0</v>
      </c>
      <c r="J227" s="204">
        <f>((J107)*'Data - P&amp;L'!$D$32)</f>
        <v>0</v>
      </c>
      <c r="K227" s="204">
        <f>((K107)*'Data - P&amp;L'!$D$32)</f>
        <v>0</v>
      </c>
      <c r="L227" s="204">
        <f>((L107)*'Data - P&amp;L'!$D$32)</f>
        <v>0</v>
      </c>
      <c r="M227" s="204">
        <f>((M107)*'Data - P&amp;L'!$D$32)</f>
        <v>0</v>
      </c>
      <c r="N227" s="204">
        <f>((N107)*'Data - P&amp;L'!$D$32)</f>
        <v>0</v>
      </c>
      <c r="O227" s="204">
        <f>((O107)*'Data - P&amp;L'!$D$32)</f>
        <v>0</v>
      </c>
      <c r="P227" s="204">
        <f>((P107)*'Data - P&amp;L'!$D$32)</f>
        <v>0</v>
      </c>
      <c r="Q227" s="204">
        <f>((Q107)*'Data - P&amp;L'!$D$32)</f>
        <v>0</v>
      </c>
      <c r="R227" s="204">
        <f>((R107)*'Data - P&amp;L'!$D$32)</f>
        <v>0</v>
      </c>
      <c r="S227" s="204">
        <f>((S107)*'Data - P&amp;L'!$D$32)</f>
        <v>0</v>
      </c>
      <c r="T227" s="204">
        <f>((T107)*'Data - P&amp;L'!$D$32)</f>
        <v>0</v>
      </c>
      <c r="U227" s="204">
        <f>((U107)*'Data - P&amp;L'!$D$32)</f>
        <v>0</v>
      </c>
      <c r="V227" s="204">
        <f>((V107)*'Data - P&amp;L'!$D$32)</f>
        <v>0</v>
      </c>
      <c r="W227" s="204">
        <f>((W107)*'Data - P&amp;L'!$D$32)</f>
        <v>0</v>
      </c>
      <c r="X227" s="204">
        <f>((X107)*'Data - P&amp;L'!$D$32)</f>
        <v>0</v>
      </c>
      <c r="Y227" s="204">
        <f>((Y107)*'Data - P&amp;L'!$D$32)</f>
        <v>0</v>
      </c>
      <c r="Z227" s="204">
        <f>((Z107)*'Data - P&amp;L'!$D$32)</f>
        <v>0</v>
      </c>
      <c r="AA227" s="204">
        <f>((AA107)*'Data - P&amp;L'!$D$32)</f>
        <v>0</v>
      </c>
      <c r="AB227" s="204">
        <f>((AB107)*'Data - P&amp;L'!$D$32)</f>
        <v>0</v>
      </c>
      <c r="AC227" s="204">
        <f>((AC107)*'Data - P&amp;L'!$D$32)</f>
        <v>0</v>
      </c>
      <c r="AD227" s="204">
        <f>((AD107)*'Data - P&amp;L'!$D$32)</f>
        <v>0</v>
      </c>
      <c r="AE227" s="204">
        <f>((AE107)*'Data - P&amp;L'!$D$32)</f>
        <v>0</v>
      </c>
      <c r="AF227" s="204">
        <f>((AF107)*'Data - P&amp;L'!$D$32)</f>
        <v>0</v>
      </c>
      <c r="AG227" s="836">
        <f t="shared" si="74"/>
        <v>0</v>
      </c>
    </row>
    <row r="228" hidden="1" outlineLevel="1">
      <c r="A228" s="851" t="s">
        <v>1334</v>
      </c>
      <c r="B228" s="295">
        <f>((B107)*'Data - P&amp;L'!$D$33)</f>
        <v>0</v>
      </c>
      <c r="C228" s="295">
        <f>((C107)*'Data - P&amp;L'!$D$33)</f>
        <v>0</v>
      </c>
      <c r="D228" s="295">
        <f>((D107)*'Data - P&amp;L'!$D$33)</f>
        <v>0</v>
      </c>
      <c r="E228" s="295">
        <f>((E107)*'Data - P&amp;L'!$D$33)</f>
        <v>0</v>
      </c>
      <c r="F228" s="295">
        <f>((F107)*'Data - P&amp;L'!$D$33)</f>
        <v>0</v>
      </c>
      <c r="G228" s="295">
        <f>((G107)*'Data - P&amp;L'!$D$33)</f>
        <v>-0.71</v>
      </c>
      <c r="H228" s="295">
        <f>((H107)*'Data - P&amp;L'!$D$33)</f>
        <v>0</v>
      </c>
      <c r="I228" s="295">
        <f>((I107)*'Data - P&amp;L'!$D$33)</f>
        <v>0</v>
      </c>
      <c r="J228" s="295">
        <f>((J107)*'Data - P&amp;L'!$D$33)</f>
        <v>0</v>
      </c>
      <c r="K228" s="295">
        <f>((K107)*'Data - P&amp;L'!$D$33)</f>
        <v>0</v>
      </c>
      <c r="L228" s="295">
        <f>((L107)*'Data - P&amp;L'!$D$33)</f>
        <v>0</v>
      </c>
      <c r="M228" s="295">
        <f>((M107)*'Data - P&amp;L'!$D$33)</f>
        <v>0</v>
      </c>
      <c r="N228" s="295">
        <f>((N107)*'Data - P&amp;L'!$D$33)</f>
        <v>-0.71</v>
      </c>
      <c r="O228" s="295">
        <f>((O107)*'Data - P&amp;L'!$D$33)</f>
        <v>0</v>
      </c>
      <c r="P228" s="295">
        <f>((P107)*'Data - P&amp;L'!$D$33)</f>
        <v>0</v>
      </c>
      <c r="Q228" s="295">
        <f>((Q107)*'Data - P&amp;L'!$D$33)</f>
        <v>0</v>
      </c>
      <c r="R228" s="295">
        <f>((R107)*'Data - P&amp;L'!$D$33)</f>
        <v>0</v>
      </c>
      <c r="S228" s="295">
        <f>((S107)*'Data - P&amp;L'!$D$33)</f>
        <v>0</v>
      </c>
      <c r="T228" s="295">
        <f>((T107)*'Data - P&amp;L'!$D$33)</f>
        <v>-2.13</v>
      </c>
      <c r="U228" s="295">
        <f>((U107)*'Data - P&amp;L'!$D$33)</f>
        <v>0</v>
      </c>
      <c r="V228" s="295">
        <f>((V107)*'Data - P&amp;L'!$D$33)</f>
        <v>-0.71</v>
      </c>
      <c r="W228" s="295">
        <f>((W107)*'Data - P&amp;L'!$D$33)</f>
        <v>0</v>
      </c>
      <c r="X228" s="295">
        <f>((X107)*'Data - P&amp;L'!$D$33)</f>
        <v>0</v>
      </c>
      <c r="Y228" s="295">
        <f>((Y107)*'Data - P&amp;L'!$D$33)</f>
        <v>-0.71</v>
      </c>
      <c r="Z228" s="295">
        <f>((Z107)*'Data - P&amp;L'!$D$33)</f>
        <v>0</v>
      </c>
      <c r="AA228" s="295">
        <f>((AA107)*'Data - P&amp;L'!$D$33)</f>
        <v>0</v>
      </c>
      <c r="AB228" s="295">
        <f>((AB107)*'Data - P&amp;L'!$D$33)</f>
        <v>0</v>
      </c>
      <c r="AC228" s="295">
        <f>((AC107)*'Data - P&amp;L'!$D$33)</f>
        <v>0</v>
      </c>
      <c r="AD228" s="295">
        <f>((AD107)*'Data - P&amp;L'!$D$33)</f>
        <v>0</v>
      </c>
      <c r="AE228" s="295">
        <f>((AE107)*'Data - P&amp;L'!$D$33)</f>
        <v>0</v>
      </c>
      <c r="AF228" s="295">
        <f>((AF107)*'Data - P&amp;L'!$D$33)</f>
        <v>0</v>
      </c>
      <c r="AG228" s="836">
        <f t="shared" si="74"/>
        <v>-4.97</v>
      </c>
    </row>
    <row r="229" collapsed="1">
      <c r="A229" s="213" t="s">
        <v>1335</v>
      </c>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2"/>
      <c r="AF229" s="852"/>
      <c r="AG229" s="836"/>
    </row>
    <row r="230" hidden="1" outlineLevel="1">
      <c r="A230" s="352" t="s">
        <v>1293</v>
      </c>
      <c r="B230" s="204">
        <f>B142*'Data - P&amp;L'!$C$3</f>
        <v>0</v>
      </c>
      <c r="C230" s="204">
        <f>C94*'Data - P&amp;L'!$C$3</f>
        <v>0</v>
      </c>
      <c r="D230" s="204">
        <f>D94*'Data - P&amp;L'!$C$3</f>
        <v>0</v>
      </c>
      <c r="E230" s="204">
        <f>E94*'Data - P&amp;L'!$C$3</f>
        <v>0</v>
      </c>
      <c r="F230" s="204">
        <f>F94*'Data - P&amp;L'!$C$3</f>
        <v>0</v>
      </c>
      <c r="G230" s="204">
        <f>G94*'Data - P&amp;L'!$C$3</f>
        <v>-86.9</v>
      </c>
      <c r="H230" s="204">
        <f>H94*'Data - P&amp;L'!$C$3</f>
        <v>86.9</v>
      </c>
      <c r="I230" s="204">
        <f>I94*'Data - P&amp;L'!$C$3</f>
        <v>86.9</v>
      </c>
      <c r="J230" s="204">
        <f>J94*'Data - P&amp;L'!$C$3</f>
        <v>86.9</v>
      </c>
      <c r="K230" s="204">
        <f>K94*'Data - P&amp;L'!$C$3</f>
        <v>0</v>
      </c>
      <c r="L230" s="204">
        <f>L94*'Data - P&amp;L'!$C$3</f>
        <v>86.9</v>
      </c>
      <c r="M230" s="204">
        <f>M94*'Data - P&amp;L'!$C$3</f>
        <v>173.8</v>
      </c>
      <c r="N230" s="204">
        <f>N94*'Data - P&amp;L'!$C$3</f>
        <v>173.8</v>
      </c>
      <c r="O230" s="204">
        <f>O94*'Data - P&amp;L'!$C$3</f>
        <v>0</v>
      </c>
      <c r="P230" s="204">
        <f>P94*'Data - P&amp;L'!$C$3</f>
        <v>0</v>
      </c>
      <c r="Q230" s="204">
        <f>Q94*'Data - P&amp;L'!$C$3</f>
        <v>0</v>
      </c>
      <c r="R230" s="204">
        <f>R94*'Data - P&amp;L'!$C$3</f>
        <v>0</v>
      </c>
      <c r="S230" s="204">
        <f>S94*'Data - P&amp;L'!$C$3</f>
        <v>0</v>
      </c>
      <c r="T230" s="204">
        <f>T94*'Data - P&amp;L'!$C$3</f>
        <v>0</v>
      </c>
      <c r="U230" s="204">
        <f>U94*'Data - P&amp;L'!$C$3</f>
        <v>0</v>
      </c>
      <c r="V230" s="204">
        <f>V94*'Data - P&amp;L'!$C$3</f>
        <v>0</v>
      </c>
      <c r="W230" s="204">
        <f>W94*'Data - P&amp;L'!$C$3</f>
        <v>0</v>
      </c>
      <c r="X230" s="204">
        <f>X94*'Data - P&amp;L'!$C$3</f>
        <v>0</v>
      </c>
      <c r="Y230" s="204">
        <f>Y94*'Data - P&amp;L'!$C$3</f>
        <v>0</v>
      </c>
      <c r="Z230" s="204">
        <f>Z94*'Data - P&amp;L'!$C$3</f>
        <v>0</v>
      </c>
      <c r="AA230" s="204">
        <f>AA94*'Data - P&amp;L'!$C$3</f>
        <v>0</v>
      </c>
      <c r="AB230" s="204">
        <f>AB94*'Data - P&amp;L'!$C$3</f>
        <v>0</v>
      </c>
      <c r="AC230" s="204">
        <f>AC94*'Data - P&amp;L'!$C$3</f>
        <v>0</v>
      </c>
      <c r="AD230" s="204">
        <f>AD94*'Data - P&amp;L'!$C$3</f>
        <v>0</v>
      </c>
      <c r="AE230" s="204">
        <f>AE94*'Data - P&amp;L'!$C$3</f>
        <v>0</v>
      </c>
      <c r="AF230" s="204">
        <f>AF94*'Data - P&amp;L'!$C$3</f>
        <v>0</v>
      </c>
      <c r="AG230" s="836">
        <f t="shared" ref="AG230:AG264" si="81">SUM(B230:AF230)</f>
        <v>608.3</v>
      </c>
    </row>
    <row r="231" hidden="1" outlineLevel="1">
      <c r="A231" s="846" t="s">
        <v>1294</v>
      </c>
      <c r="B231" s="204">
        <f>B230*'Data - P&amp;L'!$L$5</f>
        <v>0</v>
      </c>
      <c r="C231" s="204">
        <f>C230*'Data - P&amp;L'!$L$5</f>
        <v>0</v>
      </c>
      <c r="D231" s="204">
        <f>D230*'Data - P&amp;L'!$L$5</f>
        <v>0</v>
      </c>
      <c r="E231" s="204">
        <f>E230*'Data - P&amp;L'!$L$5</f>
        <v>0</v>
      </c>
      <c r="F231" s="204">
        <f>F230*'Data - P&amp;L'!$L$5</f>
        <v>0</v>
      </c>
      <c r="G231" s="204">
        <f>G230*'Data - P&amp;L'!$L$5</f>
        <v>-6.5175</v>
      </c>
      <c r="H231" s="204">
        <f>H230*'Data - P&amp;L'!$L$5</f>
        <v>6.5175</v>
      </c>
      <c r="I231" s="204">
        <f>I230*'Data - P&amp;L'!$L$5</f>
        <v>6.5175</v>
      </c>
      <c r="J231" s="204">
        <f>J230*'Data - P&amp;L'!$L$5</f>
        <v>6.5175</v>
      </c>
      <c r="K231" s="204">
        <f>K230*'Data - P&amp;L'!$L$5</f>
        <v>0</v>
      </c>
      <c r="L231" s="204">
        <f>L230*'Data - P&amp;L'!$L$5</f>
        <v>6.5175</v>
      </c>
      <c r="M231" s="204">
        <f>M230*'Data - P&amp;L'!$L$5</f>
        <v>13.035</v>
      </c>
      <c r="N231" s="204">
        <f>N230*'Data - P&amp;L'!$L$5</f>
        <v>13.035</v>
      </c>
      <c r="O231" s="204">
        <f>O230*'Data - P&amp;L'!$L$5</f>
        <v>0</v>
      </c>
      <c r="P231" s="204">
        <f>P230*'Data - P&amp;L'!$L$5</f>
        <v>0</v>
      </c>
      <c r="Q231" s="204">
        <f>Q230*'Data - P&amp;L'!$L$5</f>
        <v>0</v>
      </c>
      <c r="R231" s="204">
        <f>R230*'Data - P&amp;L'!$L$5</f>
        <v>0</v>
      </c>
      <c r="S231" s="204">
        <f>S230*'Data - P&amp;L'!$L$5</f>
        <v>0</v>
      </c>
      <c r="T231" s="204">
        <f>T230*'Data - P&amp;L'!$L$5</f>
        <v>0</v>
      </c>
      <c r="U231" s="204">
        <f>U230*'Data - P&amp;L'!$L$5</f>
        <v>0</v>
      </c>
      <c r="V231" s="204">
        <f>V230*'Data - P&amp;L'!$L$5</f>
        <v>0</v>
      </c>
      <c r="W231" s="204">
        <f>W230*'Data - P&amp;L'!$L$5</f>
        <v>0</v>
      </c>
      <c r="X231" s="204">
        <f>X230*'Data - P&amp;L'!$L$5</f>
        <v>0</v>
      </c>
      <c r="Y231" s="204">
        <f>Y230*'Data - P&amp;L'!$L$5</f>
        <v>0</v>
      </c>
      <c r="Z231" s="204">
        <f>Z230*'Data - P&amp;L'!$L$5</f>
        <v>0</v>
      </c>
      <c r="AA231" s="204">
        <f>AA230*'Data - P&amp;L'!$L$5</f>
        <v>0</v>
      </c>
      <c r="AB231" s="204">
        <f>AB230*'Data - P&amp;L'!$L$5</f>
        <v>0</v>
      </c>
      <c r="AC231" s="204">
        <f>AC230*'Data - P&amp;L'!$L$5</f>
        <v>0</v>
      </c>
      <c r="AD231" s="204">
        <f>AD230*'Data - P&amp;L'!$L$5</f>
        <v>0</v>
      </c>
      <c r="AE231" s="204">
        <f>AE230*'Data - P&amp;L'!$L$5</f>
        <v>0</v>
      </c>
      <c r="AF231" s="204">
        <f>AF230*'Data - P&amp;L'!$L$5</f>
        <v>0</v>
      </c>
      <c r="AG231" s="836">
        <f t="shared" si="81"/>
        <v>45.6225</v>
      </c>
    </row>
    <row r="232" hidden="1" outlineLevel="1">
      <c r="A232" s="352" t="s">
        <v>1295</v>
      </c>
      <c r="B232" s="204">
        <f>B143*'Data - P&amp;L'!$C$4</f>
        <v>0</v>
      </c>
      <c r="C232" s="204">
        <f>C95*'Data - P&amp;L'!$C$4</f>
        <v>0</v>
      </c>
      <c r="D232" s="204">
        <f>D95*'Data - P&amp;L'!$C$4</f>
        <v>195.22</v>
      </c>
      <c r="E232" s="204">
        <f>E95*'Data - P&amp;L'!$C$4</f>
        <v>97.61</v>
      </c>
      <c r="F232" s="204">
        <f>F95*'Data - P&amp;L'!$C$4</f>
        <v>97.61</v>
      </c>
      <c r="G232" s="204">
        <f>G95*'Data - P&amp;L'!$C$4</f>
        <v>-97.61</v>
      </c>
      <c r="H232" s="204">
        <f>H95*'Data - P&amp;L'!$C$4</f>
        <v>292.83</v>
      </c>
      <c r="I232" s="204">
        <f>I95*'Data - P&amp;L'!$C$4</f>
        <v>976.1</v>
      </c>
      <c r="J232" s="204">
        <f>J95*'Data - P&amp;L'!$C$4</f>
        <v>195.22</v>
      </c>
      <c r="K232" s="204">
        <f>K95*'Data - P&amp;L'!$C$4</f>
        <v>195.22</v>
      </c>
      <c r="L232" s="204">
        <f>L95*'Data - P&amp;L'!$C$4</f>
        <v>390.44</v>
      </c>
      <c r="M232" s="204">
        <f>M95*'Data - P&amp;L'!$C$4</f>
        <v>6442.26</v>
      </c>
      <c r="N232" s="204">
        <f>N95*'Data - P&amp;L'!$C$4</f>
        <v>1464.15</v>
      </c>
      <c r="O232" s="204">
        <f>O95*'Data - P&amp;L'!$C$4</f>
        <v>0</v>
      </c>
      <c r="P232" s="204">
        <f>P95*'Data - P&amp;L'!$C$4</f>
        <v>0</v>
      </c>
      <c r="Q232" s="204">
        <f>Q95*'Data - P&amp;L'!$C$4</f>
        <v>0</v>
      </c>
      <c r="R232" s="204">
        <f>R95*'Data - P&amp;L'!$C$4</f>
        <v>195.22</v>
      </c>
      <c r="S232" s="204">
        <f>S95*'Data - P&amp;L'!$C$4</f>
        <v>195.22</v>
      </c>
      <c r="T232" s="204">
        <f>T95*'Data - P&amp;L'!$C$4</f>
        <v>0</v>
      </c>
      <c r="U232" s="204">
        <f>U95*'Data - P&amp;L'!$C$4</f>
        <v>0</v>
      </c>
      <c r="V232" s="204">
        <f>V95*'Data - P&amp;L'!$C$4</f>
        <v>-97.61</v>
      </c>
      <c r="W232" s="204">
        <f>W95*'Data - P&amp;L'!$C$4</f>
        <v>0</v>
      </c>
      <c r="X232" s="204">
        <f>X95*'Data - P&amp;L'!$C$4</f>
        <v>0</v>
      </c>
      <c r="Y232" s="204">
        <f>Y95*'Data - P&amp;L'!$C$4</f>
        <v>-97.61</v>
      </c>
      <c r="Z232" s="204">
        <f>Z95*'Data - P&amp;L'!$C$4</f>
        <v>0</v>
      </c>
      <c r="AA232" s="204">
        <f>AA95*'Data - P&amp;L'!$C$4</f>
        <v>0</v>
      </c>
      <c r="AB232" s="204">
        <f>AB95*'Data - P&amp;L'!$C$4</f>
        <v>0</v>
      </c>
      <c r="AC232" s="204">
        <f>AC95*'Data - P&amp;L'!$C$4</f>
        <v>0</v>
      </c>
      <c r="AD232" s="204">
        <f>AD95*'Data - P&amp;L'!$C$4</f>
        <v>0</v>
      </c>
      <c r="AE232" s="204">
        <f>AE95*'Data - P&amp;L'!$C$4</f>
        <v>0</v>
      </c>
      <c r="AF232" s="204">
        <f>AF95*'Data - P&amp;L'!$C$4</f>
        <v>0</v>
      </c>
      <c r="AG232" s="836">
        <f t="shared" si="81"/>
        <v>10444.27</v>
      </c>
    </row>
    <row r="233" hidden="1" outlineLevel="1">
      <c r="A233" s="846" t="s">
        <v>1296</v>
      </c>
      <c r="B233" s="204">
        <f>B232*'Data - P&amp;L'!$L$5</f>
        <v>0</v>
      </c>
      <c r="C233" s="204">
        <f>C232*'Data - P&amp;L'!$L$5</f>
        <v>0</v>
      </c>
      <c r="D233" s="204">
        <f>D232*'Data - P&amp;L'!$L$5</f>
        <v>14.6415</v>
      </c>
      <c r="E233" s="204">
        <f>E232*'Data - P&amp;L'!$L$5</f>
        <v>7.32075</v>
      </c>
      <c r="F233" s="204">
        <f>F232*'Data - P&amp;L'!$L$5</f>
        <v>7.32075</v>
      </c>
      <c r="G233" s="204">
        <f>G232*'Data - P&amp;L'!$L$5</f>
        <v>-7.32075</v>
      </c>
      <c r="H233" s="204">
        <f>H232*'Data - P&amp;L'!$L$5</f>
        <v>21.96225</v>
      </c>
      <c r="I233" s="204">
        <f>I232*'Data - P&amp;L'!$L$5</f>
        <v>73.2075</v>
      </c>
      <c r="J233" s="204">
        <f>J232*'Data - P&amp;L'!$L$5</f>
        <v>14.6415</v>
      </c>
      <c r="K233" s="204">
        <f>K232*'Data - P&amp;L'!$L$5</f>
        <v>14.6415</v>
      </c>
      <c r="L233" s="204">
        <f>L232*'Data - P&amp;L'!$L$5</f>
        <v>29.283</v>
      </c>
      <c r="M233" s="204">
        <f>M232*'Data - P&amp;L'!$L$5</f>
        <v>483.1695</v>
      </c>
      <c r="N233" s="204">
        <f>N232*'Data - P&amp;L'!$L$5</f>
        <v>109.81125</v>
      </c>
      <c r="O233" s="204">
        <f>O232*'Data - P&amp;L'!$L$5</f>
        <v>0</v>
      </c>
      <c r="P233" s="204">
        <f>P232*'Data - P&amp;L'!$L$5</f>
        <v>0</v>
      </c>
      <c r="Q233" s="204">
        <f>Q232*'Data - P&amp;L'!$L$5</f>
        <v>0</v>
      </c>
      <c r="R233" s="204">
        <f>R232*'Data - P&amp;L'!$L$5</f>
        <v>14.6415</v>
      </c>
      <c r="S233" s="204">
        <f>S232*'Data - P&amp;L'!$L$5</f>
        <v>14.6415</v>
      </c>
      <c r="T233" s="204">
        <f>T232*'Data - P&amp;L'!$L$5</f>
        <v>0</v>
      </c>
      <c r="U233" s="204">
        <f>U232*'Data - P&amp;L'!$L$5</f>
        <v>0</v>
      </c>
      <c r="V233" s="204">
        <f>V232*'Data - P&amp;L'!$L$5</f>
        <v>-7.32075</v>
      </c>
      <c r="W233" s="204">
        <f>W232*'Data - P&amp;L'!$L$5</f>
        <v>0</v>
      </c>
      <c r="X233" s="204">
        <f>X232*'Data - P&amp;L'!$L$5</f>
        <v>0</v>
      </c>
      <c r="Y233" s="204">
        <f>Y232*'Data - P&amp;L'!$L$5</f>
        <v>-7.32075</v>
      </c>
      <c r="Z233" s="204">
        <f>Z232*'Data - P&amp;L'!$L$5</f>
        <v>0</v>
      </c>
      <c r="AA233" s="204">
        <f>AA232*'Data - P&amp;L'!$L$5</f>
        <v>0</v>
      </c>
      <c r="AB233" s="204">
        <f>AB232*'Data - P&amp;L'!$L$5</f>
        <v>0</v>
      </c>
      <c r="AC233" s="204">
        <f>AC232*'Data - P&amp;L'!$L$5</f>
        <v>0</v>
      </c>
      <c r="AD233" s="204">
        <f>AD232*'Data - P&amp;L'!$L$5</f>
        <v>0</v>
      </c>
      <c r="AE233" s="204">
        <f>AE232*'Data - P&amp;L'!$L$5</f>
        <v>0</v>
      </c>
      <c r="AF233" s="204">
        <f>AF232*'Data - P&amp;L'!$L$5</f>
        <v>0</v>
      </c>
      <c r="AG233" s="836">
        <f t="shared" si="81"/>
        <v>783.32025</v>
      </c>
    </row>
    <row r="234" hidden="1" outlineLevel="1">
      <c r="A234" s="352" t="s">
        <v>1297</v>
      </c>
      <c r="B234" s="204">
        <f>B145*'Data - P&amp;L'!$C$6</f>
        <v>0</v>
      </c>
      <c r="C234" s="204">
        <f>(C97+C104+C112)*'Data - P&amp;L'!$C$6</f>
        <v>5.49</v>
      </c>
      <c r="D234" s="204">
        <f>(D97+D104+D112)*'Data - P&amp;L'!$C$6</f>
        <v>10.98</v>
      </c>
      <c r="E234" s="204">
        <f>(E97+E104+E112)*'Data - P&amp;L'!$C$6</f>
        <v>5.49</v>
      </c>
      <c r="F234" s="204">
        <f>(F97+F104+F112)*'Data - P&amp;L'!$C$6</f>
        <v>5.49</v>
      </c>
      <c r="G234" s="204">
        <f>(G97+G104+G112)*'Data - P&amp;L'!$C$6</f>
        <v>-10.98</v>
      </c>
      <c r="H234" s="204">
        <f>(H97+H104+H112)*'Data - P&amp;L'!$C$6</f>
        <v>27.45</v>
      </c>
      <c r="I234" s="204">
        <f>(I97+I104+I112)*'Data - P&amp;L'!$C$6</f>
        <v>104.31</v>
      </c>
      <c r="J234" s="204">
        <f>(J97+J104+J112)*'Data - P&amp;L'!$C$6</f>
        <v>16.47</v>
      </c>
      <c r="K234" s="204">
        <f>(K97+K104+K112)*'Data - P&amp;L'!$C$6</f>
        <v>21.96</v>
      </c>
      <c r="L234" s="204">
        <f>(L97+L104+L112)*'Data - P&amp;L'!$C$6</f>
        <v>27.45</v>
      </c>
      <c r="M234" s="204">
        <f>(M97+M104+M112)*'Data - P&amp;L'!$C$6</f>
        <v>505.08</v>
      </c>
      <c r="N234" s="204">
        <f>(N97+N104+N112)*'Data - P&amp;L'!$C$6</f>
        <v>159.21</v>
      </c>
      <c r="O234" s="204">
        <f>(O97+O104+O112)*'Data - P&amp;L'!$C$6</f>
        <v>0</v>
      </c>
      <c r="P234" s="204">
        <f>(P97+P104+P112)*'Data - P&amp;L'!$C$6</f>
        <v>0</v>
      </c>
      <c r="Q234" s="204">
        <f>(Q97+Q104+Q112)*'Data - P&amp;L'!$C$6</f>
        <v>0</v>
      </c>
      <c r="R234" s="204">
        <f>(R97+R104+R112)*'Data - P&amp;L'!$C$6</f>
        <v>16.47</v>
      </c>
      <c r="S234" s="204">
        <f>(S97+S104+S112)*'Data - P&amp;L'!$C$6</f>
        <v>10.98</v>
      </c>
      <c r="T234" s="204">
        <f>(T97+T104+T112)*'Data - P&amp;L'!$C$6</f>
        <v>-5.49</v>
      </c>
      <c r="U234" s="204">
        <f>(U97+U104+U112)*'Data - P&amp;L'!$C$6</f>
        <v>0</v>
      </c>
      <c r="V234" s="204">
        <f>(V97+V104+V112)*'Data - P&amp;L'!$C$6</f>
        <v>-5.49</v>
      </c>
      <c r="W234" s="204">
        <f>(W97+W104+W112)*'Data - P&amp;L'!$C$6</f>
        <v>0</v>
      </c>
      <c r="X234" s="204">
        <f>(X97+X104+X112)*'Data - P&amp;L'!$C$6</f>
        <v>0</v>
      </c>
      <c r="Y234" s="204">
        <f>(Y97+Y104+Y112)*'Data - P&amp;L'!$C$6</f>
        <v>-5.49</v>
      </c>
      <c r="Z234" s="204">
        <f>(Z97+Z104+Z112)*'Data - P&amp;L'!$C$6</f>
        <v>0</v>
      </c>
      <c r="AA234" s="204">
        <f>(AA97+AA104+AA112)*'Data - P&amp;L'!$C$6</f>
        <v>0</v>
      </c>
      <c r="AB234" s="204">
        <f>(AB97+AB104+AB112)*'Data - P&amp;L'!$C$6</f>
        <v>0</v>
      </c>
      <c r="AC234" s="204">
        <f>(AC97+AC104+AC112)*'Data - P&amp;L'!$C$6</f>
        <v>0</v>
      </c>
      <c r="AD234" s="204">
        <f>(AD97+AD104+AD112)*'Data - P&amp;L'!$C$6</f>
        <v>0</v>
      </c>
      <c r="AE234" s="204">
        <f>(AE97+AE104+AE112)*'Data - P&amp;L'!$C$6</f>
        <v>0</v>
      </c>
      <c r="AF234" s="204">
        <f>(AF97+AF104+AF112)*'Data - P&amp;L'!$C$6</f>
        <v>0</v>
      </c>
      <c r="AG234" s="836">
        <f t="shared" si="81"/>
        <v>889.38</v>
      </c>
    </row>
    <row r="235" hidden="1" outlineLevel="1">
      <c r="A235" s="846" t="s">
        <v>1298</v>
      </c>
      <c r="B235" s="204">
        <f>B234*'Data - P&amp;L'!$L$5</f>
        <v>0</v>
      </c>
      <c r="C235" s="204">
        <f>C234*'Data - P&amp;L'!$L$5</f>
        <v>0.41175</v>
      </c>
      <c r="D235" s="204">
        <f>D234*'Data - P&amp;L'!$L$5</f>
        <v>0.8235</v>
      </c>
      <c r="E235" s="204">
        <f>E234*'Data - P&amp;L'!$L$5</f>
        <v>0.41175</v>
      </c>
      <c r="F235" s="204">
        <f>F234*'Data - P&amp;L'!$L$5</f>
        <v>0.41175</v>
      </c>
      <c r="G235" s="204">
        <f>G234*'Data - P&amp;L'!$L$5</f>
        <v>-0.8235</v>
      </c>
      <c r="H235" s="204">
        <f>H234*'Data - P&amp;L'!$L$5</f>
        <v>2.05875</v>
      </c>
      <c r="I235" s="204">
        <f>I234*'Data - P&amp;L'!$L$5</f>
        <v>7.82325</v>
      </c>
      <c r="J235" s="204">
        <f>J234*'Data - P&amp;L'!$L$5</f>
        <v>1.23525</v>
      </c>
      <c r="K235" s="204">
        <f>K234*'Data - P&amp;L'!$L$5</f>
        <v>1.647</v>
      </c>
      <c r="L235" s="204">
        <f>L234*'Data - P&amp;L'!$L$5</f>
        <v>2.05875</v>
      </c>
      <c r="M235" s="204">
        <f>M234*'Data - P&amp;L'!$L$5</f>
        <v>37.881</v>
      </c>
      <c r="N235" s="204">
        <f>N234*'Data - P&amp;L'!$L$5</f>
        <v>11.94075</v>
      </c>
      <c r="O235" s="204">
        <f>O234*'Data - P&amp;L'!$L$5</f>
        <v>0</v>
      </c>
      <c r="P235" s="204">
        <f>P234*'Data - P&amp;L'!$L$5</f>
        <v>0</v>
      </c>
      <c r="Q235" s="204">
        <f>Q234*'Data - P&amp;L'!$L$5</f>
        <v>0</v>
      </c>
      <c r="R235" s="204">
        <f>R234*'Data - P&amp;L'!$L$5</f>
        <v>1.23525</v>
      </c>
      <c r="S235" s="204">
        <f>S234*'Data - P&amp;L'!$L$5</f>
        <v>0.8235</v>
      </c>
      <c r="T235" s="204">
        <f>T234*'Data - P&amp;L'!$L$5</f>
        <v>-0.41175</v>
      </c>
      <c r="U235" s="204">
        <f>U234*'Data - P&amp;L'!$L$5</f>
        <v>0</v>
      </c>
      <c r="V235" s="204">
        <f>V234*'Data - P&amp;L'!$L$5</f>
        <v>-0.41175</v>
      </c>
      <c r="W235" s="204">
        <f>W234*'Data - P&amp;L'!$L$5</f>
        <v>0</v>
      </c>
      <c r="X235" s="204">
        <f>X234*'Data - P&amp;L'!$L$5</f>
        <v>0</v>
      </c>
      <c r="Y235" s="204">
        <f>Y234*'Data - P&amp;L'!$L$5</f>
        <v>-0.41175</v>
      </c>
      <c r="Z235" s="204">
        <f>Z234*'Data - P&amp;L'!$L$5</f>
        <v>0</v>
      </c>
      <c r="AA235" s="204">
        <f>AA234*'Data - P&amp;L'!$L$5</f>
        <v>0</v>
      </c>
      <c r="AB235" s="204">
        <f>AB234*'Data - P&amp;L'!$L$5</f>
        <v>0</v>
      </c>
      <c r="AC235" s="204">
        <f>AC234*'Data - P&amp;L'!$L$5</f>
        <v>0</v>
      </c>
      <c r="AD235" s="204">
        <f>AD234*'Data - P&amp;L'!$L$5</f>
        <v>0</v>
      </c>
      <c r="AE235" s="204">
        <f>AE234*'Data - P&amp;L'!$L$5</f>
        <v>0</v>
      </c>
      <c r="AF235" s="204">
        <f>AF234*'Data - P&amp;L'!$L$5</f>
        <v>0</v>
      </c>
      <c r="AG235" s="836">
        <f t="shared" si="81"/>
        <v>66.7035</v>
      </c>
    </row>
    <row r="236" hidden="1" outlineLevel="1">
      <c r="A236" s="846" t="s">
        <v>1299</v>
      </c>
      <c r="B236" s="204">
        <f>B234*'Data - P&amp;L'!$L$4</f>
        <v>0</v>
      </c>
      <c r="C236" s="204">
        <f>C234*'Data - P&amp;L'!$L$4</f>
        <v>0.18666</v>
      </c>
      <c r="D236" s="204">
        <f>D234*'Data - P&amp;L'!$L$4</f>
        <v>0.37332</v>
      </c>
      <c r="E236" s="204">
        <f>E234*'Data - P&amp;L'!$L$4</f>
        <v>0.18666</v>
      </c>
      <c r="F236" s="204">
        <f>F234*'Data - P&amp;L'!$L$4</f>
        <v>0.18666</v>
      </c>
      <c r="G236" s="204">
        <f>G234*'Data - P&amp;L'!$L$4</f>
        <v>-0.37332</v>
      </c>
      <c r="H236" s="204">
        <f>H234*'Data - P&amp;L'!$L$4</f>
        <v>0.9333</v>
      </c>
      <c r="I236" s="204">
        <f>I234*'Data - P&amp;L'!$L$4</f>
        <v>3.54654</v>
      </c>
      <c r="J236" s="204">
        <f>J234*'Data - P&amp;L'!$L$4</f>
        <v>0.55998</v>
      </c>
      <c r="K236" s="204">
        <f>K234*'Data - P&amp;L'!$L$4</f>
        <v>0.74664</v>
      </c>
      <c r="L236" s="204">
        <f>L234*'Data - P&amp;L'!$L$4</f>
        <v>0.9333</v>
      </c>
      <c r="M236" s="204">
        <f>M234*'Data - P&amp;L'!$L$4</f>
        <v>17.17272</v>
      </c>
      <c r="N236" s="204">
        <f>N234*'Data - P&amp;L'!$L$4</f>
        <v>5.41314</v>
      </c>
      <c r="O236" s="204">
        <f>O234*'Data - P&amp;L'!$L$4</f>
        <v>0</v>
      </c>
      <c r="P236" s="204">
        <f>P234*'Data - P&amp;L'!$L$4</f>
        <v>0</v>
      </c>
      <c r="Q236" s="204">
        <f>Q234*'Data - P&amp;L'!$L$4</f>
        <v>0</v>
      </c>
      <c r="R236" s="204">
        <f>R234*'Data - P&amp;L'!$L$4</f>
        <v>0.55998</v>
      </c>
      <c r="S236" s="204">
        <f>S234*'Data - P&amp;L'!$L$4</f>
        <v>0.37332</v>
      </c>
      <c r="T236" s="204">
        <f>T234*'Data - P&amp;L'!$L$4</f>
        <v>-0.18666</v>
      </c>
      <c r="U236" s="204">
        <f>U234*'Data - P&amp;L'!$L$4</f>
        <v>0</v>
      </c>
      <c r="V236" s="204">
        <f>V234*'Data - P&amp;L'!$L$4</f>
        <v>-0.18666</v>
      </c>
      <c r="W236" s="204">
        <f>W234*'Data - P&amp;L'!$L$4</f>
        <v>0</v>
      </c>
      <c r="X236" s="204">
        <f>X234*'Data - P&amp;L'!$L$4</f>
        <v>0</v>
      </c>
      <c r="Y236" s="204">
        <f>Y234*'Data - P&amp;L'!$L$4</f>
        <v>-0.18666</v>
      </c>
      <c r="Z236" s="204">
        <f>Z234*'Data - P&amp;L'!$L$4</f>
        <v>0</v>
      </c>
      <c r="AA236" s="204">
        <f>AA234*'Data - P&amp;L'!$L$4</f>
        <v>0</v>
      </c>
      <c r="AB236" s="204">
        <f>AB234*'Data - P&amp;L'!$L$4</f>
        <v>0</v>
      </c>
      <c r="AC236" s="204">
        <f>AC234*'Data - P&amp;L'!$L$4</f>
        <v>0</v>
      </c>
      <c r="AD236" s="204">
        <f>AD234*'Data - P&amp;L'!$L$4</f>
        <v>0</v>
      </c>
      <c r="AE236" s="204">
        <f>AE234*'Data - P&amp;L'!$L$4</f>
        <v>0</v>
      </c>
      <c r="AF236" s="204">
        <f>AF234*'Data - P&amp;L'!$L$4</f>
        <v>0</v>
      </c>
      <c r="AG236" s="836">
        <f t="shared" si="81"/>
        <v>30.23892</v>
      </c>
    </row>
    <row r="237" hidden="1" outlineLevel="1">
      <c r="A237" s="352" t="s">
        <v>1300</v>
      </c>
      <c r="B237" s="204">
        <f>B146*'Data - P&amp;L'!$C$8</f>
        <v>0</v>
      </c>
      <c r="C237" s="204">
        <f>(C99+C106+C114)*'Data - P&amp;L'!$C$8</f>
        <v>0</v>
      </c>
      <c r="D237" s="204">
        <f>(D99+D106+D114)*'Data - P&amp;L'!$C$8</f>
        <v>0</v>
      </c>
      <c r="E237" s="204">
        <f>(E99+E106+E114)*'Data - P&amp;L'!$C$8</f>
        <v>0</v>
      </c>
      <c r="F237" s="204">
        <f>(F99+F106+F114)*'Data - P&amp;L'!$C$8</f>
        <v>0</v>
      </c>
      <c r="G237" s="204">
        <f>(G99+G106+G114)*'Data - P&amp;L'!$C$8</f>
        <v>0</v>
      </c>
      <c r="H237" s="204">
        <f>(H99+H106+H114)*'Data - P&amp;L'!$C$8</f>
        <v>0</v>
      </c>
      <c r="I237" s="204">
        <f>(I99+I106+I114)*'Data - P&amp;L'!$C$8</f>
        <v>0</v>
      </c>
      <c r="J237" s="204">
        <f>(J99+J106+J114)*'Data - P&amp;L'!$C$8</f>
        <v>0</v>
      </c>
      <c r="K237" s="204">
        <f>(K99+K106+K114)*'Data - P&amp;L'!$C$8</f>
        <v>0</v>
      </c>
      <c r="L237" s="204">
        <f>(L99+L106+L114)*'Data - P&amp;L'!$C$8</f>
        <v>0</v>
      </c>
      <c r="M237" s="204">
        <f>(M99+M106+M114)*'Data - P&amp;L'!$C$8</f>
        <v>0</v>
      </c>
      <c r="N237" s="204">
        <f>(N99+N106+N114)*'Data - P&amp;L'!$C$8</f>
        <v>0</v>
      </c>
      <c r="O237" s="204">
        <f>(O99+O106+O114)*'Data - P&amp;L'!$C$8</f>
        <v>0</v>
      </c>
      <c r="P237" s="204">
        <f>(P99+P106+P114)*'Data - P&amp;L'!$C$8</f>
        <v>0</v>
      </c>
      <c r="Q237" s="204">
        <f>(Q99+Q106+Q114)*'Data - P&amp;L'!$C$8</f>
        <v>0</v>
      </c>
      <c r="R237" s="204">
        <f>(R99+R106+R114)*'Data - P&amp;L'!$C$8</f>
        <v>0</v>
      </c>
      <c r="S237" s="204">
        <f>(S99+S106+S114)*'Data - P&amp;L'!$C$8</f>
        <v>0</v>
      </c>
      <c r="T237" s="204">
        <f>(T99+T106+T114)*'Data - P&amp;L'!$C$8</f>
        <v>-1.19</v>
      </c>
      <c r="U237" s="204">
        <f>(U99+U106+U114)*'Data - P&amp;L'!$C$8</f>
        <v>0</v>
      </c>
      <c r="V237" s="204">
        <f>(V99+V106+V114)*'Data - P&amp;L'!$C$8</f>
        <v>0</v>
      </c>
      <c r="W237" s="204">
        <f>(W99+W106+W114)*'Data - P&amp;L'!$C$8</f>
        <v>0</v>
      </c>
      <c r="X237" s="204">
        <f>(X99+X106+X114)*'Data - P&amp;L'!$C$8</f>
        <v>0</v>
      </c>
      <c r="Y237" s="204">
        <f>(Y99+Y106+Y114)*'Data - P&amp;L'!$C$8</f>
        <v>0</v>
      </c>
      <c r="Z237" s="204">
        <f>(Z99+Z106+Z114)*'Data - P&amp;L'!$C$8</f>
        <v>0</v>
      </c>
      <c r="AA237" s="204">
        <f>(AA99+AA106+AA114)*'Data - P&amp;L'!$C$8</f>
        <v>0</v>
      </c>
      <c r="AB237" s="204">
        <f>(AB99+AB106+AB114)*'Data - P&amp;L'!$C$8</f>
        <v>0</v>
      </c>
      <c r="AC237" s="204">
        <f>(AC99+AC106+AC114)*'Data - P&amp;L'!$C$8</f>
        <v>0</v>
      </c>
      <c r="AD237" s="204">
        <f>(AD99+AD106+AD114)*'Data - P&amp;L'!$C$8</f>
        <v>0</v>
      </c>
      <c r="AE237" s="204">
        <f>(AE99+AE106+AE114)*'Data - P&amp;L'!$C$8</f>
        <v>0</v>
      </c>
      <c r="AF237" s="204">
        <f>(AF99+AF106+AF114)*'Data - P&amp;L'!$C$8</f>
        <v>0</v>
      </c>
      <c r="AG237" s="836">
        <f t="shared" si="81"/>
        <v>-1.19</v>
      </c>
    </row>
    <row r="238" hidden="1" outlineLevel="1">
      <c r="A238" s="846" t="s">
        <v>1301</v>
      </c>
      <c r="B238" s="204">
        <f>B237*'Data - P&amp;L'!$L$5</f>
        <v>0</v>
      </c>
      <c r="C238" s="204">
        <f>C237*'Data - P&amp;L'!$L$5</f>
        <v>0</v>
      </c>
      <c r="D238" s="204">
        <f>D237*'Data - P&amp;L'!$L$5</f>
        <v>0</v>
      </c>
      <c r="E238" s="204">
        <f>E237*'Data - P&amp;L'!$L$5</f>
        <v>0</v>
      </c>
      <c r="F238" s="204">
        <f>F237*'Data - P&amp;L'!$L$5</f>
        <v>0</v>
      </c>
      <c r="G238" s="204">
        <f>G237*'Data - P&amp;L'!$L$5</f>
        <v>0</v>
      </c>
      <c r="H238" s="204">
        <f>H237*'Data - P&amp;L'!$L$5</f>
        <v>0</v>
      </c>
      <c r="I238" s="204">
        <f>I237*'Data - P&amp;L'!$L$5</f>
        <v>0</v>
      </c>
      <c r="J238" s="204">
        <f>J237*'Data - P&amp;L'!$L$5</f>
        <v>0</v>
      </c>
      <c r="K238" s="204">
        <f>K237*'Data - P&amp;L'!$L$5</f>
        <v>0</v>
      </c>
      <c r="L238" s="204">
        <f>L237*'Data - P&amp;L'!$L$5</f>
        <v>0</v>
      </c>
      <c r="M238" s="204">
        <f>M237*'Data - P&amp;L'!$L$5</f>
        <v>0</v>
      </c>
      <c r="N238" s="204">
        <f>N237*'Data - P&amp;L'!$L$5</f>
        <v>0</v>
      </c>
      <c r="O238" s="204">
        <f>O237*'Data - P&amp;L'!$L$5</f>
        <v>0</v>
      </c>
      <c r="P238" s="204">
        <f>P237*'Data - P&amp;L'!$L$5</f>
        <v>0</v>
      </c>
      <c r="Q238" s="204">
        <f>Q237*'Data - P&amp;L'!$L$5</f>
        <v>0</v>
      </c>
      <c r="R238" s="204">
        <f>R237*'Data - P&amp;L'!$L$5</f>
        <v>0</v>
      </c>
      <c r="S238" s="204">
        <f>S237*'Data - P&amp;L'!$L$5</f>
        <v>0</v>
      </c>
      <c r="T238" s="204">
        <f>T237*'Data - P&amp;L'!$L$5</f>
        <v>-0.08925</v>
      </c>
      <c r="U238" s="204">
        <f>U237*'Data - P&amp;L'!$L$5</f>
        <v>0</v>
      </c>
      <c r="V238" s="204">
        <f>V237*'Data - P&amp;L'!$L$5</f>
        <v>0</v>
      </c>
      <c r="W238" s="204">
        <f>W237*'Data - P&amp;L'!$L$5</f>
        <v>0</v>
      </c>
      <c r="X238" s="204">
        <f>X237*'Data - P&amp;L'!$L$5</f>
        <v>0</v>
      </c>
      <c r="Y238" s="204">
        <f>Y237*'Data - P&amp;L'!$L$5</f>
        <v>0</v>
      </c>
      <c r="Z238" s="204">
        <f>Z237*'Data - P&amp;L'!$L$5</f>
        <v>0</v>
      </c>
      <c r="AA238" s="204">
        <f>AA237*'Data - P&amp;L'!$L$5</f>
        <v>0</v>
      </c>
      <c r="AB238" s="204">
        <f>AB237*'Data - P&amp;L'!$L$5</f>
        <v>0</v>
      </c>
      <c r="AC238" s="204">
        <f>AC237*'Data - P&amp;L'!$L$5</f>
        <v>0</v>
      </c>
      <c r="AD238" s="204">
        <f>AD237*'Data - P&amp;L'!$L$5</f>
        <v>0</v>
      </c>
      <c r="AE238" s="204">
        <f>AE237*'Data - P&amp;L'!$L$5</f>
        <v>0</v>
      </c>
      <c r="AF238" s="204">
        <f>AF237*'Data - P&amp;L'!$L$5</f>
        <v>0</v>
      </c>
      <c r="AG238" s="836">
        <f t="shared" si="81"/>
        <v>-0.08925</v>
      </c>
    </row>
    <row r="239" hidden="1" outlineLevel="1">
      <c r="A239" s="846" t="s">
        <v>1302</v>
      </c>
      <c r="B239" s="204">
        <f>B237*'Data - P&amp;L'!$L$4</f>
        <v>0</v>
      </c>
      <c r="C239" s="204">
        <f>C237*'Data - P&amp;L'!$L$4</f>
        <v>0</v>
      </c>
      <c r="D239" s="204">
        <f>D237*'Data - P&amp;L'!$L$4</f>
        <v>0</v>
      </c>
      <c r="E239" s="204">
        <f>E237*'Data - P&amp;L'!$L$4</f>
        <v>0</v>
      </c>
      <c r="F239" s="204">
        <f>F237*'Data - P&amp;L'!$L$4</f>
        <v>0</v>
      </c>
      <c r="G239" s="204">
        <f>G237*'Data - P&amp;L'!$L$4</f>
        <v>0</v>
      </c>
      <c r="H239" s="204">
        <f>H237*'Data - P&amp;L'!$L$4</f>
        <v>0</v>
      </c>
      <c r="I239" s="204">
        <f>I237*'Data - P&amp;L'!$L$4</f>
        <v>0</v>
      </c>
      <c r="J239" s="204">
        <f>J237*'Data - P&amp;L'!$L$4</f>
        <v>0</v>
      </c>
      <c r="K239" s="204">
        <f>K237*'Data - P&amp;L'!$L$4</f>
        <v>0</v>
      </c>
      <c r="L239" s="204">
        <f>L237*'Data - P&amp;L'!$L$4</f>
        <v>0</v>
      </c>
      <c r="M239" s="204">
        <f>M237*'Data - P&amp;L'!$L$4</f>
        <v>0</v>
      </c>
      <c r="N239" s="204">
        <f>N237*'Data - P&amp;L'!$L$4</f>
        <v>0</v>
      </c>
      <c r="O239" s="204">
        <f>O237*'Data - P&amp;L'!$L$4</f>
        <v>0</v>
      </c>
      <c r="P239" s="204">
        <f>P237*'Data - P&amp;L'!$L$4</f>
        <v>0</v>
      </c>
      <c r="Q239" s="204">
        <f>Q237*'Data - P&amp;L'!$L$4</f>
        <v>0</v>
      </c>
      <c r="R239" s="204">
        <f>R237*'Data - P&amp;L'!$L$4</f>
        <v>0</v>
      </c>
      <c r="S239" s="204">
        <f>S237*'Data - P&amp;L'!$L$4</f>
        <v>0</v>
      </c>
      <c r="T239" s="204">
        <f>T237*'Data - P&amp;L'!$L$4</f>
        <v>-0.04046</v>
      </c>
      <c r="U239" s="204">
        <f>U237*'Data - P&amp;L'!$L$4</f>
        <v>0</v>
      </c>
      <c r="V239" s="204">
        <f>V237*'Data - P&amp;L'!$L$4</f>
        <v>0</v>
      </c>
      <c r="W239" s="204">
        <f>W237*'Data - P&amp;L'!$L$4</f>
        <v>0</v>
      </c>
      <c r="X239" s="204">
        <f>X237*'Data - P&amp;L'!$L$4</f>
        <v>0</v>
      </c>
      <c r="Y239" s="204">
        <f>Y237*'Data - P&amp;L'!$L$4</f>
        <v>0</v>
      </c>
      <c r="Z239" s="204">
        <f>Z237*'Data - P&amp;L'!$L$4</f>
        <v>0</v>
      </c>
      <c r="AA239" s="204">
        <f>AA237*'Data - P&amp;L'!$L$4</f>
        <v>0</v>
      </c>
      <c r="AB239" s="204">
        <f>AB237*'Data - P&amp;L'!$L$4</f>
        <v>0</v>
      </c>
      <c r="AC239" s="204">
        <f>AC237*'Data - P&amp;L'!$L$4</f>
        <v>0</v>
      </c>
      <c r="AD239" s="204">
        <f>AD237*'Data - P&amp;L'!$L$4</f>
        <v>0</v>
      </c>
      <c r="AE239" s="204">
        <f>AE237*'Data - P&amp;L'!$L$4</f>
        <v>0</v>
      </c>
      <c r="AF239" s="204">
        <f>AF237*'Data - P&amp;L'!$L$4</f>
        <v>0</v>
      </c>
      <c r="AG239" s="836">
        <f t="shared" si="81"/>
        <v>-0.04046</v>
      </c>
    </row>
    <row r="240" hidden="1" outlineLevel="1">
      <c r="A240" s="352" t="s">
        <v>1303</v>
      </c>
      <c r="B240" s="204">
        <f>(B147+B148)*'Data - P&amp;L'!$C$9</f>
        <v>0</v>
      </c>
      <c r="C240" s="85" t="str">
        <f>(#REF!+C107+C115)*'Data - P&amp;L'!$C$9</f>
        <v>#REF!</v>
      </c>
      <c r="D240" s="85" t="str">
        <f>(#REF!+D107+D115)*'Data - P&amp;L'!$C$9</f>
        <v>#REF!</v>
      </c>
      <c r="E240" s="85" t="str">
        <f>(#REF!+E107+E115)*'Data - P&amp;L'!$C$9</f>
        <v>#REF!</v>
      </c>
      <c r="F240" s="85" t="str">
        <f>(#REF!+F107+F115)*'Data - P&amp;L'!$C$9</f>
        <v>#REF!</v>
      </c>
      <c r="G240" s="85" t="str">
        <f>(#REF!+G107+G115)*'Data - P&amp;L'!$C$9</f>
        <v>#REF!</v>
      </c>
      <c r="H240" s="85" t="str">
        <f>(#REF!+H107+H115)*'Data - P&amp;L'!$C$9</f>
        <v>#REF!</v>
      </c>
      <c r="I240" s="85" t="str">
        <f>(#REF!+I107+I115)*'Data - P&amp;L'!$C$9</f>
        <v>#REF!</v>
      </c>
      <c r="J240" s="85" t="str">
        <f>(#REF!+J107+J115)*'Data - P&amp;L'!$C$9</f>
        <v>#REF!</v>
      </c>
      <c r="K240" s="85" t="str">
        <f>(#REF!+K107+K115)*'Data - P&amp;L'!$C$9</f>
        <v>#REF!</v>
      </c>
      <c r="L240" s="85" t="str">
        <f>(#REF!+L107+L115)*'Data - P&amp;L'!$C$9</f>
        <v>#REF!</v>
      </c>
      <c r="M240" s="85" t="str">
        <f>(#REF!+M107+M115)*'Data - P&amp;L'!$C$9</f>
        <v>#REF!</v>
      </c>
      <c r="N240" s="85" t="str">
        <f>(#REF!+N107+N115)*'Data - P&amp;L'!$C$9</f>
        <v>#REF!</v>
      </c>
      <c r="O240" s="85" t="str">
        <f>(#REF!+O107+O115)*'Data - P&amp;L'!$C$9</f>
        <v>#REF!</v>
      </c>
      <c r="P240" s="85" t="str">
        <f>(#REF!+P107+P115)*'Data - P&amp;L'!$C$9</f>
        <v>#REF!</v>
      </c>
      <c r="Q240" s="85" t="str">
        <f>(#REF!+Q107+Q115)*'Data - P&amp;L'!$C$9</f>
        <v>#REF!</v>
      </c>
      <c r="R240" s="85" t="str">
        <f>(#REF!+R107+R115)*'Data - P&amp;L'!$C$9</f>
        <v>#REF!</v>
      </c>
      <c r="S240" s="85" t="str">
        <f>(#REF!+S107+S115)*'Data - P&amp;L'!$C$9</f>
        <v>#REF!</v>
      </c>
      <c r="T240" s="85" t="str">
        <f>(#REF!+T107+T115)*'Data - P&amp;L'!$C$9</f>
        <v>#REF!</v>
      </c>
      <c r="U240" s="85" t="str">
        <f>(#REF!+U107+U115)*'Data - P&amp;L'!$C$9</f>
        <v>#REF!</v>
      </c>
      <c r="V240" s="85" t="str">
        <f>(#REF!+V107+V115)*'Data - P&amp;L'!$C$9</f>
        <v>#REF!</v>
      </c>
      <c r="W240" s="85" t="str">
        <f>(#REF!+W107+W115)*'Data - P&amp;L'!$C$9</f>
        <v>#REF!</v>
      </c>
      <c r="X240" s="85" t="str">
        <f>(#REF!+X107+X115)*'Data - P&amp;L'!$C$9</f>
        <v>#REF!</v>
      </c>
      <c r="Y240" s="85" t="str">
        <f>(#REF!+Y107+Y115)*'Data - P&amp;L'!$C$9</f>
        <v>#REF!</v>
      </c>
      <c r="Z240" s="85" t="str">
        <f>(#REF!+Z107+Z115)*'Data - P&amp;L'!$C$9</f>
        <v>#REF!</v>
      </c>
      <c r="AA240" s="85" t="str">
        <f>(#REF!+AA107+AA115)*'Data - P&amp;L'!$C$9</f>
        <v>#REF!</v>
      </c>
      <c r="AB240" s="85" t="str">
        <f>(#REF!+AB107+AB115)*'Data - P&amp;L'!$C$9</f>
        <v>#REF!</v>
      </c>
      <c r="AC240" s="85" t="str">
        <f>(#REF!+AC107+AC115)*'Data - P&amp;L'!$C$9</f>
        <v>#REF!</v>
      </c>
      <c r="AD240" s="85" t="str">
        <f>(#REF!+AD107+AD115)*'Data - P&amp;L'!$C$9</f>
        <v>#REF!</v>
      </c>
      <c r="AE240" s="85" t="str">
        <f>(#REF!+AE107+AE115)*'Data - P&amp;L'!$C$9</f>
        <v>#REF!</v>
      </c>
      <c r="AF240" s="85" t="str">
        <f>(#REF!+AF107+AF115)*'Data - P&amp;L'!$C$9</f>
        <v>#REF!</v>
      </c>
      <c r="AG240" s="836" t="str">
        <f t="shared" si="81"/>
        <v>#REF!</v>
      </c>
    </row>
    <row r="241" hidden="1" outlineLevel="1">
      <c r="A241" s="846" t="s">
        <v>1304</v>
      </c>
      <c r="B241" s="204">
        <f>B240*'Data - P&amp;L'!$L$5</f>
        <v>0</v>
      </c>
      <c r="C241" s="85" t="str">
        <f>C240*'Data - P&amp;L'!$L$5</f>
        <v>#REF!</v>
      </c>
      <c r="D241" s="85" t="str">
        <f>D240*'Data - P&amp;L'!$L$5</f>
        <v>#REF!</v>
      </c>
      <c r="E241" s="85" t="str">
        <f>E240*'Data - P&amp;L'!$L$5</f>
        <v>#REF!</v>
      </c>
      <c r="F241" s="85" t="str">
        <f>F240*'Data - P&amp;L'!$L$5</f>
        <v>#REF!</v>
      </c>
      <c r="G241" s="85" t="str">
        <f>G240*'Data - P&amp;L'!$L$5</f>
        <v>#REF!</v>
      </c>
      <c r="H241" s="85" t="str">
        <f>H240*'Data - P&amp;L'!$L$5</f>
        <v>#REF!</v>
      </c>
      <c r="I241" s="85" t="str">
        <f>I240*'Data - P&amp;L'!$L$5</f>
        <v>#REF!</v>
      </c>
      <c r="J241" s="85" t="str">
        <f>J240*'Data - P&amp;L'!$L$5</f>
        <v>#REF!</v>
      </c>
      <c r="K241" s="85" t="str">
        <f>K240*'Data - P&amp;L'!$L$5</f>
        <v>#REF!</v>
      </c>
      <c r="L241" s="85" t="str">
        <f>L240*'Data - P&amp;L'!$L$5</f>
        <v>#REF!</v>
      </c>
      <c r="M241" s="85" t="str">
        <f>M240*'Data - P&amp;L'!$L$5</f>
        <v>#REF!</v>
      </c>
      <c r="N241" s="85" t="str">
        <f>N240*'Data - P&amp;L'!$L$5</f>
        <v>#REF!</v>
      </c>
      <c r="O241" s="85" t="str">
        <f>O240*'Data - P&amp;L'!$L$5</f>
        <v>#REF!</v>
      </c>
      <c r="P241" s="85" t="str">
        <f>P240*'Data - P&amp;L'!$L$5</f>
        <v>#REF!</v>
      </c>
      <c r="Q241" s="85" t="str">
        <f>Q240*'Data - P&amp;L'!$L$5</f>
        <v>#REF!</v>
      </c>
      <c r="R241" s="85" t="str">
        <f>R240*'Data - P&amp;L'!$L$5</f>
        <v>#REF!</v>
      </c>
      <c r="S241" s="85" t="str">
        <f>S240*'Data - P&amp;L'!$L$5</f>
        <v>#REF!</v>
      </c>
      <c r="T241" s="85" t="str">
        <f>T240*'Data - P&amp;L'!$L$5</f>
        <v>#REF!</v>
      </c>
      <c r="U241" s="85" t="str">
        <f>U240*'Data - P&amp;L'!$L$5</f>
        <v>#REF!</v>
      </c>
      <c r="V241" s="85" t="str">
        <f>V240*'Data - P&amp;L'!$L$5</f>
        <v>#REF!</v>
      </c>
      <c r="W241" s="85" t="str">
        <f>W240*'Data - P&amp;L'!$L$5</f>
        <v>#REF!</v>
      </c>
      <c r="X241" s="85" t="str">
        <f>X240*'Data - P&amp;L'!$L$5</f>
        <v>#REF!</v>
      </c>
      <c r="Y241" s="85" t="str">
        <f>Y240*'Data - P&amp;L'!$L$5</f>
        <v>#REF!</v>
      </c>
      <c r="Z241" s="85" t="str">
        <f>Z240*'Data - P&amp;L'!$L$5</f>
        <v>#REF!</v>
      </c>
      <c r="AA241" s="85" t="str">
        <f>AA240*'Data - P&amp;L'!$L$5</f>
        <v>#REF!</v>
      </c>
      <c r="AB241" s="85" t="str">
        <f>AB240*'Data - P&amp;L'!$L$5</f>
        <v>#REF!</v>
      </c>
      <c r="AC241" s="85" t="str">
        <f>AC240*'Data - P&amp;L'!$L$5</f>
        <v>#REF!</v>
      </c>
      <c r="AD241" s="85" t="str">
        <f>AD240*'Data - P&amp;L'!$L$5</f>
        <v>#REF!</v>
      </c>
      <c r="AE241" s="85" t="str">
        <f>AE240*'Data - P&amp;L'!$L$5</f>
        <v>#REF!</v>
      </c>
      <c r="AF241" s="85" t="str">
        <f>AF240*'Data - P&amp;L'!$L$5</f>
        <v>#REF!</v>
      </c>
      <c r="AG241" s="836" t="str">
        <f t="shared" si="81"/>
        <v>#REF!</v>
      </c>
    </row>
    <row r="242" hidden="1" outlineLevel="1">
      <c r="A242" s="846" t="s">
        <v>1305</v>
      </c>
      <c r="B242" s="204">
        <f>B240*'Data - P&amp;L'!$L$4</f>
        <v>0</v>
      </c>
      <c r="C242" s="85" t="str">
        <f>C240*'Data - P&amp;L'!$L$4</f>
        <v>#REF!</v>
      </c>
      <c r="D242" s="85" t="str">
        <f>D240*'Data - P&amp;L'!$L$4</f>
        <v>#REF!</v>
      </c>
      <c r="E242" s="85" t="str">
        <f>E240*'Data - P&amp;L'!$L$4</f>
        <v>#REF!</v>
      </c>
      <c r="F242" s="85" t="str">
        <f>F240*'Data - P&amp;L'!$L$4</f>
        <v>#REF!</v>
      </c>
      <c r="G242" s="85" t="str">
        <f>G240*'Data - P&amp;L'!$L$4</f>
        <v>#REF!</v>
      </c>
      <c r="H242" s="85" t="str">
        <f>H240*'Data - P&amp;L'!$L$4</f>
        <v>#REF!</v>
      </c>
      <c r="I242" s="85" t="str">
        <f>I240*'Data - P&amp;L'!$L$4</f>
        <v>#REF!</v>
      </c>
      <c r="J242" s="85" t="str">
        <f>J240*'Data - P&amp;L'!$L$4</f>
        <v>#REF!</v>
      </c>
      <c r="K242" s="85" t="str">
        <f>K240*'Data - P&amp;L'!$L$4</f>
        <v>#REF!</v>
      </c>
      <c r="L242" s="85" t="str">
        <f>L240*'Data - P&amp;L'!$L$4</f>
        <v>#REF!</v>
      </c>
      <c r="M242" s="85" t="str">
        <f>M240*'Data - P&amp;L'!$L$4</f>
        <v>#REF!</v>
      </c>
      <c r="N242" s="85" t="str">
        <f>N240*'Data - P&amp;L'!$L$4</f>
        <v>#REF!</v>
      </c>
      <c r="O242" s="85" t="str">
        <f>O240*'Data - P&amp;L'!$L$4</f>
        <v>#REF!</v>
      </c>
      <c r="P242" s="85" t="str">
        <f>P240*'Data - P&amp;L'!$L$4</f>
        <v>#REF!</v>
      </c>
      <c r="Q242" s="85" t="str">
        <f>Q240*'Data - P&amp;L'!$L$4</f>
        <v>#REF!</v>
      </c>
      <c r="R242" s="85" t="str">
        <f>R240*'Data - P&amp;L'!$L$4</f>
        <v>#REF!</v>
      </c>
      <c r="S242" s="85" t="str">
        <f>S240*'Data - P&amp;L'!$L$4</f>
        <v>#REF!</v>
      </c>
      <c r="T242" s="85" t="str">
        <f>T240*'Data - P&amp;L'!$L$4</f>
        <v>#REF!</v>
      </c>
      <c r="U242" s="85" t="str">
        <f>U240*'Data - P&amp;L'!$L$4</f>
        <v>#REF!</v>
      </c>
      <c r="V242" s="85" t="str">
        <f>V240*'Data - P&amp;L'!$L$4</f>
        <v>#REF!</v>
      </c>
      <c r="W242" s="85" t="str">
        <f>W240*'Data - P&amp;L'!$L$4</f>
        <v>#REF!</v>
      </c>
      <c r="X242" s="85" t="str">
        <f>X240*'Data - P&amp;L'!$L$4</f>
        <v>#REF!</v>
      </c>
      <c r="Y242" s="85" t="str">
        <f>Y240*'Data - P&amp;L'!$L$4</f>
        <v>#REF!</v>
      </c>
      <c r="Z242" s="85" t="str">
        <f>Z240*'Data - P&amp;L'!$L$4</f>
        <v>#REF!</v>
      </c>
      <c r="AA242" s="85" t="str">
        <f>AA240*'Data - P&amp;L'!$L$4</f>
        <v>#REF!</v>
      </c>
      <c r="AB242" s="85" t="str">
        <f>AB240*'Data - P&amp;L'!$L$4</f>
        <v>#REF!</v>
      </c>
      <c r="AC242" s="85" t="str">
        <f>AC240*'Data - P&amp;L'!$L$4</f>
        <v>#REF!</v>
      </c>
      <c r="AD242" s="85" t="str">
        <f>AD240*'Data - P&amp;L'!$L$4</f>
        <v>#REF!</v>
      </c>
      <c r="AE242" s="85" t="str">
        <f>AE240*'Data - P&amp;L'!$L$4</f>
        <v>#REF!</v>
      </c>
      <c r="AF242" s="85" t="str">
        <f>AF240*'Data - P&amp;L'!$L$4</f>
        <v>#REF!</v>
      </c>
      <c r="AG242" s="836" t="str">
        <f t="shared" si="81"/>
        <v>#REF!</v>
      </c>
    </row>
    <row r="243" hidden="1" outlineLevel="1">
      <c r="A243" s="352" t="s">
        <v>1306</v>
      </c>
      <c r="B243" s="204">
        <f>(B149+B150)*'Data - P&amp;L'!$C$5</f>
        <v>0</v>
      </c>
      <c r="C243" s="204">
        <f>(C100+C108+C116)*'Data - P&amp;L'!$C$5</f>
        <v>0</v>
      </c>
      <c r="D243" s="204">
        <f>(D100+D108+D116)*'Data - P&amp;L'!$C$5</f>
        <v>0</v>
      </c>
      <c r="E243" s="204">
        <f>(E100+E108+E116)*'Data - P&amp;L'!$C$5</f>
        <v>0</v>
      </c>
      <c r="F243" s="204">
        <f>(F100+F108+F116)*'Data - P&amp;L'!$C$5</f>
        <v>0</v>
      </c>
      <c r="G243" s="204">
        <f>(G100+G108+G116)*'Data - P&amp;L'!$C$5</f>
        <v>0</v>
      </c>
      <c r="H243" s="204">
        <f>(H100+H108+H116)*'Data - P&amp;L'!$C$5</f>
        <v>0</v>
      </c>
      <c r="I243" s="204">
        <f>(I100+I108+I116)*'Data - P&amp;L'!$C$5</f>
        <v>0</v>
      </c>
      <c r="J243" s="204">
        <f>(J100+J108+J116)*'Data - P&amp;L'!$C$5</f>
        <v>0</v>
      </c>
      <c r="K243" s="204">
        <f>(K100+K108+K116)*'Data - P&amp;L'!$C$5</f>
        <v>0</v>
      </c>
      <c r="L243" s="204">
        <f>(L100+L108+L116)*'Data - P&amp;L'!$C$5</f>
        <v>0</v>
      </c>
      <c r="M243" s="204">
        <f>(M100+M108+M116)*'Data - P&amp;L'!$C$5</f>
        <v>0</v>
      </c>
      <c r="N243" s="204">
        <f>(N100+N108+N116)*'Data - P&amp;L'!$C$5</f>
        <v>0</v>
      </c>
      <c r="O243" s="204">
        <f>(O100+O108+O116)*'Data - P&amp;L'!$C$5</f>
        <v>0</v>
      </c>
      <c r="P243" s="204">
        <f>(P100+P108+P116)*'Data - P&amp;L'!$C$5</f>
        <v>0</v>
      </c>
      <c r="Q243" s="204">
        <f>(Q100+Q108+Q116)*'Data - P&amp;L'!$C$5</f>
        <v>0</v>
      </c>
      <c r="R243" s="204">
        <f>(R100+R108+R116)*'Data - P&amp;L'!$C$5</f>
        <v>0</v>
      </c>
      <c r="S243" s="204">
        <f>(S100+S108+S116)*'Data - P&amp;L'!$C$5</f>
        <v>0</v>
      </c>
      <c r="T243" s="204">
        <f>(T100+T108+T116)*'Data - P&amp;L'!$C$5</f>
        <v>-13.44</v>
      </c>
      <c r="U243" s="204">
        <f>(U100+U108+U116)*'Data - P&amp;L'!$C$5</f>
        <v>0</v>
      </c>
      <c r="V243" s="204">
        <f>(V100+V108+V116)*'Data - P&amp;L'!$C$5</f>
        <v>-13.44</v>
      </c>
      <c r="W243" s="204">
        <f>(W100+W108+W116)*'Data - P&amp;L'!$C$5</f>
        <v>0</v>
      </c>
      <c r="X243" s="204">
        <f>(X100+X108+X116)*'Data - P&amp;L'!$C$5</f>
        <v>0</v>
      </c>
      <c r="Y243" s="204">
        <f>(Y100+Y108+Y116)*'Data - P&amp;L'!$C$5</f>
        <v>0</v>
      </c>
      <c r="Z243" s="204">
        <f>(Z100+Z108+Z116)*'Data - P&amp;L'!$C$5</f>
        <v>0</v>
      </c>
      <c r="AA243" s="204">
        <f>(AA100+AA108+AA116)*'Data - P&amp;L'!$C$5</f>
        <v>0</v>
      </c>
      <c r="AB243" s="204">
        <f>(AB100+AB108+AB116)*'Data - P&amp;L'!$C$5</f>
        <v>0</v>
      </c>
      <c r="AC243" s="204">
        <f>(AC100+AC108+AC116)*'Data - P&amp;L'!$C$5</f>
        <v>0</v>
      </c>
      <c r="AD243" s="204">
        <f>(AD100+AD108+AD116)*'Data - P&amp;L'!$C$5</f>
        <v>0</v>
      </c>
      <c r="AE243" s="204">
        <f>(AE100+AE108+AE116)*'Data - P&amp;L'!$C$5</f>
        <v>0</v>
      </c>
      <c r="AF243" s="204">
        <f>(AF100+AF108+AF116)*'Data - P&amp;L'!$C$5</f>
        <v>0</v>
      </c>
      <c r="AG243" s="836">
        <f t="shared" si="81"/>
        <v>-26.88</v>
      </c>
    </row>
    <row r="244" hidden="1" outlineLevel="1">
      <c r="A244" s="846" t="s">
        <v>1336</v>
      </c>
      <c r="B244" s="204">
        <f>B243*'Data - P&amp;L'!$L$8</f>
        <v>0</v>
      </c>
      <c r="C244" s="204">
        <f>C243*'Data - P&amp;L'!$L$8</f>
        <v>0</v>
      </c>
      <c r="D244" s="204">
        <f>D243*'Data - P&amp;L'!$L$8</f>
        <v>0</v>
      </c>
      <c r="E244" s="204">
        <f>E243*'Data - P&amp;L'!$L$8</f>
        <v>0</v>
      </c>
      <c r="F244" s="204">
        <f>F243*'Data - P&amp;L'!$L$8</f>
        <v>0</v>
      </c>
      <c r="G244" s="204">
        <f>G243*'Data - P&amp;L'!$L$8</f>
        <v>0</v>
      </c>
      <c r="H244" s="204">
        <f>H243*'Data - P&amp;L'!$L$8</f>
        <v>0</v>
      </c>
      <c r="I244" s="204">
        <f>I243*'Data - P&amp;L'!$L$8</f>
        <v>0</v>
      </c>
      <c r="J244" s="204">
        <f>J243*'Data - P&amp;L'!$L$8</f>
        <v>0</v>
      </c>
      <c r="K244" s="204">
        <f>K243*'Data - P&amp;L'!$L$8</f>
        <v>0</v>
      </c>
      <c r="L244" s="204">
        <f>L243*'Data - P&amp;L'!$L$8</f>
        <v>0</v>
      </c>
      <c r="M244" s="204">
        <f>M243*'Data - P&amp;L'!$L$8</f>
        <v>0</v>
      </c>
      <c r="N244" s="204">
        <f>N243*'Data - P&amp;L'!$L$8</f>
        <v>0</v>
      </c>
      <c r="O244" s="204">
        <f>O243*'Data - P&amp;L'!$L$8</f>
        <v>0</v>
      </c>
      <c r="P244" s="204">
        <f>P243*'Data - P&amp;L'!$L$8</f>
        <v>0</v>
      </c>
      <c r="Q244" s="204">
        <f>Q243*'Data - P&amp;L'!$L$8</f>
        <v>0</v>
      </c>
      <c r="R244" s="204">
        <f>R243*'Data - P&amp;L'!$L$8</f>
        <v>0</v>
      </c>
      <c r="S244" s="204">
        <f>S243*'Data - P&amp;L'!$L$8</f>
        <v>0</v>
      </c>
      <c r="T244" s="204">
        <f>T243*'Data - P&amp;L'!$L$8</f>
        <v>-1.008</v>
      </c>
      <c r="U244" s="204">
        <f>U243*'Data - P&amp;L'!$L$8</f>
        <v>0</v>
      </c>
      <c r="V244" s="204">
        <f>V243*'Data - P&amp;L'!$L$8</f>
        <v>-1.008</v>
      </c>
      <c r="W244" s="204">
        <f>W243*'Data - P&amp;L'!$L$8</f>
        <v>0</v>
      </c>
      <c r="X244" s="204">
        <f>X243*'Data - P&amp;L'!$L$8</f>
        <v>0</v>
      </c>
      <c r="Y244" s="204">
        <f>Y243*'Data - P&amp;L'!$L$8</f>
        <v>0</v>
      </c>
      <c r="Z244" s="204">
        <f>Z243*'Data - P&amp;L'!$L$8</f>
        <v>0</v>
      </c>
      <c r="AA244" s="204">
        <f>AA243*'Data - P&amp;L'!$L$8</f>
        <v>0</v>
      </c>
      <c r="AB244" s="204">
        <f>AB243*'Data - P&amp;L'!$L$8</f>
        <v>0</v>
      </c>
      <c r="AC244" s="204">
        <f>AC243*'Data - P&amp;L'!$L$8</f>
        <v>0</v>
      </c>
      <c r="AD244" s="204">
        <f>AD243*'Data - P&amp;L'!$L$8</f>
        <v>0</v>
      </c>
      <c r="AE244" s="204">
        <f>AE243*'Data - P&amp;L'!$L$8</f>
        <v>0</v>
      </c>
      <c r="AF244" s="204">
        <f>AF243*'Data - P&amp;L'!$L$8</f>
        <v>0</v>
      </c>
      <c r="AG244" s="836">
        <f t="shared" si="81"/>
        <v>-2.016</v>
      </c>
    </row>
    <row r="245" hidden="1" outlineLevel="1">
      <c r="A245" s="846" t="s">
        <v>1308</v>
      </c>
      <c r="B245" s="204">
        <f>B243*'Data - P&amp;L'!$L$9</f>
        <v>0</v>
      </c>
      <c r="C245" s="204">
        <f>C243*'Data - P&amp;L'!$L$9</f>
        <v>0</v>
      </c>
      <c r="D245" s="204">
        <f>D243*'Data - P&amp;L'!$L$9</f>
        <v>0</v>
      </c>
      <c r="E245" s="204">
        <f>E243*'Data - P&amp;L'!$L$9</f>
        <v>0</v>
      </c>
      <c r="F245" s="204">
        <f>F243*'Data - P&amp;L'!$L$9</f>
        <v>0</v>
      </c>
      <c r="G245" s="204">
        <f>G243*'Data - P&amp;L'!$L$9</f>
        <v>0</v>
      </c>
      <c r="H245" s="204">
        <f>H243*'Data - P&amp;L'!$L$9</f>
        <v>0</v>
      </c>
      <c r="I245" s="204">
        <f>I243*'Data - P&amp;L'!$L$9</f>
        <v>0</v>
      </c>
      <c r="J245" s="204">
        <f>J243*'Data - P&amp;L'!$L$9</f>
        <v>0</v>
      </c>
      <c r="K245" s="204">
        <f>K243*'Data - P&amp;L'!$L$9</f>
        <v>0</v>
      </c>
      <c r="L245" s="204">
        <f>L243*'Data - P&amp;L'!$L$9</f>
        <v>0</v>
      </c>
      <c r="M245" s="204">
        <f>M243*'Data - P&amp;L'!$L$9</f>
        <v>0</v>
      </c>
      <c r="N245" s="204">
        <f>N243*'Data - P&amp;L'!$L$9</f>
        <v>0</v>
      </c>
      <c r="O245" s="204">
        <f>O243*'Data - P&amp;L'!$L$9</f>
        <v>0</v>
      </c>
      <c r="P245" s="204">
        <f>P243*'Data - P&amp;L'!$L$9</f>
        <v>0</v>
      </c>
      <c r="Q245" s="204">
        <f>Q243*'Data - P&amp;L'!$L$9</f>
        <v>0</v>
      </c>
      <c r="R245" s="204">
        <f>R243*'Data - P&amp;L'!$L$9</f>
        <v>0</v>
      </c>
      <c r="S245" s="204">
        <f>S243*'Data - P&amp;L'!$L$9</f>
        <v>0</v>
      </c>
      <c r="T245" s="204">
        <f>T243*'Data - P&amp;L'!$L$9</f>
        <v>-0.336</v>
      </c>
      <c r="U245" s="204">
        <f>U243*'Data - P&amp;L'!$L$9</f>
        <v>0</v>
      </c>
      <c r="V245" s="204">
        <f>V243*'Data - P&amp;L'!$L$9</f>
        <v>-0.336</v>
      </c>
      <c r="W245" s="204">
        <f>W243*'Data - P&amp;L'!$L$9</f>
        <v>0</v>
      </c>
      <c r="X245" s="204">
        <f>X243*'Data - P&amp;L'!$L$9</f>
        <v>0</v>
      </c>
      <c r="Y245" s="204">
        <f>Y243*'Data - P&amp;L'!$L$9</f>
        <v>0</v>
      </c>
      <c r="Z245" s="204">
        <f>Z243*'Data - P&amp;L'!$L$9</f>
        <v>0</v>
      </c>
      <c r="AA245" s="204">
        <f>AA243*'Data - P&amp;L'!$L$9</f>
        <v>0</v>
      </c>
      <c r="AB245" s="204">
        <f>AB243*'Data - P&amp;L'!$L$9</f>
        <v>0</v>
      </c>
      <c r="AC245" s="204">
        <f>AC243*'Data - P&amp;L'!$L$9</f>
        <v>0</v>
      </c>
      <c r="AD245" s="204">
        <f>AD243*'Data - P&amp;L'!$L$9</f>
        <v>0</v>
      </c>
      <c r="AE245" s="204">
        <f>AE243*'Data - P&amp;L'!$L$9</f>
        <v>0</v>
      </c>
      <c r="AF245" s="204">
        <f>AF243*'Data - P&amp;L'!$L$9</f>
        <v>0</v>
      </c>
      <c r="AG245" s="836">
        <f t="shared" si="81"/>
        <v>-0.672</v>
      </c>
    </row>
    <row r="246" hidden="1" outlineLevel="1">
      <c r="A246" s="846" t="s">
        <v>1310</v>
      </c>
      <c r="B246" s="85" t="str">
        <f>(B230+B232+#REF!+B234+B237+B240+B243)*'Data - P&amp;L'!$L$6</f>
        <v>#REF!</v>
      </c>
      <c r="C246" s="85" t="str">
        <f>(C230+C232+#REF!+C234+C237+C240+C243)*'Data - P&amp;L'!$L$6</f>
        <v>#REF!</v>
      </c>
      <c r="D246" s="85" t="str">
        <f>(D230+D232+#REF!+D234+D237+D240+D243)*'Data - P&amp;L'!$L$6</f>
        <v>#REF!</v>
      </c>
      <c r="E246" s="85" t="str">
        <f>(E230+E232+#REF!+E234+E237+E240+E243)*'Data - P&amp;L'!$L$6</f>
        <v>#REF!</v>
      </c>
      <c r="F246" s="85" t="str">
        <f>(F230+F232+#REF!+F234+F237+F240+F243)*'Data - P&amp;L'!$L$6</f>
        <v>#REF!</v>
      </c>
      <c r="G246" s="85" t="str">
        <f>(G230+G232+#REF!+G234+G237+G240+G243)*'Data - P&amp;L'!$L$6</f>
        <v>#REF!</v>
      </c>
      <c r="H246" s="85" t="str">
        <f>(H230+H232+#REF!+H234+H237+H240+H243)*'Data - P&amp;L'!$L$6</f>
        <v>#REF!</v>
      </c>
      <c r="I246" s="85" t="str">
        <f>(I230+I232+#REF!+I234+I237+I240+I243)*'Data - P&amp;L'!$L$6</f>
        <v>#REF!</v>
      </c>
      <c r="J246" s="85" t="str">
        <f>(J230+J232+#REF!+J234+J237+J240+J243)*'Data - P&amp;L'!$L$6</f>
        <v>#REF!</v>
      </c>
      <c r="K246" s="85" t="str">
        <f>(K230+K232+#REF!+K234+K237+K240+K243)*'Data - P&amp;L'!$L$6</f>
        <v>#REF!</v>
      </c>
      <c r="L246" s="85" t="str">
        <f>(L230+L232+#REF!+L234+L237+L240+L243)*'Data - P&amp;L'!$L$6</f>
        <v>#REF!</v>
      </c>
      <c r="M246" s="85" t="str">
        <f>(M230+M232+#REF!+M234+M237+M240+M243)*'Data - P&amp;L'!$L$6</f>
        <v>#REF!</v>
      </c>
      <c r="N246" s="85" t="str">
        <f>(N230+N232+#REF!+N234+N237+N240+N243)*'Data - P&amp;L'!$L$6</f>
        <v>#REF!</v>
      </c>
      <c r="O246" s="85" t="str">
        <f>(O230+O232+#REF!+O234+O237+O240+O243)*'Data - P&amp;L'!$L$6</f>
        <v>#REF!</v>
      </c>
      <c r="P246" s="85" t="str">
        <f>(P230+P232+#REF!+P234+P237+P240+P243)*'Data - P&amp;L'!$L$6</f>
        <v>#REF!</v>
      </c>
      <c r="Q246" s="85" t="str">
        <f>(Q230+Q232+#REF!+Q234+Q237+Q240+Q243)*'Data - P&amp;L'!$L$6</f>
        <v>#REF!</v>
      </c>
      <c r="R246" s="85" t="str">
        <f>(R230+R232+#REF!+R234+R237+R240+R243)*'Data - P&amp;L'!$L$6</f>
        <v>#REF!</v>
      </c>
      <c r="S246" s="85" t="str">
        <f>(S230+S232+#REF!+S234+S237+S240+S243)*'Data - P&amp;L'!$L$6</f>
        <v>#REF!</v>
      </c>
      <c r="T246" s="85" t="str">
        <f>(T230+T232+#REF!+T234+T237+T240+T243)*'Data - P&amp;L'!$L$6</f>
        <v>#REF!</v>
      </c>
      <c r="U246" s="85" t="str">
        <f>(U230+U232+#REF!+U234+U237+U240+U243)*'Data - P&amp;L'!$L$6</f>
        <v>#REF!</v>
      </c>
      <c r="V246" s="85" t="str">
        <f>(V230+V232+#REF!+V234+V237+V240+V243)*'Data - P&amp;L'!$L$6</f>
        <v>#REF!</v>
      </c>
      <c r="W246" s="85" t="str">
        <f>(W230+W232+#REF!+W234+W237+W240+W243)*'Data - P&amp;L'!$L$6</f>
        <v>#REF!</v>
      </c>
      <c r="X246" s="85" t="str">
        <f>(X230+X232+#REF!+X234+X237+X240+X243)*'Data - P&amp;L'!$L$6</f>
        <v>#REF!</v>
      </c>
      <c r="Y246" s="85" t="str">
        <f>(Y230+Y232+#REF!+Y234+Y237+Y240+Y243)*'Data - P&amp;L'!$L$6</f>
        <v>#REF!</v>
      </c>
      <c r="Z246" s="85" t="str">
        <f>(Z230+Z232+#REF!+Z234+Z237+Z240+Z243)*'Data - P&amp;L'!$L$6</f>
        <v>#REF!</v>
      </c>
      <c r="AA246" s="85" t="str">
        <f>(AA230+AA232+#REF!+AA234+AA237+AA240+AA243)*'Data - P&amp;L'!$L$6</f>
        <v>#REF!</v>
      </c>
      <c r="AB246" s="85" t="str">
        <f>(AB230+AB232+#REF!+AB234+AB237+AB240+AB243)*'Data - P&amp;L'!$L$6</f>
        <v>#REF!</v>
      </c>
      <c r="AC246" s="85" t="str">
        <f>(AC230+AC232+#REF!+AC234+AC237+AC240+AC243)*'Data - P&amp;L'!$L$6</f>
        <v>#REF!</v>
      </c>
      <c r="AD246" s="85" t="str">
        <f>(AD230+AD232+#REF!+AD234+AD237+AD240+AD243)*'Data - P&amp;L'!$L$6</f>
        <v>#REF!</v>
      </c>
      <c r="AE246" s="85" t="str">
        <f>(AE230+AE232+#REF!+AE234+AE237+AE240+AE243)*'Data - P&amp;L'!$L$6</f>
        <v>#REF!</v>
      </c>
      <c r="AF246" s="85" t="str">
        <f>(AF230+AF232+#REF!+AF234+AF237+AF240+AF243)*'Data - P&amp;L'!$L$6</f>
        <v>#REF!</v>
      </c>
      <c r="AG246" s="836" t="str">
        <f t="shared" si="81"/>
        <v>#REF!</v>
      </c>
    </row>
    <row r="247" hidden="1" outlineLevel="1">
      <c r="A247" s="846" t="s">
        <v>1312</v>
      </c>
      <c r="B247" s="85" t="str">
        <f>((B35+B36)*'Data - P&amp;L'!$C$38)+((B37+#REF!)*'Data - P&amp;L'!$C$39)+((B92+B93)*'Data - P&amp;L'!$C$40)</f>
        <v>#REF!</v>
      </c>
      <c r="C247" s="85" t="str">
        <f>((C35+C36)*'Data - P&amp;L'!$C$38)+((C37+#REF!)*'Data - P&amp;L'!$C$39)+((C92+C93)*'Data - P&amp;L'!$C$40)</f>
        <v>#REF!</v>
      </c>
      <c r="D247" s="85" t="str">
        <f>((D35+D36)*'Data - P&amp;L'!$C$38)+((D37+#REF!)*'Data - P&amp;L'!$C$39)+((D92+D93)*'Data - P&amp;L'!$C$40)</f>
        <v>#REF!</v>
      </c>
      <c r="E247" s="85" t="str">
        <f>((E35+E36)*'Data - P&amp;L'!$C$38)+((E37+#REF!)*'Data - P&amp;L'!$C$39)+((E92+E93)*'Data - P&amp;L'!$C$40)</f>
        <v>#REF!</v>
      </c>
      <c r="F247" s="85" t="str">
        <f>((F35+F36)*'Data - P&amp;L'!$C$38)+((F37+#REF!)*'Data - P&amp;L'!$C$39)+((F92+F93)*'Data - P&amp;L'!$C$40)</f>
        <v>#REF!</v>
      </c>
      <c r="G247" s="85" t="str">
        <f>((G35+G36)*'Data - P&amp;L'!$C$38)+((G37+#REF!)*'Data - P&amp;L'!$C$39)+((G92+G93)*'Data - P&amp;L'!$C$40)</f>
        <v>#REF!</v>
      </c>
      <c r="H247" s="85" t="str">
        <f>((H35+H36)*'Data - P&amp;L'!$C$38)+((H37+#REF!)*'Data - P&amp;L'!$C$39)+((H92+H93)*'Data - P&amp;L'!$C$40)</f>
        <v>#REF!</v>
      </c>
      <c r="I247" s="85" t="str">
        <f>((I35+I36)*'Data - P&amp;L'!$C$38)+((I37+#REF!)*'Data - P&amp;L'!$C$39)+((I92+I93)*'Data - P&amp;L'!$C$40)</f>
        <v>#REF!</v>
      </c>
      <c r="J247" s="85" t="str">
        <f>((J35+J36)*'Data - P&amp;L'!$C$38)+((J37+#REF!)*'Data - P&amp;L'!$C$39)+((J92+J93)*'Data - P&amp;L'!$C$40)</f>
        <v>#REF!</v>
      </c>
      <c r="K247" s="85" t="str">
        <f>((K35+K36)*'Data - P&amp;L'!$C$38)+((K37+#REF!)*'Data - P&amp;L'!$C$39)+((K92+K93)*'Data - P&amp;L'!$C$40)</f>
        <v>#REF!</v>
      </c>
      <c r="L247" s="85" t="str">
        <f>((L35+L36)*'Data - P&amp;L'!$C$38)+((L37+#REF!)*'Data - P&amp;L'!$C$39)+((L92+L93)*'Data - P&amp;L'!$C$40)</f>
        <v>#REF!</v>
      </c>
      <c r="M247" s="85" t="str">
        <f>((M35+M36)*'Data - P&amp;L'!$C$38)+((M37+#REF!)*'Data - P&amp;L'!$C$39)+((M92+M93)*'Data - P&amp;L'!$C$40)</f>
        <v>#REF!</v>
      </c>
      <c r="N247" s="85" t="str">
        <f>((N35+N36)*'Data - P&amp;L'!$C$38)+((N37+#REF!)*'Data - P&amp;L'!$C$39)+((N92+N93)*'Data - P&amp;L'!$C$40)</f>
        <v>#REF!</v>
      </c>
      <c r="O247" s="85" t="str">
        <f>((O35+O36)*'Data - P&amp;L'!$C$38)+((O37+#REF!)*'Data - P&amp;L'!$C$39)+((O92+O93)*'Data - P&amp;L'!$C$40)</f>
        <v>#REF!</v>
      </c>
      <c r="P247" s="85" t="str">
        <f>((P35+P36)*'Data - P&amp;L'!$C$38)+((P37+#REF!)*'Data - P&amp;L'!$C$39)+((P92+P93)*'Data - P&amp;L'!$C$40)</f>
        <v>#REF!</v>
      </c>
      <c r="Q247" s="85" t="str">
        <f>((Q35+Q36)*'Data - P&amp;L'!$C$38)+((Q37+#REF!)*'Data - P&amp;L'!$C$39)+((Q92+Q93)*'Data - P&amp;L'!$C$40)</f>
        <v>#REF!</v>
      </c>
      <c r="R247" s="85" t="str">
        <f>((R35+R36)*'Data - P&amp;L'!$C$38)+((R37+#REF!)*'Data - P&amp;L'!$C$39)+((R92+R93)*'Data - P&amp;L'!$C$40)</f>
        <v>#REF!</v>
      </c>
      <c r="S247" s="85" t="str">
        <f>((S35+S36)*'Data - P&amp;L'!$C$38)+((S37+#REF!)*'Data - P&amp;L'!$C$39)+((S92+S93)*'Data - P&amp;L'!$C$40)</f>
        <v>#REF!</v>
      </c>
      <c r="T247" s="85" t="str">
        <f>((T35+T36)*'Data - P&amp;L'!$C$38)+((T37+#REF!)*'Data - P&amp;L'!$C$39)+((T92+T93)*'Data - P&amp;L'!$C$40)</f>
        <v>#REF!</v>
      </c>
      <c r="U247" s="85" t="str">
        <f>((U35+U36)*'Data - P&amp;L'!$C$38)+((U37+#REF!)*'Data - P&amp;L'!$C$39)+((U92+U93)*'Data - P&amp;L'!$C$40)</f>
        <v>#REF!</v>
      </c>
      <c r="V247" s="85" t="str">
        <f>((V35+V36)*'Data - P&amp;L'!$C$38)+((V37+#REF!)*'Data - P&amp;L'!$C$39)+((V92+V93)*'Data - P&amp;L'!$C$40)</f>
        <v>#REF!</v>
      </c>
      <c r="W247" s="85" t="str">
        <f>((W35+W36)*'Data - P&amp;L'!$C$38)+((W37+#REF!)*'Data - P&amp;L'!$C$39)+((W92+W93)*'Data - P&amp;L'!$C$40)</f>
        <v>#REF!</v>
      </c>
      <c r="X247" s="85" t="str">
        <f>((X35+X36)*'Data - P&amp;L'!$C$38)+((X37+#REF!)*'Data - P&amp;L'!$C$39)+((X92+X93)*'Data - P&amp;L'!$C$40)</f>
        <v>#REF!</v>
      </c>
      <c r="Y247" s="85" t="str">
        <f>((Y35+Y36)*'Data - P&amp;L'!$C$38)+((Y37+#REF!)*'Data - P&amp;L'!$C$39)+((Y92+Y93)*'Data - P&amp;L'!$C$40)</f>
        <v>#REF!</v>
      </c>
      <c r="Z247" s="85" t="str">
        <f>((Z35+Z36)*'Data - P&amp;L'!$C$38)+((Z37+#REF!)*'Data - P&amp;L'!$C$39)+((Z92+Z93)*'Data - P&amp;L'!$C$40)</f>
        <v>#REF!</v>
      </c>
      <c r="AA247" s="85" t="str">
        <f>((AA35+AA36)*'Data - P&amp;L'!$C$38)+((AA37+#REF!)*'Data - P&amp;L'!$C$39)+((AA92+AA93)*'Data - P&amp;L'!$C$40)</f>
        <v>#REF!</v>
      </c>
      <c r="AB247" s="85" t="str">
        <f>((AB35+AB36)*'Data - P&amp;L'!$C$38)+((AB37+#REF!)*'Data - P&amp;L'!$C$39)+((AB92+AB93)*'Data - P&amp;L'!$C$40)</f>
        <v>#REF!</v>
      </c>
      <c r="AC247" s="85" t="str">
        <f>((AC35+AC36)*'Data - P&amp;L'!$C$38)+((AC37+#REF!)*'Data - P&amp;L'!$C$39)+((AC92+AC93)*'Data - P&amp;L'!$C$40)</f>
        <v>#REF!</v>
      </c>
      <c r="AD247" s="85" t="str">
        <f>((AD35+AD36)*'Data - P&amp;L'!$C$38)+((AD37+#REF!)*'Data - P&amp;L'!$C$39)+((AD92+AD93)*'Data - P&amp;L'!$C$40)</f>
        <v>#REF!</v>
      </c>
      <c r="AE247" s="85" t="str">
        <f>((AE35+AE36)*'Data - P&amp;L'!$C$38)+((AE37+#REF!)*'Data - P&amp;L'!$C$39)+((AE92+AE93)*'Data - P&amp;L'!$C$40)</f>
        <v>#REF!</v>
      </c>
      <c r="AF247" s="85" t="str">
        <f>((AF35+AF36)*'Data - P&amp;L'!$C$38)+((AF37+#REF!)*'Data - P&amp;L'!$C$39)+((AF92+AF93)*'Data - P&amp;L'!$C$40)</f>
        <v>#REF!</v>
      </c>
      <c r="AG247" s="836" t="str">
        <f t="shared" si="81"/>
        <v>#REF!</v>
      </c>
    </row>
    <row r="248" hidden="1" outlineLevel="1">
      <c r="A248" s="846" t="s">
        <v>1313</v>
      </c>
      <c r="B248" s="85" t="str">
        <f>((B35+B36)*'Data - P&amp;L'!$C$23)+((B37+#REF!)*'Data - P&amp;L'!$C$24)+((B92+B93)*'Data - P&amp;L'!$C$25)</f>
        <v>#REF!</v>
      </c>
      <c r="C248" s="85" t="str">
        <f>((C35+C36)*'Data - P&amp;L'!$C$23)+((C37+#REF!)*'Data - P&amp;L'!$C$24)+((C92+C93)*'Data - P&amp;L'!$C$25)</f>
        <v>#REF!</v>
      </c>
      <c r="D248" s="85" t="str">
        <f>((D35+D36)*'Data - P&amp;L'!$C$23)+((D37+#REF!)*'Data - P&amp;L'!$C$24)+((D92+D93)*'Data - P&amp;L'!$C$25)</f>
        <v>#REF!</v>
      </c>
      <c r="E248" s="85" t="str">
        <f>((E35+E36)*'Data - P&amp;L'!$C$23)+((E37+#REF!)*'Data - P&amp;L'!$C$24)+((E92+E93)*'Data - P&amp;L'!$C$25)</f>
        <v>#REF!</v>
      </c>
      <c r="F248" s="85" t="str">
        <f>((F35+F36)*'Data - P&amp;L'!$C$23)+((F37+#REF!)*'Data - P&amp;L'!$C$24)+((F92+F93)*'Data - P&amp;L'!$C$25)</f>
        <v>#REF!</v>
      </c>
      <c r="G248" s="85" t="str">
        <f>((G35+G36)*'Data - P&amp;L'!$C$23)+((G37+#REF!)*'Data - P&amp;L'!$C$24)+((G92+G93)*'Data - P&amp;L'!$C$25)</f>
        <v>#REF!</v>
      </c>
      <c r="H248" s="85" t="str">
        <f>((H35+H36)*'Data - P&amp;L'!$C$23)+((H37+#REF!)*'Data - P&amp;L'!$C$24)+((H92+H93)*'Data - P&amp;L'!$C$25)</f>
        <v>#REF!</v>
      </c>
      <c r="I248" s="85" t="str">
        <f>((I35+I36)*'Data - P&amp;L'!$C$23)+((I37+#REF!)*'Data - P&amp;L'!$C$24)+((I92+I93)*'Data - P&amp;L'!$C$25)</f>
        <v>#REF!</v>
      </c>
      <c r="J248" s="85" t="str">
        <f>((J35+J36)*'Data - P&amp;L'!$C$23)+((J37+#REF!)*'Data - P&amp;L'!$C$24)+((J92+J93)*'Data - P&amp;L'!$C$25)</f>
        <v>#REF!</v>
      </c>
      <c r="K248" s="85" t="str">
        <f>((K35+K36)*'Data - P&amp;L'!$C$23)+((K37+#REF!)*'Data - P&amp;L'!$C$24)+((K92+K93)*'Data - P&amp;L'!$C$25)</f>
        <v>#REF!</v>
      </c>
      <c r="L248" s="85" t="str">
        <f>((L35+L36)*'Data - P&amp;L'!$C$23)+((L37+#REF!)*'Data - P&amp;L'!$C$24)+((L92+L93)*'Data - P&amp;L'!$C$25)</f>
        <v>#REF!</v>
      </c>
      <c r="M248" s="85" t="str">
        <f>((M35+M36)*'Data - P&amp;L'!$C$23)+((M37+#REF!)*'Data - P&amp;L'!$C$24)+((M92+M93)*'Data - P&amp;L'!$C$25)</f>
        <v>#REF!</v>
      </c>
      <c r="N248" s="85" t="str">
        <f>((N35+N36)*'Data - P&amp;L'!$C$23)+((N37+#REF!)*'Data - P&amp;L'!$C$24)+((N92+N93)*'Data - P&amp;L'!$C$25)</f>
        <v>#REF!</v>
      </c>
      <c r="O248" s="85" t="str">
        <f>((O35+O36)*'Data - P&amp;L'!$C$23)+((O37+#REF!)*'Data - P&amp;L'!$C$24)+((O92+O93)*'Data - P&amp;L'!$C$25)</f>
        <v>#REF!</v>
      </c>
      <c r="P248" s="85" t="str">
        <f>((P35+P36)*'Data - P&amp;L'!$C$23)+((P37+#REF!)*'Data - P&amp;L'!$C$24)+((P92+P93)*'Data - P&amp;L'!$C$25)</f>
        <v>#REF!</v>
      </c>
      <c r="Q248" s="85" t="str">
        <f>((Q35+Q36)*'Data - P&amp;L'!$C$23)+((Q37+#REF!)*'Data - P&amp;L'!$C$24)+((Q92+Q93)*'Data - P&amp;L'!$C$25)</f>
        <v>#REF!</v>
      </c>
      <c r="R248" s="85" t="str">
        <f>((R35+R36)*'Data - P&amp;L'!$C$23)+((R37+#REF!)*'Data - P&amp;L'!$C$24)+((R92+R93)*'Data - P&amp;L'!$C$25)</f>
        <v>#REF!</v>
      </c>
      <c r="S248" s="85" t="str">
        <f>((S35+S36)*'Data - P&amp;L'!$C$23)+((S37+#REF!)*'Data - P&amp;L'!$C$24)+((S92+S93)*'Data - P&amp;L'!$C$25)</f>
        <v>#REF!</v>
      </c>
      <c r="T248" s="85" t="str">
        <f>((T35+T36)*'Data - P&amp;L'!$C$23)+((T37+#REF!)*'Data - P&amp;L'!$C$24)+((T92+T93)*'Data - P&amp;L'!$C$25)</f>
        <v>#REF!</v>
      </c>
      <c r="U248" s="85" t="str">
        <f>((U35+U36)*'Data - P&amp;L'!$C$23)+((U37+#REF!)*'Data - P&amp;L'!$C$24)+((U92+U93)*'Data - P&amp;L'!$C$25)</f>
        <v>#REF!</v>
      </c>
      <c r="V248" s="85" t="str">
        <f>((V35+V36)*'Data - P&amp;L'!$C$23)+((V37+#REF!)*'Data - P&amp;L'!$C$24)+((V92+V93)*'Data - P&amp;L'!$C$25)</f>
        <v>#REF!</v>
      </c>
      <c r="W248" s="85" t="str">
        <f>((W35+W36)*'Data - P&amp;L'!$C$23)+((W37+#REF!)*'Data - P&amp;L'!$C$24)+((W92+W93)*'Data - P&amp;L'!$C$25)</f>
        <v>#REF!</v>
      </c>
      <c r="X248" s="85" t="str">
        <f>((X35+X36)*'Data - P&amp;L'!$C$23)+((X37+#REF!)*'Data - P&amp;L'!$C$24)+((X92+X93)*'Data - P&amp;L'!$C$25)</f>
        <v>#REF!</v>
      </c>
      <c r="Y248" s="85" t="str">
        <f>((Y35+Y36)*'Data - P&amp;L'!$C$23)+((Y37+#REF!)*'Data - P&amp;L'!$C$24)+((Y92+Y93)*'Data - P&amp;L'!$C$25)</f>
        <v>#REF!</v>
      </c>
      <c r="Z248" s="85" t="str">
        <f>((Z35+Z36)*'Data - P&amp;L'!$C$23)+((Z37+#REF!)*'Data - P&amp;L'!$C$24)+((Z92+Z93)*'Data - P&amp;L'!$C$25)</f>
        <v>#REF!</v>
      </c>
      <c r="AA248" s="85" t="str">
        <f>((AA35+AA36)*'Data - P&amp;L'!$C$23)+((AA37+#REF!)*'Data - P&amp;L'!$C$24)+((AA92+AA93)*'Data - P&amp;L'!$C$25)</f>
        <v>#REF!</v>
      </c>
      <c r="AB248" s="85" t="str">
        <f>((AB35+AB36)*'Data - P&amp;L'!$C$23)+((AB37+#REF!)*'Data - P&amp;L'!$C$24)+((AB92+AB93)*'Data - P&amp;L'!$C$25)</f>
        <v>#REF!</v>
      </c>
      <c r="AC248" s="85" t="str">
        <f>((AC35+AC36)*'Data - P&amp;L'!$C$23)+((AC37+#REF!)*'Data - P&amp;L'!$C$24)+((AC92+AC93)*'Data - P&amp;L'!$C$25)</f>
        <v>#REF!</v>
      </c>
      <c r="AD248" s="85" t="str">
        <f>((AD35+AD36)*'Data - P&amp;L'!$C$23)+((AD37+#REF!)*'Data - P&amp;L'!$C$24)+((AD92+AD93)*'Data - P&amp;L'!$C$25)</f>
        <v>#REF!</v>
      </c>
      <c r="AE248" s="85" t="str">
        <f>((AE35+AE36)*'Data - P&amp;L'!$C$23)+((AE37+#REF!)*'Data - P&amp;L'!$C$24)+((AE92+AE93)*'Data - P&amp;L'!$C$25)</f>
        <v>#REF!</v>
      </c>
      <c r="AF248" s="85" t="str">
        <f>((AF35+AF36)*'Data - P&amp;L'!$C$23)+((AF37+#REF!)*'Data - P&amp;L'!$C$24)+((AF92+AF93)*'Data - P&amp;L'!$C$25)</f>
        <v>#REF!</v>
      </c>
      <c r="AG248" s="836" t="str">
        <f t="shared" si="81"/>
        <v>#REF!</v>
      </c>
    </row>
    <row r="249" hidden="1" outlineLevel="1">
      <c r="A249" s="846" t="s">
        <v>1314</v>
      </c>
      <c r="B249" s="85" t="str">
        <f>(B102*'Data - P&amp;L'!$D$38)+(B110*'Data - P&amp;L'!$D$39)+(#REF!*'Data - P&amp;L'!$D$40)</f>
        <v>#REF!</v>
      </c>
      <c r="C249" s="85" t="str">
        <f>(C102*'Data - P&amp;L'!$D$38)+(C110*'Data - P&amp;L'!$D$39)+(#REF!*'Data - P&amp;L'!$D$40)</f>
        <v>#REF!</v>
      </c>
      <c r="D249" s="85" t="str">
        <f>(D102*'Data - P&amp;L'!$D$38)+(D110*'Data - P&amp;L'!$D$39)+(#REF!*'Data - P&amp;L'!$D$40)</f>
        <v>#REF!</v>
      </c>
      <c r="E249" s="85" t="str">
        <f>(E102*'Data - P&amp;L'!$D$38)+(E110*'Data - P&amp;L'!$D$39)+(#REF!*'Data - P&amp;L'!$D$40)</f>
        <v>#REF!</v>
      </c>
      <c r="F249" s="85" t="str">
        <f>(F102*'Data - P&amp;L'!$D$38)+(F110*'Data - P&amp;L'!$D$39)+(#REF!*'Data - P&amp;L'!$D$40)</f>
        <v>#REF!</v>
      </c>
      <c r="G249" s="85" t="str">
        <f>(G102*'Data - P&amp;L'!$D$38)+(G110*'Data - P&amp;L'!$D$39)+(#REF!*'Data - P&amp;L'!$D$40)</f>
        <v>#REF!</v>
      </c>
      <c r="H249" s="85" t="str">
        <f>(H102*'Data - P&amp;L'!$D$38)+(H110*'Data - P&amp;L'!$D$39)+(#REF!*'Data - P&amp;L'!$D$40)</f>
        <v>#REF!</v>
      </c>
      <c r="I249" s="85" t="str">
        <f>(I102*'Data - P&amp;L'!$D$38)+(I110*'Data - P&amp;L'!$D$39)+(#REF!*'Data - P&amp;L'!$D$40)</f>
        <v>#REF!</v>
      </c>
      <c r="J249" s="85" t="str">
        <f>(J102*'Data - P&amp;L'!$D$38)+(J110*'Data - P&amp;L'!$D$39)+(#REF!*'Data - P&amp;L'!$D$40)</f>
        <v>#REF!</v>
      </c>
      <c r="K249" s="85" t="str">
        <f>(K102*'Data - P&amp;L'!$D$38)+(K110*'Data - P&amp;L'!$D$39)+(#REF!*'Data - P&amp;L'!$D$40)</f>
        <v>#REF!</v>
      </c>
      <c r="L249" s="85" t="str">
        <f>(L102*'Data - P&amp;L'!$D$38)+(L110*'Data - P&amp;L'!$D$39)+(#REF!*'Data - P&amp;L'!$D$40)</f>
        <v>#REF!</v>
      </c>
      <c r="M249" s="85" t="str">
        <f>(M102*'Data - P&amp;L'!$D$38)+(M110*'Data - P&amp;L'!$D$39)+(#REF!*'Data - P&amp;L'!$D$40)</f>
        <v>#REF!</v>
      </c>
      <c r="N249" s="85" t="str">
        <f>(N102*'Data - P&amp;L'!$D$38)+(N110*'Data - P&amp;L'!$D$39)+(#REF!*'Data - P&amp;L'!$D$40)</f>
        <v>#REF!</v>
      </c>
      <c r="O249" s="85" t="str">
        <f>(O102*'Data - P&amp;L'!$D$38)+(O110*'Data - P&amp;L'!$D$39)+(#REF!*'Data - P&amp;L'!$D$40)</f>
        <v>#REF!</v>
      </c>
      <c r="P249" s="85" t="str">
        <f>(P102*'Data - P&amp;L'!$D$38)+(P110*'Data - P&amp;L'!$D$39)+(#REF!*'Data - P&amp;L'!$D$40)</f>
        <v>#REF!</v>
      </c>
      <c r="Q249" s="85" t="str">
        <f>(Q102*'Data - P&amp;L'!$D$38)+(Q110*'Data - P&amp;L'!$D$39)+(#REF!*'Data - P&amp;L'!$D$40)</f>
        <v>#REF!</v>
      </c>
      <c r="R249" s="85" t="str">
        <f>(R102*'Data - P&amp;L'!$D$38)+(R110*'Data - P&amp;L'!$D$39)+(#REF!*'Data - P&amp;L'!$D$40)</f>
        <v>#REF!</v>
      </c>
      <c r="S249" s="85" t="str">
        <f>(S102*'Data - P&amp;L'!$D$38)+(S110*'Data - P&amp;L'!$D$39)+(#REF!*'Data - P&amp;L'!$D$40)</f>
        <v>#REF!</v>
      </c>
      <c r="T249" s="85" t="str">
        <f>(T102*'Data - P&amp;L'!$D$38)+(T110*'Data - P&amp;L'!$D$39)+(#REF!*'Data - P&amp;L'!$D$40)</f>
        <v>#REF!</v>
      </c>
      <c r="U249" s="85" t="str">
        <f>(U102*'Data - P&amp;L'!$D$38)+(U110*'Data - P&amp;L'!$D$39)+(#REF!*'Data - P&amp;L'!$D$40)</f>
        <v>#REF!</v>
      </c>
      <c r="V249" s="85" t="str">
        <f>(V102*'Data - P&amp;L'!$D$38)+(V110*'Data - P&amp;L'!$D$39)+(#REF!*'Data - P&amp;L'!$D$40)</f>
        <v>#REF!</v>
      </c>
      <c r="W249" s="85" t="str">
        <f>(W102*'Data - P&amp;L'!$D$38)+(W110*'Data - P&amp;L'!$D$39)+(#REF!*'Data - P&amp;L'!$D$40)</f>
        <v>#REF!</v>
      </c>
      <c r="X249" s="85" t="str">
        <f>(X102*'Data - P&amp;L'!$D$38)+(X110*'Data - P&amp;L'!$D$39)+(#REF!*'Data - P&amp;L'!$D$40)</f>
        <v>#REF!</v>
      </c>
      <c r="Y249" s="85" t="str">
        <f>(Y102*'Data - P&amp;L'!$D$38)+(Y110*'Data - P&amp;L'!$D$39)+(#REF!*'Data - P&amp;L'!$D$40)</f>
        <v>#REF!</v>
      </c>
      <c r="Z249" s="85" t="str">
        <f>(Z102*'Data - P&amp;L'!$D$38)+(Z110*'Data - P&amp;L'!$D$39)+(#REF!*'Data - P&amp;L'!$D$40)</f>
        <v>#REF!</v>
      </c>
      <c r="AA249" s="85" t="str">
        <f>(AA102*'Data - P&amp;L'!$D$38)+(AA110*'Data - P&amp;L'!$D$39)+(#REF!*'Data - P&amp;L'!$D$40)</f>
        <v>#REF!</v>
      </c>
      <c r="AB249" s="85" t="str">
        <f>(AB102*'Data - P&amp;L'!$D$38)+(AB110*'Data - P&amp;L'!$D$39)+(#REF!*'Data - P&amp;L'!$D$40)</f>
        <v>#REF!</v>
      </c>
      <c r="AC249" s="85" t="str">
        <f>(AC102*'Data - P&amp;L'!$D$38)+(AC110*'Data - P&amp;L'!$D$39)+(#REF!*'Data - P&amp;L'!$D$40)</f>
        <v>#REF!</v>
      </c>
      <c r="AD249" s="85" t="str">
        <f>(AD102*'Data - P&amp;L'!$D$38)+(AD110*'Data - P&amp;L'!$D$39)+(#REF!*'Data - P&amp;L'!$D$40)</f>
        <v>#REF!</v>
      </c>
      <c r="AE249" s="85" t="str">
        <f>(AE102*'Data - P&amp;L'!$D$38)+(AE110*'Data - P&amp;L'!$D$39)+(#REF!*'Data - P&amp;L'!$D$40)</f>
        <v>#REF!</v>
      </c>
      <c r="AF249" s="85" t="str">
        <f>(AF102*'Data - P&amp;L'!$D$38)+(AF110*'Data - P&amp;L'!$D$39)+(#REF!*'Data - P&amp;L'!$D$40)</f>
        <v>#REF!</v>
      </c>
      <c r="AG249" s="836" t="str">
        <f t="shared" si="81"/>
        <v>#REF!</v>
      </c>
    </row>
    <row r="250" hidden="1" outlineLevel="1">
      <c r="A250" s="846" t="s">
        <v>1315</v>
      </c>
      <c r="B250" s="85" t="str">
        <f>(B102*'Data - P&amp;L'!$D$23)+(B110*'Data - P&amp;L'!$D$24)+(#REF!*'Data - P&amp;L'!$D$25)</f>
        <v>#REF!</v>
      </c>
      <c r="C250" s="85" t="str">
        <f>(C102*'Data - P&amp;L'!$D$23)+(C110*'Data - P&amp;L'!$D$24)+(#REF!*'Data - P&amp;L'!$D$25)</f>
        <v>#REF!</v>
      </c>
      <c r="D250" s="85" t="str">
        <f>(D102*'Data - P&amp;L'!$D$23)+(D110*'Data - P&amp;L'!$D$24)+(#REF!*'Data - P&amp;L'!$D$25)</f>
        <v>#REF!</v>
      </c>
      <c r="E250" s="85" t="str">
        <f>(E102*'Data - P&amp;L'!$D$23)+(E110*'Data - P&amp;L'!$D$24)+(#REF!*'Data - P&amp;L'!$D$25)</f>
        <v>#REF!</v>
      </c>
      <c r="F250" s="85" t="str">
        <f>(F102*'Data - P&amp;L'!$D$23)+(F110*'Data - P&amp;L'!$D$24)+(#REF!*'Data - P&amp;L'!$D$25)</f>
        <v>#REF!</v>
      </c>
      <c r="G250" s="85" t="str">
        <f>(G102*'Data - P&amp;L'!$D$23)+(G110*'Data - P&amp;L'!$D$24)+(#REF!*'Data - P&amp;L'!$D$25)</f>
        <v>#REF!</v>
      </c>
      <c r="H250" s="85" t="str">
        <f>(H102*'Data - P&amp;L'!$D$23)+(H110*'Data - P&amp;L'!$D$24)+(#REF!*'Data - P&amp;L'!$D$25)</f>
        <v>#REF!</v>
      </c>
      <c r="I250" s="85" t="str">
        <f>(I102*'Data - P&amp;L'!$D$23)+(I110*'Data - P&amp;L'!$D$24)+(#REF!*'Data - P&amp;L'!$D$25)</f>
        <v>#REF!</v>
      </c>
      <c r="J250" s="85" t="str">
        <f>(J102*'Data - P&amp;L'!$D$23)+(J110*'Data - P&amp;L'!$D$24)+(#REF!*'Data - P&amp;L'!$D$25)</f>
        <v>#REF!</v>
      </c>
      <c r="K250" s="85" t="str">
        <f>(K102*'Data - P&amp;L'!$D$23)+(K110*'Data - P&amp;L'!$D$24)+(#REF!*'Data - P&amp;L'!$D$25)</f>
        <v>#REF!</v>
      </c>
      <c r="L250" s="85" t="str">
        <f>(L102*'Data - P&amp;L'!$D$23)+(L110*'Data - P&amp;L'!$D$24)+(#REF!*'Data - P&amp;L'!$D$25)</f>
        <v>#REF!</v>
      </c>
      <c r="M250" s="85" t="str">
        <f>(M102*'Data - P&amp;L'!$D$23)+(M110*'Data - P&amp;L'!$D$24)+(#REF!*'Data - P&amp;L'!$D$25)</f>
        <v>#REF!</v>
      </c>
      <c r="N250" s="85" t="str">
        <f>(N102*'Data - P&amp;L'!$D$23)+(N110*'Data - P&amp;L'!$D$24)+(#REF!*'Data - P&amp;L'!$D$25)</f>
        <v>#REF!</v>
      </c>
      <c r="O250" s="85" t="str">
        <f>(O102*'Data - P&amp;L'!$D$23)+(O110*'Data - P&amp;L'!$D$24)+(#REF!*'Data - P&amp;L'!$D$25)</f>
        <v>#REF!</v>
      </c>
      <c r="P250" s="85" t="str">
        <f>(P102*'Data - P&amp;L'!$D$23)+(P110*'Data - P&amp;L'!$D$24)+(#REF!*'Data - P&amp;L'!$D$25)</f>
        <v>#REF!</v>
      </c>
      <c r="Q250" s="85" t="str">
        <f>(Q102*'Data - P&amp;L'!$D$23)+(Q110*'Data - P&amp;L'!$D$24)+(#REF!*'Data - P&amp;L'!$D$25)</f>
        <v>#REF!</v>
      </c>
      <c r="R250" s="85" t="str">
        <f>(R102*'Data - P&amp;L'!$D$23)+(R110*'Data - P&amp;L'!$D$24)+(#REF!*'Data - P&amp;L'!$D$25)</f>
        <v>#REF!</v>
      </c>
      <c r="S250" s="85" t="str">
        <f>(S102*'Data - P&amp;L'!$D$23)+(S110*'Data - P&amp;L'!$D$24)+(#REF!*'Data - P&amp;L'!$D$25)</f>
        <v>#REF!</v>
      </c>
      <c r="T250" s="85" t="str">
        <f>(T102*'Data - P&amp;L'!$D$23)+(T110*'Data - P&amp;L'!$D$24)+(#REF!*'Data - P&amp;L'!$D$25)</f>
        <v>#REF!</v>
      </c>
      <c r="U250" s="85" t="str">
        <f>(U102*'Data - P&amp;L'!$D$23)+(U110*'Data - P&amp;L'!$D$24)+(#REF!*'Data - P&amp;L'!$D$25)</f>
        <v>#REF!</v>
      </c>
      <c r="V250" s="85" t="str">
        <f>(V102*'Data - P&amp;L'!$D$23)+(V110*'Data - P&amp;L'!$D$24)+(#REF!*'Data - P&amp;L'!$D$25)</f>
        <v>#REF!</v>
      </c>
      <c r="W250" s="85" t="str">
        <f>(W102*'Data - P&amp;L'!$D$23)+(W110*'Data - P&amp;L'!$D$24)+(#REF!*'Data - P&amp;L'!$D$25)</f>
        <v>#REF!</v>
      </c>
      <c r="X250" s="85" t="str">
        <f>(X102*'Data - P&amp;L'!$D$23)+(X110*'Data - P&amp;L'!$D$24)+(#REF!*'Data - P&amp;L'!$D$25)</f>
        <v>#REF!</v>
      </c>
      <c r="Y250" s="85" t="str">
        <f>(Y102*'Data - P&amp;L'!$D$23)+(Y110*'Data - P&amp;L'!$D$24)+(#REF!*'Data - P&amp;L'!$D$25)</f>
        <v>#REF!</v>
      </c>
      <c r="Z250" s="85" t="str">
        <f>(Z102*'Data - P&amp;L'!$D$23)+(Z110*'Data - P&amp;L'!$D$24)+(#REF!*'Data - P&amp;L'!$D$25)</f>
        <v>#REF!</v>
      </c>
      <c r="AA250" s="85" t="str">
        <f>(AA102*'Data - P&amp;L'!$D$23)+(AA110*'Data - P&amp;L'!$D$24)+(#REF!*'Data - P&amp;L'!$D$25)</f>
        <v>#REF!</v>
      </c>
      <c r="AB250" s="85" t="str">
        <f>(AB102*'Data - P&amp;L'!$D$23)+(AB110*'Data - P&amp;L'!$D$24)+(#REF!*'Data - P&amp;L'!$D$25)</f>
        <v>#REF!</v>
      </c>
      <c r="AC250" s="85" t="str">
        <f>(AC102*'Data - P&amp;L'!$D$23)+(AC110*'Data - P&amp;L'!$D$24)+(#REF!*'Data - P&amp;L'!$D$25)</f>
        <v>#REF!</v>
      </c>
      <c r="AD250" s="85" t="str">
        <f>(AD102*'Data - P&amp;L'!$D$23)+(AD110*'Data - P&amp;L'!$D$24)+(#REF!*'Data - P&amp;L'!$D$25)</f>
        <v>#REF!</v>
      </c>
      <c r="AE250" s="85" t="str">
        <f>(AE102*'Data - P&amp;L'!$D$23)+(AE110*'Data - P&amp;L'!$D$24)+(#REF!*'Data - P&amp;L'!$D$25)</f>
        <v>#REF!</v>
      </c>
      <c r="AF250" s="85" t="str">
        <f>(AF102*'Data - P&amp;L'!$D$23)+(AF110*'Data - P&amp;L'!$D$24)+(#REF!*'Data - P&amp;L'!$D$25)</f>
        <v>#REF!</v>
      </c>
      <c r="AG250" s="836" t="str">
        <f t="shared" si="81"/>
        <v>#REF!</v>
      </c>
    </row>
    <row r="251" hidden="1" outlineLevel="1">
      <c r="A251" s="374" t="s">
        <v>1320</v>
      </c>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36">
        <f t="shared" si="81"/>
        <v>0</v>
      </c>
    </row>
    <row r="252" hidden="1" outlineLevel="1">
      <c r="A252" s="374" t="s">
        <v>1322</v>
      </c>
      <c r="B252" s="204">
        <f>(B94+B95)*'Data - P&amp;L'!$C$28</f>
        <v>0.3</v>
      </c>
      <c r="C252" s="204">
        <f>(C94+C95)*'Data - P&amp;L'!$C$28</f>
        <v>0</v>
      </c>
      <c r="D252" s="204">
        <f>(D94+D95)*'Data - P&amp;L'!$C$28</f>
        <v>0.2</v>
      </c>
      <c r="E252" s="204">
        <f>(E94+E95)*'Data - P&amp;L'!$C$28</f>
        <v>0.1</v>
      </c>
      <c r="F252" s="204">
        <f>(F94+F95)*'Data - P&amp;L'!$C$28</f>
        <v>0.1</v>
      </c>
      <c r="G252" s="204">
        <f>(G94+G95)*'Data - P&amp;L'!$C$28</f>
        <v>-0.2</v>
      </c>
      <c r="H252" s="204">
        <f>(H94+H95)*'Data - P&amp;L'!$C$28</f>
        <v>0.4</v>
      </c>
      <c r="I252" s="204">
        <f>(I94+I95)*'Data - P&amp;L'!$C$28</f>
        <v>1.1</v>
      </c>
      <c r="J252" s="204">
        <f>(J94+J95)*'Data - P&amp;L'!$C$28</f>
        <v>0.3</v>
      </c>
      <c r="K252" s="204">
        <f>(K94+K95)*'Data - P&amp;L'!$C$28</f>
        <v>0.2</v>
      </c>
      <c r="L252" s="204">
        <f>(L94+L95)*'Data - P&amp;L'!$C$28</f>
        <v>0.5</v>
      </c>
      <c r="M252" s="204">
        <f>(M94+M95)*'Data - P&amp;L'!$C$28</f>
        <v>6.8</v>
      </c>
      <c r="N252" s="204">
        <f>(N94+N95)*'Data - P&amp;L'!$C$28</f>
        <v>1.7</v>
      </c>
      <c r="O252" s="204">
        <f>(O94+O95)*'Data - P&amp;L'!$C$28</f>
        <v>0</v>
      </c>
      <c r="P252" s="204">
        <f>(P94+P95)*'Data - P&amp;L'!$C$28</f>
        <v>0</v>
      </c>
      <c r="Q252" s="204">
        <f>(Q94+Q95)*'Data - P&amp;L'!$C$28</f>
        <v>0</v>
      </c>
      <c r="R252" s="204">
        <f>(R94+R95)*'Data - P&amp;L'!$C$28</f>
        <v>0.2</v>
      </c>
      <c r="S252" s="204">
        <f>(S94+S95)*'Data - P&amp;L'!$C$28</f>
        <v>0.2</v>
      </c>
      <c r="T252" s="204">
        <f>(T94+T95)*'Data - P&amp;L'!$C$28</f>
        <v>0</v>
      </c>
      <c r="U252" s="204">
        <f>(U94+U95)*'Data - P&amp;L'!$C$28</f>
        <v>0</v>
      </c>
      <c r="V252" s="204">
        <f>(V94+V95)*'Data - P&amp;L'!$C$28</f>
        <v>-0.1</v>
      </c>
      <c r="W252" s="204">
        <f>(W94+W95)*'Data - P&amp;L'!$C$28</f>
        <v>0</v>
      </c>
      <c r="X252" s="204">
        <f>(X94+X95)*'Data - P&amp;L'!$C$28</f>
        <v>0</v>
      </c>
      <c r="Y252" s="204">
        <f>(Y94+Y95)*'Data - P&amp;L'!$C$28</f>
        <v>-0.1</v>
      </c>
      <c r="Z252" s="204">
        <f>(Z94+Z95)*'Data - P&amp;L'!$C$28</f>
        <v>0</v>
      </c>
      <c r="AA252" s="204">
        <f>(AA94+AA95)*'Data - P&amp;L'!$C$28</f>
        <v>0</v>
      </c>
      <c r="AB252" s="204">
        <f>(AB94+AB95)*'Data - P&amp;L'!$C$28</f>
        <v>0</v>
      </c>
      <c r="AC252" s="204">
        <f>(AC94+AC95)*'Data - P&amp;L'!$C$28</f>
        <v>0</v>
      </c>
      <c r="AD252" s="204">
        <f>(AD94+AD95)*'Data - P&amp;L'!$C$28</f>
        <v>0</v>
      </c>
      <c r="AE252" s="204">
        <f>(AE94+AE95)*'Data - P&amp;L'!$C$28</f>
        <v>0</v>
      </c>
      <c r="AF252" s="204">
        <f>(AF94+AF95)*'Data - P&amp;L'!$C$28</f>
        <v>0</v>
      </c>
      <c r="AG252" s="836">
        <f t="shared" si="81"/>
        <v>11.7</v>
      </c>
    </row>
    <row r="253" hidden="1" outlineLevel="1">
      <c r="A253" s="374" t="s">
        <v>1323</v>
      </c>
      <c r="B253" s="204">
        <f>(B94+B95)*'Data - P&amp;L'!$C$29</f>
        <v>0.93</v>
      </c>
      <c r="C253" s="204">
        <f>(C94+C95)*'Data - P&amp;L'!$C$29</f>
        <v>0</v>
      </c>
      <c r="D253" s="204">
        <f>(D94+D95)*'Data - P&amp;L'!$C$29</f>
        <v>0.62</v>
      </c>
      <c r="E253" s="204">
        <f>(E94+E95)*'Data - P&amp;L'!$C$29</f>
        <v>0.31</v>
      </c>
      <c r="F253" s="204">
        <f>(F94+F95)*'Data - P&amp;L'!$C$29</f>
        <v>0.31</v>
      </c>
      <c r="G253" s="204">
        <f>(G94+G95)*'Data - P&amp;L'!$C$29</f>
        <v>-0.62</v>
      </c>
      <c r="H253" s="204">
        <f>(H94+H95)*'Data - P&amp;L'!$C$29</f>
        <v>1.24</v>
      </c>
      <c r="I253" s="204">
        <f>(I94+I95)*'Data - P&amp;L'!$C$29</f>
        <v>3.41</v>
      </c>
      <c r="J253" s="204">
        <f>(J94+J95)*'Data - P&amp;L'!$C$29</f>
        <v>0.93</v>
      </c>
      <c r="K253" s="204">
        <f>(K94+K95)*'Data - P&amp;L'!$C$29</f>
        <v>0.62</v>
      </c>
      <c r="L253" s="204">
        <f>(L94+L95)*'Data - P&amp;L'!$C$29</f>
        <v>1.55</v>
      </c>
      <c r="M253" s="204">
        <f>(M94+M95)*'Data - P&amp;L'!$C$29</f>
        <v>21.08</v>
      </c>
      <c r="N253" s="204">
        <f>(N94+N95)*'Data - P&amp;L'!$C$29</f>
        <v>5.27</v>
      </c>
      <c r="O253" s="204">
        <f>(O94+O95)*'Data - P&amp;L'!$C$29</f>
        <v>0</v>
      </c>
      <c r="P253" s="204">
        <f>(P94+P95)*'Data - P&amp;L'!$C$29</f>
        <v>0</v>
      </c>
      <c r="Q253" s="204">
        <f>(Q94+Q95)*'Data - P&amp;L'!$C$29</f>
        <v>0</v>
      </c>
      <c r="R253" s="204">
        <f>(R94+R95)*'Data - P&amp;L'!$C$29</f>
        <v>0.62</v>
      </c>
      <c r="S253" s="204">
        <f>(S94+S95)*'Data - P&amp;L'!$C$29</f>
        <v>0.62</v>
      </c>
      <c r="T253" s="204">
        <f>(T94+T95)*'Data - P&amp;L'!$C$29</f>
        <v>0</v>
      </c>
      <c r="U253" s="204">
        <f>(U94+U95)*'Data - P&amp;L'!$C$29</f>
        <v>0</v>
      </c>
      <c r="V253" s="204">
        <f>(V94+V95)*'Data - P&amp;L'!$C$29</f>
        <v>-0.31</v>
      </c>
      <c r="W253" s="204">
        <f>(W94+W95)*'Data - P&amp;L'!$C$29</f>
        <v>0</v>
      </c>
      <c r="X253" s="204">
        <f>(X94+X95)*'Data - P&amp;L'!$C$29</f>
        <v>0</v>
      </c>
      <c r="Y253" s="204">
        <f>(Y94+Y95)*'Data - P&amp;L'!$C$29</f>
        <v>-0.31</v>
      </c>
      <c r="Z253" s="204">
        <f>(Z94+Z95)*'Data - P&amp;L'!$C$29</f>
        <v>0</v>
      </c>
      <c r="AA253" s="204">
        <f>(AA94+AA95)*'Data - P&amp;L'!$C$29</f>
        <v>0</v>
      </c>
      <c r="AB253" s="204">
        <f>(AB94+AB95)*'Data - P&amp;L'!$C$29</f>
        <v>0</v>
      </c>
      <c r="AC253" s="204">
        <f>(AC94+AC95)*'Data - P&amp;L'!$C$29</f>
        <v>0</v>
      </c>
      <c r="AD253" s="204">
        <f>(AD94+AD95)*'Data - P&amp;L'!$C$29</f>
        <v>0</v>
      </c>
      <c r="AE253" s="204">
        <f>(AE94+AE95)*'Data - P&amp;L'!$C$29</f>
        <v>0</v>
      </c>
      <c r="AF253" s="204">
        <f>(AF94+AF95)*'Data - P&amp;L'!$C$29</f>
        <v>0</v>
      </c>
      <c r="AG253" s="836">
        <f t="shared" si="81"/>
        <v>36.27</v>
      </c>
    </row>
    <row r="254" hidden="1" outlineLevel="1">
      <c r="A254" s="374" t="s">
        <v>1324</v>
      </c>
      <c r="B254" s="204">
        <f>(B94+B95)*'Data - P&amp;L'!$C$30</f>
        <v>0</v>
      </c>
      <c r="C254" s="204">
        <f>(C94+C95)*'Data - P&amp;L'!$C$30</f>
        <v>0</v>
      </c>
      <c r="D254" s="204">
        <f>(D94+D95)*'Data - P&amp;L'!$C$30</f>
        <v>0</v>
      </c>
      <c r="E254" s="204">
        <f>(E94+E95)*'Data - P&amp;L'!$C$30</f>
        <v>0</v>
      </c>
      <c r="F254" s="204">
        <f>(F94+F95)*'Data - P&amp;L'!$C$30</f>
        <v>0</v>
      </c>
      <c r="G254" s="204">
        <f>(G94+G95)*'Data - P&amp;L'!$C$30</f>
        <v>0</v>
      </c>
      <c r="H254" s="204">
        <f>(H94+H95)*'Data - P&amp;L'!$C$30</f>
        <v>0</v>
      </c>
      <c r="I254" s="204">
        <f>(I94+I95)*'Data - P&amp;L'!$C$30</f>
        <v>0</v>
      </c>
      <c r="J254" s="204">
        <f>(J94+J95)*'Data - P&amp;L'!$C$30</f>
        <v>0</v>
      </c>
      <c r="K254" s="204">
        <f>(K94+K95)*'Data - P&amp;L'!$C$30</f>
        <v>0</v>
      </c>
      <c r="L254" s="204">
        <f>(L94+L95)*'Data - P&amp;L'!$C$30</f>
        <v>0</v>
      </c>
      <c r="M254" s="204">
        <f>(M94+M95)*'Data - P&amp;L'!$C$30</f>
        <v>0</v>
      </c>
      <c r="N254" s="204">
        <f>(N94+N95)*'Data - P&amp;L'!$C$30</f>
        <v>0</v>
      </c>
      <c r="O254" s="204">
        <f>(O94+O95)*'Data - P&amp;L'!$C$30</f>
        <v>0</v>
      </c>
      <c r="P254" s="204">
        <f>(P94+P95)*'Data - P&amp;L'!$C$30</f>
        <v>0</v>
      </c>
      <c r="Q254" s="204">
        <f>(Q94+Q95)*'Data - P&amp;L'!$C$30</f>
        <v>0</v>
      </c>
      <c r="R254" s="204">
        <f>(R94+R95)*'Data - P&amp;L'!$C$30</f>
        <v>0</v>
      </c>
      <c r="S254" s="204">
        <f>(S94+S95)*'Data - P&amp;L'!$C$30</f>
        <v>0</v>
      </c>
      <c r="T254" s="204">
        <f>(T94+T95)*'Data - P&amp;L'!$C$30</f>
        <v>0</v>
      </c>
      <c r="U254" s="204">
        <f>(U94+U95)*'Data - P&amp;L'!$C$30</f>
        <v>0</v>
      </c>
      <c r="V254" s="204">
        <f>(V94+V95)*'Data - P&amp;L'!$C$30</f>
        <v>0</v>
      </c>
      <c r="W254" s="204">
        <f>(W94+W95)*'Data - P&amp;L'!$C$30</f>
        <v>0</v>
      </c>
      <c r="X254" s="204">
        <f>(X94+X95)*'Data - P&amp;L'!$C$30</f>
        <v>0</v>
      </c>
      <c r="Y254" s="204">
        <f>(Y94+Y95)*'Data - P&amp;L'!$C$30</f>
        <v>0</v>
      </c>
      <c r="Z254" s="204">
        <f>(Z94+Z95)*'Data - P&amp;L'!$C$30</f>
        <v>0</v>
      </c>
      <c r="AA254" s="204">
        <f>(AA94+AA95)*'Data - P&amp;L'!$C$30</f>
        <v>0</v>
      </c>
      <c r="AB254" s="204">
        <f>(AB94+AB95)*'Data - P&amp;L'!$C$30</f>
        <v>0</v>
      </c>
      <c r="AC254" s="204">
        <f>(AC94+AC95)*'Data - P&amp;L'!$C$30</f>
        <v>0</v>
      </c>
      <c r="AD254" s="204">
        <f>(AD94+AD95)*'Data - P&amp;L'!$C$30</f>
        <v>0</v>
      </c>
      <c r="AE254" s="204">
        <f>(AE94+AE95)*'Data - P&amp;L'!$C$30</f>
        <v>0</v>
      </c>
      <c r="AF254" s="204">
        <f>(AF94+AF95)*'Data - P&amp;L'!$C$30</f>
        <v>0</v>
      </c>
      <c r="AG254" s="836">
        <f t="shared" si="81"/>
        <v>0</v>
      </c>
    </row>
    <row r="255" hidden="1" outlineLevel="1">
      <c r="A255" s="374" t="s">
        <v>1325</v>
      </c>
      <c r="B255" s="204">
        <f>(B94+B95)*'Data - P&amp;L'!$C$31</f>
        <v>1.05</v>
      </c>
      <c r="C255" s="204">
        <f>(C94+C95)*'Data - P&amp;L'!$C$31</f>
        <v>0</v>
      </c>
      <c r="D255" s="204">
        <f>(D94+D95)*'Data - P&amp;L'!$C$31</f>
        <v>0.7</v>
      </c>
      <c r="E255" s="204">
        <f>(E94+E95)*'Data - P&amp;L'!$C$31</f>
        <v>0.35</v>
      </c>
      <c r="F255" s="204">
        <f>(F94+F95)*'Data - P&amp;L'!$C$31</f>
        <v>0.35</v>
      </c>
      <c r="G255" s="204">
        <f>(G94+G95)*'Data - P&amp;L'!$C$31</f>
        <v>-0.7</v>
      </c>
      <c r="H255" s="204">
        <f>(H94+H95)*'Data - P&amp;L'!$C$31</f>
        <v>1.4</v>
      </c>
      <c r="I255" s="204">
        <f>(I94+I95)*'Data - P&amp;L'!$C$31</f>
        <v>3.85</v>
      </c>
      <c r="J255" s="204">
        <f>(J94+J95)*'Data - P&amp;L'!$C$31</f>
        <v>1.05</v>
      </c>
      <c r="K255" s="204">
        <f>(K94+K95)*'Data - P&amp;L'!$C$31</f>
        <v>0.7</v>
      </c>
      <c r="L255" s="204">
        <f>(L94+L95)*'Data - P&amp;L'!$C$31</f>
        <v>1.75</v>
      </c>
      <c r="M255" s="204">
        <f>(M94+M95)*'Data - P&amp;L'!$C$31</f>
        <v>23.8</v>
      </c>
      <c r="N255" s="204">
        <f>(N94+N95)*'Data - P&amp;L'!$C$31</f>
        <v>5.95</v>
      </c>
      <c r="O255" s="204">
        <f>(O94+O95)*'Data - P&amp;L'!$C$31</f>
        <v>0</v>
      </c>
      <c r="P255" s="204">
        <f>(P94+P95)*'Data - P&amp;L'!$C$31</f>
        <v>0</v>
      </c>
      <c r="Q255" s="204">
        <f>(Q94+Q95)*'Data - P&amp;L'!$C$31</f>
        <v>0</v>
      </c>
      <c r="R255" s="204">
        <f>(R94+R95)*'Data - P&amp;L'!$C$31</f>
        <v>0.7</v>
      </c>
      <c r="S255" s="204">
        <f>(S94+S95)*'Data - P&amp;L'!$C$31</f>
        <v>0.7</v>
      </c>
      <c r="T255" s="204">
        <f>(T94+T95)*'Data - P&amp;L'!$C$31</f>
        <v>0</v>
      </c>
      <c r="U255" s="204">
        <f>(U94+U95)*'Data - P&amp;L'!$C$31</f>
        <v>0</v>
      </c>
      <c r="V255" s="204">
        <f>(V94+V95)*'Data - P&amp;L'!$C$31</f>
        <v>-0.35</v>
      </c>
      <c r="W255" s="204">
        <f>(W94+W95)*'Data - P&amp;L'!$C$31</f>
        <v>0</v>
      </c>
      <c r="X255" s="204">
        <f>(X94+X95)*'Data - P&amp;L'!$C$31</f>
        <v>0</v>
      </c>
      <c r="Y255" s="204">
        <f>(Y94+Y95)*'Data - P&amp;L'!$C$31</f>
        <v>-0.35</v>
      </c>
      <c r="Z255" s="204">
        <f>(Z94+Z95)*'Data - P&amp;L'!$C$31</f>
        <v>0</v>
      </c>
      <c r="AA255" s="204">
        <f>(AA94+AA95)*'Data - P&amp;L'!$C$31</f>
        <v>0</v>
      </c>
      <c r="AB255" s="204">
        <f>(AB94+AB95)*'Data - P&amp;L'!$C$31</f>
        <v>0</v>
      </c>
      <c r="AC255" s="204">
        <f>(AC94+AC95)*'Data - P&amp;L'!$C$31</f>
        <v>0</v>
      </c>
      <c r="AD255" s="204">
        <f>(AD94+AD95)*'Data - P&amp;L'!$C$31</f>
        <v>0</v>
      </c>
      <c r="AE255" s="204">
        <f>(AE94+AE95)*'Data - P&amp;L'!$C$31</f>
        <v>0</v>
      </c>
      <c r="AF255" s="204">
        <f>(AF94+AF95)*'Data - P&amp;L'!$C$31</f>
        <v>0</v>
      </c>
      <c r="AG255" s="836">
        <f t="shared" si="81"/>
        <v>40.95</v>
      </c>
    </row>
    <row r="256" hidden="1" outlineLevel="1">
      <c r="A256" s="374" t="s">
        <v>1326</v>
      </c>
      <c r="B256" s="204">
        <f>(B94+B95)*'Data - P&amp;L'!$C$32</f>
        <v>0</v>
      </c>
      <c r="C256" s="204">
        <f>(C94+C95)*'Data - P&amp;L'!$C$32</f>
        <v>0</v>
      </c>
      <c r="D256" s="204">
        <f>(D94+D95)*'Data - P&amp;L'!$C$32</f>
        <v>0</v>
      </c>
      <c r="E256" s="204">
        <f>(E94+E95)*'Data - P&amp;L'!$C$32</f>
        <v>0</v>
      </c>
      <c r="F256" s="204">
        <f>(F94+F95)*'Data - P&amp;L'!$C$32</f>
        <v>0</v>
      </c>
      <c r="G256" s="204">
        <f>(G94+G95)*'Data - P&amp;L'!$C$32</f>
        <v>0</v>
      </c>
      <c r="H256" s="204">
        <f>(H94+H95)*'Data - P&amp;L'!$C$32</f>
        <v>0</v>
      </c>
      <c r="I256" s="204">
        <f>(I94+I95)*'Data - P&amp;L'!$C$32</f>
        <v>0</v>
      </c>
      <c r="J256" s="204">
        <f>(J94+J95)*'Data - P&amp;L'!$C$32</f>
        <v>0</v>
      </c>
      <c r="K256" s="204">
        <f>(K94+K95)*'Data - P&amp;L'!$C$32</f>
        <v>0</v>
      </c>
      <c r="L256" s="204">
        <f>(L94+L95)*'Data - P&amp;L'!$C$32</f>
        <v>0</v>
      </c>
      <c r="M256" s="204">
        <f>(M94+M95)*'Data - P&amp;L'!$C$32</f>
        <v>0</v>
      </c>
      <c r="N256" s="204">
        <f>(N94+N95)*'Data - P&amp;L'!$C$32</f>
        <v>0</v>
      </c>
      <c r="O256" s="204">
        <f>(O94+O95)*'Data - P&amp;L'!$C$32</f>
        <v>0</v>
      </c>
      <c r="P256" s="204">
        <f>(P94+P95)*'Data - P&amp;L'!$C$32</f>
        <v>0</v>
      </c>
      <c r="Q256" s="204">
        <f>(Q94+Q95)*'Data - P&amp;L'!$C$32</f>
        <v>0</v>
      </c>
      <c r="R256" s="204">
        <f>(R94+R95)*'Data - P&amp;L'!$C$32</f>
        <v>0</v>
      </c>
      <c r="S256" s="204">
        <f>(S94+S95)*'Data - P&amp;L'!$C$32</f>
        <v>0</v>
      </c>
      <c r="T256" s="204">
        <f>(T94+T95)*'Data - P&amp;L'!$C$32</f>
        <v>0</v>
      </c>
      <c r="U256" s="204">
        <f>(U94+U95)*'Data - P&amp;L'!$C$32</f>
        <v>0</v>
      </c>
      <c r="V256" s="204">
        <f>(V94+V95)*'Data - P&amp;L'!$C$32</f>
        <v>0</v>
      </c>
      <c r="W256" s="204">
        <f>(W94+W95)*'Data - P&amp;L'!$C$32</f>
        <v>0</v>
      </c>
      <c r="X256" s="204">
        <f>(X94+X95)*'Data - P&amp;L'!$C$32</f>
        <v>0</v>
      </c>
      <c r="Y256" s="204">
        <f>(Y94+Y95)*'Data - P&amp;L'!$C$32</f>
        <v>0</v>
      </c>
      <c r="Z256" s="204">
        <f>(Z94+Z95)*'Data - P&amp;L'!$C$32</f>
        <v>0</v>
      </c>
      <c r="AA256" s="204">
        <f>(AA94+AA95)*'Data - P&amp;L'!$C$32</f>
        <v>0</v>
      </c>
      <c r="AB256" s="204">
        <f>(AB94+AB95)*'Data - P&amp;L'!$C$32</f>
        <v>0</v>
      </c>
      <c r="AC256" s="204">
        <f>(AC94+AC95)*'Data - P&amp;L'!$C$32</f>
        <v>0</v>
      </c>
      <c r="AD256" s="204">
        <f>(AD94+AD95)*'Data - P&amp;L'!$C$32</f>
        <v>0</v>
      </c>
      <c r="AE256" s="204">
        <f>(AE94+AE95)*'Data - P&amp;L'!$C$32</f>
        <v>0</v>
      </c>
      <c r="AF256" s="204">
        <f>(AF94+AF95)*'Data - P&amp;L'!$C$32</f>
        <v>0</v>
      </c>
      <c r="AG256" s="836">
        <f t="shared" si="81"/>
        <v>0</v>
      </c>
    </row>
    <row r="257" hidden="1" outlineLevel="1">
      <c r="A257" s="374" t="s">
        <v>1327</v>
      </c>
      <c r="B257" s="204">
        <f>(B94+B95)*'Data - P&amp;L'!$C$33</f>
        <v>4.95</v>
      </c>
      <c r="C257" s="204">
        <f>(C94+C95)*'Data - P&amp;L'!$C$33</f>
        <v>0</v>
      </c>
      <c r="D257" s="204">
        <f>(D94+D95)*'Data - P&amp;L'!$C$33</f>
        <v>3.3</v>
      </c>
      <c r="E257" s="204">
        <f>(E94+E95)*'Data - P&amp;L'!$C$33</f>
        <v>1.65</v>
      </c>
      <c r="F257" s="204">
        <f>(F94+F95)*'Data - P&amp;L'!$C$33</f>
        <v>1.65</v>
      </c>
      <c r="G257" s="204">
        <f>(G94+G95)*'Data - P&amp;L'!$C$33</f>
        <v>-3.3</v>
      </c>
      <c r="H257" s="204">
        <f>(H94+H95)*'Data - P&amp;L'!$C$33</f>
        <v>6.6</v>
      </c>
      <c r="I257" s="204">
        <f>(I94+I95)*'Data - P&amp;L'!$C$33</f>
        <v>18.15</v>
      </c>
      <c r="J257" s="204">
        <f>(J94+J95)*'Data - P&amp;L'!$C$33</f>
        <v>4.95</v>
      </c>
      <c r="K257" s="204">
        <f>(K94+K95)*'Data - P&amp;L'!$C$33</f>
        <v>3.3</v>
      </c>
      <c r="L257" s="204">
        <f>(L94+L95)*'Data - P&amp;L'!$C$33</f>
        <v>8.25</v>
      </c>
      <c r="M257" s="204">
        <f>(M94+M95)*'Data - P&amp;L'!$C$33</f>
        <v>112.2</v>
      </c>
      <c r="N257" s="204">
        <f>(N94+N95)*'Data - P&amp;L'!$C$33</f>
        <v>28.05</v>
      </c>
      <c r="O257" s="204">
        <f>(O94+O95)*'Data - P&amp;L'!$C$33</f>
        <v>0</v>
      </c>
      <c r="P257" s="204">
        <f>(P94+P95)*'Data - P&amp;L'!$C$33</f>
        <v>0</v>
      </c>
      <c r="Q257" s="204">
        <f>(Q94+Q95)*'Data - P&amp;L'!$C$33</f>
        <v>0</v>
      </c>
      <c r="R257" s="204">
        <f>(R94+R95)*'Data - P&amp;L'!$C$33</f>
        <v>3.3</v>
      </c>
      <c r="S257" s="204">
        <f>(S94+S95)*'Data - P&amp;L'!$C$33</f>
        <v>3.3</v>
      </c>
      <c r="T257" s="204">
        <f>(T94+T95)*'Data - P&amp;L'!$C$33</f>
        <v>0</v>
      </c>
      <c r="U257" s="204">
        <f>(U94+U95)*'Data - P&amp;L'!$C$33</f>
        <v>0</v>
      </c>
      <c r="V257" s="204">
        <f>(V94+V95)*'Data - P&amp;L'!$C$33</f>
        <v>-1.65</v>
      </c>
      <c r="W257" s="204">
        <f>(W94+W95)*'Data - P&amp;L'!$C$33</f>
        <v>0</v>
      </c>
      <c r="X257" s="204">
        <f>(X94+X95)*'Data - P&amp;L'!$C$33</f>
        <v>0</v>
      </c>
      <c r="Y257" s="204">
        <f>(Y94+Y95)*'Data - P&amp;L'!$C$33</f>
        <v>-1.65</v>
      </c>
      <c r="Z257" s="204">
        <f>(Z94+Z95)*'Data - P&amp;L'!$C$33</f>
        <v>0</v>
      </c>
      <c r="AA257" s="204">
        <f>(AA94+AA95)*'Data - P&amp;L'!$C$33</f>
        <v>0</v>
      </c>
      <c r="AB257" s="204">
        <f>(AB94+AB95)*'Data - P&amp;L'!$C$33</f>
        <v>0</v>
      </c>
      <c r="AC257" s="204">
        <f>(AC94+AC95)*'Data - P&amp;L'!$C$33</f>
        <v>0</v>
      </c>
      <c r="AD257" s="204">
        <f>(AD94+AD95)*'Data - P&amp;L'!$C$33</f>
        <v>0</v>
      </c>
      <c r="AE257" s="204">
        <f>(AE94+AE95)*'Data - P&amp;L'!$C$33</f>
        <v>0</v>
      </c>
      <c r="AF257" s="204">
        <f>(AF94+AF95)*'Data - P&amp;L'!$C$33</f>
        <v>0</v>
      </c>
      <c r="AG257" s="836">
        <f t="shared" si="81"/>
        <v>193.05</v>
      </c>
    </row>
    <row r="258" hidden="1" outlineLevel="1">
      <c r="A258" s="374" t="s">
        <v>1329</v>
      </c>
      <c r="B258" s="85" t="str">
        <f>(B102+B110+#REF!)*'Data - P&amp;L'!$D$28</f>
        <v>#REF!</v>
      </c>
      <c r="C258" s="85" t="str">
        <f>(C102+C110+#REF!)*'Data - P&amp;L'!$D$28</f>
        <v>#REF!</v>
      </c>
      <c r="D258" s="85" t="str">
        <f>(D102+D110+#REF!)*'Data - P&amp;L'!$D$28</f>
        <v>#REF!</v>
      </c>
      <c r="E258" s="85" t="str">
        <f>(E102+E110+#REF!)*'Data - P&amp;L'!$D$28</f>
        <v>#REF!</v>
      </c>
      <c r="F258" s="85" t="str">
        <f>(F102+F110+#REF!)*'Data - P&amp;L'!$D$28</f>
        <v>#REF!</v>
      </c>
      <c r="G258" s="85" t="str">
        <f>(G102+G110+#REF!)*'Data - P&amp;L'!$D$28</f>
        <v>#REF!</v>
      </c>
      <c r="H258" s="85" t="str">
        <f>(H102+H110+#REF!)*'Data - P&amp;L'!$D$28</f>
        <v>#REF!</v>
      </c>
      <c r="I258" s="85" t="str">
        <f>(I102+I110+#REF!)*'Data - P&amp;L'!$D$28</f>
        <v>#REF!</v>
      </c>
      <c r="J258" s="85" t="str">
        <f>(J102+J110+#REF!)*'Data - P&amp;L'!$D$28</f>
        <v>#REF!</v>
      </c>
      <c r="K258" s="85" t="str">
        <f>(K102+K110+#REF!)*'Data - P&amp;L'!$D$28</f>
        <v>#REF!</v>
      </c>
      <c r="L258" s="85" t="str">
        <f>(L102+L110+#REF!)*'Data - P&amp;L'!$D$28</f>
        <v>#REF!</v>
      </c>
      <c r="M258" s="85" t="str">
        <f>(M102+M110+#REF!)*'Data - P&amp;L'!$D$28</f>
        <v>#REF!</v>
      </c>
      <c r="N258" s="85" t="str">
        <f>(N102+N110+#REF!)*'Data - P&amp;L'!$D$28</f>
        <v>#REF!</v>
      </c>
      <c r="O258" s="85" t="str">
        <f>(O102+O110+#REF!)*'Data - P&amp;L'!$D$28</f>
        <v>#REF!</v>
      </c>
      <c r="P258" s="85" t="str">
        <f>(P102+P110+#REF!)*'Data - P&amp;L'!$D$28</f>
        <v>#REF!</v>
      </c>
      <c r="Q258" s="85" t="str">
        <f>(Q102+Q110+#REF!)*'Data - P&amp;L'!$D$28</f>
        <v>#REF!</v>
      </c>
      <c r="R258" s="85" t="str">
        <f>(R102+R110+#REF!)*'Data - P&amp;L'!$D$28</f>
        <v>#REF!</v>
      </c>
      <c r="S258" s="85" t="str">
        <f>(S102+S110+#REF!)*'Data - P&amp;L'!$D$28</f>
        <v>#REF!</v>
      </c>
      <c r="T258" s="85" t="str">
        <f>(T102+T110+#REF!)*'Data - P&amp;L'!$D$28</f>
        <v>#REF!</v>
      </c>
      <c r="U258" s="85" t="str">
        <f>(U102+U110+#REF!)*'Data - P&amp;L'!$D$28</f>
        <v>#REF!</v>
      </c>
      <c r="V258" s="85" t="str">
        <f>(V102+V110+#REF!)*'Data - P&amp;L'!$D$28</f>
        <v>#REF!</v>
      </c>
      <c r="W258" s="85" t="str">
        <f>(W102+W110+#REF!)*'Data - P&amp;L'!$D$28</f>
        <v>#REF!</v>
      </c>
      <c r="X258" s="85" t="str">
        <f>(X102+X110+#REF!)*'Data - P&amp;L'!$D$28</f>
        <v>#REF!</v>
      </c>
      <c r="Y258" s="85" t="str">
        <f>(Y102+Y110+#REF!)*'Data - P&amp;L'!$D$28</f>
        <v>#REF!</v>
      </c>
      <c r="Z258" s="85" t="str">
        <f>(Z102+Z110+#REF!)*'Data - P&amp;L'!$D$28</f>
        <v>#REF!</v>
      </c>
      <c r="AA258" s="85" t="str">
        <f>(AA102+AA110+#REF!)*'Data - P&amp;L'!$D$28</f>
        <v>#REF!</v>
      </c>
      <c r="AB258" s="85" t="str">
        <f>(AB102+AB110+#REF!)*'Data - P&amp;L'!$D$28</f>
        <v>#REF!</v>
      </c>
      <c r="AC258" s="85" t="str">
        <f>(AC102+AC110+#REF!)*'Data - P&amp;L'!$D$28</f>
        <v>#REF!</v>
      </c>
      <c r="AD258" s="85" t="str">
        <f>(AD102+AD110+#REF!)*'Data - P&amp;L'!$D$28</f>
        <v>#REF!</v>
      </c>
      <c r="AE258" s="85" t="str">
        <f>(AE102+AE110+#REF!)*'Data - P&amp;L'!$D$28</f>
        <v>#REF!</v>
      </c>
      <c r="AF258" s="85" t="str">
        <f>(AF102+AF110+#REF!)*'Data - P&amp;L'!$D$28</f>
        <v>#REF!</v>
      </c>
      <c r="AG258" s="836" t="str">
        <f t="shared" si="81"/>
        <v>#REF!</v>
      </c>
    </row>
    <row r="259" hidden="1" outlineLevel="1">
      <c r="A259" s="374" t="s">
        <v>1330</v>
      </c>
      <c r="B259" s="85" t="str">
        <f>(B102+B110+#REF!)*'Data - P&amp;L'!$D$29</f>
        <v>#REF!</v>
      </c>
      <c r="C259" s="85" t="str">
        <f>(C102+C110+#REF!)*'Data - P&amp;L'!$D$29</f>
        <v>#REF!</v>
      </c>
      <c r="D259" s="85" t="str">
        <f>(D102+D110+#REF!)*'Data - P&amp;L'!$D$29</f>
        <v>#REF!</v>
      </c>
      <c r="E259" s="85" t="str">
        <f>(E102+E110+#REF!)*'Data - P&amp;L'!$D$29</f>
        <v>#REF!</v>
      </c>
      <c r="F259" s="85" t="str">
        <f>(F102+F110+#REF!)*'Data - P&amp;L'!$D$29</f>
        <v>#REF!</v>
      </c>
      <c r="G259" s="85" t="str">
        <f>(G102+G110+#REF!)*'Data - P&amp;L'!$D$29</f>
        <v>#REF!</v>
      </c>
      <c r="H259" s="85" t="str">
        <f>(H102+H110+#REF!)*'Data - P&amp;L'!$D$29</f>
        <v>#REF!</v>
      </c>
      <c r="I259" s="85" t="str">
        <f>(I102+I110+#REF!)*'Data - P&amp;L'!$D$29</f>
        <v>#REF!</v>
      </c>
      <c r="J259" s="85" t="str">
        <f>(J102+J110+#REF!)*'Data - P&amp;L'!$D$29</f>
        <v>#REF!</v>
      </c>
      <c r="K259" s="85" t="str">
        <f>(K102+K110+#REF!)*'Data - P&amp;L'!$D$29</f>
        <v>#REF!</v>
      </c>
      <c r="L259" s="85" t="str">
        <f>(L102+L110+#REF!)*'Data - P&amp;L'!$D$29</f>
        <v>#REF!</v>
      </c>
      <c r="M259" s="85" t="str">
        <f>(M102+M110+#REF!)*'Data - P&amp;L'!$D$29</f>
        <v>#REF!</v>
      </c>
      <c r="N259" s="85" t="str">
        <f>(N102+N110+#REF!)*'Data - P&amp;L'!$D$29</f>
        <v>#REF!</v>
      </c>
      <c r="O259" s="85" t="str">
        <f>(O102+O110+#REF!)*'Data - P&amp;L'!$D$29</f>
        <v>#REF!</v>
      </c>
      <c r="P259" s="85" t="str">
        <f>(P102+P110+#REF!)*'Data - P&amp;L'!$D$29</f>
        <v>#REF!</v>
      </c>
      <c r="Q259" s="85" t="str">
        <f>(Q102+Q110+#REF!)*'Data - P&amp;L'!$D$29</f>
        <v>#REF!</v>
      </c>
      <c r="R259" s="85" t="str">
        <f>(R102+R110+#REF!)*'Data - P&amp;L'!$D$29</f>
        <v>#REF!</v>
      </c>
      <c r="S259" s="85" t="str">
        <f>(S102+S110+#REF!)*'Data - P&amp;L'!$D$29</f>
        <v>#REF!</v>
      </c>
      <c r="T259" s="85" t="str">
        <f>(T102+T110+#REF!)*'Data - P&amp;L'!$D$29</f>
        <v>#REF!</v>
      </c>
      <c r="U259" s="85" t="str">
        <f>(U102+U110+#REF!)*'Data - P&amp;L'!$D$29</f>
        <v>#REF!</v>
      </c>
      <c r="V259" s="85" t="str">
        <f>(V102+V110+#REF!)*'Data - P&amp;L'!$D$29</f>
        <v>#REF!</v>
      </c>
      <c r="W259" s="85" t="str">
        <f>(W102+W110+#REF!)*'Data - P&amp;L'!$D$29</f>
        <v>#REF!</v>
      </c>
      <c r="X259" s="85" t="str">
        <f>(X102+X110+#REF!)*'Data - P&amp;L'!$D$29</f>
        <v>#REF!</v>
      </c>
      <c r="Y259" s="85" t="str">
        <f>(Y102+Y110+#REF!)*'Data - P&amp;L'!$D$29</f>
        <v>#REF!</v>
      </c>
      <c r="Z259" s="85" t="str">
        <f>(Z102+Z110+#REF!)*'Data - P&amp;L'!$D$29</f>
        <v>#REF!</v>
      </c>
      <c r="AA259" s="85" t="str">
        <f>(AA102+AA110+#REF!)*'Data - P&amp;L'!$D$29</f>
        <v>#REF!</v>
      </c>
      <c r="AB259" s="85" t="str">
        <f>(AB102+AB110+#REF!)*'Data - P&amp;L'!$D$29</f>
        <v>#REF!</v>
      </c>
      <c r="AC259" s="85" t="str">
        <f>(AC102+AC110+#REF!)*'Data - P&amp;L'!$D$29</f>
        <v>#REF!</v>
      </c>
      <c r="AD259" s="85" t="str">
        <f>(AD102+AD110+#REF!)*'Data - P&amp;L'!$D$29</f>
        <v>#REF!</v>
      </c>
      <c r="AE259" s="85" t="str">
        <f>(AE102+AE110+#REF!)*'Data - P&amp;L'!$D$29</f>
        <v>#REF!</v>
      </c>
      <c r="AF259" s="85" t="str">
        <f>(AF102+AF110+#REF!)*'Data - P&amp;L'!$D$29</f>
        <v>#REF!</v>
      </c>
      <c r="AG259" s="836" t="str">
        <f t="shared" si="81"/>
        <v>#REF!</v>
      </c>
    </row>
    <row r="260" hidden="1" outlineLevel="1">
      <c r="A260" s="374" t="s">
        <v>1331</v>
      </c>
      <c r="B260" s="85" t="str">
        <f>(B102+B110+#REF!)*'Data - P&amp;L'!$D$30</f>
        <v>#REF!</v>
      </c>
      <c r="C260" s="85" t="str">
        <f>(C102+C110+#REF!)*'Data - P&amp;L'!$D$30</f>
        <v>#REF!</v>
      </c>
      <c r="D260" s="85" t="str">
        <f>(D102+D110+#REF!)*'Data - P&amp;L'!$D$30</f>
        <v>#REF!</v>
      </c>
      <c r="E260" s="85" t="str">
        <f>(E102+E110+#REF!)*'Data - P&amp;L'!$D$30</f>
        <v>#REF!</v>
      </c>
      <c r="F260" s="85" t="str">
        <f>(F102+F110+#REF!)*'Data - P&amp;L'!$D$30</f>
        <v>#REF!</v>
      </c>
      <c r="G260" s="85" t="str">
        <f>(G102+G110+#REF!)*'Data - P&amp;L'!$D$30</f>
        <v>#REF!</v>
      </c>
      <c r="H260" s="85" t="str">
        <f>(H102+H110+#REF!)*'Data - P&amp;L'!$D$30</f>
        <v>#REF!</v>
      </c>
      <c r="I260" s="85" t="str">
        <f>(I102+I110+#REF!)*'Data - P&amp;L'!$D$30</f>
        <v>#REF!</v>
      </c>
      <c r="J260" s="85" t="str">
        <f>(J102+J110+#REF!)*'Data - P&amp;L'!$D$30</f>
        <v>#REF!</v>
      </c>
      <c r="K260" s="85" t="str">
        <f>(K102+K110+#REF!)*'Data - P&amp;L'!$D$30</f>
        <v>#REF!</v>
      </c>
      <c r="L260" s="85" t="str">
        <f>(L102+L110+#REF!)*'Data - P&amp;L'!$D$30</f>
        <v>#REF!</v>
      </c>
      <c r="M260" s="85" t="str">
        <f>(M102+M110+#REF!)*'Data - P&amp;L'!$D$30</f>
        <v>#REF!</v>
      </c>
      <c r="N260" s="85" t="str">
        <f>(N102+N110+#REF!)*'Data - P&amp;L'!$D$30</f>
        <v>#REF!</v>
      </c>
      <c r="O260" s="85" t="str">
        <f>(O102+O110+#REF!)*'Data - P&amp;L'!$D$30</f>
        <v>#REF!</v>
      </c>
      <c r="P260" s="85" t="str">
        <f>(P102+P110+#REF!)*'Data - P&amp;L'!$D$30</f>
        <v>#REF!</v>
      </c>
      <c r="Q260" s="85" t="str">
        <f>(Q102+Q110+#REF!)*'Data - P&amp;L'!$D$30</f>
        <v>#REF!</v>
      </c>
      <c r="R260" s="85" t="str">
        <f>(R102+R110+#REF!)*'Data - P&amp;L'!$D$30</f>
        <v>#REF!</v>
      </c>
      <c r="S260" s="85" t="str">
        <f>(S102+S110+#REF!)*'Data - P&amp;L'!$D$30</f>
        <v>#REF!</v>
      </c>
      <c r="T260" s="85" t="str">
        <f>(T102+T110+#REF!)*'Data - P&amp;L'!$D$30</f>
        <v>#REF!</v>
      </c>
      <c r="U260" s="85" t="str">
        <f>(U102+U110+#REF!)*'Data - P&amp;L'!$D$30</f>
        <v>#REF!</v>
      </c>
      <c r="V260" s="85" t="str">
        <f>(V102+V110+#REF!)*'Data - P&amp;L'!$D$30</f>
        <v>#REF!</v>
      </c>
      <c r="W260" s="85" t="str">
        <f>(W102+W110+#REF!)*'Data - P&amp;L'!$D$30</f>
        <v>#REF!</v>
      </c>
      <c r="X260" s="85" t="str">
        <f>(X102+X110+#REF!)*'Data - P&amp;L'!$D$30</f>
        <v>#REF!</v>
      </c>
      <c r="Y260" s="85" t="str">
        <f>(Y102+Y110+#REF!)*'Data - P&amp;L'!$D$30</f>
        <v>#REF!</v>
      </c>
      <c r="Z260" s="85" t="str">
        <f>(Z102+Z110+#REF!)*'Data - P&amp;L'!$D$30</f>
        <v>#REF!</v>
      </c>
      <c r="AA260" s="85" t="str">
        <f>(AA102+AA110+#REF!)*'Data - P&amp;L'!$D$30</f>
        <v>#REF!</v>
      </c>
      <c r="AB260" s="85" t="str">
        <f>(AB102+AB110+#REF!)*'Data - P&amp;L'!$D$30</f>
        <v>#REF!</v>
      </c>
      <c r="AC260" s="85" t="str">
        <f>(AC102+AC110+#REF!)*'Data - P&amp;L'!$D$30</f>
        <v>#REF!</v>
      </c>
      <c r="AD260" s="85" t="str">
        <f>(AD102+AD110+#REF!)*'Data - P&amp;L'!$D$30</f>
        <v>#REF!</v>
      </c>
      <c r="AE260" s="85" t="str">
        <f>(AE102+AE110+#REF!)*'Data - P&amp;L'!$D$30</f>
        <v>#REF!</v>
      </c>
      <c r="AF260" s="85" t="str">
        <f>(AF102+AF110+#REF!)*'Data - P&amp;L'!$D$30</f>
        <v>#REF!</v>
      </c>
      <c r="AG260" s="836" t="str">
        <f t="shared" si="81"/>
        <v>#REF!</v>
      </c>
    </row>
    <row r="261" hidden="1" outlineLevel="1">
      <c r="A261" s="374" t="s">
        <v>1332</v>
      </c>
      <c r="B261" s="85" t="str">
        <f>(B102+B110+#REF!)*'Data - P&amp;L'!$D$31</f>
        <v>#REF!</v>
      </c>
      <c r="C261" s="85" t="str">
        <f>(C102+C110+#REF!)*'Data - P&amp;L'!$D$31</f>
        <v>#REF!</v>
      </c>
      <c r="D261" s="85" t="str">
        <f>(D102+D110+#REF!)*'Data - P&amp;L'!$D$31</f>
        <v>#REF!</v>
      </c>
      <c r="E261" s="85" t="str">
        <f>(E102+E110+#REF!)*'Data - P&amp;L'!$D$31</f>
        <v>#REF!</v>
      </c>
      <c r="F261" s="85" t="str">
        <f>(F102+F110+#REF!)*'Data - P&amp;L'!$D$31</f>
        <v>#REF!</v>
      </c>
      <c r="G261" s="85" t="str">
        <f>(G102+G110+#REF!)*'Data - P&amp;L'!$D$31</f>
        <v>#REF!</v>
      </c>
      <c r="H261" s="85" t="str">
        <f>(H102+H110+#REF!)*'Data - P&amp;L'!$D$31</f>
        <v>#REF!</v>
      </c>
      <c r="I261" s="85" t="str">
        <f>(I102+I110+#REF!)*'Data - P&amp;L'!$D$31</f>
        <v>#REF!</v>
      </c>
      <c r="J261" s="85" t="str">
        <f>(J102+J110+#REF!)*'Data - P&amp;L'!$D$31</f>
        <v>#REF!</v>
      </c>
      <c r="K261" s="85" t="str">
        <f>(K102+K110+#REF!)*'Data - P&amp;L'!$D$31</f>
        <v>#REF!</v>
      </c>
      <c r="L261" s="85" t="str">
        <f>(L102+L110+#REF!)*'Data - P&amp;L'!$D$31</f>
        <v>#REF!</v>
      </c>
      <c r="M261" s="85" t="str">
        <f>(M102+M110+#REF!)*'Data - P&amp;L'!$D$31</f>
        <v>#REF!</v>
      </c>
      <c r="N261" s="85" t="str">
        <f>(N102+N110+#REF!)*'Data - P&amp;L'!$D$31</f>
        <v>#REF!</v>
      </c>
      <c r="O261" s="85" t="str">
        <f>(O102+O110+#REF!)*'Data - P&amp;L'!$D$31</f>
        <v>#REF!</v>
      </c>
      <c r="P261" s="85" t="str">
        <f>(P102+P110+#REF!)*'Data - P&amp;L'!$D$31</f>
        <v>#REF!</v>
      </c>
      <c r="Q261" s="85" t="str">
        <f>(Q102+Q110+#REF!)*'Data - P&amp;L'!$D$31</f>
        <v>#REF!</v>
      </c>
      <c r="R261" s="85" t="str">
        <f>(R102+R110+#REF!)*'Data - P&amp;L'!$D$31</f>
        <v>#REF!</v>
      </c>
      <c r="S261" s="85" t="str">
        <f>(S102+S110+#REF!)*'Data - P&amp;L'!$D$31</f>
        <v>#REF!</v>
      </c>
      <c r="T261" s="85" t="str">
        <f>(T102+T110+#REF!)*'Data - P&amp;L'!$D$31</f>
        <v>#REF!</v>
      </c>
      <c r="U261" s="85" t="str">
        <f>(U102+U110+#REF!)*'Data - P&amp;L'!$D$31</f>
        <v>#REF!</v>
      </c>
      <c r="V261" s="85" t="str">
        <f>(V102+V110+#REF!)*'Data - P&amp;L'!$D$31</f>
        <v>#REF!</v>
      </c>
      <c r="W261" s="85" t="str">
        <f>(W102+W110+#REF!)*'Data - P&amp;L'!$D$31</f>
        <v>#REF!</v>
      </c>
      <c r="X261" s="85" t="str">
        <f>(X102+X110+#REF!)*'Data - P&amp;L'!$D$31</f>
        <v>#REF!</v>
      </c>
      <c r="Y261" s="85" t="str">
        <f>(Y102+Y110+#REF!)*'Data - P&amp;L'!$D$31</f>
        <v>#REF!</v>
      </c>
      <c r="Z261" s="85" t="str">
        <f>(Z102+Z110+#REF!)*'Data - P&amp;L'!$D$31</f>
        <v>#REF!</v>
      </c>
      <c r="AA261" s="85" t="str">
        <f>(AA102+AA110+#REF!)*'Data - P&amp;L'!$D$31</f>
        <v>#REF!</v>
      </c>
      <c r="AB261" s="85" t="str">
        <f>(AB102+AB110+#REF!)*'Data - P&amp;L'!$D$31</f>
        <v>#REF!</v>
      </c>
      <c r="AC261" s="85" t="str">
        <f>(AC102+AC110+#REF!)*'Data - P&amp;L'!$D$31</f>
        <v>#REF!</v>
      </c>
      <c r="AD261" s="85" t="str">
        <f>(AD102+AD110+#REF!)*'Data - P&amp;L'!$D$31</f>
        <v>#REF!</v>
      </c>
      <c r="AE261" s="85" t="str">
        <f>(AE102+AE110+#REF!)*'Data - P&amp;L'!$D$31</f>
        <v>#REF!</v>
      </c>
      <c r="AF261" s="85" t="str">
        <f>(AF102+AF110+#REF!)*'Data - P&amp;L'!$D$31</f>
        <v>#REF!</v>
      </c>
      <c r="AG261" s="836" t="str">
        <f t="shared" si="81"/>
        <v>#REF!</v>
      </c>
    </row>
    <row r="262" hidden="1" outlineLevel="1">
      <c r="A262" s="374" t="s">
        <v>1333</v>
      </c>
      <c r="B262" s="85" t="str">
        <f>(B102+B110+#REF!)*'Data - P&amp;L'!$D$32</f>
        <v>#REF!</v>
      </c>
      <c r="C262" s="85" t="str">
        <f>(C102+C110+#REF!)*'Data - P&amp;L'!$D$32</f>
        <v>#REF!</v>
      </c>
      <c r="D262" s="85" t="str">
        <f>(D102+D110+#REF!)*'Data - P&amp;L'!$D$32</f>
        <v>#REF!</v>
      </c>
      <c r="E262" s="85" t="str">
        <f>(E102+E110+#REF!)*'Data - P&amp;L'!$D$32</f>
        <v>#REF!</v>
      </c>
      <c r="F262" s="85" t="str">
        <f>(F102+F110+#REF!)*'Data - P&amp;L'!$D$32</f>
        <v>#REF!</v>
      </c>
      <c r="G262" s="85" t="str">
        <f>(G102+G110+#REF!)*'Data - P&amp;L'!$D$32</f>
        <v>#REF!</v>
      </c>
      <c r="H262" s="85" t="str">
        <f>(H102+H110+#REF!)*'Data - P&amp;L'!$D$32</f>
        <v>#REF!</v>
      </c>
      <c r="I262" s="85" t="str">
        <f>(I102+I110+#REF!)*'Data - P&amp;L'!$D$32</f>
        <v>#REF!</v>
      </c>
      <c r="J262" s="85" t="str">
        <f>(J102+J110+#REF!)*'Data - P&amp;L'!$D$32</f>
        <v>#REF!</v>
      </c>
      <c r="K262" s="85" t="str">
        <f>(K102+K110+#REF!)*'Data - P&amp;L'!$D$32</f>
        <v>#REF!</v>
      </c>
      <c r="L262" s="85" t="str">
        <f>(L102+L110+#REF!)*'Data - P&amp;L'!$D$32</f>
        <v>#REF!</v>
      </c>
      <c r="M262" s="85" t="str">
        <f>(M102+M110+#REF!)*'Data - P&amp;L'!$D$32</f>
        <v>#REF!</v>
      </c>
      <c r="N262" s="85" t="str">
        <f>(N102+N110+#REF!)*'Data - P&amp;L'!$D$32</f>
        <v>#REF!</v>
      </c>
      <c r="O262" s="85" t="str">
        <f>(O102+O110+#REF!)*'Data - P&amp;L'!$D$32</f>
        <v>#REF!</v>
      </c>
      <c r="P262" s="85" t="str">
        <f>(P102+P110+#REF!)*'Data - P&amp;L'!$D$32</f>
        <v>#REF!</v>
      </c>
      <c r="Q262" s="85" t="str">
        <f>(Q102+Q110+#REF!)*'Data - P&amp;L'!$D$32</f>
        <v>#REF!</v>
      </c>
      <c r="R262" s="85" t="str">
        <f>(R102+R110+#REF!)*'Data - P&amp;L'!$D$32</f>
        <v>#REF!</v>
      </c>
      <c r="S262" s="85" t="str">
        <f>(S102+S110+#REF!)*'Data - P&amp;L'!$D$32</f>
        <v>#REF!</v>
      </c>
      <c r="T262" s="85" t="str">
        <f>(T102+T110+#REF!)*'Data - P&amp;L'!$D$32</f>
        <v>#REF!</v>
      </c>
      <c r="U262" s="85" t="str">
        <f>(U102+U110+#REF!)*'Data - P&amp;L'!$D$32</f>
        <v>#REF!</v>
      </c>
      <c r="V262" s="85" t="str">
        <f>(V102+V110+#REF!)*'Data - P&amp;L'!$D$32</f>
        <v>#REF!</v>
      </c>
      <c r="W262" s="85" t="str">
        <f>(W102+W110+#REF!)*'Data - P&amp;L'!$D$32</f>
        <v>#REF!</v>
      </c>
      <c r="X262" s="85" t="str">
        <f>(X102+X110+#REF!)*'Data - P&amp;L'!$D$32</f>
        <v>#REF!</v>
      </c>
      <c r="Y262" s="85" t="str">
        <f>(Y102+Y110+#REF!)*'Data - P&amp;L'!$D$32</f>
        <v>#REF!</v>
      </c>
      <c r="Z262" s="85" t="str">
        <f>(Z102+Z110+#REF!)*'Data - P&amp;L'!$D$32</f>
        <v>#REF!</v>
      </c>
      <c r="AA262" s="85" t="str">
        <f>(AA102+AA110+#REF!)*'Data - P&amp;L'!$D$32</f>
        <v>#REF!</v>
      </c>
      <c r="AB262" s="85" t="str">
        <f>(AB102+AB110+#REF!)*'Data - P&amp;L'!$D$32</f>
        <v>#REF!</v>
      </c>
      <c r="AC262" s="85" t="str">
        <f>(AC102+AC110+#REF!)*'Data - P&amp;L'!$D$32</f>
        <v>#REF!</v>
      </c>
      <c r="AD262" s="85" t="str">
        <f>(AD102+AD110+#REF!)*'Data - P&amp;L'!$D$32</f>
        <v>#REF!</v>
      </c>
      <c r="AE262" s="85" t="str">
        <f>(AE102+AE110+#REF!)*'Data - P&amp;L'!$D$32</f>
        <v>#REF!</v>
      </c>
      <c r="AF262" s="85" t="str">
        <f>(AF102+AF110+#REF!)*'Data - P&amp;L'!$D$32</f>
        <v>#REF!</v>
      </c>
      <c r="AG262" s="836" t="str">
        <f t="shared" si="81"/>
        <v>#REF!</v>
      </c>
    </row>
    <row r="263" hidden="1" outlineLevel="1">
      <c r="A263" s="851" t="s">
        <v>1334</v>
      </c>
      <c r="B263" s="291" t="str">
        <f>(B102+B110+#REF!)*'Data - P&amp;L'!$D$33</f>
        <v>#REF!</v>
      </c>
      <c r="C263" s="291" t="str">
        <f>(C102+C110+#REF!)*'Data - P&amp;L'!$D$33</f>
        <v>#REF!</v>
      </c>
      <c r="D263" s="291" t="str">
        <f>(D102+D110+#REF!)*'Data - P&amp;L'!$D$33</f>
        <v>#REF!</v>
      </c>
      <c r="E263" s="291" t="str">
        <f>(E102+E110+#REF!)*'Data - P&amp;L'!$D$33</f>
        <v>#REF!</v>
      </c>
      <c r="F263" s="291" t="str">
        <f>(F102+F110+#REF!)*'Data - P&amp;L'!$D$33</f>
        <v>#REF!</v>
      </c>
      <c r="G263" s="291" t="str">
        <f>(G102+G110+#REF!)*'Data - P&amp;L'!$D$33</f>
        <v>#REF!</v>
      </c>
      <c r="H263" s="291" t="str">
        <f>(H102+H110+#REF!)*'Data - P&amp;L'!$D$33</f>
        <v>#REF!</v>
      </c>
      <c r="I263" s="291" t="str">
        <f>(I102+I110+#REF!)*'Data - P&amp;L'!$D$33</f>
        <v>#REF!</v>
      </c>
      <c r="J263" s="291" t="str">
        <f>(J102+J110+#REF!)*'Data - P&amp;L'!$D$33</f>
        <v>#REF!</v>
      </c>
      <c r="K263" s="291" t="str">
        <f>(K102+K110+#REF!)*'Data - P&amp;L'!$D$33</f>
        <v>#REF!</v>
      </c>
      <c r="L263" s="291" t="str">
        <f>(L102+L110+#REF!)*'Data - P&amp;L'!$D$33</f>
        <v>#REF!</v>
      </c>
      <c r="M263" s="291" t="str">
        <f>(M102+M110+#REF!)*'Data - P&amp;L'!$D$33</f>
        <v>#REF!</v>
      </c>
      <c r="N263" s="291" t="str">
        <f>(N102+N110+#REF!)*'Data - P&amp;L'!$D$33</f>
        <v>#REF!</v>
      </c>
      <c r="O263" s="291" t="str">
        <f>(O102+O110+#REF!)*'Data - P&amp;L'!$D$33</f>
        <v>#REF!</v>
      </c>
      <c r="P263" s="291" t="str">
        <f>(P102+P110+#REF!)*'Data - P&amp;L'!$D$33</f>
        <v>#REF!</v>
      </c>
      <c r="Q263" s="291" t="str">
        <f>(Q102+Q110+#REF!)*'Data - P&amp;L'!$D$33</f>
        <v>#REF!</v>
      </c>
      <c r="R263" s="291" t="str">
        <f>(R102+R110+#REF!)*'Data - P&amp;L'!$D$33</f>
        <v>#REF!</v>
      </c>
      <c r="S263" s="291" t="str">
        <f>(S102+S110+#REF!)*'Data - P&amp;L'!$D$33</f>
        <v>#REF!</v>
      </c>
      <c r="T263" s="291" t="str">
        <f>(T102+T110+#REF!)*'Data - P&amp;L'!$D$33</f>
        <v>#REF!</v>
      </c>
      <c r="U263" s="291" t="str">
        <f>(U102+U110+#REF!)*'Data - P&amp;L'!$D$33</f>
        <v>#REF!</v>
      </c>
      <c r="V263" s="291" t="str">
        <f>(V102+V110+#REF!)*'Data - P&amp;L'!$D$33</f>
        <v>#REF!</v>
      </c>
      <c r="W263" s="291" t="str">
        <f>(W102+W110+#REF!)*'Data - P&amp;L'!$D$33</f>
        <v>#REF!</v>
      </c>
      <c r="X263" s="291" t="str">
        <f>(X102+X110+#REF!)*'Data - P&amp;L'!$D$33</f>
        <v>#REF!</v>
      </c>
      <c r="Y263" s="291" t="str">
        <f>(Y102+Y110+#REF!)*'Data - P&amp;L'!$D$33</f>
        <v>#REF!</v>
      </c>
      <c r="Z263" s="291" t="str">
        <f>(Z102+Z110+#REF!)*'Data - P&amp;L'!$D$33</f>
        <v>#REF!</v>
      </c>
      <c r="AA263" s="291" t="str">
        <f>(AA102+AA110+#REF!)*'Data - P&amp;L'!$D$33</f>
        <v>#REF!</v>
      </c>
      <c r="AB263" s="291" t="str">
        <f>(AB102+AB110+#REF!)*'Data - P&amp;L'!$D$33</f>
        <v>#REF!</v>
      </c>
      <c r="AC263" s="291" t="str">
        <f>(AC102+AC110+#REF!)*'Data - P&amp;L'!$D$33</f>
        <v>#REF!</v>
      </c>
      <c r="AD263" s="291" t="str">
        <f>(AD102+AD110+#REF!)*'Data - P&amp;L'!$D$33</f>
        <v>#REF!</v>
      </c>
      <c r="AE263" s="291" t="str">
        <f>(AE102+AE110+#REF!)*'Data - P&amp;L'!$D$33</f>
        <v>#REF!</v>
      </c>
      <c r="AF263" s="291" t="str">
        <f>(AF102+AF110+#REF!)*'Data - P&amp;L'!$D$33</f>
        <v>#REF!</v>
      </c>
      <c r="AG263" s="836" t="str">
        <f t="shared" si="81"/>
        <v>#REF!</v>
      </c>
    </row>
    <row r="264">
      <c r="A264" s="107" t="s">
        <v>413</v>
      </c>
      <c r="B264" s="85" t="str">
        <f t="shared" ref="B264:AF264" si="82">sum(B230:B263)</f>
        <v>#REF!</v>
      </c>
      <c r="C264" s="85" t="str">
        <f t="shared" si="82"/>
        <v>#REF!</v>
      </c>
      <c r="D264" s="85" t="str">
        <f t="shared" si="82"/>
        <v>#REF!</v>
      </c>
      <c r="E264" s="85" t="str">
        <f t="shared" si="82"/>
        <v>#REF!</v>
      </c>
      <c r="F264" s="85" t="str">
        <f t="shared" si="82"/>
        <v>#REF!</v>
      </c>
      <c r="G264" s="85" t="str">
        <f t="shared" si="82"/>
        <v>#REF!</v>
      </c>
      <c r="H264" s="85" t="str">
        <f t="shared" si="82"/>
        <v>#REF!</v>
      </c>
      <c r="I264" s="85" t="str">
        <f t="shared" si="82"/>
        <v>#REF!</v>
      </c>
      <c r="J264" s="85" t="str">
        <f t="shared" si="82"/>
        <v>#REF!</v>
      </c>
      <c r="K264" s="85" t="str">
        <f t="shared" si="82"/>
        <v>#REF!</v>
      </c>
      <c r="L264" s="85" t="str">
        <f t="shared" si="82"/>
        <v>#REF!</v>
      </c>
      <c r="M264" s="85" t="str">
        <f t="shared" si="82"/>
        <v>#REF!</v>
      </c>
      <c r="N264" s="85" t="str">
        <f t="shared" si="82"/>
        <v>#REF!</v>
      </c>
      <c r="O264" s="85" t="str">
        <f t="shared" si="82"/>
        <v>#REF!</v>
      </c>
      <c r="P264" s="85" t="str">
        <f t="shared" si="82"/>
        <v>#REF!</v>
      </c>
      <c r="Q264" s="85" t="str">
        <f t="shared" si="82"/>
        <v>#REF!</v>
      </c>
      <c r="R264" s="85" t="str">
        <f t="shared" si="82"/>
        <v>#REF!</v>
      </c>
      <c r="S264" s="85" t="str">
        <f t="shared" si="82"/>
        <v>#REF!</v>
      </c>
      <c r="T264" s="85" t="str">
        <f t="shared" si="82"/>
        <v>#REF!</v>
      </c>
      <c r="U264" s="85" t="str">
        <f t="shared" si="82"/>
        <v>#REF!</v>
      </c>
      <c r="V264" s="85" t="str">
        <f t="shared" si="82"/>
        <v>#REF!</v>
      </c>
      <c r="W264" s="85" t="str">
        <f t="shared" si="82"/>
        <v>#REF!</v>
      </c>
      <c r="X264" s="85" t="str">
        <f t="shared" si="82"/>
        <v>#REF!</v>
      </c>
      <c r="Y264" s="85" t="str">
        <f t="shared" si="82"/>
        <v>#REF!</v>
      </c>
      <c r="Z264" s="85" t="str">
        <f t="shared" si="82"/>
        <v>#REF!</v>
      </c>
      <c r="AA264" s="85" t="str">
        <f t="shared" si="82"/>
        <v>#REF!</v>
      </c>
      <c r="AB264" s="85" t="str">
        <f t="shared" si="82"/>
        <v>#REF!</v>
      </c>
      <c r="AC264" s="85" t="str">
        <f t="shared" si="82"/>
        <v>#REF!</v>
      </c>
      <c r="AD264" s="85" t="str">
        <f t="shared" si="82"/>
        <v>#REF!</v>
      </c>
      <c r="AE264" s="85" t="str">
        <f t="shared" si="82"/>
        <v>#REF!</v>
      </c>
      <c r="AF264" s="85" t="str">
        <f t="shared" si="82"/>
        <v>#REF!</v>
      </c>
      <c r="AG264" s="836"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53" t="s">
        <v>1337</v>
      </c>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628"/>
      <c r="AM1" s="628"/>
      <c r="AN1" s="628"/>
      <c r="AO1" s="8"/>
      <c r="AP1" s="4"/>
      <c r="AQ1" s="4"/>
      <c r="AR1" s="4"/>
      <c r="AS1" s="4"/>
      <c r="AT1" s="4"/>
      <c r="AU1" s="4"/>
      <c r="AV1" s="4"/>
      <c r="AW1" s="4"/>
      <c r="AX1" s="4"/>
      <c r="AY1" s="4"/>
      <c r="AZ1" s="4"/>
      <c r="BA1" s="4"/>
      <c r="BB1" s="4"/>
      <c r="BC1" s="4"/>
    </row>
    <row r="2">
      <c r="A2" s="853" t="s">
        <v>1338</v>
      </c>
      <c r="H2" s="854"/>
      <c r="I2" s="854"/>
      <c r="J2" s="854"/>
      <c r="K2" s="854"/>
      <c r="L2" s="854"/>
      <c r="M2" s="854"/>
      <c r="N2" s="854"/>
      <c r="O2" s="854"/>
      <c r="P2" s="854"/>
      <c r="Q2" s="854"/>
      <c r="R2" s="854"/>
      <c r="S2" s="854"/>
      <c r="T2" s="854"/>
      <c r="U2" s="854"/>
      <c r="V2" s="854"/>
      <c r="W2" s="854"/>
      <c r="X2" s="854"/>
      <c r="Y2" s="854"/>
      <c r="Z2" s="854"/>
      <c r="AA2" s="854"/>
      <c r="AB2" s="854"/>
      <c r="AC2" s="854"/>
      <c r="AD2" s="854"/>
      <c r="AE2" s="854"/>
      <c r="AF2" s="854"/>
      <c r="AG2" s="854"/>
      <c r="AH2" s="854"/>
      <c r="AI2" s="854"/>
      <c r="AJ2" s="854"/>
      <c r="AK2" s="854"/>
      <c r="AL2" s="628"/>
      <c r="AM2" s="628"/>
      <c r="AN2" s="628"/>
      <c r="AO2" s="8"/>
      <c r="AP2" s="4"/>
      <c r="AQ2" s="4"/>
      <c r="AR2" s="4"/>
      <c r="AS2" s="4"/>
      <c r="AT2" s="4"/>
      <c r="AU2" s="4"/>
      <c r="AV2" s="4"/>
      <c r="AW2" s="4"/>
      <c r="AX2" s="4"/>
      <c r="AY2" s="4"/>
      <c r="AZ2" s="4"/>
      <c r="BA2" s="4"/>
      <c r="BB2" s="4"/>
      <c r="BC2" s="4"/>
    </row>
    <row r="3">
      <c r="A3" s="853" t="s">
        <v>1339</v>
      </c>
      <c r="H3" s="854"/>
      <c r="I3" s="854"/>
      <c r="J3" s="854"/>
      <c r="K3" s="854"/>
      <c r="L3" s="854"/>
      <c r="M3" s="854"/>
      <c r="N3" s="854"/>
      <c r="O3" s="854"/>
      <c r="P3" s="854"/>
      <c r="Q3" s="854"/>
      <c r="R3" s="854"/>
      <c r="S3" s="854"/>
      <c r="T3" s="854"/>
      <c r="U3" s="854"/>
      <c r="V3" s="854"/>
      <c r="W3" s="854"/>
      <c r="X3" s="854"/>
      <c r="Y3" s="854"/>
      <c r="Z3" s="854"/>
      <c r="AA3" s="854"/>
      <c r="AB3" s="854"/>
      <c r="AC3" s="854"/>
      <c r="AD3" s="854"/>
      <c r="AE3" s="854"/>
      <c r="AF3" s="854"/>
      <c r="AG3" s="854"/>
      <c r="AH3" s="854"/>
      <c r="AI3" s="854"/>
      <c r="AJ3" s="854"/>
      <c r="AK3" s="854"/>
      <c r="AL3" s="628"/>
      <c r="AM3" s="628"/>
      <c r="AN3" s="628"/>
      <c r="AO3" s="8"/>
      <c r="AP3" s="4"/>
      <c r="AQ3" s="4"/>
      <c r="AR3" s="4"/>
      <c r="AS3" s="4"/>
      <c r="AT3" s="4"/>
      <c r="AU3" s="4"/>
      <c r="AV3" s="4"/>
      <c r="AW3" s="4"/>
      <c r="AX3" s="4"/>
      <c r="AY3" s="4"/>
      <c r="AZ3" s="4"/>
      <c r="BA3" s="4"/>
      <c r="BB3" s="4"/>
      <c r="BC3" s="4"/>
    </row>
    <row r="4">
      <c r="A4" s="853" t="s">
        <v>1340</v>
      </c>
      <c r="H4" s="854"/>
      <c r="I4" s="854"/>
      <c r="J4" s="854"/>
      <c r="K4" s="854"/>
      <c r="L4" s="854"/>
      <c r="M4" s="854"/>
      <c r="N4" s="854"/>
      <c r="O4" s="854"/>
      <c r="P4" s="854"/>
      <c r="Q4" s="854"/>
      <c r="R4" s="854"/>
      <c r="S4" s="854"/>
      <c r="T4" s="854"/>
      <c r="U4" s="854"/>
      <c r="V4" s="854"/>
      <c r="W4" s="854"/>
      <c r="X4" s="854"/>
      <c r="Y4" s="854"/>
      <c r="Z4" s="854"/>
      <c r="AA4" s="854"/>
      <c r="AB4" s="854"/>
      <c r="AC4" s="854"/>
      <c r="AD4" s="854"/>
      <c r="AE4" s="854"/>
      <c r="AF4" s="854"/>
      <c r="AG4" s="854"/>
      <c r="AH4" s="854"/>
      <c r="AI4" s="854"/>
      <c r="AJ4" s="854"/>
      <c r="AK4" s="854"/>
      <c r="AL4" s="628"/>
      <c r="AM4" s="855"/>
      <c r="AN4" s="628"/>
      <c r="AO4" s="8"/>
      <c r="AP4" s="4"/>
      <c r="AQ4" s="4"/>
      <c r="AR4" s="4"/>
      <c r="AS4" s="4"/>
      <c r="AT4" s="4"/>
      <c r="AU4" s="4"/>
      <c r="AV4" s="4"/>
      <c r="AW4" s="4"/>
      <c r="AX4" s="4"/>
      <c r="AY4" s="4"/>
      <c r="AZ4" s="4"/>
      <c r="BA4" s="4"/>
      <c r="BB4" s="4"/>
      <c r="BC4" s="4"/>
    </row>
    <row r="5">
      <c r="A5" s="853" t="s">
        <v>1341</v>
      </c>
      <c r="AL5" s="628"/>
      <c r="AM5" s="628"/>
      <c r="AN5" s="628"/>
      <c r="AO5" s="8"/>
      <c r="AP5" s="4"/>
      <c r="AQ5" s="4"/>
      <c r="AR5" s="4"/>
      <c r="AS5" s="4"/>
      <c r="AT5" s="4"/>
      <c r="AU5" s="4"/>
      <c r="AV5" s="4"/>
      <c r="AW5" s="4"/>
      <c r="AX5" s="4"/>
      <c r="AY5" s="4"/>
      <c r="AZ5" s="4"/>
      <c r="BA5" s="4"/>
      <c r="BB5" s="4"/>
      <c r="BC5" s="4"/>
    </row>
    <row r="6">
      <c r="A6" s="853" t="s">
        <v>1342</v>
      </c>
      <c r="AO6" s="8"/>
      <c r="AP6" s="4"/>
      <c r="AQ6" s="4"/>
      <c r="AR6" s="4"/>
      <c r="AS6" s="4"/>
      <c r="AT6" s="4"/>
      <c r="AU6" s="4"/>
      <c r="AV6" s="4"/>
      <c r="AW6" s="4"/>
      <c r="AX6" s="4"/>
      <c r="AY6" s="4"/>
      <c r="AZ6" s="4"/>
      <c r="BA6" s="4"/>
      <c r="BB6" s="4"/>
      <c r="BC6" s="4"/>
    </row>
    <row r="7">
      <c r="A7" s="853" t="s">
        <v>1343</v>
      </c>
      <c r="AN7" s="628"/>
      <c r="AO7" s="8"/>
      <c r="AP7" s="4"/>
      <c r="AQ7" s="4"/>
      <c r="AR7" s="4"/>
      <c r="AS7" s="4"/>
      <c r="AT7" s="4"/>
      <c r="AU7" s="4"/>
      <c r="AV7" s="4"/>
      <c r="AW7" s="4"/>
      <c r="AX7" s="4"/>
      <c r="AY7" s="4"/>
      <c r="AZ7" s="4"/>
      <c r="BA7" s="4"/>
      <c r="BB7" s="4"/>
      <c r="BC7" s="4"/>
    </row>
    <row r="8">
      <c r="A8" s="853" t="s">
        <v>1344</v>
      </c>
      <c r="H8" s="854"/>
      <c r="I8" s="854"/>
      <c r="J8" s="854"/>
      <c r="K8" s="854"/>
      <c r="L8" s="854"/>
      <c r="M8" s="854"/>
      <c r="N8" s="854"/>
      <c r="O8" s="854"/>
      <c r="P8" s="854"/>
      <c r="Q8" s="854"/>
      <c r="R8" s="854"/>
      <c r="S8" s="854"/>
      <c r="T8" s="854"/>
      <c r="U8" s="854"/>
      <c r="V8" s="854"/>
      <c r="W8" s="854"/>
      <c r="X8" s="854"/>
      <c r="Y8" s="854"/>
      <c r="Z8" s="854"/>
      <c r="AA8" s="854"/>
      <c r="AB8" s="854"/>
      <c r="AC8" s="854"/>
      <c r="AD8" s="854"/>
      <c r="AE8" s="854"/>
      <c r="AF8" s="854"/>
      <c r="AG8" s="854"/>
      <c r="AH8" s="854"/>
      <c r="AI8" s="854"/>
      <c r="AJ8" s="854"/>
      <c r="AK8" s="854"/>
      <c r="AL8" s="628"/>
      <c r="AM8" s="628"/>
      <c r="AN8" s="628"/>
      <c r="AO8" s="8"/>
      <c r="AP8" s="4"/>
      <c r="AQ8" s="4"/>
      <c r="AR8" s="4"/>
      <c r="AS8" s="4"/>
      <c r="AT8" s="4"/>
      <c r="AU8" s="4"/>
      <c r="AV8" s="4"/>
      <c r="AW8" s="4"/>
      <c r="AX8" s="4"/>
      <c r="AY8" s="4"/>
      <c r="AZ8" s="4"/>
      <c r="BA8" s="4"/>
      <c r="BB8" s="4"/>
      <c r="BC8" s="4"/>
    </row>
    <row r="9">
      <c r="A9" s="856"/>
      <c r="B9" s="856"/>
      <c r="C9" s="4"/>
      <c r="D9" s="4"/>
      <c r="E9" s="4"/>
      <c r="F9" s="4"/>
      <c r="G9" s="561"/>
      <c r="H9" s="561"/>
      <c r="I9" s="561"/>
      <c r="J9" s="561"/>
      <c r="K9" s="561"/>
      <c r="L9" s="561"/>
      <c r="M9" s="561"/>
      <c r="N9" s="561"/>
      <c r="O9" s="561"/>
      <c r="P9" s="561"/>
      <c r="Q9" s="561"/>
      <c r="R9" s="561"/>
      <c r="S9" s="561"/>
      <c r="T9" s="561"/>
      <c r="U9" s="561"/>
      <c r="V9" s="561"/>
      <c r="W9" s="561"/>
      <c r="X9" s="561"/>
      <c r="Y9" s="561"/>
      <c r="Z9" s="561"/>
      <c r="AA9" s="561"/>
      <c r="AB9" s="561"/>
      <c r="AC9" s="561"/>
      <c r="AD9" s="561"/>
      <c r="AE9" s="561"/>
      <c r="AF9" s="561"/>
      <c r="AG9" s="561"/>
      <c r="AH9" s="561"/>
      <c r="AI9" s="561"/>
      <c r="AJ9" s="561"/>
      <c r="AK9" s="561"/>
      <c r="AL9" s="8"/>
      <c r="AM9" s="8"/>
      <c r="AN9" s="8"/>
      <c r="AO9" s="8"/>
      <c r="AP9" s="4"/>
      <c r="AQ9" s="4"/>
      <c r="AR9" s="4"/>
      <c r="AS9" s="4"/>
      <c r="AT9" s="4"/>
      <c r="AU9" s="4"/>
      <c r="AV9" s="4"/>
      <c r="AW9" s="4"/>
      <c r="AX9" s="4"/>
      <c r="AY9" s="4"/>
      <c r="AZ9" s="4"/>
      <c r="BA9" s="4"/>
      <c r="BB9" s="4"/>
      <c r="BC9" s="4"/>
    </row>
    <row r="10">
      <c r="A10" s="857" t="s">
        <v>1345</v>
      </c>
      <c r="B10" s="676"/>
      <c r="C10" s="858" t="s">
        <v>1346</v>
      </c>
      <c r="D10" s="858" t="s">
        <v>1347</v>
      </c>
      <c r="E10" s="858" t="s">
        <v>1348</v>
      </c>
      <c r="F10" s="858" t="s">
        <v>1349</v>
      </c>
      <c r="G10" s="859" t="s">
        <v>1350</v>
      </c>
      <c r="H10" s="859" t="s">
        <v>1351</v>
      </c>
      <c r="I10" s="859" t="s">
        <v>1352</v>
      </c>
      <c r="J10" s="859" t="s">
        <v>1353</v>
      </c>
      <c r="K10" s="859" t="s">
        <v>1354</v>
      </c>
      <c r="L10" s="859" t="s">
        <v>1355</v>
      </c>
      <c r="M10" s="859" t="s">
        <v>1356</v>
      </c>
      <c r="N10" s="859" t="s">
        <v>1357</v>
      </c>
      <c r="O10" s="859" t="s">
        <v>1358</v>
      </c>
      <c r="P10" s="859" t="s">
        <v>1359</v>
      </c>
      <c r="Q10" s="859" t="s">
        <v>1360</v>
      </c>
      <c r="R10" s="859" t="s">
        <v>1361</v>
      </c>
      <c r="S10" s="859" t="s">
        <v>1362</v>
      </c>
      <c r="T10" s="859" t="s">
        <v>1363</v>
      </c>
      <c r="U10" s="859" t="s">
        <v>1364</v>
      </c>
      <c r="V10" s="859" t="s">
        <v>1365</v>
      </c>
      <c r="W10" s="859" t="s">
        <v>1366</v>
      </c>
      <c r="X10" s="859" t="s">
        <v>1367</v>
      </c>
      <c r="Y10" s="859" t="s">
        <v>1368</v>
      </c>
      <c r="Z10" s="859" t="s">
        <v>1369</v>
      </c>
      <c r="AA10" s="859" t="s">
        <v>1370</v>
      </c>
      <c r="AB10" s="859" t="s">
        <v>1371</v>
      </c>
      <c r="AC10" s="859" t="s">
        <v>1372</v>
      </c>
      <c r="AD10" s="859" t="s">
        <v>1373</v>
      </c>
      <c r="AE10" s="859" t="s">
        <v>1374</v>
      </c>
      <c r="AF10" s="859" t="s">
        <v>1375</v>
      </c>
      <c r="AG10" s="859" t="s">
        <v>1376</v>
      </c>
      <c r="AH10" s="859" t="s">
        <v>1377</v>
      </c>
      <c r="AI10" s="859" t="s">
        <v>1378</v>
      </c>
      <c r="AJ10" s="859" t="s">
        <v>1379</v>
      </c>
      <c r="AK10" s="859" t="s">
        <v>1380</v>
      </c>
      <c r="AL10" s="8" t="s">
        <v>1381</v>
      </c>
      <c r="AM10" s="8" t="s">
        <v>1382</v>
      </c>
      <c r="AN10" s="8" t="s">
        <v>1383</v>
      </c>
      <c r="AO10" s="8" t="s">
        <v>1384</v>
      </c>
      <c r="AP10" s="4"/>
      <c r="AQ10" s="4"/>
      <c r="AR10" s="4"/>
      <c r="AS10" s="4"/>
      <c r="AT10" s="4"/>
      <c r="AU10" s="4"/>
      <c r="AV10" s="4"/>
      <c r="AW10" s="4"/>
      <c r="AX10" s="4"/>
      <c r="AY10" s="4"/>
      <c r="AZ10" s="4"/>
      <c r="BA10" s="4"/>
      <c r="BB10" s="4"/>
      <c r="BC10" s="4"/>
    </row>
    <row r="11">
      <c r="A11" s="860" t="s">
        <v>1385</v>
      </c>
      <c r="B11" s="861" t="s">
        <v>1386</v>
      </c>
      <c r="G11" s="529"/>
      <c r="H11" s="529"/>
      <c r="I11" s="529"/>
      <c r="J11" s="529"/>
      <c r="K11" s="529"/>
      <c r="L11" s="529"/>
      <c r="M11" s="529"/>
      <c r="N11" s="529"/>
      <c r="O11" s="529"/>
      <c r="P11" s="529"/>
      <c r="Q11" s="529"/>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row>
    <row r="12">
      <c r="B12" s="862" t="s">
        <v>1387</v>
      </c>
      <c r="G12" s="529"/>
      <c r="H12" s="529"/>
      <c r="I12" s="529"/>
      <c r="J12" s="529"/>
      <c r="K12" s="529"/>
      <c r="L12" s="529"/>
      <c r="M12" s="529"/>
      <c r="N12" s="529"/>
      <c r="O12" s="529"/>
      <c r="P12" s="529"/>
      <c r="Q12" s="529"/>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row>
    <row r="13">
      <c r="B13" s="862" t="s">
        <v>1388</v>
      </c>
      <c r="G13" s="863">
        <v>0.3098949992935971</v>
      </c>
      <c r="H13" s="529"/>
      <c r="I13" s="529"/>
      <c r="J13" s="529"/>
      <c r="K13" s="529"/>
      <c r="L13" s="863">
        <v>0.31192169759475546</v>
      </c>
      <c r="M13" s="529"/>
      <c r="N13" s="529"/>
      <c r="O13" s="529"/>
      <c r="P13" s="529"/>
      <c r="Q13" s="863">
        <v>0.29415803897988385</v>
      </c>
      <c r="R13" s="529"/>
      <c r="S13" s="529"/>
      <c r="T13" s="529"/>
      <c r="U13" s="529"/>
      <c r="V13" s="863">
        <v>0.3086533518418032</v>
      </c>
      <c r="W13" s="529"/>
      <c r="X13" s="529"/>
      <c r="Y13" s="529"/>
      <c r="Z13" s="529"/>
      <c r="AA13" s="863">
        <v>0.31000241750316254</v>
      </c>
      <c r="AB13" s="529"/>
      <c r="AC13" s="529"/>
      <c r="AD13" s="529"/>
      <c r="AE13" s="529"/>
      <c r="AF13" s="863">
        <v>0.2798240892753884</v>
      </c>
      <c r="AG13" s="864">
        <v>0.2785</v>
      </c>
      <c r="AH13" s="864">
        <v>0.2856</v>
      </c>
      <c r="AI13" s="864">
        <v>0.3275</v>
      </c>
      <c r="AJ13" s="864">
        <v>0.18</v>
      </c>
      <c r="AK13" s="529"/>
      <c r="AL13" s="529"/>
      <c r="AM13" s="529"/>
      <c r="AN13" s="529"/>
      <c r="AO13" s="529"/>
    </row>
    <row r="14">
      <c r="B14" s="862" t="s">
        <v>1389</v>
      </c>
      <c r="G14" s="863">
        <v>0.250980812076589</v>
      </c>
      <c r="H14" s="529"/>
      <c r="I14" s="529"/>
      <c r="J14" s="529"/>
      <c r="K14" s="529"/>
      <c r="L14" s="863">
        <v>0.16544529700030713</v>
      </c>
      <c r="M14" s="529"/>
      <c r="N14" s="529"/>
      <c r="O14" s="529"/>
      <c r="P14" s="529"/>
      <c r="Q14" s="863">
        <v>0.16328349033786654</v>
      </c>
      <c r="R14" s="529"/>
      <c r="S14" s="529"/>
      <c r="T14" s="529"/>
      <c r="U14" s="529"/>
      <c r="V14" s="863">
        <v>0.23704978506865568</v>
      </c>
      <c r="W14" s="529"/>
      <c r="X14" s="529"/>
      <c r="Y14" s="529"/>
      <c r="Z14" s="529"/>
      <c r="AA14" s="863">
        <v>0.2729430944338703</v>
      </c>
      <c r="AB14" s="529"/>
      <c r="AC14" s="529"/>
      <c r="AD14" s="529"/>
      <c r="AE14" s="529"/>
      <c r="AF14" s="863">
        <v>0.2523527452422593</v>
      </c>
      <c r="AG14" s="864">
        <v>0.2384</v>
      </c>
      <c r="AH14" s="864">
        <v>0.2648</v>
      </c>
      <c r="AI14" s="864">
        <v>0.2539</v>
      </c>
      <c r="AJ14" s="864">
        <v>0.2468</v>
      </c>
      <c r="AK14" s="529"/>
      <c r="AL14" s="529"/>
      <c r="AM14" s="529"/>
      <c r="AN14" s="529"/>
      <c r="AO14" s="529"/>
    </row>
    <row r="15">
      <c r="B15" s="865" t="s">
        <v>1390</v>
      </c>
      <c r="H15" s="529"/>
      <c r="I15" s="529"/>
      <c r="J15" s="529"/>
      <c r="K15" s="529"/>
      <c r="L15" s="529"/>
      <c r="M15" s="529"/>
      <c r="N15" s="529"/>
      <c r="O15" s="529"/>
      <c r="P15" s="529"/>
      <c r="Q15" s="529"/>
      <c r="R15" s="529"/>
      <c r="S15" s="529"/>
      <c r="T15" s="529"/>
      <c r="U15" s="529"/>
      <c r="V15" s="529"/>
      <c r="W15" s="529"/>
      <c r="X15" s="529"/>
      <c r="Y15" s="529"/>
      <c r="Z15" s="529"/>
      <c r="AA15" s="529"/>
      <c r="AB15" s="529"/>
      <c r="AC15" s="529"/>
      <c r="AD15" s="529"/>
      <c r="AE15" s="529"/>
      <c r="AF15" s="529"/>
      <c r="AG15" s="529"/>
      <c r="AH15" s="529"/>
      <c r="AI15" s="529"/>
      <c r="AJ15" s="529"/>
      <c r="AK15" s="529"/>
      <c r="AL15" s="529"/>
      <c r="AM15" s="529"/>
      <c r="AN15" s="529"/>
      <c r="AO15" s="529"/>
    </row>
    <row r="16">
      <c r="B16" s="865" t="s">
        <v>1391</v>
      </c>
      <c r="G16" s="529"/>
      <c r="H16" s="529"/>
      <c r="I16" s="529"/>
      <c r="J16" s="529"/>
      <c r="K16" s="529"/>
      <c r="L16" s="529"/>
      <c r="M16" s="529"/>
      <c r="N16" s="529"/>
      <c r="O16" s="529"/>
      <c r="P16" s="529"/>
      <c r="Q16" s="529"/>
      <c r="R16" s="529"/>
      <c r="S16" s="529"/>
      <c r="T16" s="529"/>
      <c r="U16" s="529"/>
      <c r="V16" s="529"/>
      <c r="W16" s="529"/>
      <c r="X16" s="529"/>
      <c r="Y16" s="529"/>
      <c r="Z16" s="529"/>
      <c r="AA16" s="529"/>
      <c r="AB16" s="529"/>
      <c r="AC16" s="529"/>
      <c r="AD16" s="529"/>
      <c r="AE16" s="529"/>
      <c r="AF16" s="529"/>
      <c r="AG16" s="529"/>
      <c r="AH16" s="529"/>
      <c r="AI16" s="529"/>
      <c r="AJ16" s="529"/>
      <c r="AK16" s="529"/>
      <c r="AL16" s="529"/>
      <c r="AM16" s="529"/>
      <c r="AN16" s="529"/>
      <c r="AO16" s="529"/>
    </row>
    <row r="17">
      <c r="B17" s="862" t="s">
        <v>1392</v>
      </c>
      <c r="G17" s="529"/>
      <c r="H17" s="529"/>
      <c r="I17" s="529"/>
      <c r="J17" s="529"/>
      <c r="K17" s="529"/>
      <c r="L17" s="529"/>
      <c r="M17" s="529"/>
      <c r="N17" s="529"/>
      <c r="O17" s="529"/>
      <c r="P17" s="529"/>
      <c r="Q17" s="529"/>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row>
    <row r="18">
      <c r="B18" s="862" t="s">
        <v>1393</v>
      </c>
      <c r="G18" s="866">
        <v>321134.03</v>
      </c>
      <c r="H18" s="529"/>
      <c r="I18" s="529"/>
      <c r="J18" s="529"/>
      <c r="K18" s="529"/>
      <c r="L18" s="629">
        <v>230184.5</v>
      </c>
      <c r="M18" s="529"/>
      <c r="N18" s="529"/>
      <c r="O18" s="529"/>
      <c r="P18" s="529"/>
      <c r="Q18" s="866">
        <v>286763.81</v>
      </c>
      <c r="R18" s="529"/>
      <c r="S18" s="529"/>
      <c r="T18" s="529"/>
      <c r="U18" s="529"/>
      <c r="V18" s="866">
        <v>504547.38</v>
      </c>
      <c r="W18" s="529"/>
      <c r="X18" s="529"/>
      <c r="Y18" s="529"/>
      <c r="Z18" s="529"/>
      <c r="AA18" s="866">
        <v>682315.55</v>
      </c>
      <c r="AB18" s="529"/>
      <c r="AC18" s="529"/>
      <c r="AD18" s="529"/>
      <c r="AE18" s="529"/>
      <c r="AF18" s="866">
        <v>314811.96</v>
      </c>
      <c r="AG18" s="629">
        <v>67360.26</v>
      </c>
      <c r="AH18" s="629">
        <v>95833.95</v>
      </c>
      <c r="AI18" s="629">
        <v>99499.82</v>
      </c>
      <c r="AJ18" s="629">
        <v>52117.93</v>
      </c>
      <c r="AK18" s="529"/>
      <c r="AL18" s="529"/>
      <c r="AM18" s="529"/>
      <c r="AN18" s="529"/>
      <c r="AO18" s="529"/>
    </row>
    <row r="19">
      <c r="B19" s="862" t="s">
        <v>1394</v>
      </c>
      <c r="G19" s="867" t="s">
        <v>1395</v>
      </c>
      <c r="H19" s="868"/>
      <c r="I19" s="868"/>
      <c r="J19" s="868"/>
      <c r="K19" s="868"/>
      <c r="L19" s="867" t="s">
        <v>1395</v>
      </c>
      <c r="M19" s="868"/>
      <c r="N19" s="868"/>
      <c r="O19" s="868"/>
      <c r="P19" s="868"/>
      <c r="Q19" s="867" t="s">
        <v>1395</v>
      </c>
      <c r="R19" s="868"/>
      <c r="S19" s="868"/>
      <c r="T19" s="868"/>
      <c r="U19" s="868"/>
      <c r="V19" s="867" t="s">
        <v>1395</v>
      </c>
      <c r="W19" s="868"/>
      <c r="X19" s="868"/>
      <c r="Y19" s="868"/>
      <c r="Z19" s="868"/>
      <c r="AA19" s="867" t="s">
        <v>1395</v>
      </c>
      <c r="AB19" s="868"/>
      <c r="AC19" s="868"/>
      <c r="AD19" s="868"/>
      <c r="AE19" s="868"/>
      <c r="AF19" s="867" t="s">
        <v>1395</v>
      </c>
      <c r="AG19" s="868"/>
      <c r="AH19" s="868"/>
      <c r="AI19" s="868"/>
      <c r="AJ19" s="868"/>
      <c r="AK19" s="868"/>
      <c r="AL19" s="529"/>
      <c r="AM19" s="529"/>
      <c r="AN19" s="529"/>
      <c r="AO19" s="529"/>
    </row>
    <row r="20">
      <c r="A20" s="860" t="s">
        <v>1396</v>
      </c>
      <c r="B20" s="861" t="s">
        <v>1386</v>
      </c>
      <c r="G20" s="529"/>
      <c r="H20" s="529"/>
      <c r="I20" s="529"/>
      <c r="J20" s="529"/>
      <c r="K20" s="529"/>
      <c r="L20" s="529"/>
      <c r="M20" s="529"/>
      <c r="N20" s="529"/>
      <c r="O20" s="529"/>
      <c r="P20" s="529"/>
      <c r="Q20" s="529"/>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row>
    <row r="21">
      <c r="B21" s="862" t="s">
        <v>1387</v>
      </c>
      <c r="G21" s="529"/>
      <c r="H21" s="529"/>
      <c r="I21" s="529"/>
      <c r="J21" s="529"/>
      <c r="K21" s="529"/>
      <c r="L21" s="529"/>
      <c r="M21" s="529"/>
      <c r="N21" s="529"/>
      <c r="O21" s="529"/>
      <c r="P21" s="529"/>
      <c r="Q21" s="529"/>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row>
    <row r="22">
      <c r="B22" s="862" t="s">
        <v>1388</v>
      </c>
      <c r="G22" s="863">
        <v>0.281197586693855</v>
      </c>
      <c r="H22" s="529"/>
      <c r="I22" s="529"/>
      <c r="J22" s="529"/>
      <c r="K22" s="529"/>
      <c r="L22" s="863">
        <v>0.3004094299375702</v>
      </c>
      <c r="M22" s="529"/>
      <c r="N22" s="529"/>
      <c r="O22" s="529"/>
      <c r="P22" s="529"/>
      <c r="Q22" s="863">
        <v>0.2985524909055659</v>
      </c>
      <c r="R22" s="529"/>
      <c r="S22" s="529"/>
      <c r="T22" s="529"/>
      <c r="U22" s="529"/>
      <c r="V22" s="863">
        <v>0.29444208467489486</v>
      </c>
      <c r="W22" s="529"/>
      <c r="X22" s="529"/>
      <c r="Y22" s="529"/>
      <c r="Z22" s="529"/>
      <c r="AA22" s="863">
        <v>0.3023120156778905</v>
      </c>
      <c r="AB22" s="529"/>
      <c r="AC22" s="529"/>
      <c r="AD22" s="529"/>
      <c r="AE22" s="529"/>
      <c r="AF22" s="863">
        <v>0.28239229548198597</v>
      </c>
      <c r="AG22" s="864">
        <v>0.2712</v>
      </c>
      <c r="AH22" s="864">
        <v>0.2781</v>
      </c>
      <c r="AI22" s="864">
        <v>0.3018</v>
      </c>
      <c r="AJ22" s="864">
        <v>0.2709</v>
      </c>
      <c r="AK22" s="529"/>
      <c r="AL22" s="529"/>
      <c r="AM22" s="529"/>
      <c r="AN22" s="529"/>
      <c r="AO22" s="529"/>
    </row>
    <row r="23">
      <c r="B23" s="862" t="s">
        <v>1389</v>
      </c>
      <c r="G23" s="863">
        <v>0.4609425127586889</v>
      </c>
      <c r="H23" s="529"/>
      <c r="I23" s="529"/>
      <c r="J23" s="529"/>
      <c r="K23" s="529"/>
      <c r="L23" s="863">
        <v>0.6050635333673633</v>
      </c>
      <c r="M23" s="529"/>
      <c r="N23" s="529"/>
      <c r="O23" s="529"/>
      <c r="P23" s="529"/>
      <c r="Q23" s="863">
        <v>0.6405451172749753</v>
      </c>
      <c r="R23" s="529"/>
      <c r="S23" s="529"/>
      <c r="T23" s="529"/>
      <c r="U23" s="529"/>
      <c r="V23" s="863">
        <v>0.5955810815276068</v>
      </c>
      <c r="W23" s="529"/>
      <c r="X23" s="529"/>
      <c r="Y23" s="529"/>
      <c r="Z23" s="529"/>
      <c r="AA23" s="863">
        <v>0.5708243266431704</v>
      </c>
      <c r="AB23" s="529"/>
      <c r="AC23" s="529"/>
      <c r="AD23" s="529"/>
      <c r="AE23" s="529"/>
      <c r="AF23" s="863">
        <v>0.5773800154174615</v>
      </c>
      <c r="AG23" s="864">
        <v>0.6018</v>
      </c>
      <c r="AH23" s="864">
        <v>0.5506</v>
      </c>
      <c r="AI23" s="864">
        <v>0.56</v>
      </c>
      <c r="AJ23" s="864">
        <v>0.6229</v>
      </c>
      <c r="AK23" s="529"/>
      <c r="AL23" s="529"/>
      <c r="AM23" s="529"/>
      <c r="AN23" s="529"/>
      <c r="AO23" s="529"/>
    </row>
    <row r="24">
      <c r="B24" s="865" t="s">
        <v>1390</v>
      </c>
      <c r="G24" s="529"/>
      <c r="H24" s="529"/>
      <c r="I24" s="529"/>
      <c r="J24" s="529"/>
      <c r="K24" s="529"/>
      <c r="L24" s="529"/>
      <c r="M24" s="529"/>
      <c r="N24" s="529"/>
      <c r="O24" s="529"/>
      <c r="P24" s="529"/>
      <c r="Q24" s="529"/>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row>
    <row r="25">
      <c r="B25" s="865" t="s">
        <v>1391</v>
      </c>
      <c r="G25" s="529"/>
      <c r="H25" s="529"/>
      <c r="I25" s="529"/>
      <c r="J25" s="529"/>
      <c r="K25" s="529"/>
      <c r="L25" s="529"/>
      <c r="M25" s="529"/>
      <c r="N25" s="529"/>
      <c r="O25" s="529"/>
      <c r="P25" s="529"/>
      <c r="Q25" s="529"/>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row>
    <row r="26">
      <c r="B26" s="862" t="s">
        <v>1392</v>
      </c>
      <c r="G26" s="529"/>
      <c r="H26" s="529"/>
      <c r="I26" s="529"/>
      <c r="J26" s="529"/>
      <c r="K26" s="529"/>
      <c r="L26" s="529"/>
      <c r="M26" s="529"/>
      <c r="N26" s="529"/>
      <c r="O26" s="529"/>
      <c r="P26" s="529"/>
      <c r="Q26" s="529"/>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row>
    <row r="27">
      <c r="B27" s="862" t="s">
        <v>1393</v>
      </c>
      <c r="G27" s="866">
        <v>589783.44</v>
      </c>
      <c r="H27" s="529"/>
      <c r="I27" s="529"/>
      <c r="J27" s="529"/>
      <c r="K27" s="529"/>
      <c r="L27" s="629">
        <v>841826.57</v>
      </c>
      <c r="M27" s="529"/>
      <c r="N27" s="529"/>
      <c r="O27" s="529"/>
      <c r="P27" s="529"/>
      <c r="Q27" s="866">
        <v>1124946.3</v>
      </c>
      <c r="R27" s="529"/>
      <c r="S27" s="529"/>
      <c r="T27" s="529"/>
      <c r="U27" s="529"/>
      <c r="V27" s="866">
        <v>1267661.45</v>
      </c>
      <c r="W27" s="529"/>
      <c r="X27" s="529"/>
      <c r="Y27" s="529"/>
      <c r="Z27" s="529"/>
      <c r="AA27" s="866">
        <v>1426972.59</v>
      </c>
      <c r="AB27" s="529"/>
      <c r="AC27" s="529"/>
      <c r="AD27" s="529"/>
      <c r="AE27" s="529"/>
      <c r="AF27" s="866">
        <v>720285.94</v>
      </c>
      <c r="AG27" s="629">
        <v>170067.38</v>
      </c>
      <c r="AH27" s="629">
        <v>199232.97</v>
      </c>
      <c r="AI27" s="629">
        <v>219454.83</v>
      </c>
      <c r="AJ27" s="629">
        <v>131530.76</v>
      </c>
      <c r="AK27" s="529"/>
      <c r="AL27" s="529"/>
      <c r="AM27" s="529"/>
      <c r="AN27" s="529"/>
      <c r="AO27" s="529"/>
    </row>
    <row r="28">
      <c r="B28" s="862" t="s">
        <v>1394</v>
      </c>
      <c r="G28" s="867" t="s">
        <v>1395</v>
      </c>
      <c r="H28" s="868"/>
      <c r="I28" s="868"/>
      <c r="J28" s="868"/>
      <c r="K28" s="868"/>
      <c r="L28" s="867" t="s">
        <v>1395</v>
      </c>
      <c r="M28" s="868"/>
      <c r="N28" s="868"/>
      <c r="O28" s="868"/>
      <c r="P28" s="868"/>
      <c r="Q28" s="867" t="s">
        <v>1395</v>
      </c>
      <c r="R28" s="868"/>
      <c r="S28" s="868"/>
      <c r="T28" s="868"/>
      <c r="U28" s="868"/>
      <c r="V28" s="867" t="s">
        <v>1395</v>
      </c>
      <c r="W28" s="868"/>
      <c r="X28" s="868"/>
      <c r="Y28" s="868"/>
      <c r="Z28" s="868"/>
      <c r="AA28" s="867" t="s">
        <v>1395</v>
      </c>
      <c r="AB28" s="868"/>
      <c r="AC28" s="868"/>
      <c r="AD28" s="868"/>
      <c r="AE28" s="868"/>
      <c r="AF28" s="867" t="s">
        <v>1395</v>
      </c>
      <c r="AG28" s="868"/>
      <c r="AH28" s="868"/>
      <c r="AI28" s="868"/>
      <c r="AJ28" s="868"/>
      <c r="AK28" s="868"/>
      <c r="AL28" s="529"/>
      <c r="AM28" s="529"/>
      <c r="AN28" s="529"/>
      <c r="AO28" s="529"/>
    </row>
    <row r="29">
      <c r="A29" s="860" t="s">
        <v>1397</v>
      </c>
      <c r="B29" s="861" t="s">
        <v>1386</v>
      </c>
      <c r="G29" s="529"/>
      <c r="H29" s="529"/>
      <c r="I29" s="529"/>
      <c r="J29" s="529"/>
      <c r="K29" s="529"/>
      <c r="L29" s="529"/>
      <c r="M29" s="529"/>
      <c r="N29" s="529"/>
      <c r="O29" s="529"/>
      <c r="P29" s="529"/>
      <c r="Q29" s="529"/>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row>
    <row r="30">
      <c r="B30" s="862" t="s">
        <v>1387</v>
      </c>
      <c r="G30" s="529"/>
      <c r="H30" s="529"/>
      <c r="I30" s="529"/>
      <c r="J30" s="529"/>
      <c r="K30" s="529"/>
      <c r="L30" s="529"/>
      <c r="M30" s="529"/>
      <c r="N30" s="529"/>
      <c r="O30" s="529"/>
      <c r="P30" s="529"/>
      <c r="Q30" s="529"/>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row>
    <row r="31">
      <c r="B31" s="862" t="s">
        <v>1388</v>
      </c>
      <c r="G31" s="863">
        <v>0.13876090927890722</v>
      </c>
      <c r="H31" s="529"/>
      <c r="I31" s="529"/>
      <c r="J31" s="529"/>
      <c r="K31" s="529"/>
      <c r="L31" s="863">
        <v>0.13102871003538327</v>
      </c>
      <c r="M31" s="529"/>
      <c r="N31" s="529"/>
      <c r="O31" s="529"/>
      <c r="P31" s="529"/>
      <c r="Q31" s="863">
        <v>0.13358531776556035</v>
      </c>
      <c r="R31" s="529"/>
      <c r="S31" s="529"/>
      <c r="T31" s="529"/>
      <c r="U31" s="529"/>
      <c r="V31" s="863">
        <v>0.1425910408679177</v>
      </c>
      <c r="W31" s="529"/>
      <c r="X31" s="529"/>
      <c r="Y31" s="529"/>
      <c r="Z31" s="529"/>
      <c r="AA31" s="863">
        <v>0.13550836386199203</v>
      </c>
      <c r="AB31" s="529"/>
      <c r="AC31" s="529"/>
      <c r="AD31" s="529"/>
      <c r="AE31" s="529"/>
      <c r="AF31" s="863">
        <v>0.14426752029141737</v>
      </c>
      <c r="AG31" s="864">
        <v>0.1701</v>
      </c>
      <c r="AH31" s="864">
        <v>0.1362</v>
      </c>
      <c r="AI31" s="864">
        <v>0.1424</v>
      </c>
      <c r="AJ31" s="864">
        <v>0.129</v>
      </c>
      <c r="AK31" s="529"/>
      <c r="AL31" s="529"/>
      <c r="AM31" s="529"/>
      <c r="AN31" s="529"/>
      <c r="AO31" s="529"/>
    </row>
    <row r="32">
      <c r="B32" s="862" t="s">
        <v>1389</v>
      </c>
      <c r="G32" s="863">
        <v>0.09100483021606931</v>
      </c>
      <c r="H32" s="529"/>
      <c r="I32" s="529"/>
      <c r="J32" s="529"/>
      <c r="K32" s="529"/>
      <c r="L32" s="863">
        <v>0.028576756157827527</v>
      </c>
      <c r="M32" s="529"/>
      <c r="N32" s="529"/>
      <c r="O32" s="529"/>
      <c r="P32" s="529"/>
      <c r="Q32" s="863">
        <v>0.022503259007136258</v>
      </c>
      <c r="R32" s="529"/>
      <c r="S32" s="529"/>
      <c r="T32" s="529"/>
      <c r="U32" s="529"/>
      <c r="V32" s="863">
        <v>0.02916752188812941</v>
      </c>
      <c r="W32" s="529"/>
      <c r="X32" s="529"/>
      <c r="Y32" s="529"/>
      <c r="Z32" s="529"/>
      <c r="AA32" s="863">
        <v>0.019856887632220974</v>
      </c>
      <c r="AB32" s="529"/>
      <c r="AC32" s="529"/>
      <c r="AD32" s="529"/>
      <c r="AE32" s="529"/>
      <c r="AF32" s="863">
        <v>0.02922330964292265</v>
      </c>
      <c r="AG32" s="864">
        <v>0.0295</v>
      </c>
      <c r="AH32" s="864">
        <v>0.0306</v>
      </c>
      <c r="AI32" s="864">
        <v>0.0256</v>
      </c>
      <c r="AJ32" s="864">
        <v>0.0333</v>
      </c>
      <c r="AK32" s="529"/>
      <c r="AL32" s="529"/>
      <c r="AM32" s="529"/>
      <c r="AN32" s="529"/>
      <c r="AO32" s="529"/>
    </row>
    <row r="33">
      <c r="B33" s="865" t="s">
        <v>1390</v>
      </c>
      <c r="G33" s="529"/>
      <c r="H33" s="529"/>
      <c r="I33" s="529"/>
      <c r="J33" s="529"/>
      <c r="K33" s="529"/>
      <c r="L33" s="529"/>
      <c r="M33" s="529"/>
      <c r="N33" s="529"/>
      <c r="O33" s="529"/>
      <c r="P33" s="529"/>
      <c r="Q33" s="529"/>
      <c r="R33" s="529"/>
      <c r="S33" s="529"/>
      <c r="T33" s="529"/>
      <c r="U33" s="529"/>
      <c r="V33" s="529"/>
      <c r="W33" s="529"/>
      <c r="X33" s="529"/>
      <c r="Y33" s="529"/>
      <c r="Z33" s="529"/>
      <c r="AA33" s="529"/>
      <c r="AB33" s="529"/>
      <c r="AC33" s="529"/>
      <c r="AD33" s="529"/>
      <c r="AE33" s="529"/>
      <c r="AF33" s="529"/>
      <c r="AG33" s="529"/>
      <c r="AH33" s="529"/>
      <c r="AI33" s="529"/>
      <c r="AJ33" s="529"/>
      <c r="AK33" s="529"/>
      <c r="AL33" s="529"/>
      <c r="AM33" s="529"/>
      <c r="AN33" s="529"/>
      <c r="AO33" s="529"/>
    </row>
    <row r="34">
      <c r="B34" s="865" t="s">
        <v>1391</v>
      </c>
      <c r="G34" s="529"/>
      <c r="H34" s="529"/>
      <c r="I34" s="529"/>
      <c r="J34" s="529"/>
      <c r="K34" s="529"/>
      <c r="L34" s="529"/>
      <c r="M34" s="529"/>
      <c r="N34" s="529"/>
      <c r="O34" s="529"/>
      <c r="P34" s="529"/>
      <c r="Q34" s="529"/>
      <c r="R34" s="529"/>
      <c r="S34" s="529"/>
      <c r="T34" s="529"/>
      <c r="U34" s="529"/>
      <c r="V34" s="529"/>
      <c r="W34" s="529"/>
      <c r="X34" s="529"/>
      <c r="Y34" s="529"/>
      <c r="Z34" s="529"/>
      <c r="AA34" s="529"/>
      <c r="AB34" s="529"/>
      <c r="AC34" s="529"/>
      <c r="AD34" s="529"/>
      <c r="AE34" s="529"/>
      <c r="AF34" s="529"/>
      <c r="AG34" s="529"/>
      <c r="AH34" s="529"/>
      <c r="AI34" s="529"/>
      <c r="AJ34" s="529"/>
      <c r="AK34" s="529"/>
      <c r="AL34" s="529"/>
      <c r="AM34" s="529"/>
      <c r="AN34" s="529"/>
      <c r="AO34" s="529"/>
    </row>
    <row r="35">
      <c r="B35" s="862" t="s">
        <v>1392</v>
      </c>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29"/>
      <c r="AF35" s="529"/>
      <c r="AG35" s="529"/>
      <c r="AH35" s="529"/>
      <c r="AI35" s="529"/>
      <c r="AJ35" s="529"/>
      <c r="AK35" s="529"/>
      <c r="AL35" s="529"/>
      <c r="AM35" s="529"/>
      <c r="AN35" s="529"/>
      <c r="AO35" s="529"/>
    </row>
    <row r="36">
      <c r="B36" s="862" t="s">
        <v>1393</v>
      </c>
      <c r="G36" s="869">
        <v>116442.16</v>
      </c>
      <c r="H36" s="529"/>
      <c r="I36" s="529"/>
      <c r="J36" s="529"/>
      <c r="K36" s="529"/>
      <c r="L36" s="869">
        <v>39758.92</v>
      </c>
      <c r="M36" s="529"/>
      <c r="N36" s="529"/>
      <c r="O36" s="529"/>
      <c r="P36" s="529"/>
      <c r="Q36" s="869">
        <v>39520.96</v>
      </c>
      <c r="R36" s="529"/>
      <c r="S36" s="529"/>
      <c r="T36" s="529"/>
      <c r="U36" s="529"/>
      <c r="V36" s="869">
        <v>62081.46000000001</v>
      </c>
      <c r="W36" s="529"/>
      <c r="X36" s="529"/>
      <c r="Y36" s="529"/>
      <c r="Z36" s="529"/>
      <c r="AA36" s="869">
        <v>49639.149999999994</v>
      </c>
      <c r="AB36" s="529"/>
      <c r="AC36" s="529"/>
      <c r="AD36" s="529"/>
      <c r="AE36" s="529"/>
      <c r="AF36" s="869">
        <v>36456.3</v>
      </c>
      <c r="AG36" s="629">
        <v>8333.11</v>
      </c>
      <c r="AH36" s="629">
        <v>11062.28</v>
      </c>
      <c r="AI36" s="629">
        <v>10023.0</v>
      </c>
      <c r="AJ36" s="629">
        <v>7037.91</v>
      </c>
      <c r="AK36" s="529"/>
      <c r="AL36" s="529"/>
      <c r="AM36" s="529"/>
      <c r="AN36" s="529"/>
      <c r="AO36" s="529"/>
    </row>
    <row r="37">
      <c r="B37" s="862" t="s">
        <v>1394</v>
      </c>
      <c r="C37" s="870"/>
      <c r="D37" s="870"/>
      <c r="E37" s="870"/>
      <c r="F37" s="870"/>
      <c r="G37" s="867" t="s">
        <v>1395</v>
      </c>
      <c r="H37" s="868"/>
      <c r="I37" s="868"/>
      <c r="J37" s="868"/>
      <c r="K37" s="868"/>
      <c r="L37" s="867" t="s">
        <v>1395</v>
      </c>
      <c r="M37" s="868"/>
      <c r="N37" s="868"/>
      <c r="O37" s="868"/>
      <c r="P37" s="868"/>
      <c r="Q37" s="867" t="s">
        <v>1395</v>
      </c>
      <c r="R37" s="868"/>
      <c r="S37" s="868"/>
      <c r="T37" s="868"/>
      <c r="U37" s="868"/>
      <c r="V37" s="867" t="s">
        <v>1395</v>
      </c>
      <c r="W37" s="868"/>
      <c r="X37" s="868"/>
      <c r="Y37" s="868"/>
      <c r="Z37" s="868"/>
      <c r="AA37" s="867" t="s">
        <v>1395</v>
      </c>
      <c r="AB37" s="868"/>
      <c r="AC37" s="868"/>
      <c r="AD37" s="868"/>
      <c r="AE37" s="868"/>
      <c r="AF37" s="867" t="s">
        <v>1395</v>
      </c>
      <c r="AG37" s="868"/>
      <c r="AH37" s="868"/>
      <c r="AI37" s="868"/>
      <c r="AJ37" s="868"/>
      <c r="AK37" s="868"/>
      <c r="AL37" s="529"/>
      <c r="AM37" s="529"/>
      <c r="AN37" s="529"/>
      <c r="AO37" s="529"/>
    </row>
    <row r="38">
      <c r="A38" s="856" t="s">
        <v>1398</v>
      </c>
      <c r="G38" s="529"/>
      <c r="H38" s="529"/>
      <c r="I38" s="529"/>
      <c r="J38" s="529"/>
      <c r="K38" s="529"/>
      <c r="L38" s="529"/>
      <c r="M38" s="529"/>
      <c r="N38" s="529"/>
      <c r="O38" s="529"/>
      <c r="P38" s="529"/>
      <c r="Q38" s="529"/>
      <c r="R38" s="529"/>
      <c r="S38" s="529"/>
      <c r="T38" s="529"/>
      <c r="U38" s="529"/>
      <c r="V38" s="529"/>
      <c r="W38" s="529"/>
      <c r="X38" s="529"/>
      <c r="Y38" s="529"/>
      <c r="Z38" s="529"/>
      <c r="AA38" s="529"/>
      <c r="AB38" s="529"/>
      <c r="AC38" s="529"/>
      <c r="AD38" s="529"/>
      <c r="AE38" s="529"/>
      <c r="AF38" s="529"/>
      <c r="AG38" s="529"/>
      <c r="AH38" s="529"/>
      <c r="AI38" s="529"/>
      <c r="AJ38" s="529"/>
      <c r="AK38" s="529"/>
      <c r="AL38" s="529"/>
      <c r="AM38" s="529"/>
      <c r="AN38" s="529"/>
      <c r="AO38" s="529"/>
    </row>
    <row r="39">
      <c r="A39" s="871" t="s">
        <v>1399</v>
      </c>
      <c r="B39" s="861" t="s">
        <v>1386</v>
      </c>
      <c r="G39" s="529"/>
      <c r="H39" s="529"/>
      <c r="I39" s="529"/>
      <c r="J39" s="529"/>
      <c r="K39" s="529"/>
      <c r="L39" s="529"/>
      <c r="M39" s="529"/>
      <c r="N39" s="529"/>
      <c r="O39" s="529"/>
      <c r="P39" s="529"/>
      <c r="Q39" s="529"/>
      <c r="R39" s="529"/>
      <c r="S39" s="529"/>
      <c r="T39" s="529"/>
      <c r="U39" s="529"/>
      <c r="V39" s="529"/>
      <c r="W39" s="529"/>
      <c r="X39" s="529"/>
      <c r="Y39" s="529"/>
      <c r="Z39" s="529"/>
      <c r="AA39" s="529"/>
      <c r="AB39" s="529"/>
      <c r="AC39" s="529"/>
      <c r="AD39" s="529"/>
      <c r="AE39" s="529"/>
      <c r="AF39" s="529"/>
      <c r="AG39" s="529"/>
      <c r="AH39" s="529"/>
      <c r="AI39" s="529"/>
      <c r="AJ39" s="529"/>
      <c r="AK39" s="529"/>
      <c r="AL39" s="529"/>
      <c r="AM39" s="529"/>
      <c r="AN39" s="529"/>
      <c r="AO39" s="529"/>
    </row>
    <row r="40">
      <c r="B40" s="862" t="s">
        <v>1387</v>
      </c>
      <c r="G40" s="529"/>
      <c r="H40" s="529"/>
      <c r="I40" s="529"/>
      <c r="J40" s="529"/>
      <c r="K40" s="529"/>
      <c r="L40" s="529"/>
      <c r="M40" s="529"/>
      <c r="N40" s="529"/>
      <c r="O40" s="529"/>
      <c r="P40" s="529"/>
      <c r="Q40" s="529"/>
      <c r="R40" s="529"/>
      <c r="S40" s="529"/>
      <c r="T40" s="529"/>
      <c r="U40" s="529"/>
      <c r="V40" s="529"/>
      <c r="W40" s="529"/>
      <c r="X40" s="529"/>
      <c r="Y40" s="529"/>
      <c r="Z40" s="529"/>
      <c r="AA40" s="529"/>
      <c r="AB40" s="529"/>
      <c r="AC40" s="529"/>
      <c r="AD40" s="529"/>
      <c r="AE40" s="529"/>
      <c r="AF40" s="529"/>
      <c r="AG40" s="529"/>
      <c r="AH40" s="529"/>
      <c r="AI40" s="529"/>
      <c r="AJ40" s="529"/>
      <c r="AK40" s="529"/>
      <c r="AL40" s="529"/>
      <c r="AM40" s="529"/>
      <c r="AN40" s="529"/>
      <c r="AO40" s="529"/>
    </row>
    <row r="41">
      <c r="B41" s="862" t="s">
        <v>1388</v>
      </c>
      <c r="G41" s="529"/>
      <c r="H41" s="529"/>
      <c r="I41" s="529"/>
      <c r="J41" s="529"/>
      <c r="K41" s="529"/>
      <c r="L41" s="529"/>
      <c r="M41" s="529"/>
      <c r="N41" s="529"/>
      <c r="O41" s="529"/>
      <c r="P41" s="529"/>
      <c r="Q41" s="529"/>
      <c r="R41" s="529"/>
      <c r="S41" s="529"/>
      <c r="T41" s="529"/>
      <c r="U41" s="529"/>
      <c r="V41" s="529"/>
      <c r="W41" s="529"/>
      <c r="X41" s="529"/>
      <c r="Y41" s="529"/>
      <c r="Z41" s="529"/>
      <c r="AA41" s="529"/>
      <c r="AB41" s="529"/>
      <c r="AC41" s="529"/>
      <c r="AD41" s="529"/>
      <c r="AE41" s="529"/>
      <c r="AF41" s="529"/>
      <c r="AG41" s="529"/>
      <c r="AH41" s="529"/>
      <c r="AI41" s="529"/>
      <c r="AJ41" s="529"/>
      <c r="AK41" s="529"/>
      <c r="AL41" s="529"/>
      <c r="AM41" s="529"/>
      <c r="AN41" s="529"/>
      <c r="AO41" s="529"/>
    </row>
    <row r="42">
      <c r="B42" s="862" t="s">
        <v>1389</v>
      </c>
      <c r="G42" s="529"/>
      <c r="H42" s="529"/>
      <c r="I42" s="529"/>
      <c r="J42" s="529"/>
      <c r="K42" s="529"/>
      <c r="L42" s="529"/>
      <c r="M42" s="529"/>
      <c r="N42" s="529"/>
      <c r="O42" s="529"/>
      <c r="P42" s="529"/>
      <c r="Q42" s="529"/>
      <c r="R42" s="529"/>
      <c r="S42" s="529"/>
      <c r="T42" s="529"/>
      <c r="U42" s="529"/>
      <c r="V42" s="529"/>
      <c r="W42" s="529"/>
      <c r="X42" s="529"/>
      <c r="Y42" s="529"/>
      <c r="Z42" s="529"/>
      <c r="AA42" s="529"/>
      <c r="AB42" s="529"/>
      <c r="AC42" s="529"/>
      <c r="AD42" s="529"/>
      <c r="AE42" s="529"/>
      <c r="AF42" s="529"/>
      <c r="AG42" s="529"/>
      <c r="AH42" s="529"/>
      <c r="AI42" s="529"/>
      <c r="AJ42" s="529"/>
      <c r="AK42" s="529"/>
      <c r="AL42" s="529"/>
      <c r="AM42" s="529"/>
      <c r="AN42" s="529"/>
      <c r="AO42" s="529"/>
    </row>
    <row r="43">
      <c r="B43" s="865" t="s">
        <v>1390</v>
      </c>
      <c r="G43" s="529"/>
      <c r="H43" s="529"/>
      <c r="I43" s="529"/>
      <c r="J43" s="529"/>
      <c r="K43" s="529"/>
      <c r="L43" s="529"/>
      <c r="M43" s="529"/>
      <c r="N43" s="529"/>
      <c r="O43" s="529"/>
      <c r="P43" s="529"/>
      <c r="Q43" s="529"/>
      <c r="R43" s="529"/>
      <c r="S43" s="529"/>
      <c r="T43" s="529"/>
      <c r="U43" s="529"/>
      <c r="V43" s="529"/>
      <c r="W43" s="529"/>
      <c r="X43" s="529"/>
      <c r="Y43" s="529"/>
      <c r="Z43" s="529"/>
      <c r="AA43" s="529"/>
      <c r="AB43" s="529"/>
      <c r="AC43" s="529"/>
      <c r="AD43" s="529"/>
      <c r="AE43" s="529"/>
      <c r="AF43" s="529"/>
      <c r="AG43" s="529"/>
      <c r="AH43" s="529"/>
      <c r="AI43" s="529"/>
      <c r="AJ43" s="529"/>
      <c r="AK43" s="529"/>
      <c r="AL43" s="529"/>
      <c r="AM43" s="529"/>
      <c r="AN43" s="529"/>
      <c r="AO43" s="529"/>
    </row>
    <row r="44">
      <c r="B44" s="865" t="s">
        <v>1391</v>
      </c>
      <c r="G44" s="529"/>
      <c r="H44" s="529"/>
      <c r="I44" s="529"/>
      <c r="J44" s="529"/>
      <c r="K44" s="529"/>
      <c r="L44" s="529"/>
      <c r="M44" s="529"/>
      <c r="N44" s="529"/>
      <c r="O44" s="529"/>
      <c r="P44" s="529"/>
      <c r="Q44" s="529"/>
      <c r="R44" s="529"/>
      <c r="S44" s="529"/>
      <c r="T44" s="529"/>
      <c r="U44" s="529"/>
      <c r="V44" s="529"/>
      <c r="W44" s="529"/>
      <c r="X44" s="529"/>
      <c r="Y44" s="529"/>
      <c r="Z44" s="529"/>
      <c r="AA44" s="529"/>
      <c r="AB44" s="529"/>
      <c r="AC44" s="529"/>
      <c r="AD44" s="529"/>
      <c r="AE44" s="529"/>
      <c r="AF44" s="529"/>
      <c r="AG44" s="529"/>
      <c r="AH44" s="529"/>
      <c r="AI44" s="529"/>
      <c r="AJ44" s="529"/>
      <c r="AK44" s="529"/>
      <c r="AL44" s="529"/>
      <c r="AM44" s="529"/>
      <c r="AN44" s="529"/>
      <c r="AO44" s="529"/>
    </row>
    <row r="45">
      <c r="B45" s="862" t="s">
        <v>1392</v>
      </c>
      <c r="G45" s="529"/>
      <c r="H45" s="529"/>
      <c r="I45" s="529"/>
      <c r="J45" s="529"/>
      <c r="K45" s="529"/>
      <c r="L45" s="529"/>
      <c r="M45" s="529"/>
      <c r="N45" s="529"/>
      <c r="O45" s="529"/>
      <c r="P45" s="529"/>
      <c r="Q45" s="529"/>
      <c r="R45" s="529"/>
      <c r="S45" s="529"/>
      <c r="T45" s="529"/>
      <c r="U45" s="529"/>
      <c r="V45" s="529"/>
      <c r="W45" s="529"/>
      <c r="X45" s="529"/>
      <c r="Y45" s="529"/>
      <c r="Z45" s="529"/>
      <c r="AA45" s="529"/>
      <c r="AB45" s="529"/>
      <c r="AC45" s="529"/>
      <c r="AD45" s="529"/>
      <c r="AE45" s="529"/>
      <c r="AF45" s="529"/>
      <c r="AG45" s="529"/>
      <c r="AH45" s="529"/>
      <c r="AI45" s="529"/>
      <c r="AJ45" s="529"/>
      <c r="AK45" s="529"/>
      <c r="AL45" s="529"/>
      <c r="AM45" s="529"/>
      <c r="AN45" s="529"/>
      <c r="AO45" s="529"/>
    </row>
    <row r="46">
      <c r="B46" s="862" t="s">
        <v>1393</v>
      </c>
      <c r="G46" s="529"/>
      <c r="H46" s="529"/>
      <c r="I46" s="529"/>
      <c r="J46" s="529"/>
      <c r="K46" s="529"/>
      <c r="L46" s="529"/>
      <c r="M46" s="529"/>
      <c r="N46" s="529"/>
      <c r="O46" s="529"/>
      <c r="P46" s="529"/>
      <c r="Q46" s="529"/>
      <c r="R46" s="529"/>
      <c r="S46" s="529"/>
      <c r="T46" s="529"/>
      <c r="U46" s="529"/>
      <c r="V46" s="529"/>
      <c r="W46" s="529"/>
      <c r="X46" s="529"/>
      <c r="Y46" s="529"/>
      <c r="Z46" s="529"/>
      <c r="AA46" s="529"/>
      <c r="AB46" s="529"/>
      <c r="AC46" s="529"/>
      <c r="AD46" s="529"/>
      <c r="AE46" s="529"/>
      <c r="AF46" s="529"/>
      <c r="AG46" s="529"/>
      <c r="AH46" s="529"/>
      <c r="AI46" s="529"/>
      <c r="AJ46" s="529"/>
      <c r="AK46" s="529"/>
      <c r="AL46" s="529"/>
      <c r="AM46" s="529"/>
      <c r="AN46" s="529"/>
      <c r="AO46" s="529"/>
    </row>
    <row r="47">
      <c r="B47" s="862" t="s">
        <v>1394</v>
      </c>
      <c r="G47" s="529"/>
      <c r="H47" s="529"/>
      <c r="I47" s="529"/>
      <c r="J47" s="529"/>
      <c r="K47" s="529"/>
      <c r="L47" s="529"/>
      <c r="M47" s="529"/>
      <c r="N47" s="529"/>
      <c r="O47" s="529"/>
      <c r="P47" s="529"/>
      <c r="Q47" s="529"/>
      <c r="R47" s="529"/>
      <c r="S47" s="529"/>
      <c r="T47" s="529"/>
      <c r="U47" s="529"/>
      <c r="V47" s="529"/>
      <c r="W47" s="529"/>
      <c r="X47" s="529"/>
      <c r="Y47" s="529"/>
      <c r="Z47" s="529"/>
      <c r="AA47" s="529"/>
      <c r="AB47" s="529"/>
      <c r="AC47" s="529"/>
      <c r="AD47" s="529"/>
      <c r="AE47" s="529"/>
      <c r="AF47" s="529"/>
      <c r="AG47" s="529"/>
      <c r="AH47" s="529"/>
      <c r="AI47" s="529"/>
      <c r="AJ47" s="529"/>
      <c r="AK47" s="529"/>
      <c r="AL47" s="529"/>
      <c r="AM47" s="529"/>
      <c r="AN47" s="529"/>
      <c r="AO47" s="529"/>
    </row>
    <row r="48">
      <c r="A48" s="860" t="s">
        <v>1400</v>
      </c>
      <c r="B48" s="861" t="s">
        <v>1386</v>
      </c>
      <c r="G48" s="529"/>
      <c r="H48" s="529"/>
      <c r="I48" s="529"/>
      <c r="J48" s="529"/>
      <c r="K48" s="529"/>
      <c r="L48" s="529"/>
      <c r="M48" s="529"/>
      <c r="N48" s="529"/>
      <c r="O48" s="529"/>
      <c r="P48" s="529"/>
      <c r="Q48" s="529"/>
      <c r="R48" s="529"/>
      <c r="S48" s="529"/>
      <c r="T48" s="529"/>
      <c r="U48" s="529"/>
      <c r="V48" s="529"/>
      <c r="W48" s="529"/>
      <c r="X48" s="529"/>
      <c r="Y48" s="529"/>
      <c r="Z48" s="529"/>
      <c r="AA48" s="529"/>
      <c r="AB48" s="529"/>
      <c r="AC48" s="529"/>
      <c r="AD48" s="529"/>
      <c r="AE48" s="529"/>
      <c r="AF48" s="529"/>
      <c r="AG48" s="529"/>
      <c r="AH48" s="529"/>
      <c r="AI48" s="529"/>
      <c r="AJ48" s="529"/>
      <c r="AK48" s="529"/>
      <c r="AL48" s="529"/>
      <c r="AM48" s="529"/>
      <c r="AN48" s="529"/>
      <c r="AO48" s="529"/>
    </row>
    <row r="49">
      <c r="B49" s="862" t="s">
        <v>1387</v>
      </c>
      <c r="G49" s="529"/>
      <c r="H49" s="529"/>
      <c r="I49" s="529"/>
      <c r="J49" s="529"/>
      <c r="K49" s="529"/>
      <c r="L49" s="529"/>
      <c r="M49" s="529"/>
      <c r="N49" s="529"/>
      <c r="O49" s="529"/>
      <c r="P49" s="529"/>
      <c r="Q49" s="529"/>
      <c r="R49" s="529"/>
      <c r="S49" s="529"/>
      <c r="T49" s="529"/>
      <c r="U49" s="529"/>
      <c r="V49" s="529"/>
      <c r="W49" s="529"/>
      <c r="X49" s="529"/>
      <c r="Y49" s="529"/>
      <c r="Z49" s="529"/>
      <c r="AA49" s="529"/>
      <c r="AB49" s="529"/>
      <c r="AC49" s="529"/>
      <c r="AD49" s="529"/>
      <c r="AE49" s="529"/>
      <c r="AF49" s="529"/>
      <c r="AG49" s="529"/>
      <c r="AH49" s="529"/>
      <c r="AI49" s="529"/>
      <c r="AJ49" s="529"/>
      <c r="AK49" s="529"/>
      <c r="AL49" s="529"/>
      <c r="AM49" s="529"/>
      <c r="AN49" s="529"/>
      <c r="AO49" s="529"/>
    </row>
    <row r="50">
      <c r="B50" s="862" t="s">
        <v>1388</v>
      </c>
      <c r="G50" s="529"/>
      <c r="H50" s="529"/>
      <c r="I50" s="529"/>
      <c r="J50" s="529"/>
      <c r="K50" s="529"/>
      <c r="L50" s="529"/>
      <c r="M50" s="529"/>
      <c r="N50" s="529"/>
      <c r="O50" s="529"/>
      <c r="P50" s="529"/>
      <c r="Q50" s="529"/>
      <c r="R50" s="529"/>
      <c r="S50" s="529"/>
      <c r="T50" s="529"/>
      <c r="U50" s="529"/>
      <c r="V50" s="529"/>
      <c r="W50" s="529"/>
      <c r="X50" s="529"/>
      <c r="Y50" s="529"/>
      <c r="Z50" s="529"/>
      <c r="AA50" s="529"/>
      <c r="AB50" s="529"/>
      <c r="AC50" s="529"/>
      <c r="AD50" s="529"/>
      <c r="AE50" s="529"/>
      <c r="AF50" s="529"/>
      <c r="AG50" s="529"/>
      <c r="AH50" s="529"/>
      <c r="AI50" s="529"/>
      <c r="AJ50" s="529"/>
      <c r="AK50" s="529"/>
      <c r="AL50" s="529"/>
      <c r="AM50" s="529"/>
      <c r="AN50" s="529"/>
      <c r="AO50" s="529"/>
    </row>
    <row r="51">
      <c r="B51" s="862" t="s">
        <v>1389</v>
      </c>
      <c r="G51" s="529"/>
      <c r="H51" s="529"/>
      <c r="I51" s="529"/>
      <c r="J51" s="529"/>
      <c r="K51" s="529"/>
      <c r="L51" s="529"/>
      <c r="M51" s="529"/>
      <c r="N51" s="529"/>
      <c r="O51" s="529"/>
      <c r="P51" s="529"/>
      <c r="Q51" s="529"/>
      <c r="R51" s="529"/>
      <c r="S51" s="529"/>
      <c r="T51" s="529"/>
      <c r="U51" s="529"/>
      <c r="V51" s="529"/>
      <c r="W51" s="529"/>
      <c r="X51" s="529"/>
      <c r="Y51" s="529"/>
      <c r="Z51" s="529"/>
      <c r="AA51" s="529"/>
      <c r="AB51" s="529"/>
      <c r="AC51" s="529"/>
      <c r="AD51" s="529"/>
      <c r="AE51" s="529"/>
      <c r="AF51" s="529"/>
      <c r="AG51" s="529"/>
      <c r="AH51" s="529"/>
      <c r="AI51" s="529"/>
      <c r="AJ51" s="529"/>
      <c r="AK51" s="529"/>
      <c r="AL51" s="529"/>
      <c r="AM51" s="529"/>
      <c r="AN51" s="529"/>
      <c r="AO51" s="529"/>
    </row>
    <row r="52">
      <c r="B52" s="865" t="s">
        <v>1390</v>
      </c>
      <c r="G52" s="529"/>
      <c r="H52" s="529"/>
      <c r="I52" s="529"/>
      <c r="J52" s="529"/>
      <c r="K52" s="529"/>
      <c r="L52" s="529"/>
      <c r="M52" s="529"/>
      <c r="N52" s="529"/>
      <c r="O52" s="529"/>
      <c r="P52" s="529"/>
      <c r="Q52" s="529"/>
      <c r="R52" s="529"/>
      <c r="S52" s="529"/>
      <c r="T52" s="529"/>
      <c r="U52" s="529"/>
      <c r="V52" s="529"/>
      <c r="W52" s="529"/>
      <c r="X52" s="529"/>
      <c r="Y52" s="529"/>
      <c r="Z52" s="529"/>
      <c r="AA52" s="529"/>
      <c r="AB52" s="529"/>
      <c r="AC52" s="529"/>
      <c r="AD52" s="529"/>
      <c r="AE52" s="529"/>
      <c r="AF52" s="529"/>
      <c r="AG52" s="529"/>
      <c r="AH52" s="529"/>
      <c r="AI52" s="529"/>
      <c r="AJ52" s="529"/>
      <c r="AK52" s="529"/>
      <c r="AL52" s="529"/>
      <c r="AM52" s="529"/>
      <c r="AN52" s="529"/>
      <c r="AO52" s="529"/>
    </row>
    <row r="53">
      <c r="B53" s="865" t="s">
        <v>1391</v>
      </c>
      <c r="G53" s="529"/>
      <c r="H53" s="529"/>
      <c r="I53" s="529"/>
      <c r="J53" s="529"/>
      <c r="K53" s="529"/>
      <c r="L53" s="529"/>
      <c r="M53" s="529"/>
      <c r="N53" s="529"/>
      <c r="O53" s="529"/>
      <c r="P53" s="529"/>
      <c r="Q53" s="529"/>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529"/>
      <c r="AO53" s="529"/>
    </row>
    <row r="54">
      <c r="B54" s="862" t="s">
        <v>1392</v>
      </c>
      <c r="G54" s="529"/>
      <c r="H54" s="529"/>
      <c r="I54" s="529"/>
      <c r="J54" s="529"/>
      <c r="K54" s="529"/>
      <c r="L54" s="529"/>
      <c r="M54" s="529"/>
      <c r="N54" s="529"/>
      <c r="O54" s="529"/>
      <c r="P54" s="529"/>
      <c r="Q54" s="529"/>
      <c r="R54" s="529"/>
      <c r="S54" s="529"/>
      <c r="T54" s="529"/>
      <c r="U54" s="529"/>
      <c r="V54" s="529"/>
      <c r="W54" s="529"/>
      <c r="X54" s="529"/>
      <c r="Y54" s="529"/>
      <c r="Z54" s="529"/>
      <c r="AA54" s="529"/>
      <c r="AB54" s="529"/>
      <c r="AC54" s="529"/>
      <c r="AD54" s="529"/>
      <c r="AE54" s="529"/>
      <c r="AF54" s="529"/>
      <c r="AG54" s="529"/>
      <c r="AH54" s="529"/>
      <c r="AI54" s="529"/>
      <c r="AJ54" s="529"/>
      <c r="AK54" s="529"/>
      <c r="AL54" s="529"/>
      <c r="AM54" s="529"/>
      <c r="AN54" s="529"/>
      <c r="AO54" s="529"/>
    </row>
    <row r="55">
      <c r="B55" s="862" t="s">
        <v>1393</v>
      </c>
      <c r="G55" s="529"/>
      <c r="H55" s="529"/>
      <c r="I55" s="529"/>
      <c r="J55" s="529"/>
      <c r="K55" s="529"/>
      <c r="L55" s="529"/>
      <c r="M55" s="529"/>
      <c r="N55" s="529"/>
      <c r="O55" s="529"/>
      <c r="P55" s="529"/>
      <c r="Q55" s="529"/>
      <c r="R55" s="529"/>
      <c r="S55" s="529"/>
      <c r="T55" s="529"/>
      <c r="U55" s="529"/>
      <c r="V55" s="529"/>
      <c r="W55" s="529"/>
      <c r="X55" s="529"/>
      <c r="Y55" s="529"/>
      <c r="Z55" s="529"/>
      <c r="AA55" s="529"/>
      <c r="AB55" s="529"/>
      <c r="AC55" s="529"/>
      <c r="AD55" s="529"/>
      <c r="AE55" s="529"/>
      <c r="AF55" s="529"/>
      <c r="AG55" s="529"/>
      <c r="AH55" s="529"/>
      <c r="AI55" s="529"/>
      <c r="AJ55" s="529"/>
      <c r="AK55" s="529"/>
      <c r="AL55" s="529"/>
      <c r="AM55" s="529"/>
      <c r="AN55" s="529"/>
      <c r="AO55" s="529"/>
    </row>
    <row r="56">
      <c r="B56" s="862" t="s">
        <v>1394</v>
      </c>
      <c r="G56" s="529"/>
      <c r="H56" s="529"/>
      <c r="I56" s="529"/>
      <c r="J56" s="529"/>
      <c r="K56" s="529"/>
      <c r="L56" s="529"/>
      <c r="M56" s="529"/>
      <c r="N56" s="529"/>
      <c r="O56" s="529"/>
      <c r="P56" s="529"/>
      <c r="Q56" s="529"/>
      <c r="R56" s="529"/>
      <c r="S56" s="529"/>
      <c r="T56" s="529"/>
      <c r="U56" s="529"/>
      <c r="V56" s="529"/>
      <c r="W56" s="529"/>
      <c r="X56" s="529"/>
      <c r="Y56" s="529"/>
      <c r="Z56" s="529"/>
      <c r="AA56" s="529"/>
      <c r="AB56" s="529"/>
      <c r="AC56" s="529"/>
      <c r="AD56" s="529"/>
      <c r="AE56" s="529"/>
      <c r="AF56" s="529"/>
      <c r="AG56" s="529"/>
      <c r="AH56" s="529"/>
      <c r="AI56" s="529"/>
      <c r="AJ56" s="529"/>
      <c r="AK56" s="529"/>
      <c r="AL56" s="529"/>
      <c r="AM56" s="529"/>
      <c r="AN56" s="529"/>
      <c r="AO56" s="529"/>
    </row>
    <row r="57">
      <c r="A57" s="860" t="s">
        <v>1401</v>
      </c>
      <c r="B57" s="861" t="s">
        <v>1386</v>
      </c>
      <c r="G57" s="529"/>
      <c r="H57" s="529"/>
      <c r="I57" s="529"/>
      <c r="J57" s="529"/>
      <c r="K57" s="529"/>
      <c r="L57" s="529"/>
      <c r="M57" s="529"/>
      <c r="N57" s="529"/>
      <c r="O57" s="529"/>
      <c r="P57" s="529"/>
      <c r="Q57" s="529"/>
      <c r="R57" s="529"/>
      <c r="S57" s="529"/>
      <c r="T57" s="529"/>
      <c r="U57" s="529"/>
      <c r="V57" s="529"/>
      <c r="W57" s="529"/>
      <c r="X57" s="529"/>
      <c r="Y57" s="529"/>
      <c r="Z57" s="529"/>
      <c r="AA57" s="529"/>
      <c r="AB57" s="529"/>
      <c r="AC57" s="529"/>
      <c r="AD57" s="529"/>
      <c r="AE57" s="529"/>
      <c r="AF57" s="529"/>
      <c r="AG57" s="529"/>
      <c r="AH57" s="529"/>
      <c r="AI57" s="529"/>
      <c r="AJ57" s="529"/>
      <c r="AK57" s="529"/>
      <c r="AL57" s="529"/>
      <c r="AM57" s="529"/>
      <c r="AN57" s="529"/>
      <c r="AO57" s="529"/>
    </row>
    <row r="58">
      <c r="B58" s="862" t="s">
        <v>1387</v>
      </c>
      <c r="G58" s="529"/>
      <c r="H58" s="529"/>
      <c r="I58" s="529"/>
      <c r="J58" s="529"/>
      <c r="K58" s="529"/>
      <c r="L58" s="529"/>
      <c r="M58" s="529"/>
      <c r="N58" s="529"/>
      <c r="O58" s="529"/>
      <c r="P58" s="529"/>
      <c r="Q58" s="529"/>
      <c r="R58" s="529"/>
      <c r="S58" s="529"/>
      <c r="T58" s="529"/>
      <c r="U58" s="529"/>
      <c r="V58" s="529"/>
      <c r="W58" s="529"/>
      <c r="X58" s="529"/>
      <c r="Y58" s="529"/>
      <c r="Z58" s="529"/>
      <c r="AA58" s="529"/>
      <c r="AB58" s="529"/>
      <c r="AC58" s="529"/>
      <c r="AD58" s="529"/>
      <c r="AE58" s="529"/>
      <c r="AF58" s="529"/>
      <c r="AG58" s="529"/>
      <c r="AH58" s="529"/>
      <c r="AI58" s="529"/>
      <c r="AJ58" s="529"/>
      <c r="AK58" s="529"/>
      <c r="AL58" s="529"/>
      <c r="AM58" s="529"/>
      <c r="AN58" s="529"/>
      <c r="AO58" s="529"/>
    </row>
    <row r="59">
      <c r="B59" s="862" t="s">
        <v>1388</v>
      </c>
      <c r="G59" s="529"/>
      <c r="H59" s="529"/>
      <c r="I59" s="529"/>
      <c r="J59" s="529"/>
      <c r="K59" s="529"/>
      <c r="L59" s="529"/>
      <c r="M59" s="529"/>
      <c r="N59" s="529"/>
      <c r="O59" s="529"/>
      <c r="P59" s="529"/>
      <c r="Q59" s="529"/>
      <c r="R59" s="529"/>
      <c r="S59" s="529"/>
      <c r="T59" s="529"/>
      <c r="U59" s="529"/>
      <c r="V59" s="529"/>
      <c r="W59" s="529"/>
      <c r="X59" s="529"/>
      <c r="Y59" s="529"/>
      <c r="Z59" s="529"/>
      <c r="AA59" s="529"/>
      <c r="AB59" s="529"/>
      <c r="AC59" s="529"/>
      <c r="AD59" s="529"/>
      <c r="AE59" s="529"/>
      <c r="AF59" s="529"/>
      <c r="AG59" s="529"/>
      <c r="AH59" s="529"/>
      <c r="AI59" s="529"/>
      <c r="AJ59" s="529"/>
      <c r="AK59" s="529"/>
      <c r="AL59" s="529"/>
      <c r="AM59" s="529"/>
      <c r="AN59" s="529"/>
      <c r="AO59" s="529"/>
    </row>
    <row r="60">
      <c r="B60" s="862" t="s">
        <v>1389</v>
      </c>
      <c r="G60" s="529"/>
      <c r="H60" s="529"/>
      <c r="I60" s="529"/>
      <c r="J60" s="529"/>
      <c r="K60" s="529"/>
      <c r="L60" s="529"/>
      <c r="M60" s="529"/>
      <c r="N60" s="529"/>
      <c r="O60" s="529"/>
      <c r="P60" s="529"/>
      <c r="Q60" s="529"/>
      <c r="R60" s="529"/>
      <c r="S60" s="529"/>
      <c r="T60" s="529"/>
      <c r="U60" s="529"/>
      <c r="V60" s="529"/>
      <c r="W60" s="529"/>
      <c r="X60" s="529"/>
      <c r="Y60" s="529"/>
      <c r="Z60" s="529"/>
      <c r="AA60" s="529"/>
      <c r="AB60" s="529"/>
      <c r="AC60" s="529"/>
      <c r="AD60" s="529"/>
      <c r="AE60" s="529"/>
      <c r="AF60" s="529"/>
      <c r="AG60" s="529"/>
      <c r="AH60" s="529"/>
      <c r="AI60" s="529"/>
      <c r="AJ60" s="529"/>
      <c r="AK60" s="529"/>
      <c r="AL60" s="529"/>
      <c r="AM60" s="529"/>
      <c r="AN60" s="529"/>
      <c r="AO60" s="529"/>
    </row>
    <row r="61">
      <c r="B61" s="865" t="s">
        <v>1390</v>
      </c>
      <c r="G61" s="529"/>
      <c r="H61" s="529"/>
      <c r="I61" s="529"/>
      <c r="J61" s="529"/>
      <c r="K61" s="529"/>
      <c r="L61" s="529"/>
      <c r="M61" s="529"/>
      <c r="N61" s="529"/>
      <c r="O61" s="529"/>
      <c r="P61" s="529"/>
      <c r="Q61" s="529"/>
      <c r="R61" s="529"/>
      <c r="S61" s="529"/>
      <c r="T61" s="529"/>
      <c r="U61" s="529"/>
      <c r="V61" s="529"/>
      <c r="W61" s="529"/>
      <c r="X61" s="529"/>
      <c r="Y61" s="529"/>
      <c r="Z61" s="529"/>
      <c r="AA61" s="529"/>
      <c r="AB61" s="529"/>
      <c r="AC61" s="529"/>
      <c r="AD61" s="529"/>
      <c r="AE61" s="529"/>
      <c r="AF61" s="529"/>
      <c r="AG61" s="529"/>
      <c r="AH61" s="529"/>
      <c r="AI61" s="529"/>
      <c r="AJ61" s="529"/>
      <c r="AK61" s="529"/>
      <c r="AL61" s="529"/>
      <c r="AM61" s="529"/>
      <c r="AN61" s="529"/>
      <c r="AO61" s="529"/>
    </row>
    <row r="62">
      <c r="B62" s="865" t="s">
        <v>1391</v>
      </c>
      <c r="G62" s="529"/>
      <c r="H62" s="529"/>
      <c r="I62" s="529"/>
      <c r="J62" s="529"/>
      <c r="K62" s="529"/>
      <c r="L62" s="529"/>
      <c r="M62" s="529"/>
      <c r="N62" s="529"/>
      <c r="O62" s="529"/>
      <c r="P62" s="529"/>
      <c r="Q62" s="529"/>
      <c r="R62" s="529"/>
      <c r="S62" s="529"/>
      <c r="T62" s="529"/>
      <c r="U62" s="529"/>
      <c r="V62" s="529"/>
      <c r="W62" s="529"/>
      <c r="X62" s="529"/>
      <c r="Y62" s="529"/>
      <c r="Z62" s="529"/>
      <c r="AA62" s="529"/>
      <c r="AB62" s="529"/>
      <c r="AC62" s="529"/>
      <c r="AD62" s="529"/>
      <c r="AE62" s="529"/>
      <c r="AF62" s="529"/>
      <c r="AG62" s="529"/>
      <c r="AH62" s="529"/>
      <c r="AI62" s="529"/>
      <c r="AJ62" s="529"/>
      <c r="AK62" s="529"/>
      <c r="AL62" s="529"/>
      <c r="AM62" s="529"/>
      <c r="AN62" s="529"/>
      <c r="AO62" s="529"/>
    </row>
    <row r="63">
      <c r="B63" s="862" t="s">
        <v>1392</v>
      </c>
      <c r="G63" s="529"/>
      <c r="H63" s="529"/>
      <c r="I63" s="529"/>
      <c r="J63" s="529"/>
      <c r="K63" s="529"/>
      <c r="L63" s="529"/>
      <c r="M63" s="529"/>
      <c r="N63" s="529"/>
      <c r="O63" s="529"/>
      <c r="P63" s="529"/>
      <c r="Q63" s="529"/>
      <c r="R63" s="529"/>
      <c r="S63" s="529"/>
      <c r="T63" s="529"/>
      <c r="U63" s="529"/>
      <c r="V63" s="529"/>
      <c r="W63" s="529"/>
      <c r="X63" s="529"/>
      <c r="Y63" s="529"/>
      <c r="Z63" s="529"/>
      <c r="AA63" s="529"/>
      <c r="AB63" s="529"/>
      <c r="AC63" s="529"/>
      <c r="AD63" s="529"/>
      <c r="AE63" s="529"/>
      <c r="AF63" s="529"/>
      <c r="AG63" s="529"/>
      <c r="AH63" s="529"/>
      <c r="AI63" s="529"/>
      <c r="AJ63" s="529"/>
      <c r="AK63" s="529"/>
      <c r="AL63" s="529"/>
      <c r="AM63" s="529"/>
      <c r="AN63" s="529"/>
      <c r="AO63" s="529"/>
    </row>
    <row r="64">
      <c r="B64" s="862" t="s">
        <v>1393</v>
      </c>
      <c r="G64" s="529"/>
      <c r="H64" s="529"/>
      <c r="I64" s="529"/>
      <c r="J64" s="529"/>
      <c r="K64" s="529"/>
      <c r="L64" s="529"/>
      <c r="M64" s="529"/>
      <c r="N64" s="529"/>
      <c r="O64" s="529"/>
      <c r="P64" s="529"/>
      <c r="Q64" s="529"/>
      <c r="R64" s="529"/>
      <c r="S64" s="529"/>
      <c r="T64" s="529"/>
      <c r="U64" s="529"/>
      <c r="V64" s="529"/>
      <c r="W64" s="529"/>
      <c r="X64" s="529"/>
      <c r="Y64" s="529"/>
      <c r="Z64" s="529"/>
      <c r="AA64" s="529"/>
      <c r="AB64" s="529"/>
      <c r="AC64" s="529"/>
      <c r="AD64" s="529"/>
      <c r="AE64" s="529"/>
      <c r="AF64" s="529"/>
      <c r="AG64" s="529"/>
      <c r="AH64" s="529"/>
      <c r="AI64" s="529"/>
      <c r="AJ64" s="529"/>
      <c r="AK64" s="529"/>
      <c r="AL64" s="529"/>
      <c r="AM64" s="529"/>
      <c r="AN64" s="529"/>
      <c r="AO64" s="529"/>
    </row>
    <row r="65">
      <c r="B65" s="862" t="s">
        <v>1394</v>
      </c>
      <c r="G65" s="529"/>
      <c r="H65" s="529"/>
      <c r="I65" s="529"/>
      <c r="J65" s="529"/>
      <c r="K65" s="529"/>
      <c r="L65" s="529"/>
      <c r="M65" s="529"/>
      <c r="N65" s="529"/>
      <c r="O65" s="529"/>
      <c r="P65" s="529"/>
      <c r="Q65" s="529"/>
      <c r="R65" s="529"/>
      <c r="S65" s="529"/>
      <c r="T65" s="529"/>
      <c r="U65" s="529"/>
      <c r="V65" s="529"/>
      <c r="W65" s="529"/>
      <c r="X65" s="529"/>
      <c r="Y65" s="529"/>
      <c r="Z65" s="529"/>
      <c r="AA65" s="529"/>
      <c r="AB65" s="529"/>
      <c r="AC65" s="529"/>
      <c r="AD65" s="529"/>
      <c r="AE65" s="529"/>
      <c r="AF65" s="529"/>
      <c r="AG65" s="529"/>
      <c r="AH65" s="529"/>
      <c r="AI65" s="529"/>
      <c r="AJ65" s="529"/>
      <c r="AK65" s="529"/>
      <c r="AL65" s="529"/>
      <c r="AM65" s="529"/>
      <c r="AN65" s="529"/>
      <c r="AO65" s="529"/>
    </row>
    <row r="66">
      <c r="A66" s="860" t="s">
        <v>1402</v>
      </c>
      <c r="B66" s="861" t="s">
        <v>1386</v>
      </c>
      <c r="G66" s="529"/>
      <c r="H66" s="529"/>
      <c r="I66" s="529"/>
      <c r="J66" s="529"/>
      <c r="K66" s="529"/>
      <c r="L66" s="529"/>
      <c r="M66" s="529"/>
      <c r="N66" s="529"/>
      <c r="O66" s="529"/>
      <c r="P66" s="529"/>
      <c r="Q66" s="529"/>
      <c r="R66" s="529"/>
      <c r="S66" s="529"/>
      <c r="T66" s="529"/>
      <c r="U66" s="529"/>
      <c r="V66" s="529"/>
      <c r="W66" s="529"/>
      <c r="X66" s="529"/>
      <c r="Y66" s="529"/>
      <c r="Z66" s="529"/>
      <c r="AA66" s="529"/>
      <c r="AB66" s="529"/>
      <c r="AC66" s="529"/>
      <c r="AD66" s="529"/>
      <c r="AE66" s="529"/>
      <c r="AF66" s="529"/>
      <c r="AG66" s="529"/>
      <c r="AH66" s="529"/>
      <c r="AI66" s="529"/>
      <c r="AJ66" s="529"/>
      <c r="AK66" s="529"/>
      <c r="AL66" s="529"/>
      <c r="AM66" s="529"/>
      <c r="AN66" s="529"/>
      <c r="AO66" s="529"/>
    </row>
    <row r="67">
      <c r="B67" s="862" t="s">
        <v>1387</v>
      </c>
      <c r="G67" s="529"/>
      <c r="H67" s="529"/>
      <c r="I67" s="529"/>
      <c r="J67" s="529"/>
      <c r="K67" s="529"/>
      <c r="L67" s="529"/>
      <c r="M67" s="529"/>
      <c r="N67" s="529"/>
      <c r="O67" s="529"/>
      <c r="P67" s="529"/>
      <c r="Q67" s="529"/>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row>
    <row r="68">
      <c r="B68" s="862" t="s">
        <v>1388</v>
      </c>
      <c r="G68" s="529"/>
      <c r="H68" s="529"/>
      <c r="I68" s="529"/>
      <c r="J68" s="529"/>
      <c r="K68" s="529"/>
      <c r="L68" s="529"/>
      <c r="M68" s="529"/>
      <c r="N68" s="529"/>
      <c r="O68" s="529"/>
      <c r="P68" s="529"/>
      <c r="Q68" s="529"/>
      <c r="R68" s="529"/>
      <c r="S68" s="529"/>
      <c r="T68" s="529"/>
      <c r="U68" s="529"/>
      <c r="V68" s="529"/>
      <c r="W68" s="529"/>
      <c r="X68" s="529"/>
      <c r="Y68" s="529"/>
      <c r="Z68" s="529"/>
      <c r="AA68" s="529"/>
      <c r="AB68" s="529"/>
      <c r="AC68" s="529"/>
      <c r="AD68" s="529"/>
      <c r="AE68" s="529"/>
      <c r="AF68" s="529"/>
      <c r="AG68" s="529"/>
      <c r="AH68" s="529"/>
      <c r="AI68" s="529"/>
      <c r="AJ68" s="529"/>
      <c r="AK68" s="529"/>
      <c r="AL68" s="529"/>
      <c r="AM68" s="529"/>
      <c r="AN68" s="529"/>
      <c r="AO68" s="529"/>
    </row>
    <row r="69">
      <c r="B69" s="862" t="s">
        <v>1389</v>
      </c>
      <c r="G69" s="529"/>
      <c r="H69" s="529"/>
      <c r="I69" s="529"/>
      <c r="J69" s="529"/>
      <c r="K69" s="529"/>
      <c r="L69" s="529"/>
      <c r="M69" s="529"/>
      <c r="N69" s="529"/>
      <c r="O69" s="529"/>
      <c r="P69" s="529"/>
      <c r="Q69" s="529"/>
      <c r="R69" s="529"/>
      <c r="S69" s="529"/>
      <c r="T69" s="529"/>
      <c r="U69" s="529"/>
      <c r="V69" s="529"/>
      <c r="W69" s="529"/>
      <c r="X69" s="529"/>
      <c r="Y69" s="529"/>
      <c r="Z69" s="529"/>
      <c r="AA69" s="529"/>
      <c r="AB69" s="529"/>
      <c r="AC69" s="529"/>
      <c r="AD69" s="529"/>
      <c r="AE69" s="529"/>
      <c r="AF69" s="529"/>
      <c r="AG69" s="529"/>
      <c r="AH69" s="529"/>
      <c r="AI69" s="529"/>
      <c r="AJ69" s="529"/>
      <c r="AK69" s="529"/>
      <c r="AL69" s="529"/>
      <c r="AM69" s="529"/>
      <c r="AN69" s="529"/>
      <c r="AO69" s="529"/>
    </row>
    <row r="70">
      <c r="B70" s="865" t="s">
        <v>1390</v>
      </c>
      <c r="G70" s="529"/>
      <c r="H70" s="529"/>
      <c r="I70" s="529"/>
      <c r="J70" s="529"/>
      <c r="K70" s="529"/>
      <c r="L70" s="529"/>
      <c r="M70" s="529"/>
      <c r="N70" s="529"/>
      <c r="O70" s="529"/>
      <c r="P70" s="529"/>
      <c r="Q70" s="529"/>
      <c r="R70" s="529"/>
      <c r="S70" s="529"/>
      <c r="T70" s="529"/>
      <c r="U70" s="529"/>
      <c r="V70" s="529"/>
      <c r="W70" s="529"/>
      <c r="X70" s="529"/>
      <c r="Y70" s="529"/>
      <c r="Z70" s="529"/>
      <c r="AA70" s="529"/>
      <c r="AB70" s="529"/>
      <c r="AC70" s="529"/>
      <c r="AD70" s="529"/>
      <c r="AE70" s="529"/>
      <c r="AF70" s="529"/>
      <c r="AG70" s="529"/>
      <c r="AH70" s="529"/>
      <c r="AI70" s="529"/>
      <c r="AJ70" s="529"/>
      <c r="AK70" s="529"/>
      <c r="AL70" s="529"/>
      <c r="AM70" s="529"/>
      <c r="AN70" s="529"/>
      <c r="AO70" s="529"/>
    </row>
    <row r="71">
      <c r="B71" s="865" t="s">
        <v>1391</v>
      </c>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29"/>
      <c r="AF71" s="529"/>
      <c r="AG71" s="529"/>
      <c r="AH71" s="529"/>
      <c r="AI71" s="529"/>
      <c r="AJ71" s="529"/>
      <c r="AK71" s="529"/>
      <c r="AL71" s="529"/>
      <c r="AM71" s="529"/>
      <c r="AN71" s="529"/>
      <c r="AO71" s="529"/>
    </row>
    <row r="72">
      <c r="B72" s="862" t="s">
        <v>1392</v>
      </c>
      <c r="G72" s="529"/>
      <c r="H72" s="529"/>
      <c r="I72" s="529"/>
      <c r="J72" s="529"/>
      <c r="K72" s="529"/>
      <c r="L72" s="529"/>
      <c r="M72" s="529"/>
      <c r="N72" s="529"/>
      <c r="O72" s="529"/>
      <c r="P72" s="529"/>
      <c r="Q72" s="529"/>
      <c r="R72" s="529"/>
      <c r="S72" s="529"/>
      <c r="T72" s="529"/>
      <c r="U72" s="529"/>
      <c r="V72" s="529"/>
      <c r="W72" s="529"/>
      <c r="X72" s="529"/>
      <c r="Y72" s="529"/>
      <c r="Z72" s="529"/>
      <c r="AA72" s="529"/>
      <c r="AB72" s="529"/>
      <c r="AC72" s="529"/>
      <c r="AD72" s="529"/>
      <c r="AE72" s="529"/>
      <c r="AF72" s="529"/>
      <c r="AG72" s="529"/>
      <c r="AH72" s="529"/>
      <c r="AI72" s="529"/>
      <c r="AJ72" s="529"/>
      <c r="AK72" s="529"/>
      <c r="AL72" s="529"/>
      <c r="AM72" s="529"/>
      <c r="AN72" s="529"/>
      <c r="AO72" s="529"/>
    </row>
    <row r="73">
      <c r="B73" s="862" t="s">
        <v>1393</v>
      </c>
      <c r="G73" s="529"/>
      <c r="H73" s="529"/>
      <c r="I73" s="529"/>
      <c r="J73" s="529"/>
      <c r="K73" s="529"/>
      <c r="L73" s="529"/>
      <c r="M73" s="529"/>
      <c r="N73" s="529"/>
      <c r="O73" s="529"/>
      <c r="P73" s="529"/>
      <c r="Q73" s="529"/>
      <c r="R73" s="529"/>
      <c r="S73" s="529"/>
      <c r="T73" s="529"/>
      <c r="U73" s="529"/>
      <c r="V73" s="529"/>
      <c r="W73" s="529"/>
      <c r="X73" s="529"/>
      <c r="Y73" s="529"/>
      <c r="Z73" s="529"/>
      <c r="AA73" s="529"/>
      <c r="AB73" s="529"/>
      <c r="AC73" s="529"/>
      <c r="AD73" s="529"/>
      <c r="AE73" s="529"/>
      <c r="AF73" s="529"/>
      <c r="AG73" s="529"/>
      <c r="AH73" s="529"/>
      <c r="AI73" s="529"/>
      <c r="AJ73" s="529"/>
      <c r="AK73" s="529"/>
      <c r="AL73" s="529"/>
      <c r="AM73" s="529"/>
      <c r="AN73" s="529"/>
      <c r="AO73" s="529"/>
    </row>
    <row r="74">
      <c r="B74" s="862" t="s">
        <v>1394</v>
      </c>
      <c r="G74" s="529"/>
      <c r="H74" s="529"/>
      <c r="I74" s="529"/>
      <c r="J74" s="529"/>
      <c r="K74" s="529"/>
      <c r="L74" s="529"/>
      <c r="M74" s="529"/>
      <c r="N74" s="529"/>
      <c r="O74" s="529"/>
      <c r="P74" s="529"/>
      <c r="Q74" s="529"/>
      <c r="R74" s="529"/>
      <c r="S74" s="529"/>
      <c r="T74" s="529"/>
      <c r="U74" s="529"/>
      <c r="V74" s="529"/>
      <c r="W74" s="529"/>
      <c r="X74" s="529"/>
      <c r="Y74" s="529"/>
      <c r="Z74" s="529"/>
      <c r="AA74" s="529"/>
      <c r="AB74" s="529"/>
      <c r="AC74" s="529"/>
      <c r="AD74" s="529"/>
      <c r="AE74" s="529"/>
      <c r="AF74" s="529"/>
      <c r="AG74" s="529"/>
      <c r="AH74" s="529"/>
      <c r="AI74" s="529"/>
      <c r="AJ74" s="529"/>
      <c r="AK74" s="529"/>
      <c r="AL74" s="529"/>
      <c r="AM74" s="529"/>
      <c r="AN74" s="529"/>
      <c r="AO74" s="529"/>
    </row>
    <row r="75">
      <c r="A75" s="860" t="s">
        <v>1403</v>
      </c>
      <c r="B75" s="861" t="s">
        <v>1386</v>
      </c>
      <c r="G75" s="529"/>
      <c r="H75" s="529"/>
      <c r="I75" s="529"/>
      <c r="J75" s="529"/>
      <c r="K75" s="529"/>
      <c r="L75" s="529"/>
      <c r="M75" s="529"/>
      <c r="N75" s="529"/>
      <c r="O75" s="529"/>
      <c r="P75" s="529"/>
      <c r="Q75" s="529"/>
      <c r="R75" s="529"/>
      <c r="S75" s="529"/>
      <c r="T75" s="529"/>
      <c r="U75" s="529"/>
      <c r="V75" s="529"/>
      <c r="W75" s="529"/>
      <c r="X75" s="529"/>
      <c r="Y75" s="529"/>
      <c r="Z75" s="529"/>
      <c r="AA75" s="529"/>
      <c r="AB75" s="529"/>
      <c r="AC75" s="529"/>
      <c r="AD75" s="529"/>
      <c r="AE75" s="529"/>
      <c r="AF75" s="529"/>
      <c r="AG75" s="529"/>
      <c r="AH75" s="529"/>
      <c r="AI75" s="529"/>
      <c r="AJ75" s="529"/>
      <c r="AK75" s="529"/>
      <c r="AL75" s="529"/>
      <c r="AM75" s="529"/>
      <c r="AN75" s="529"/>
      <c r="AO75" s="529"/>
    </row>
    <row r="76">
      <c r="B76" s="862" t="s">
        <v>1387</v>
      </c>
      <c r="G76" s="529"/>
      <c r="H76" s="529"/>
      <c r="I76" s="529"/>
      <c r="J76" s="529"/>
      <c r="K76" s="529"/>
      <c r="L76" s="529"/>
      <c r="M76" s="529"/>
      <c r="N76" s="529"/>
      <c r="O76" s="529"/>
      <c r="P76" s="529"/>
      <c r="Q76" s="529"/>
      <c r="R76" s="529"/>
      <c r="S76" s="529"/>
      <c r="T76" s="529"/>
      <c r="U76" s="529"/>
      <c r="V76" s="529"/>
      <c r="W76" s="529"/>
      <c r="X76" s="529"/>
      <c r="Y76" s="529"/>
      <c r="Z76" s="529"/>
      <c r="AA76" s="529"/>
      <c r="AB76" s="529"/>
      <c r="AC76" s="529"/>
      <c r="AD76" s="529"/>
      <c r="AE76" s="529"/>
      <c r="AF76" s="529"/>
      <c r="AG76" s="529"/>
      <c r="AH76" s="529"/>
      <c r="AI76" s="529"/>
      <c r="AJ76" s="529"/>
      <c r="AK76" s="529"/>
      <c r="AL76" s="529"/>
      <c r="AM76" s="529"/>
      <c r="AN76" s="529"/>
      <c r="AO76" s="529"/>
    </row>
    <row r="77">
      <c r="B77" s="862" t="s">
        <v>1388</v>
      </c>
      <c r="G77" s="529"/>
      <c r="H77" s="529"/>
      <c r="I77" s="529"/>
      <c r="J77" s="529"/>
      <c r="K77" s="529"/>
      <c r="L77" s="529"/>
      <c r="M77" s="529"/>
      <c r="N77" s="529"/>
      <c r="O77" s="529"/>
      <c r="P77" s="529"/>
      <c r="Q77" s="529"/>
      <c r="R77" s="529"/>
      <c r="S77" s="529"/>
      <c r="T77" s="529"/>
      <c r="U77" s="529"/>
      <c r="V77" s="529"/>
      <c r="W77" s="529"/>
      <c r="X77" s="529"/>
      <c r="Y77" s="529"/>
      <c r="Z77" s="529"/>
      <c r="AA77" s="529"/>
      <c r="AB77" s="529"/>
      <c r="AC77" s="529"/>
      <c r="AD77" s="529"/>
      <c r="AE77" s="529"/>
      <c r="AF77" s="529"/>
      <c r="AG77" s="529"/>
      <c r="AH77" s="529"/>
      <c r="AI77" s="529"/>
      <c r="AJ77" s="529"/>
      <c r="AK77" s="529"/>
      <c r="AL77" s="529"/>
      <c r="AM77" s="529"/>
      <c r="AN77" s="529"/>
      <c r="AO77" s="529"/>
    </row>
    <row r="78">
      <c r="B78" s="862" t="s">
        <v>1389</v>
      </c>
      <c r="G78" s="529"/>
      <c r="H78" s="529"/>
      <c r="I78" s="529"/>
      <c r="J78" s="529"/>
      <c r="K78" s="529"/>
      <c r="L78" s="529"/>
      <c r="M78" s="529"/>
      <c r="N78" s="529"/>
      <c r="O78" s="529"/>
      <c r="P78" s="529"/>
      <c r="Q78" s="529"/>
      <c r="R78" s="529"/>
      <c r="S78" s="529"/>
      <c r="T78" s="529"/>
      <c r="U78" s="529"/>
      <c r="V78" s="529"/>
      <c r="W78" s="529"/>
      <c r="X78" s="529"/>
      <c r="Y78" s="529"/>
      <c r="Z78" s="529"/>
      <c r="AA78" s="529"/>
      <c r="AB78" s="529"/>
      <c r="AC78" s="529"/>
      <c r="AD78" s="529"/>
      <c r="AE78" s="529"/>
      <c r="AF78" s="529"/>
      <c r="AG78" s="529"/>
      <c r="AH78" s="529"/>
      <c r="AI78" s="529"/>
      <c r="AJ78" s="529"/>
      <c r="AK78" s="529"/>
      <c r="AL78" s="529"/>
      <c r="AM78" s="529"/>
      <c r="AN78" s="529"/>
      <c r="AO78" s="529"/>
    </row>
    <row r="79">
      <c r="B79" s="865" t="s">
        <v>1390</v>
      </c>
      <c r="G79" s="529"/>
      <c r="H79" s="529"/>
      <c r="I79" s="529"/>
      <c r="J79" s="529"/>
      <c r="K79" s="529"/>
      <c r="L79" s="529"/>
      <c r="M79" s="529"/>
      <c r="N79" s="529"/>
      <c r="O79" s="529"/>
      <c r="P79" s="529"/>
      <c r="Q79" s="529"/>
      <c r="R79" s="529"/>
      <c r="S79" s="529"/>
      <c r="T79" s="529"/>
      <c r="U79" s="529"/>
      <c r="V79" s="529"/>
      <c r="W79" s="529"/>
      <c r="X79" s="529"/>
      <c r="Y79" s="529"/>
      <c r="Z79" s="529"/>
      <c r="AA79" s="529"/>
      <c r="AB79" s="529"/>
      <c r="AC79" s="529"/>
      <c r="AD79" s="529"/>
      <c r="AE79" s="529"/>
      <c r="AF79" s="529"/>
      <c r="AG79" s="529"/>
      <c r="AH79" s="529"/>
      <c r="AI79" s="529"/>
      <c r="AJ79" s="529"/>
      <c r="AK79" s="529"/>
      <c r="AL79" s="529"/>
      <c r="AM79" s="529"/>
      <c r="AN79" s="529"/>
      <c r="AO79" s="529"/>
    </row>
    <row r="80">
      <c r="B80" s="865" t="s">
        <v>1391</v>
      </c>
      <c r="G80" s="529"/>
      <c r="H80" s="529"/>
      <c r="I80" s="529"/>
      <c r="J80" s="529"/>
      <c r="K80" s="529"/>
      <c r="L80" s="529"/>
      <c r="M80" s="529"/>
      <c r="N80" s="529"/>
      <c r="O80" s="529"/>
      <c r="P80" s="529"/>
      <c r="Q80" s="529"/>
      <c r="R80" s="529"/>
      <c r="S80" s="529"/>
      <c r="T80" s="529"/>
      <c r="U80" s="529"/>
      <c r="V80" s="529"/>
      <c r="W80" s="529"/>
      <c r="X80" s="529"/>
      <c r="Y80" s="529"/>
      <c r="Z80" s="529"/>
      <c r="AA80" s="529"/>
      <c r="AB80" s="529"/>
      <c r="AC80" s="529"/>
      <c r="AD80" s="529"/>
      <c r="AE80" s="529"/>
      <c r="AF80" s="529"/>
      <c r="AG80" s="529"/>
      <c r="AH80" s="529"/>
      <c r="AI80" s="529"/>
      <c r="AJ80" s="529"/>
      <c r="AK80" s="529"/>
      <c r="AL80" s="529"/>
      <c r="AM80" s="529"/>
      <c r="AN80" s="529"/>
      <c r="AO80" s="529"/>
    </row>
    <row r="81">
      <c r="B81" s="862" t="s">
        <v>1392</v>
      </c>
      <c r="G81" s="529"/>
      <c r="H81" s="529"/>
      <c r="I81" s="529"/>
      <c r="J81" s="529"/>
      <c r="K81" s="529"/>
      <c r="L81" s="529"/>
      <c r="M81" s="529"/>
      <c r="N81" s="529"/>
      <c r="O81" s="529"/>
      <c r="P81" s="529"/>
      <c r="Q81" s="529"/>
      <c r="R81" s="529"/>
      <c r="S81" s="529"/>
      <c r="T81" s="529"/>
      <c r="U81" s="529"/>
      <c r="V81" s="529"/>
      <c r="W81" s="529"/>
      <c r="X81" s="529"/>
      <c r="Y81" s="529"/>
      <c r="Z81" s="529"/>
      <c r="AA81" s="529"/>
      <c r="AB81" s="529"/>
      <c r="AC81" s="529"/>
      <c r="AD81" s="529"/>
      <c r="AE81" s="529"/>
      <c r="AF81" s="529"/>
      <c r="AG81" s="529"/>
      <c r="AH81" s="529"/>
      <c r="AI81" s="529"/>
      <c r="AJ81" s="529"/>
      <c r="AK81" s="529"/>
      <c r="AL81" s="529"/>
      <c r="AM81" s="529"/>
      <c r="AN81" s="529"/>
      <c r="AO81" s="529"/>
    </row>
    <row r="82">
      <c r="B82" s="862" t="s">
        <v>1393</v>
      </c>
      <c r="G82" s="529"/>
      <c r="H82" s="529"/>
      <c r="I82" s="529"/>
      <c r="J82" s="529"/>
      <c r="K82" s="529"/>
      <c r="L82" s="529"/>
      <c r="M82" s="529"/>
      <c r="N82" s="529"/>
      <c r="O82" s="529"/>
      <c r="P82" s="529"/>
      <c r="Q82" s="529"/>
      <c r="R82" s="529"/>
      <c r="S82" s="529"/>
      <c r="T82" s="529"/>
      <c r="U82" s="529"/>
      <c r="V82" s="529"/>
      <c r="W82" s="529"/>
      <c r="X82" s="529"/>
      <c r="Y82" s="529"/>
      <c r="Z82" s="529"/>
      <c r="AA82" s="529"/>
      <c r="AB82" s="529"/>
      <c r="AC82" s="529"/>
      <c r="AD82" s="529"/>
      <c r="AE82" s="529"/>
      <c r="AF82" s="529"/>
      <c r="AG82" s="529"/>
      <c r="AH82" s="529"/>
      <c r="AI82" s="529"/>
      <c r="AJ82" s="529"/>
      <c r="AK82" s="529"/>
      <c r="AL82" s="529"/>
      <c r="AM82" s="529"/>
      <c r="AN82" s="529"/>
      <c r="AO82" s="529"/>
    </row>
    <row r="83">
      <c r="B83" s="862" t="s">
        <v>1394</v>
      </c>
      <c r="G83" s="529"/>
      <c r="H83" s="529"/>
      <c r="I83" s="529"/>
      <c r="J83" s="529"/>
      <c r="K83" s="529"/>
      <c r="L83" s="529"/>
      <c r="M83" s="529"/>
      <c r="N83" s="529"/>
      <c r="O83" s="529"/>
      <c r="P83" s="529"/>
      <c r="Q83" s="529"/>
      <c r="R83" s="529"/>
      <c r="S83" s="529"/>
      <c r="T83" s="529"/>
      <c r="U83" s="529"/>
      <c r="V83" s="529"/>
      <c r="W83" s="529"/>
      <c r="X83" s="529"/>
      <c r="Y83" s="529"/>
      <c r="Z83" s="529"/>
      <c r="AA83" s="529"/>
      <c r="AB83" s="529"/>
      <c r="AC83" s="529"/>
      <c r="AD83" s="529"/>
      <c r="AE83" s="529"/>
      <c r="AF83" s="529"/>
      <c r="AG83" s="529"/>
      <c r="AH83" s="529"/>
      <c r="AI83" s="529"/>
      <c r="AJ83" s="529"/>
      <c r="AK83" s="529"/>
      <c r="AL83" s="529"/>
      <c r="AM83" s="529"/>
      <c r="AN83" s="529"/>
      <c r="AO83" s="529"/>
    </row>
    <row r="84">
      <c r="A84" s="860" t="s">
        <v>1404</v>
      </c>
      <c r="B84" s="861" t="s">
        <v>1386</v>
      </c>
      <c r="G84" s="529"/>
      <c r="H84" s="529"/>
      <c r="I84" s="529"/>
      <c r="J84" s="529"/>
      <c r="K84" s="529"/>
      <c r="L84" s="529"/>
      <c r="M84" s="529"/>
      <c r="N84" s="529"/>
      <c r="O84" s="529"/>
      <c r="P84" s="529"/>
      <c r="Q84" s="529"/>
      <c r="R84" s="529"/>
      <c r="S84" s="529"/>
      <c r="T84" s="529"/>
      <c r="U84" s="529"/>
      <c r="V84" s="529"/>
      <c r="W84" s="529"/>
      <c r="X84" s="529"/>
      <c r="Y84" s="529"/>
      <c r="Z84" s="529"/>
      <c r="AA84" s="529"/>
      <c r="AB84" s="529"/>
      <c r="AC84" s="529"/>
      <c r="AD84" s="529"/>
      <c r="AE84" s="529"/>
      <c r="AF84" s="529"/>
      <c r="AG84" s="529"/>
      <c r="AH84" s="529"/>
      <c r="AI84" s="529"/>
      <c r="AJ84" s="529"/>
      <c r="AK84" s="529"/>
      <c r="AL84" s="529"/>
      <c r="AM84" s="529"/>
      <c r="AN84" s="529"/>
      <c r="AO84" s="529"/>
    </row>
    <row r="85">
      <c r="B85" s="862" t="s">
        <v>1387</v>
      </c>
      <c r="G85" s="529"/>
      <c r="H85" s="529"/>
      <c r="I85" s="529"/>
      <c r="J85" s="529"/>
      <c r="K85" s="529"/>
      <c r="L85" s="529"/>
      <c r="M85" s="529"/>
      <c r="N85" s="529"/>
      <c r="O85" s="529"/>
      <c r="P85" s="529"/>
      <c r="Q85" s="529"/>
      <c r="R85" s="529"/>
      <c r="S85" s="529"/>
      <c r="T85" s="529"/>
      <c r="U85" s="529"/>
      <c r="V85" s="529"/>
      <c r="W85" s="529"/>
      <c r="X85" s="529"/>
      <c r="Y85" s="529"/>
      <c r="Z85" s="529"/>
      <c r="AA85" s="529"/>
      <c r="AB85" s="529"/>
      <c r="AC85" s="529"/>
      <c r="AD85" s="529"/>
      <c r="AE85" s="529"/>
      <c r="AF85" s="529"/>
      <c r="AG85" s="529"/>
      <c r="AH85" s="529"/>
      <c r="AI85" s="529"/>
      <c r="AJ85" s="529"/>
      <c r="AK85" s="529"/>
      <c r="AL85" s="529"/>
      <c r="AM85" s="529"/>
      <c r="AN85" s="529"/>
      <c r="AO85" s="529"/>
    </row>
    <row r="86">
      <c r="B86" s="862" t="s">
        <v>1388</v>
      </c>
      <c r="G86" s="529"/>
      <c r="H86" s="529"/>
      <c r="I86" s="529"/>
      <c r="J86" s="529"/>
      <c r="K86" s="529"/>
      <c r="L86" s="529"/>
      <c r="M86" s="529"/>
      <c r="N86" s="529"/>
      <c r="O86" s="529"/>
      <c r="P86" s="529"/>
      <c r="Q86" s="529"/>
      <c r="R86" s="529"/>
      <c r="S86" s="529"/>
      <c r="T86" s="529"/>
      <c r="U86" s="529"/>
      <c r="V86" s="529"/>
      <c r="W86" s="529"/>
      <c r="X86" s="529"/>
      <c r="Y86" s="529"/>
      <c r="Z86" s="529"/>
      <c r="AA86" s="529"/>
      <c r="AB86" s="529"/>
      <c r="AC86" s="529"/>
      <c r="AD86" s="529"/>
      <c r="AE86" s="529"/>
      <c r="AF86" s="529"/>
      <c r="AG86" s="529"/>
      <c r="AH86" s="529"/>
      <c r="AI86" s="529"/>
      <c r="AJ86" s="529"/>
      <c r="AK86" s="529"/>
      <c r="AL86" s="529"/>
      <c r="AM86" s="529"/>
      <c r="AN86" s="529"/>
      <c r="AO86" s="529"/>
    </row>
    <row r="87">
      <c r="B87" s="862" t="s">
        <v>1389</v>
      </c>
      <c r="G87" s="529"/>
      <c r="H87" s="529"/>
      <c r="I87" s="529"/>
      <c r="J87" s="529"/>
      <c r="K87" s="529"/>
      <c r="L87" s="529"/>
      <c r="M87" s="529"/>
      <c r="N87" s="529"/>
      <c r="O87" s="529"/>
      <c r="P87" s="529"/>
      <c r="Q87" s="529"/>
      <c r="R87" s="529"/>
      <c r="S87" s="529"/>
      <c r="T87" s="529"/>
      <c r="U87" s="529"/>
      <c r="V87" s="529"/>
      <c r="W87" s="529"/>
      <c r="X87" s="529"/>
      <c r="Y87" s="529"/>
      <c r="Z87" s="529"/>
      <c r="AA87" s="529"/>
      <c r="AB87" s="529"/>
      <c r="AC87" s="529"/>
      <c r="AD87" s="529"/>
      <c r="AE87" s="529"/>
      <c r="AF87" s="529"/>
      <c r="AG87" s="529"/>
      <c r="AH87" s="529"/>
      <c r="AI87" s="529"/>
      <c r="AJ87" s="529"/>
      <c r="AK87" s="529"/>
      <c r="AL87" s="529"/>
      <c r="AM87" s="529"/>
      <c r="AN87" s="529"/>
      <c r="AO87" s="529"/>
    </row>
    <row r="88">
      <c r="B88" s="865" t="s">
        <v>1390</v>
      </c>
      <c r="G88" s="529"/>
      <c r="H88" s="529"/>
      <c r="I88" s="529"/>
      <c r="J88" s="529"/>
      <c r="K88" s="529"/>
      <c r="L88" s="529"/>
      <c r="M88" s="529"/>
      <c r="N88" s="529"/>
      <c r="O88" s="529"/>
      <c r="P88" s="529"/>
      <c r="Q88" s="529"/>
      <c r="R88" s="529"/>
      <c r="S88" s="529"/>
      <c r="T88" s="529"/>
      <c r="U88" s="529"/>
      <c r="V88" s="529"/>
      <c r="W88" s="529"/>
      <c r="X88" s="529"/>
      <c r="Y88" s="529"/>
      <c r="Z88" s="529"/>
      <c r="AA88" s="529"/>
      <c r="AB88" s="529"/>
      <c r="AC88" s="529"/>
      <c r="AD88" s="529"/>
      <c r="AE88" s="529"/>
      <c r="AF88" s="529"/>
      <c r="AG88" s="529"/>
      <c r="AH88" s="529"/>
      <c r="AI88" s="529"/>
      <c r="AJ88" s="529"/>
      <c r="AK88" s="529"/>
      <c r="AL88" s="529"/>
      <c r="AM88" s="529"/>
      <c r="AN88" s="529"/>
      <c r="AO88" s="529"/>
    </row>
    <row r="89">
      <c r="B89" s="865" t="s">
        <v>1391</v>
      </c>
      <c r="G89" s="529"/>
      <c r="H89" s="529"/>
      <c r="I89" s="529"/>
      <c r="J89" s="529"/>
      <c r="K89" s="529"/>
      <c r="L89" s="529"/>
      <c r="M89" s="529"/>
      <c r="N89" s="529"/>
      <c r="O89" s="529"/>
      <c r="P89" s="529"/>
      <c r="Q89" s="529"/>
      <c r="R89" s="529"/>
      <c r="S89" s="529"/>
      <c r="T89" s="529"/>
      <c r="U89" s="529"/>
      <c r="V89" s="529"/>
      <c r="W89" s="529"/>
      <c r="X89" s="529"/>
      <c r="Y89" s="529"/>
      <c r="Z89" s="529"/>
      <c r="AA89" s="529"/>
      <c r="AB89" s="529"/>
      <c r="AC89" s="529"/>
      <c r="AD89" s="529"/>
      <c r="AE89" s="529"/>
      <c r="AF89" s="529"/>
      <c r="AG89" s="529"/>
      <c r="AH89" s="529"/>
      <c r="AI89" s="529"/>
      <c r="AJ89" s="529"/>
      <c r="AK89" s="529"/>
      <c r="AL89" s="529"/>
      <c r="AM89" s="529"/>
      <c r="AN89" s="529"/>
      <c r="AO89" s="529"/>
    </row>
    <row r="90">
      <c r="B90" s="862" t="s">
        <v>1392</v>
      </c>
      <c r="G90" s="529"/>
      <c r="H90" s="529"/>
      <c r="I90" s="529"/>
      <c r="J90" s="529"/>
      <c r="K90" s="529"/>
      <c r="L90" s="529"/>
      <c r="M90" s="529"/>
      <c r="N90" s="529"/>
      <c r="O90" s="529"/>
      <c r="P90" s="529"/>
      <c r="Q90" s="529"/>
      <c r="R90" s="529"/>
      <c r="S90" s="529"/>
      <c r="T90" s="529"/>
      <c r="U90" s="529"/>
      <c r="V90" s="529"/>
      <c r="W90" s="529"/>
      <c r="X90" s="529"/>
      <c r="Y90" s="529"/>
      <c r="Z90" s="529"/>
      <c r="AA90" s="529"/>
      <c r="AB90" s="529"/>
      <c r="AC90" s="529"/>
      <c r="AD90" s="529"/>
      <c r="AE90" s="529"/>
      <c r="AF90" s="529"/>
      <c r="AG90" s="529"/>
      <c r="AH90" s="529"/>
      <c r="AI90" s="529"/>
      <c r="AJ90" s="529"/>
      <c r="AK90" s="529"/>
      <c r="AL90" s="529"/>
      <c r="AM90" s="529"/>
      <c r="AN90" s="529"/>
      <c r="AO90" s="529"/>
    </row>
    <row r="91">
      <c r="B91" s="862" t="s">
        <v>1393</v>
      </c>
      <c r="G91" s="529"/>
      <c r="H91" s="529"/>
      <c r="I91" s="529"/>
      <c r="J91" s="529"/>
      <c r="K91" s="529"/>
      <c r="L91" s="529"/>
      <c r="M91" s="529"/>
      <c r="N91" s="529"/>
      <c r="O91" s="529"/>
      <c r="P91" s="529"/>
      <c r="Q91" s="529"/>
      <c r="R91" s="529"/>
      <c r="S91" s="529"/>
      <c r="T91" s="529"/>
      <c r="U91" s="529"/>
      <c r="V91" s="529"/>
      <c r="W91" s="529"/>
      <c r="X91" s="529"/>
      <c r="Y91" s="529"/>
      <c r="Z91" s="529"/>
      <c r="AA91" s="529"/>
      <c r="AB91" s="529"/>
      <c r="AC91" s="529"/>
      <c r="AD91" s="529"/>
      <c r="AE91" s="529"/>
      <c r="AF91" s="529"/>
      <c r="AG91" s="529"/>
      <c r="AH91" s="529"/>
      <c r="AI91" s="529"/>
      <c r="AJ91" s="529"/>
      <c r="AK91" s="529"/>
      <c r="AL91" s="529"/>
      <c r="AM91" s="529"/>
      <c r="AN91" s="529"/>
      <c r="AO91" s="529"/>
    </row>
    <row r="92">
      <c r="B92" s="862" t="s">
        <v>1394</v>
      </c>
      <c r="G92" s="529"/>
      <c r="H92" s="529"/>
      <c r="I92" s="529"/>
      <c r="J92" s="529"/>
      <c r="K92" s="529"/>
      <c r="L92" s="529"/>
      <c r="M92" s="529"/>
      <c r="N92" s="529"/>
      <c r="O92" s="529"/>
      <c r="P92" s="529"/>
      <c r="Q92" s="529"/>
      <c r="R92" s="529"/>
      <c r="S92" s="529"/>
      <c r="T92" s="529"/>
      <c r="U92" s="529"/>
      <c r="V92" s="529"/>
      <c r="W92" s="529"/>
      <c r="X92" s="529"/>
      <c r="Y92" s="529"/>
      <c r="Z92" s="529"/>
      <c r="AA92" s="529"/>
      <c r="AB92" s="529"/>
      <c r="AC92" s="529"/>
      <c r="AD92" s="529"/>
      <c r="AE92" s="529"/>
      <c r="AF92" s="529"/>
      <c r="AG92" s="529"/>
      <c r="AH92" s="529"/>
      <c r="AI92" s="529"/>
      <c r="AJ92" s="529"/>
      <c r="AK92" s="529"/>
      <c r="AL92" s="529"/>
      <c r="AM92" s="529"/>
      <c r="AN92" s="529"/>
      <c r="AO92" s="529"/>
    </row>
    <row r="93">
      <c r="A93" s="860" t="s">
        <v>1405</v>
      </c>
      <c r="B93" s="861" t="s">
        <v>1386</v>
      </c>
      <c r="G93" s="529"/>
      <c r="H93" s="529"/>
      <c r="I93" s="529"/>
      <c r="J93" s="529"/>
      <c r="K93" s="529"/>
      <c r="L93" s="529"/>
      <c r="M93" s="529"/>
      <c r="N93" s="529"/>
      <c r="O93" s="529"/>
      <c r="P93" s="529"/>
      <c r="Q93" s="529"/>
      <c r="R93" s="529"/>
      <c r="S93" s="529"/>
      <c r="T93" s="529"/>
      <c r="U93" s="529"/>
      <c r="V93" s="529"/>
      <c r="W93" s="529"/>
      <c r="X93" s="529"/>
      <c r="Y93" s="529"/>
      <c r="Z93" s="529"/>
      <c r="AA93" s="529"/>
      <c r="AB93" s="529"/>
      <c r="AC93" s="529"/>
      <c r="AD93" s="529"/>
      <c r="AE93" s="529"/>
      <c r="AF93" s="529"/>
      <c r="AG93" s="529"/>
      <c r="AH93" s="529"/>
      <c r="AI93" s="529"/>
      <c r="AJ93" s="529"/>
      <c r="AK93" s="529"/>
      <c r="AL93" s="529"/>
      <c r="AM93" s="529"/>
      <c r="AN93" s="529"/>
      <c r="AO93" s="529"/>
    </row>
    <row r="94">
      <c r="B94" s="862" t="s">
        <v>1387</v>
      </c>
      <c r="G94" s="529"/>
      <c r="H94" s="529"/>
      <c r="I94" s="529"/>
      <c r="J94" s="529"/>
      <c r="K94" s="529"/>
      <c r="L94" s="529"/>
      <c r="M94" s="529"/>
      <c r="N94" s="529"/>
      <c r="O94" s="529"/>
      <c r="P94" s="529"/>
      <c r="Q94" s="529"/>
      <c r="R94" s="529"/>
      <c r="S94" s="529"/>
      <c r="T94" s="529"/>
      <c r="U94" s="529"/>
      <c r="V94" s="529"/>
      <c r="W94" s="529"/>
      <c r="X94" s="529"/>
      <c r="Y94" s="529"/>
      <c r="Z94" s="529"/>
      <c r="AA94" s="529"/>
      <c r="AB94" s="529"/>
      <c r="AC94" s="529"/>
      <c r="AD94" s="529"/>
      <c r="AE94" s="529"/>
      <c r="AF94" s="529"/>
      <c r="AG94" s="529"/>
      <c r="AH94" s="529"/>
      <c r="AI94" s="529"/>
      <c r="AJ94" s="529"/>
      <c r="AK94" s="529"/>
      <c r="AL94" s="529"/>
      <c r="AM94" s="529"/>
      <c r="AN94" s="529"/>
      <c r="AO94" s="529"/>
    </row>
    <row r="95">
      <c r="B95" s="862" t="s">
        <v>1388</v>
      </c>
      <c r="G95" s="529"/>
      <c r="H95" s="529"/>
      <c r="I95" s="529"/>
      <c r="J95" s="529"/>
      <c r="K95" s="529"/>
      <c r="L95" s="529"/>
      <c r="M95" s="529"/>
      <c r="N95" s="529"/>
      <c r="O95" s="529"/>
      <c r="P95" s="529"/>
      <c r="Q95" s="529"/>
      <c r="R95" s="529"/>
      <c r="S95" s="529"/>
      <c r="T95" s="529"/>
      <c r="U95" s="529"/>
      <c r="V95" s="529"/>
      <c r="W95" s="529"/>
      <c r="X95" s="529"/>
      <c r="Y95" s="529"/>
      <c r="Z95" s="529"/>
      <c r="AA95" s="529"/>
      <c r="AB95" s="529"/>
      <c r="AC95" s="529"/>
      <c r="AD95" s="529"/>
      <c r="AE95" s="529"/>
      <c r="AF95" s="529"/>
      <c r="AG95" s="529"/>
      <c r="AH95" s="529"/>
      <c r="AI95" s="529"/>
      <c r="AJ95" s="529"/>
      <c r="AK95" s="529"/>
      <c r="AL95" s="529"/>
      <c r="AM95" s="529"/>
      <c r="AN95" s="529"/>
      <c r="AO95" s="529"/>
    </row>
    <row r="96">
      <c r="B96" s="862" t="s">
        <v>1389</v>
      </c>
      <c r="G96" s="529"/>
      <c r="H96" s="529"/>
      <c r="I96" s="529"/>
      <c r="J96" s="529"/>
      <c r="K96" s="529"/>
      <c r="L96" s="529"/>
      <c r="M96" s="529"/>
      <c r="N96" s="529"/>
      <c r="O96" s="529"/>
      <c r="P96" s="529"/>
      <c r="Q96" s="529"/>
      <c r="R96" s="529"/>
      <c r="S96" s="529"/>
      <c r="T96" s="529"/>
      <c r="U96" s="529"/>
      <c r="V96" s="529"/>
      <c r="W96" s="529"/>
      <c r="X96" s="529"/>
      <c r="Y96" s="529"/>
      <c r="Z96" s="529"/>
      <c r="AA96" s="529"/>
      <c r="AB96" s="529"/>
      <c r="AC96" s="529"/>
      <c r="AD96" s="529"/>
      <c r="AE96" s="529"/>
      <c r="AF96" s="529"/>
      <c r="AG96" s="529"/>
      <c r="AH96" s="529"/>
      <c r="AI96" s="529"/>
      <c r="AJ96" s="529"/>
      <c r="AK96" s="529"/>
      <c r="AL96" s="529"/>
      <c r="AM96" s="529"/>
      <c r="AN96" s="529"/>
      <c r="AO96" s="529"/>
    </row>
    <row r="97">
      <c r="B97" s="865" t="s">
        <v>1390</v>
      </c>
      <c r="G97" s="529"/>
      <c r="H97" s="529"/>
      <c r="I97" s="529"/>
      <c r="J97" s="529"/>
      <c r="K97" s="529"/>
      <c r="L97" s="529"/>
      <c r="M97" s="529"/>
      <c r="N97" s="529"/>
      <c r="O97" s="529"/>
      <c r="P97" s="529"/>
      <c r="Q97" s="529"/>
      <c r="R97" s="529"/>
      <c r="S97" s="529"/>
      <c r="T97" s="529"/>
      <c r="U97" s="529"/>
      <c r="V97" s="529"/>
      <c r="W97" s="529"/>
      <c r="X97" s="529"/>
      <c r="Y97" s="529"/>
      <c r="Z97" s="529"/>
      <c r="AA97" s="529"/>
      <c r="AB97" s="529"/>
      <c r="AC97" s="529"/>
      <c r="AD97" s="529"/>
      <c r="AE97" s="529"/>
      <c r="AF97" s="529"/>
      <c r="AG97" s="529"/>
      <c r="AH97" s="529"/>
      <c r="AI97" s="529"/>
      <c r="AJ97" s="529"/>
      <c r="AK97" s="529"/>
      <c r="AL97" s="529"/>
      <c r="AM97" s="529"/>
      <c r="AN97" s="529"/>
      <c r="AO97" s="529"/>
    </row>
    <row r="98">
      <c r="B98" s="865" t="s">
        <v>1391</v>
      </c>
      <c r="G98" s="529"/>
      <c r="H98" s="529"/>
      <c r="I98" s="529"/>
      <c r="J98" s="529"/>
      <c r="K98" s="529"/>
      <c r="L98" s="529"/>
      <c r="M98" s="529"/>
      <c r="N98" s="529"/>
      <c r="O98" s="529"/>
      <c r="P98" s="529"/>
      <c r="Q98" s="529"/>
      <c r="R98" s="529"/>
      <c r="S98" s="529"/>
      <c r="T98" s="529"/>
      <c r="U98" s="529"/>
      <c r="V98" s="529"/>
      <c r="W98" s="529"/>
      <c r="X98" s="529"/>
      <c r="Y98" s="529"/>
      <c r="Z98" s="529"/>
      <c r="AA98" s="529"/>
      <c r="AB98" s="529"/>
      <c r="AC98" s="529"/>
      <c r="AD98" s="529"/>
      <c r="AE98" s="529"/>
      <c r="AF98" s="529"/>
      <c r="AG98" s="529"/>
      <c r="AH98" s="529"/>
      <c r="AI98" s="529"/>
      <c r="AJ98" s="529"/>
      <c r="AK98" s="529"/>
      <c r="AL98" s="529"/>
      <c r="AM98" s="529"/>
      <c r="AN98" s="529"/>
      <c r="AO98" s="529"/>
    </row>
    <row r="99">
      <c r="B99" s="862" t="s">
        <v>1392</v>
      </c>
      <c r="G99" s="529"/>
      <c r="H99" s="529"/>
      <c r="I99" s="529"/>
      <c r="J99" s="529"/>
      <c r="K99" s="529"/>
      <c r="L99" s="529"/>
      <c r="M99" s="529"/>
      <c r="N99" s="529"/>
      <c r="O99" s="529"/>
      <c r="P99" s="529"/>
      <c r="Q99" s="529"/>
      <c r="R99" s="529"/>
      <c r="S99" s="529"/>
      <c r="T99" s="529"/>
      <c r="U99" s="529"/>
      <c r="V99" s="529"/>
      <c r="W99" s="529"/>
      <c r="X99" s="529"/>
      <c r="Y99" s="529"/>
      <c r="Z99" s="529"/>
      <c r="AA99" s="529"/>
      <c r="AB99" s="529"/>
      <c r="AC99" s="529"/>
      <c r="AD99" s="529"/>
      <c r="AE99" s="529"/>
      <c r="AF99" s="529"/>
      <c r="AG99" s="529"/>
      <c r="AH99" s="529"/>
      <c r="AI99" s="529"/>
      <c r="AJ99" s="529"/>
      <c r="AK99" s="529"/>
      <c r="AL99" s="529"/>
      <c r="AM99" s="529"/>
      <c r="AN99" s="529"/>
      <c r="AO99" s="529"/>
    </row>
    <row r="100">
      <c r="B100" s="862" t="s">
        <v>1393</v>
      </c>
      <c r="G100" s="529"/>
      <c r="H100" s="529"/>
      <c r="I100" s="529"/>
      <c r="J100" s="529"/>
      <c r="K100" s="529"/>
      <c r="L100" s="529"/>
      <c r="M100" s="529"/>
      <c r="N100" s="529"/>
      <c r="O100" s="529"/>
      <c r="P100" s="529"/>
      <c r="Q100" s="529"/>
      <c r="R100" s="529"/>
      <c r="S100" s="529"/>
      <c r="T100" s="529"/>
      <c r="U100" s="529"/>
      <c r="V100" s="529"/>
      <c r="W100" s="529"/>
      <c r="X100" s="529"/>
      <c r="Y100" s="529"/>
      <c r="Z100" s="529"/>
      <c r="AA100" s="529"/>
      <c r="AB100" s="529"/>
      <c r="AC100" s="529"/>
      <c r="AD100" s="529"/>
      <c r="AE100" s="529"/>
      <c r="AF100" s="529"/>
      <c r="AG100" s="529"/>
      <c r="AH100" s="529"/>
      <c r="AI100" s="529"/>
      <c r="AJ100" s="529"/>
      <c r="AK100" s="529"/>
      <c r="AL100" s="529"/>
      <c r="AM100" s="529"/>
      <c r="AN100" s="529"/>
      <c r="AO100" s="529"/>
    </row>
    <row r="101">
      <c r="B101" s="862" t="s">
        <v>1394</v>
      </c>
      <c r="G101" s="529"/>
      <c r="H101" s="529"/>
      <c r="I101" s="529"/>
      <c r="J101" s="529"/>
      <c r="K101" s="529"/>
      <c r="L101" s="529"/>
      <c r="M101" s="529"/>
      <c r="N101" s="529"/>
      <c r="O101" s="529"/>
      <c r="P101" s="529"/>
      <c r="Q101" s="529"/>
      <c r="R101" s="529"/>
      <c r="S101" s="529"/>
      <c r="T101" s="529"/>
      <c r="U101" s="529"/>
      <c r="V101" s="529"/>
      <c r="W101" s="529"/>
      <c r="X101" s="529"/>
      <c r="Y101" s="529"/>
      <c r="Z101" s="529"/>
      <c r="AA101" s="529"/>
      <c r="AB101" s="529"/>
      <c r="AC101" s="529"/>
      <c r="AD101" s="529"/>
      <c r="AE101" s="529"/>
      <c r="AF101" s="529"/>
      <c r="AG101" s="529"/>
      <c r="AH101" s="529"/>
      <c r="AI101" s="529"/>
      <c r="AJ101" s="529"/>
      <c r="AK101" s="529"/>
      <c r="AL101" s="529"/>
      <c r="AM101" s="529"/>
      <c r="AN101" s="529"/>
      <c r="AO101" s="529"/>
    </row>
    <row r="102">
      <c r="A102" s="860" t="s">
        <v>1406</v>
      </c>
      <c r="B102" s="861" t="s">
        <v>1386</v>
      </c>
      <c r="G102" s="529"/>
      <c r="H102" s="529"/>
      <c r="I102" s="529"/>
      <c r="J102" s="529"/>
      <c r="K102" s="529"/>
      <c r="L102" s="529"/>
      <c r="M102" s="529"/>
      <c r="N102" s="529"/>
      <c r="O102" s="529"/>
      <c r="P102" s="529"/>
      <c r="Q102" s="529"/>
      <c r="R102" s="529"/>
      <c r="S102" s="529"/>
      <c r="T102" s="529"/>
      <c r="U102" s="529"/>
      <c r="V102" s="529"/>
      <c r="W102" s="529"/>
      <c r="X102" s="529"/>
      <c r="Y102" s="529"/>
      <c r="Z102" s="529"/>
      <c r="AA102" s="529"/>
      <c r="AB102" s="529"/>
      <c r="AC102" s="529"/>
      <c r="AD102" s="529"/>
      <c r="AE102" s="529"/>
      <c r="AF102" s="529"/>
      <c r="AG102" s="529"/>
      <c r="AH102" s="529"/>
      <c r="AI102" s="529"/>
      <c r="AJ102" s="529"/>
      <c r="AK102" s="529"/>
      <c r="AL102" s="529"/>
      <c r="AM102" s="529"/>
      <c r="AN102" s="529"/>
      <c r="AO102" s="529"/>
    </row>
    <row r="103">
      <c r="B103" s="862" t="s">
        <v>1387</v>
      </c>
      <c r="G103" s="529"/>
      <c r="H103" s="529"/>
      <c r="I103" s="529"/>
      <c r="J103" s="529"/>
      <c r="K103" s="529"/>
      <c r="L103" s="529"/>
      <c r="M103" s="529"/>
      <c r="N103" s="529"/>
      <c r="O103" s="529"/>
      <c r="P103" s="529"/>
      <c r="Q103" s="529"/>
      <c r="R103" s="529"/>
      <c r="S103" s="529"/>
      <c r="T103" s="529"/>
      <c r="U103" s="529"/>
      <c r="V103" s="529"/>
      <c r="W103" s="529"/>
      <c r="X103" s="529"/>
      <c r="Y103" s="529"/>
      <c r="Z103" s="529"/>
      <c r="AA103" s="529"/>
      <c r="AB103" s="529"/>
      <c r="AC103" s="529"/>
      <c r="AD103" s="529"/>
      <c r="AE103" s="529"/>
      <c r="AF103" s="529"/>
      <c r="AG103" s="529"/>
      <c r="AH103" s="529"/>
      <c r="AI103" s="529"/>
      <c r="AJ103" s="529"/>
      <c r="AK103" s="529"/>
      <c r="AL103" s="529"/>
      <c r="AM103" s="529"/>
      <c r="AN103" s="529"/>
      <c r="AO103" s="529"/>
    </row>
    <row r="104">
      <c r="B104" s="862" t="s">
        <v>1388</v>
      </c>
      <c r="G104" s="529"/>
      <c r="H104" s="529"/>
      <c r="I104" s="529"/>
      <c r="J104" s="529"/>
      <c r="K104" s="529"/>
      <c r="L104" s="529"/>
      <c r="M104" s="529"/>
      <c r="N104" s="529"/>
      <c r="O104" s="529"/>
      <c r="P104" s="529"/>
      <c r="Q104" s="529"/>
      <c r="R104" s="529"/>
      <c r="S104" s="529"/>
      <c r="T104" s="529"/>
      <c r="U104" s="529"/>
      <c r="V104" s="529"/>
      <c r="W104" s="529"/>
      <c r="X104" s="529"/>
      <c r="Y104" s="529"/>
      <c r="Z104" s="529"/>
      <c r="AA104" s="529"/>
      <c r="AB104" s="529"/>
      <c r="AC104" s="529"/>
      <c r="AD104" s="529"/>
      <c r="AE104" s="529"/>
      <c r="AF104" s="529"/>
      <c r="AG104" s="529"/>
      <c r="AH104" s="529"/>
      <c r="AI104" s="529"/>
      <c r="AJ104" s="529"/>
      <c r="AK104" s="529"/>
      <c r="AL104" s="529"/>
      <c r="AM104" s="529"/>
      <c r="AN104" s="529"/>
      <c r="AO104" s="529"/>
    </row>
    <row r="105">
      <c r="B105" s="862" t="s">
        <v>1389</v>
      </c>
      <c r="G105" s="529"/>
      <c r="H105" s="529"/>
      <c r="I105" s="529"/>
      <c r="J105" s="529"/>
      <c r="K105" s="529"/>
      <c r="L105" s="529"/>
      <c r="M105" s="529"/>
      <c r="N105" s="529"/>
      <c r="O105" s="529"/>
      <c r="P105" s="529"/>
      <c r="Q105" s="529"/>
      <c r="R105" s="529"/>
      <c r="S105" s="529"/>
      <c r="T105" s="529"/>
      <c r="U105" s="529"/>
      <c r="V105" s="529"/>
      <c r="W105" s="529"/>
      <c r="X105" s="529"/>
      <c r="Y105" s="529"/>
      <c r="Z105" s="529"/>
      <c r="AA105" s="529"/>
      <c r="AB105" s="529"/>
      <c r="AC105" s="529"/>
      <c r="AD105" s="529"/>
      <c r="AE105" s="529"/>
      <c r="AF105" s="529"/>
      <c r="AG105" s="529"/>
      <c r="AH105" s="529"/>
      <c r="AI105" s="529"/>
      <c r="AJ105" s="529"/>
      <c r="AK105" s="529"/>
      <c r="AL105" s="529"/>
      <c r="AM105" s="529"/>
      <c r="AN105" s="529"/>
      <c r="AO105" s="529"/>
    </row>
    <row r="106">
      <c r="B106" s="865" t="s">
        <v>1390</v>
      </c>
      <c r="G106" s="529"/>
      <c r="H106" s="529"/>
      <c r="I106" s="529"/>
      <c r="J106" s="529"/>
      <c r="K106" s="529"/>
      <c r="L106" s="529"/>
      <c r="M106" s="529"/>
      <c r="N106" s="529"/>
      <c r="O106" s="529"/>
      <c r="P106" s="529"/>
      <c r="Q106" s="529"/>
      <c r="R106" s="529"/>
      <c r="S106" s="529"/>
      <c r="T106" s="529"/>
      <c r="U106" s="529"/>
      <c r="V106" s="529"/>
      <c r="W106" s="529"/>
      <c r="X106" s="529"/>
      <c r="Y106" s="529"/>
      <c r="Z106" s="529"/>
      <c r="AA106" s="529"/>
      <c r="AB106" s="529"/>
      <c r="AC106" s="529"/>
      <c r="AD106" s="529"/>
      <c r="AE106" s="529"/>
      <c r="AF106" s="529"/>
      <c r="AG106" s="529"/>
      <c r="AH106" s="529"/>
      <c r="AI106" s="529"/>
      <c r="AJ106" s="529"/>
      <c r="AK106" s="529"/>
      <c r="AL106" s="529"/>
      <c r="AM106" s="529"/>
      <c r="AN106" s="529"/>
      <c r="AO106" s="529"/>
    </row>
    <row r="107">
      <c r="B107" s="865" t="s">
        <v>1391</v>
      </c>
      <c r="G107" s="529"/>
      <c r="H107" s="529"/>
      <c r="I107" s="529"/>
      <c r="J107" s="529"/>
      <c r="K107" s="529"/>
      <c r="L107" s="529"/>
      <c r="M107" s="529"/>
      <c r="N107" s="529"/>
      <c r="O107" s="529"/>
      <c r="P107" s="529"/>
      <c r="Q107" s="529"/>
      <c r="R107" s="529"/>
      <c r="S107" s="529"/>
      <c r="T107" s="529"/>
      <c r="U107" s="529"/>
      <c r="V107" s="529"/>
      <c r="W107" s="529"/>
      <c r="X107" s="529"/>
      <c r="Y107" s="529"/>
      <c r="Z107" s="529"/>
      <c r="AA107" s="529"/>
      <c r="AB107" s="529"/>
      <c r="AC107" s="529"/>
      <c r="AD107" s="529"/>
      <c r="AE107" s="529"/>
      <c r="AF107" s="529"/>
      <c r="AG107" s="529"/>
      <c r="AH107" s="529"/>
      <c r="AI107" s="529"/>
      <c r="AJ107" s="529"/>
      <c r="AK107" s="529"/>
      <c r="AL107" s="529"/>
      <c r="AM107" s="529"/>
      <c r="AN107" s="529"/>
      <c r="AO107" s="529"/>
    </row>
    <row r="108">
      <c r="B108" s="862" t="s">
        <v>1392</v>
      </c>
      <c r="G108" s="529"/>
      <c r="H108" s="529"/>
      <c r="I108" s="529"/>
      <c r="J108" s="529"/>
      <c r="K108" s="529"/>
      <c r="L108" s="529"/>
      <c r="M108" s="529"/>
      <c r="N108" s="529"/>
      <c r="O108" s="529"/>
      <c r="P108" s="529"/>
      <c r="Q108" s="529"/>
      <c r="R108" s="529"/>
      <c r="S108" s="529"/>
      <c r="T108" s="529"/>
      <c r="U108" s="529"/>
      <c r="V108" s="529"/>
      <c r="W108" s="529"/>
      <c r="X108" s="529"/>
      <c r="Y108" s="529"/>
      <c r="Z108" s="529"/>
      <c r="AA108" s="529"/>
      <c r="AB108" s="529"/>
      <c r="AC108" s="529"/>
      <c r="AD108" s="529"/>
      <c r="AE108" s="529"/>
      <c r="AF108" s="529"/>
      <c r="AG108" s="529"/>
      <c r="AH108" s="529"/>
      <c r="AI108" s="529"/>
      <c r="AJ108" s="529"/>
      <c r="AK108" s="529"/>
      <c r="AL108" s="529"/>
      <c r="AM108" s="529"/>
      <c r="AN108" s="529"/>
      <c r="AO108" s="529"/>
    </row>
    <row r="109">
      <c r="B109" s="862" t="s">
        <v>1393</v>
      </c>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29"/>
      <c r="AF109" s="529"/>
      <c r="AG109" s="529"/>
      <c r="AH109" s="529"/>
      <c r="AI109" s="529"/>
      <c r="AJ109" s="529"/>
      <c r="AK109" s="529"/>
      <c r="AL109" s="529"/>
      <c r="AM109" s="529"/>
      <c r="AN109" s="529"/>
      <c r="AO109" s="529"/>
    </row>
    <row r="110">
      <c r="B110" s="862" t="s">
        <v>1394</v>
      </c>
      <c r="G110" s="529"/>
      <c r="H110" s="529"/>
      <c r="I110" s="529"/>
      <c r="J110" s="529"/>
      <c r="K110" s="529"/>
      <c r="L110" s="529"/>
      <c r="M110" s="529"/>
      <c r="N110" s="529"/>
      <c r="O110" s="529"/>
      <c r="P110" s="529"/>
      <c r="Q110" s="529"/>
      <c r="R110" s="529"/>
      <c r="S110" s="529"/>
      <c r="T110" s="529"/>
      <c r="U110" s="529"/>
      <c r="V110" s="529"/>
      <c r="W110" s="529"/>
      <c r="X110" s="529"/>
      <c r="Y110" s="529"/>
      <c r="Z110" s="529"/>
      <c r="AA110" s="529"/>
      <c r="AB110" s="529"/>
      <c r="AC110" s="529"/>
      <c r="AD110" s="529"/>
      <c r="AE110" s="529"/>
      <c r="AF110" s="529"/>
      <c r="AG110" s="529"/>
      <c r="AH110" s="529"/>
      <c r="AI110" s="529"/>
      <c r="AJ110" s="529"/>
      <c r="AK110" s="529"/>
      <c r="AL110" s="529"/>
      <c r="AM110" s="529"/>
      <c r="AN110" s="529"/>
      <c r="AO110" s="529"/>
    </row>
    <row r="111">
      <c r="A111" s="860" t="s">
        <v>1407</v>
      </c>
      <c r="B111" s="861" t="s">
        <v>1386</v>
      </c>
      <c r="G111" s="529"/>
      <c r="H111" s="529"/>
      <c r="I111" s="529"/>
      <c r="J111" s="529"/>
      <c r="K111" s="529"/>
      <c r="L111" s="529"/>
      <c r="M111" s="529"/>
      <c r="N111" s="529"/>
      <c r="O111" s="529"/>
      <c r="P111" s="529"/>
      <c r="Q111" s="529"/>
      <c r="R111" s="529"/>
      <c r="S111" s="529"/>
      <c r="T111" s="529"/>
      <c r="U111" s="529"/>
      <c r="V111" s="529"/>
      <c r="W111" s="529"/>
      <c r="X111" s="529"/>
      <c r="Y111" s="529"/>
      <c r="Z111" s="529"/>
      <c r="AA111" s="529"/>
      <c r="AB111" s="529"/>
      <c r="AC111" s="529"/>
      <c r="AD111" s="529"/>
      <c r="AE111" s="529"/>
      <c r="AF111" s="529"/>
      <c r="AG111" s="529"/>
      <c r="AH111" s="529"/>
      <c r="AI111" s="529"/>
      <c r="AJ111" s="529"/>
      <c r="AK111" s="529"/>
      <c r="AL111" s="529"/>
      <c r="AM111" s="529"/>
      <c r="AN111" s="529"/>
      <c r="AO111" s="529"/>
    </row>
    <row r="112">
      <c r="B112" s="862" t="s">
        <v>1387</v>
      </c>
      <c r="G112" s="529"/>
      <c r="H112" s="529"/>
      <c r="I112" s="529"/>
      <c r="J112" s="529"/>
      <c r="K112" s="529"/>
      <c r="L112" s="529"/>
      <c r="M112" s="529"/>
      <c r="N112" s="529"/>
      <c r="O112" s="529"/>
      <c r="P112" s="529"/>
      <c r="Q112" s="529"/>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row>
    <row r="113">
      <c r="B113" s="862" t="s">
        <v>1388</v>
      </c>
      <c r="G113" s="529"/>
      <c r="H113" s="529"/>
      <c r="I113" s="529"/>
      <c r="J113" s="529"/>
      <c r="K113" s="529"/>
      <c r="L113" s="529"/>
      <c r="M113" s="529"/>
      <c r="N113" s="529"/>
      <c r="O113" s="529"/>
      <c r="P113" s="529"/>
      <c r="Q113" s="529"/>
      <c r="R113" s="529"/>
      <c r="S113" s="529"/>
      <c r="T113" s="529"/>
      <c r="U113" s="529"/>
      <c r="V113" s="529"/>
      <c r="W113" s="529"/>
      <c r="X113" s="529"/>
      <c r="Y113" s="529"/>
      <c r="Z113" s="529"/>
      <c r="AA113" s="529"/>
      <c r="AB113" s="529"/>
      <c r="AC113" s="529"/>
      <c r="AD113" s="529"/>
      <c r="AE113" s="529"/>
      <c r="AF113" s="529"/>
      <c r="AG113" s="529"/>
      <c r="AH113" s="529"/>
      <c r="AI113" s="529"/>
      <c r="AJ113" s="529"/>
      <c r="AK113" s="529"/>
      <c r="AL113" s="529"/>
      <c r="AM113" s="529"/>
      <c r="AN113" s="529"/>
      <c r="AO113" s="529"/>
    </row>
    <row r="114">
      <c r="B114" s="862" t="s">
        <v>1389</v>
      </c>
      <c r="G114" s="529"/>
      <c r="H114" s="529"/>
      <c r="I114" s="529"/>
      <c r="J114" s="529"/>
      <c r="K114" s="529"/>
      <c r="L114" s="529"/>
      <c r="M114" s="529"/>
      <c r="N114" s="529"/>
      <c r="O114" s="529"/>
      <c r="P114" s="529"/>
      <c r="Q114" s="529"/>
      <c r="R114" s="529"/>
      <c r="S114" s="529"/>
      <c r="T114" s="529"/>
      <c r="U114" s="529"/>
      <c r="V114" s="529"/>
      <c r="W114" s="529"/>
      <c r="X114" s="529"/>
      <c r="Y114" s="529"/>
      <c r="Z114" s="529"/>
      <c r="AA114" s="529"/>
      <c r="AB114" s="529"/>
      <c r="AC114" s="529"/>
      <c r="AD114" s="529"/>
      <c r="AE114" s="529"/>
      <c r="AF114" s="529"/>
      <c r="AG114" s="529"/>
      <c r="AH114" s="529"/>
      <c r="AI114" s="529"/>
      <c r="AJ114" s="529"/>
      <c r="AK114" s="529"/>
      <c r="AL114" s="529"/>
      <c r="AM114" s="529"/>
      <c r="AN114" s="529"/>
      <c r="AO114" s="529"/>
    </row>
    <row r="115">
      <c r="B115" s="865" t="s">
        <v>1390</v>
      </c>
      <c r="G115" s="529"/>
      <c r="H115" s="529"/>
      <c r="I115" s="529"/>
      <c r="J115" s="529"/>
      <c r="K115" s="529"/>
      <c r="L115" s="529"/>
      <c r="M115" s="529"/>
      <c r="N115" s="529"/>
      <c r="O115" s="529"/>
      <c r="P115" s="529"/>
      <c r="Q115" s="529"/>
      <c r="R115" s="529"/>
      <c r="S115" s="529"/>
      <c r="T115" s="529"/>
      <c r="U115" s="529"/>
      <c r="V115" s="529"/>
      <c r="W115" s="529"/>
      <c r="X115" s="529"/>
      <c r="Y115" s="529"/>
      <c r="Z115" s="529"/>
      <c r="AA115" s="529"/>
      <c r="AB115" s="529"/>
      <c r="AC115" s="529"/>
      <c r="AD115" s="529"/>
      <c r="AE115" s="529"/>
      <c r="AF115" s="529"/>
      <c r="AG115" s="529"/>
      <c r="AH115" s="529"/>
      <c r="AI115" s="529"/>
      <c r="AJ115" s="529"/>
      <c r="AK115" s="529"/>
      <c r="AL115" s="529"/>
      <c r="AM115" s="529"/>
      <c r="AN115" s="529"/>
      <c r="AO115" s="529"/>
    </row>
    <row r="116">
      <c r="B116" s="865" t="s">
        <v>1391</v>
      </c>
      <c r="G116" s="529"/>
      <c r="H116" s="529"/>
      <c r="I116" s="529"/>
      <c r="J116" s="529"/>
      <c r="K116" s="529"/>
      <c r="L116" s="529"/>
      <c r="M116" s="529"/>
      <c r="N116" s="529"/>
      <c r="O116" s="529"/>
      <c r="P116" s="529"/>
      <c r="Q116" s="529"/>
      <c r="R116" s="529"/>
      <c r="S116" s="529"/>
      <c r="T116" s="529"/>
      <c r="U116" s="529"/>
      <c r="V116" s="529"/>
      <c r="W116" s="529"/>
      <c r="X116" s="529"/>
      <c r="Y116" s="529"/>
      <c r="Z116" s="529"/>
      <c r="AA116" s="529"/>
      <c r="AB116" s="529"/>
      <c r="AC116" s="529"/>
      <c r="AD116" s="529"/>
      <c r="AE116" s="529"/>
      <c r="AF116" s="529"/>
      <c r="AG116" s="529"/>
      <c r="AH116" s="529"/>
      <c r="AI116" s="529"/>
      <c r="AJ116" s="529"/>
      <c r="AK116" s="529"/>
      <c r="AL116" s="529"/>
      <c r="AM116" s="529"/>
      <c r="AN116" s="529"/>
      <c r="AO116" s="529"/>
    </row>
    <row r="117">
      <c r="B117" s="862" t="s">
        <v>1392</v>
      </c>
      <c r="G117" s="529"/>
      <c r="H117" s="529"/>
      <c r="I117" s="529"/>
      <c r="J117" s="529"/>
      <c r="K117" s="529"/>
      <c r="L117" s="529"/>
      <c r="M117" s="529"/>
      <c r="N117" s="529"/>
      <c r="O117" s="529"/>
      <c r="P117" s="529"/>
      <c r="Q117" s="529"/>
      <c r="R117" s="529"/>
      <c r="S117" s="529"/>
      <c r="T117" s="529"/>
      <c r="U117" s="529"/>
      <c r="V117" s="529"/>
      <c r="W117" s="529"/>
      <c r="X117" s="529"/>
      <c r="Y117" s="529"/>
      <c r="Z117" s="529"/>
      <c r="AA117" s="529"/>
      <c r="AB117" s="529"/>
      <c r="AC117" s="529"/>
      <c r="AD117" s="529"/>
      <c r="AE117" s="529"/>
      <c r="AF117" s="529"/>
      <c r="AG117" s="529"/>
      <c r="AH117" s="529"/>
      <c r="AI117" s="529"/>
      <c r="AJ117" s="529"/>
      <c r="AK117" s="529"/>
      <c r="AL117" s="529"/>
      <c r="AM117" s="529"/>
      <c r="AN117" s="529"/>
      <c r="AO117" s="529"/>
    </row>
    <row r="118">
      <c r="B118" s="862" t="s">
        <v>1393</v>
      </c>
      <c r="G118" s="529"/>
      <c r="H118" s="529"/>
      <c r="I118" s="529"/>
      <c r="J118" s="529"/>
      <c r="K118" s="529"/>
      <c r="L118" s="529"/>
      <c r="M118" s="529"/>
      <c r="N118" s="529"/>
      <c r="O118" s="529"/>
      <c r="P118" s="529"/>
      <c r="Q118" s="529"/>
      <c r="R118" s="529"/>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row>
    <row r="119">
      <c r="B119" s="862" t="s">
        <v>1394</v>
      </c>
      <c r="G119" s="529"/>
      <c r="H119" s="529"/>
      <c r="I119" s="529"/>
      <c r="J119" s="529"/>
      <c r="K119" s="529"/>
      <c r="L119" s="529"/>
      <c r="M119" s="529"/>
      <c r="N119" s="529"/>
      <c r="O119" s="529"/>
      <c r="P119" s="529"/>
      <c r="Q119" s="529"/>
      <c r="R119" s="529"/>
      <c r="S119" s="529"/>
      <c r="T119" s="529"/>
      <c r="U119" s="529"/>
      <c r="V119" s="529"/>
      <c r="W119" s="529"/>
      <c r="X119" s="529"/>
      <c r="Y119" s="529"/>
      <c r="Z119" s="529"/>
      <c r="AA119" s="529"/>
      <c r="AB119" s="529"/>
      <c r="AC119" s="529"/>
      <c r="AD119" s="529"/>
      <c r="AE119" s="529"/>
      <c r="AF119" s="529"/>
      <c r="AG119" s="529"/>
      <c r="AH119" s="529"/>
      <c r="AI119" s="529"/>
      <c r="AJ119" s="529"/>
      <c r="AK119" s="529"/>
      <c r="AL119" s="529"/>
      <c r="AM119" s="529"/>
      <c r="AN119" s="529"/>
      <c r="AO119" s="529"/>
    </row>
    <row r="120">
      <c r="A120" s="860" t="s">
        <v>1408</v>
      </c>
      <c r="B120" s="861" t="s">
        <v>1386</v>
      </c>
      <c r="G120" s="529"/>
      <c r="H120" s="529"/>
      <c r="I120" s="529"/>
      <c r="J120" s="529"/>
      <c r="K120" s="529"/>
      <c r="L120" s="529"/>
      <c r="M120" s="529"/>
      <c r="N120" s="529"/>
      <c r="O120" s="529"/>
      <c r="P120" s="529"/>
      <c r="Q120" s="529"/>
      <c r="R120" s="529"/>
      <c r="S120" s="529"/>
      <c r="T120" s="529"/>
      <c r="U120" s="529"/>
      <c r="V120" s="529"/>
      <c r="W120" s="529"/>
      <c r="X120" s="529"/>
      <c r="Y120" s="529"/>
      <c r="Z120" s="529"/>
      <c r="AA120" s="529"/>
      <c r="AB120" s="529"/>
      <c r="AC120" s="529"/>
      <c r="AD120" s="529"/>
      <c r="AE120" s="529"/>
      <c r="AF120" s="529"/>
      <c r="AG120" s="529"/>
      <c r="AH120" s="529"/>
      <c r="AI120" s="529"/>
      <c r="AJ120" s="529"/>
      <c r="AK120" s="529"/>
      <c r="AL120" s="529"/>
      <c r="AM120" s="529"/>
      <c r="AN120" s="529"/>
      <c r="AO120" s="529"/>
    </row>
    <row r="121">
      <c r="B121" s="862" t="s">
        <v>1387</v>
      </c>
      <c r="G121" s="529"/>
      <c r="H121" s="529"/>
      <c r="I121" s="529"/>
      <c r="J121" s="529"/>
      <c r="K121" s="529"/>
      <c r="L121" s="529"/>
      <c r="M121" s="529"/>
      <c r="N121" s="529"/>
      <c r="O121" s="529"/>
      <c r="P121" s="529"/>
      <c r="Q121" s="529"/>
      <c r="R121" s="529"/>
      <c r="S121" s="529"/>
      <c r="T121" s="529"/>
      <c r="U121" s="529"/>
      <c r="V121" s="529"/>
      <c r="W121" s="529"/>
      <c r="X121" s="529"/>
      <c r="Y121" s="529"/>
      <c r="Z121" s="529"/>
      <c r="AA121" s="529"/>
      <c r="AB121" s="529"/>
      <c r="AC121" s="529"/>
      <c r="AD121" s="529"/>
      <c r="AE121" s="529"/>
      <c r="AF121" s="529"/>
      <c r="AG121" s="529"/>
      <c r="AH121" s="529"/>
      <c r="AI121" s="529"/>
      <c r="AJ121" s="529"/>
      <c r="AK121" s="529"/>
      <c r="AL121" s="529"/>
      <c r="AM121" s="529"/>
      <c r="AN121" s="529"/>
      <c r="AO121" s="529"/>
    </row>
    <row r="122">
      <c r="B122" s="862" t="s">
        <v>1388</v>
      </c>
      <c r="G122" s="529"/>
      <c r="H122" s="529"/>
      <c r="I122" s="529"/>
      <c r="J122" s="529"/>
      <c r="K122" s="529"/>
      <c r="L122" s="529"/>
      <c r="M122" s="529"/>
      <c r="N122" s="529"/>
      <c r="O122" s="529"/>
      <c r="P122" s="529"/>
      <c r="Q122" s="529"/>
      <c r="R122" s="529"/>
      <c r="S122" s="529"/>
      <c r="T122" s="529"/>
      <c r="U122" s="529"/>
      <c r="V122" s="529"/>
      <c r="W122" s="529"/>
      <c r="X122" s="529"/>
      <c r="Y122" s="529"/>
      <c r="Z122" s="529"/>
      <c r="AA122" s="529"/>
      <c r="AB122" s="529"/>
      <c r="AC122" s="529"/>
      <c r="AD122" s="529"/>
      <c r="AE122" s="529"/>
      <c r="AF122" s="529"/>
      <c r="AG122" s="529"/>
      <c r="AH122" s="529"/>
      <c r="AI122" s="529"/>
      <c r="AJ122" s="529"/>
      <c r="AK122" s="529"/>
      <c r="AL122" s="529"/>
      <c r="AM122" s="529"/>
      <c r="AN122" s="529"/>
      <c r="AO122" s="529"/>
    </row>
    <row r="123">
      <c r="B123" s="862" t="s">
        <v>1389</v>
      </c>
      <c r="G123" s="529"/>
      <c r="H123" s="529"/>
      <c r="I123" s="529"/>
      <c r="J123" s="529"/>
      <c r="K123" s="529"/>
      <c r="L123" s="529"/>
      <c r="M123" s="529"/>
      <c r="N123" s="529"/>
      <c r="O123" s="529"/>
      <c r="P123" s="529"/>
      <c r="Q123" s="529"/>
      <c r="R123" s="529"/>
      <c r="S123" s="529"/>
      <c r="T123" s="529"/>
      <c r="U123" s="529"/>
      <c r="V123" s="529"/>
      <c r="W123" s="529"/>
      <c r="X123" s="529"/>
      <c r="Y123" s="529"/>
      <c r="Z123" s="529"/>
      <c r="AA123" s="529"/>
      <c r="AB123" s="529"/>
      <c r="AC123" s="529"/>
      <c r="AD123" s="529"/>
      <c r="AE123" s="529"/>
      <c r="AF123" s="529"/>
      <c r="AG123" s="529"/>
      <c r="AH123" s="529"/>
      <c r="AI123" s="529"/>
      <c r="AJ123" s="529"/>
      <c r="AK123" s="529"/>
      <c r="AL123" s="529"/>
      <c r="AM123" s="529"/>
      <c r="AN123" s="529"/>
      <c r="AO123" s="529"/>
    </row>
    <row r="124">
      <c r="B124" s="865" t="s">
        <v>1390</v>
      </c>
      <c r="G124" s="529"/>
      <c r="H124" s="529"/>
      <c r="I124" s="529"/>
      <c r="J124" s="529"/>
      <c r="K124" s="529"/>
      <c r="L124" s="529"/>
      <c r="M124" s="529"/>
      <c r="N124" s="529"/>
      <c r="O124" s="529"/>
      <c r="P124" s="529"/>
      <c r="Q124" s="529"/>
      <c r="R124" s="529"/>
      <c r="S124" s="529"/>
      <c r="T124" s="529"/>
      <c r="U124" s="529"/>
      <c r="V124" s="529"/>
      <c r="W124" s="529"/>
      <c r="X124" s="529"/>
      <c r="Y124" s="529"/>
      <c r="Z124" s="529"/>
      <c r="AA124" s="529"/>
      <c r="AB124" s="529"/>
      <c r="AC124" s="529"/>
      <c r="AD124" s="529"/>
      <c r="AE124" s="529"/>
      <c r="AF124" s="529"/>
      <c r="AG124" s="529"/>
      <c r="AH124" s="529"/>
      <c r="AI124" s="529"/>
      <c r="AJ124" s="529"/>
      <c r="AK124" s="529"/>
      <c r="AL124" s="529"/>
      <c r="AM124" s="529"/>
      <c r="AN124" s="529"/>
      <c r="AO124" s="529"/>
    </row>
    <row r="125">
      <c r="B125" s="865" t="s">
        <v>1391</v>
      </c>
      <c r="G125" s="529"/>
      <c r="H125" s="529"/>
      <c r="I125" s="529"/>
      <c r="J125" s="529"/>
      <c r="K125" s="529"/>
      <c r="L125" s="529"/>
      <c r="M125" s="529"/>
      <c r="N125" s="529"/>
      <c r="O125" s="529"/>
      <c r="P125" s="529"/>
      <c r="Q125" s="529"/>
      <c r="R125" s="529"/>
      <c r="S125" s="529"/>
      <c r="T125" s="529"/>
      <c r="U125" s="529"/>
      <c r="V125" s="529"/>
      <c r="W125" s="529"/>
      <c r="X125" s="529"/>
      <c r="Y125" s="529"/>
      <c r="Z125" s="529"/>
      <c r="AA125" s="529"/>
      <c r="AB125" s="529"/>
      <c r="AC125" s="529"/>
      <c r="AD125" s="529"/>
      <c r="AE125" s="529"/>
      <c r="AF125" s="529"/>
      <c r="AG125" s="529"/>
      <c r="AH125" s="529"/>
      <c r="AI125" s="529"/>
      <c r="AJ125" s="529"/>
      <c r="AK125" s="529"/>
      <c r="AL125" s="529"/>
      <c r="AM125" s="529"/>
      <c r="AN125" s="529"/>
      <c r="AO125" s="529"/>
    </row>
    <row r="126">
      <c r="B126" s="862" t="s">
        <v>1392</v>
      </c>
      <c r="G126" s="529"/>
      <c r="H126" s="529"/>
      <c r="I126" s="529"/>
      <c r="J126" s="529"/>
      <c r="K126" s="529"/>
      <c r="L126" s="529"/>
      <c r="M126" s="529"/>
      <c r="N126" s="529"/>
      <c r="O126" s="529"/>
      <c r="P126" s="529"/>
      <c r="Q126" s="529"/>
      <c r="R126" s="529"/>
      <c r="S126" s="529"/>
      <c r="T126" s="529"/>
      <c r="U126" s="529"/>
      <c r="V126" s="529"/>
      <c r="W126" s="529"/>
      <c r="X126" s="529"/>
      <c r="Y126" s="529"/>
      <c r="Z126" s="529"/>
      <c r="AA126" s="529"/>
      <c r="AB126" s="529"/>
      <c r="AC126" s="529"/>
      <c r="AD126" s="529"/>
      <c r="AE126" s="529"/>
      <c r="AF126" s="529"/>
      <c r="AG126" s="529"/>
      <c r="AH126" s="529"/>
      <c r="AI126" s="529"/>
      <c r="AJ126" s="529"/>
      <c r="AK126" s="529"/>
      <c r="AL126" s="529"/>
      <c r="AM126" s="529"/>
      <c r="AN126" s="529"/>
      <c r="AO126" s="529"/>
    </row>
    <row r="127">
      <c r="B127" s="862" t="s">
        <v>1393</v>
      </c>
      <c r="G127" s="529"/>
      <c r="H127" s="529"/>
      <c r="I127" s="529"/>
      <c r="J127" s="529"/>
      <c r="K127" s="529"/>
      <c r="L127" s="529"/>
      <c r="M127" s="529"/>
      <c r="N127" s="529"/>
      <c r="O127" s="529"/>
      <c r="P127" s="529"/>
      <c r="Q127" s="529"/>
      <c r="R127" s="529"/>
      <c r="S127" s="529"/>
      <c r="T127" s="529"/>
      <c r="U127" s="529"/>
      <c r="V127" s="529"/>
      <c r="W127" s="529"/>
      <c r="X127" s="529"/>
      <c r="Y127" s="529"/>
      <c r="Z127" s="529"/>
      <c r="AA127" s="529"/>
      <c r="AB127" s="529"/>
      <c r="AC127" s="529"/>
      <c r="AD127" s="529"/>
      <c r="AE127" s="529"/>
      <c r="AF127" s="529"/>
      <c r="AG127" s="529"/>
      <c r="AH127" s="529"/>
      <c r="AI127" s="529"/>
      <c r="AJ127" s="529"/>
      <c r="AK127" s="529"/>
      <c r="AL127" s="529"/>
      <c r="AM127" s="529"/>
      <c r="AN127" s="529"/>
      <c r="AO127" s="529"/>
    </row>
    <row r="128">
      <c r="B128" s="862" t="s">
        <v>1394</v>
      </c>
      <c r="G128" s="529"/>
      <c r="H128" s="529"/>
      <c r="I128" s="529"/>
      <c r="J128" s="529"/>
      <c r="K128" s="529"/>
      <c r="L128" s="529"/>
      <c r="M128" s="529"/>
      <c r="N128" s="529"/>
      <c r="O128" s="529"/>
      <c r="P128" s="529"/>
      <c r="Q128" s="529"/>
      <c r="R128" s="529"/>
      <c r="S128" s="529"/>
      <c r="T128" s="529"/>
      <c r="U128" s="529"/>
      <c r="V128" s="529"/>
      <c r="W128" s="529"/>
      <c r="X128" s="529"/>
      <c r="Y128" s="529"/>
      <c r="Z128" s="529"/>
      <c r="AA128" s="529"/>
      <c r="AB128" s="529"/>
      <c r="AC128" s="529"/>
      <c r="AD128" s="529"/>
      <c r="AE128" s="529"/>
      <c r="AF128" s="529"/>
      <c r="AG128" s="529"/>
      <c r="AH128" s="529"/>
      <c r="AI128" s="529"/>
      <c r="AJ128" s="529"/>
      <c r="AK128" s="529"/>
      <c r="AL128" s="529"/>
      <c r="AM128" s="529"/>
      <c r="AN128" s="529"/>
      <c r="AO128" s="529"/>
    </row>
    <row r="129">
      <c r="A129" s="860" t="s">
        <v>1409</v>
      </c>
      <c r="B129" s="861" t="s">
        <v>1386</v>
      </c>
      <c r="G129" s="529"/>
      <c r="H129" s="529"/>
      <c r="I129" s="529"/>
      <c r="J129" s="529"/>
      <c r="K129" s="529"/>
      <c r="L129" s="529"/>
      <c r="M129" s="529"/>
      <c r="N129" s="529"/>
      <c r="O129" s="529"/>
      <c r="P129" s="529"/>
      <c r="Q129" s="529"/>
      <c r="R129" s="529"/>
      <c r="S129" s="529"/>
      <c r="T129" s="529"/>
      <c r="U129" s="529"/>
      <c r="V129" s="529"/>
      <c r="W129" s="529"/>
      <c r="X129" s="529"/>
      <c r="Y129" s="529"/>
      <c r="Z129" s="529"/>
      <c r="AA129" s="529"/>
      <c r="AB129" s="529"/>
      <c r="AC129" s="529"/>
      <c r="AD129" s="529"/>
      <c r="AE129" s="529"/>
      <c r="AF129" s="529"/>
      <c r="AG129" s="529"/>
      <c r="AH129" s="529"/>
      <c r="AI129" s="529"/>
      <c r="AJ129" s="529"/>
      <c r="AK129" s="529"/>
      <c r="AL129" s="529"/>
      <c r="AM129" s="529"/>
      <c r="AN129" s="529"/>
      <c r="AO129" s="529"/>
    </row>
    <row r="130">
      <c r="B130" s="862" t="s">
        <v>1387</v>
      </c>
      <c r="G130" s="529"/>
      <c r="H130" s="529"/>
      <c r="I130" s="529"/>
      <c r="J130" s="529"/>
      <c r="K130" s="529"/>
      <c r="L130" s="529"/>
      <c r="M130" s="529"/>
      <c r="N130" s="529"/>
      <c r="O130" s="529"/>
      <c r="P130" s="529"/>
      <c r="Q130" s="529"/>
      <c r="R130" s="529"/>
      <c r="S130" s="529"/>
      <c r="T130" s="529"/>
      <c r="U130" s="529"/>
      <c r="V130" s="529"/>
      <c r="W130" s="529"/>
      <c r="X130" s="529"/>
      <c r="Y130" s="529"/>
      <c r="Z130" s="529"/>
      <c r="AA130" s="529"/>
      <c r="AB130" s="529"/>
      <c r="AC130" s="529"/>
      <c r="AD130" s="529"/>
      <c r="AE130" s="529"/>
      <c r="AF130" s="529"/>
      <c r="AG130" s="529"/>
      <c r="AH130" s="529"/>
      <c r="AI130" s="529"/>
      <c r="AJ130" s="529"/>
      <c r="AK130" s="529"/>
      <c r="AL130" s="529"/>
      <c r="AM130" s="529"/>
      <c r="AN130" s="529"/>
      <c r="AO130" s="529"/>
    </row>
    <row r="131">
      <c r="B131" s="862" t="s">
        <v>1388</v>
      </c>
      <c r="G131" s="529"/>
      <c r="H131" s="529"/>
      <c r="I131" s="529"/>
      <c r="J131" s="529"/>
      <c r="K131" s="529"/>
      <c r="L131" s="529"/>
      <c r="M131" s="529"/>
      <c r="N131" s="529"/>
      <c r="O131" s="529"/>
      <c r="P131" s="529"/>
      <c r="Q131" s="529"/>
      <c r="R131" s="529"/>
      <c r="S131" s="529"/>
      <c r="T131" s="529"/>
      <c r="U131" s="529"/>
      <c r="V131" s="529"/>
      <c r="W131" s="529"/>
      <c r="X131" s="529"/>
      <c r="Y131" s="529"/>
      <c r="Z131" s="529"/>
      <c r="AA131" s="529"/>
      <c r="AB131" s="529"/>
      <c r="AC131" s="529"/>
      <c r="AD131" s="529"/>
      <c r="AE131" s="529"/>
      <c r="AF131" s="529"/>
      <c r="AG131" s="529"/>
      <c r="AH131" s="529"/>
      <c r="AI131" s="529"/>
      <c r="AJ131" s="529"/>
      <c r="AK131" s="529"/>
      <c r="AL131" s="529"/>
      <c r="AM131" s="529"/>
      <c r="AN131" s="529"/>
      <c r="AO131" s="529"/>
    </row>
    <row r="132">
      <c r="B132" s="862" t="s">
        <v>1389</v>
      </c>
      <c r="G132" s="529"/>
      <c r="H132" s="529"/>
      <c r="I132" s="529"/>
      <c r="J132" s="529"/>
      <c r="K132" s="529"/>
      <c r="L132" s="529"/>
      <c r="M132" s="529"/>
      <c r="N132" s="529"/>
      <c r="O132" s="529"/>
      <c r="P132" s="529"/>
      <c r="Q132" s="529"/>
      <c r="R132" s="529"/>
      <c r="S132" s="529"/>
      <c r="T132" s="529"/>
      <c r="U132" s="529"/>
      <c r="V132" s="529"/>
      <c r="W132" s="529"/>
      <c r="X132" s="529"/>
      <c r="Y132" s="529"/>
      <c r="Z132" s="529"/>
      <c r="AA132" s="529"/>
      <c r="AB132" s="529"/>
      <c r="AC132" s="529"/>
      <c r="AD132" s="529"/>
      <c r="AE132" s="529"/>
      <c r="AF132" s="529"/>
      <c r="AG132" s="529"/>
      <c r="AH132" s="529"/>
      <c r="AI132" s="529"/>
      <c r="AJ132" s="529"/>
      <c r="AK132" s="529"/>
      <c r="AL132" s="529"/>
      <c r="AM132" s="529"/>
      <c r="AN132" s="529"/>
      <c r="AO132" s="529"/>
    </row>
    <row r="133">
      <c r="B133" s="865" t="s">
        <v>1390</v>
      </c>
      <c r="G133" s="529"/>
      <c r="H133" s="529"/>
      <c r="I133" s="529"/>
      <c r="J133" s="529"/>
      <c r="K133" s="529"/>
      <c r="L133" s="529"/>
      <c r="M133" s="529"/>
      <c r="N133" s="529"/>
      <c r="O133" s="529"/>
      <c r="P133" s="529"/>
      <c r="Q133" s="529"/>
      <c r="R133" s="529"/>
      <c r="S133" s="529"/>
      <c r="T133" s="529"/>
      <c r="U133" s="529"/>
      <c r="V133" s="529"/>
      <c r="W133" s="529"/>
      <c r="X133" s="529"/>
      <c r="Y133" s="529"/>
      <c r="Z133" s="529"/>
      <c r="AA133" s="529"/>
      <c r="AB133" s="529"/>
      <c r="AC133" s="529"/>
      <c r="AD133" s="529"/>
      <c r="AE133" s="529"/>
      <c r="AF133" s="529"/>
      <c r="AG133" s="529"/>
      <c r="AH133" s="529"/>
      <c r="AI133" s="529"/>
      <c r="AJ133" s="529"/>
      <c r="AK133" s="529"/>
      <c r="AL133" s="529"/>
      <c r="AM133" s="529"/>
      <c r="AN133" s="529"/>
      <c r="AO133" s="529"/>
    </row>
    <row r="134">
      <c r="B134" s="865" t="s">
        <v>1391</v>
      </c>
      <c r="G134" s="529"/>
      <c r="H134" s="529"/>
      <c r="I134" s="529"/>
      <c r="J134" s="529"/>
      <c r="K134" s="529"/>
      <c r="L134" s="529"/>
      <c r="M134" s="529"/>
      <c r="N134" s="529"/>
      <c r="O134" s="529"/>
      <c r="P134" s="529"/>
      <c r="Q134" s="529"/>
      <c r="R134" s="529"/>
      <c r="S134" s="529"/>
      <c r="T134" s="529"/>
      <c r="U134" s="529"/>
      <c r="V134" s="529"/>
      <c r="W134" s="529"/>
      <c r="X134" s="529"/>
      <c r="Y134" s="529"/>
      <c r="Z134" s="529"/>
      <c r="AA134" s="529"/>
      <c r="AB134" s="529"/>
      <c r="AC134" s="529"/>
      <c r="AD134" s="529"/>
      <c r="AE134" s="529"/>
      <c r="AF134" s="529"/>
      <c r="AG134" s="529"/>
      <c r="AH134" s="529"/>
      <c r="AI134" s="529"/>
      <c r="AJ134" s="529"/>
      <c r="AK134" s="529"/>
      <c r="AL134" s="529"/>
      <c r="AM134" s="529"/>
      <c r="AN134" s="529"/>
      <c r="AO134" s="529"/>
    </row>
    <row r="135">
      <c r="B135" s="862" t="s">
        <v>1392</v>
      </c>
      <c r="G135" s="529"/>
      <c r="H135" s="529"/>
      <c r="I135" s="529"/>
      <c r="J135" s="529"/>
      <c r="K135" s="529"/>
      <c r="L135" s="529"/>
      <c r="M135" s="529"/>
      <c r="N135" s="529"/>
      <c r="O135" s="529"/>
      <c r="P135" s="529"/>
      <c r="Q135" s="529"/>
      <c r="R135" s="529"/>
      <c r="S135" s="529"/>
      <c r="T135" s="529"/>
      <c r="U135" s="529"/>
      <c r="V135" s="529"/>
      <c r="W135" s="529"/>
      <c r="X135" s="529"/>
      <c r="Y135" s="529"/>
      <c r="Z135" s="529"/>
      <c r="AA135" s="529"/>
      <c r="AB135" s="529"/>
      <c r="AC135" s="529"/>
      <c r="AD135" s="529"/>
      <c r="AE135" s="529"/>
      <c r="AF135" s="529"/>
      <c r="AG135" s="529"/>
      <c r="AH135" s="529"/>
      <c r="AI135" s="529"/>
      <c r="AJ135" s="529"/>
      <c r="AK135" s="529"/>
      <c r="AL135" s="529"/>
      <c r="AM135" s="529"/>
      <c r="AN135" s="529"/>
      <c r="AO135" s="529"/>
    </row>
    <row r="136">
      <c r="B136" s="862" t="s">
        <v>1393</v>
      </c>
      <c r="G136" s="529"/>
      <c r="H136" s="529"/>
      <c r="I136" s="529"/>
      <c r="J136" s="529"/>
      <c r="K136" s="529"/>
      <c r="L136" s="529"/>
      <c r="M136" s="529"/>
      <c r="N136" s="529"/>
      <c r="O136" s="529"/>
      <c r="P136" s="529"/>
      <c r="Q136" s="529"/>
      <c r="R136" s="529"/>
      <c r="S136" s="529"/>
      <c r="T136" s="529"/>
      <c r="U136" s="529"/>
      <c r="V136" s="529"/>
      <c r="W136" s="529"/>
      <c r="X136" s="529"/>
      <c r="Y136" s="529"/>
      <c r="Z136" s="529"/>
      <c r="AA136" s="529"/>
      <c r="AB136" s="529"/>
      <c r="AC136" s="529"/>
      <c r="AD136" s="529"/>
      <c r="AE136" s="529"/>
      <c r="AF136" s="529"/>
      <c r="AG136" s="529"/>
      <c r="AH136" s="529"/>
      <c r="AI136" s="529"/>
      <c r="AJ136" s="529"/>
      <c r="AK136" s="529"/>
      <c r="AL136" s="529"/>
      <c r="AM136" s="529"/>
      <c r="AN136" s="529"/>
      <c r="AO136" s="529"/>
    </row>
    <row r="137">
      <c r="B137" s="862" t="s">
        <v>1394</v>
      </c>
      <c r="G137" s="529"/>
      <c r="H137" s="529"/>
      <c r="I137" s="529"/>
      <c r="J137" s="529"/>
      <c r="K137" s="529"/>
      <c r="L137" s="529"/>
      <c r="M137" s="529"/>
      <c r="N137" s="529"/>
      <c r="O137" s="529"/>
      <c r="P137" s="529"/>
      <c r="Q137" s="529"/>
      <c r="R137" s="529"/>
      <c r="S137" s="529"/>
      <c r="T137" s="529"/>
      <c r="U137" s="529"/>
      <c r="V137" s="529"/>
      <c r="W137" s="529"/>
      <c r="X137" s="529"/>
      <c r="Y137" s="529"/>
      <c r="Z137" s="529"/>
      <c r="AA137" s="529"/>
      <c r="AB137" s="529"/>
      <c r="AC137" s="529"/>
      <c r="AD137" s="529"/>
      <c r="AE137" s="529"/>
      <c r="AF137" s="529"/>
      <c r="AG137" s="529"/>
      <c r="AH137" s="529"/>
      <c r="AI137" s="529"/>
      <c r="AJ137" s="529"/>
      <c r="AK137" s="529"/>
      <c r="AL137" s="529"/>
      <c r="AM137" s="529"/>
      <c r="AN137" s="529"/>
      <c r="AO137" s="529"/>
    </row>
    <row r="138">
      <c r="A138" s="856" t="s">
        <v>1410</v>
      </c>
      <c r="G138" s="529"/>
      <c r="H138" s="529"/>
      <c r="I138" s="529"/>
      <c r="J138" s="529"/>
      <c r="K138" s="529"/>
      <c r="L138" s="529"/>
      <c r="M138" s="529"/>
      <c r="N138" s="529"/>
      <c r="O138" s="529"/>
      <c r="P138" s="529"/>
      <c r="Q138" s="529"/>
      <c r="R138" s="529"/>
      <c r="S138" s="529"/>
      <c r="T138" s="529"/>
      <c r="U138" s="529"/>
      <c r="V138" s="529"/>
      <c r="W138" s="529"/>
      <c r="X138" s="529"/>
      <c r="Y138" s="529"/>
      <c r="Z138" s="529"/>
      <c r="AA138" s="529"/>
      <c r="AB138" s="529"/>
      <c r="AC138" s="529"/>
      <c r="AD138" s="529"/>
      <c r="AE138" s="529"/>
      <c r="AF138" s="529"/>
      <c r="AG138" s="529"/>
      <c r="AH138" s="529"/>
      <c r="AI138" s="529"/>
      <c r="AJ138" s="529"/>
      <c r="AK138" s="529"/>
      <c r="AL138" s="529"/>
      <c r="AM138" s="529"/>
      <c r="AN138" s="529"/>
      <c r="AO138" s="529"/>
    </row>
    <row r="139">
      <c r="A139" s="871" t="s">
        <v>1399</v>
      </c>
      <c r="B139" s="861" t="s">
        <v>1386</v>
      </c>
      <c r="G139" s="529"/>
      <c r="H139" s="529"/>
      <c r="I139" s="529"/>
      <c r="J139" s="529"/>
      <c r="K139" s="529"/>
      <c r="L139" s="529"/>
      <c r="M139" s="529"/>
      <c r="N139" s="529"/>
      <c r="O139" s="529"/>
      <c r="P139" s="529"/>
      <c r="Q139" s="529"/>
      <c r="R139" s="529"/>
      <c r="S139" s="529"/>
      <c r="T139" s="529"/>
      <c r="U139" s="529"/>
      <c r="V139" s="529"/>
      <c r="W139" s="529"/>
      <c r="X139" s="529"/>
      <c r="Y139" s="529"/>
      <c r="Z139" s="529"/>
      <c r="AA139" s="529"/>
      <c r="AB139" s="529"/>
      <c r="AC139" s="529"/>
      <c r="AD139" s="529"/>
      <c r="AE139" s="529"/>
      <c r="AF139" s="529"/>
      <c r="AG139" s="529"/>
      <c r="AH139" s="529"/>
      <c r="AI139" s="529"/>
      <c r="AJ139" s="529"/>
      <c r="AK139" s="529"/>
      <c r="AL139" s="529"/>
      <c r="AM139" s="529"/>
      <c r="AN139" s="529"/>
      <c r="AO139" s="529"/>
    </row>
    <row r="140">
      <c r="B140" s="862" t="s">
        <v>1387</v>
      </c>
      <c r="G140" s="529"/>
      <c r="H140" s="529"/>
      <c r="I140" s="529"/>
      <c r="J140" s="529"/>
      <c r="K140" s="529"/>
      <c r="L140" s="529"/>
      <c r="M140" s="529"/>
      <c r="N140" s="529"/>
      <c r="O140" s="529"/>
      <c r="P140" s="529"/>
      <c r="Q140" s="529"/>
      <c r="R140" s="529"/>
      <c r="S140" s="529"/>
      <c r="T140" s="529"/>
      <c r="U140" s="529"/>
      <c r="V140" s="529"/>
      <c r="W140" s="529"/>
      <c r="X140" s="529"/>
      <c r="Y140" s="529"/>
      <c r="Z140" s="529"/>
      <c r="AA140" s="529"/>
      <c r="AB140" s="529"/>
      <c r="AC140" s="529"/>
      <c r="AD140" s="529"/>
      <c r="AE140" s="529"/>
      <c r="AF140" s="529"/>
      <c r="AG140" s="529"/>
      <c r="AH140" s="529"/>
      <c r="AI140" s="529"/>
      <c r="AJ140" s="529"/>
      <c r="AK140" s="529"/>
      <c r="AL140" s="529"/>
      <c r="AM140" s="529"/>
      <c r="AN140" s="529"/>
      <c r="AO140" s="529"/>
    </row>
    <row r="141">
      <c r="B141" s="862" t="s">
        <v>1388</v>
      </c>
      <c r="G141" s="529"/>
      <c r="H141" s="529"/>
      <c r="I141" s="529"/>
      <c r="J141" s="529"/>
      <c r="K141" s="529"/>
      <c r="L141" s="529"/>
      <c r="M141" s="529"/>
      <c r="N141" s="529"/>
      <c r="O141" s="529"/>
      <c r="P141" s="529"/>
      <c r="Q141" s="529"/>
      <c r="R141" s="529"/>
      <c r="S141" s="529"/>
      <c r="T141" s="529"/>
      <c r="U141" s="529"/>
      <c r="V141" s="529"/>
      <c r="W141" s="529"/>
      <c r="X141" s="529"/>
      <c r="Y141" s="529"/>
      <c r="Z141" s="529"/>
      <c r="AA141" s="529"/>
      <c r="AB141" s="529"/>
      <c r="AC141" s="529"/>
      <c r="AD141" s="529"/>
      <c r="AE141" s="529"/>
      <c r="AF141" s="529"/>
      <c r="AG141" s="529"/>
      <c r="AH141" s="529"/>
      <c r="AI141" s="529"/>
      <c r="AJ141" s="529"/>
      <c r="AK141" s="529"/>
      <c r="AL141" s="529"/>
      <c r="AM141" s="529"/>
      <c r="AN141" s="529"/>
      <c r="AO141" s="529"/>
    </row>
    <row r="142">
      <c r="B142" s="862" t="s">
        <v>1389</v>
      </c>
      <c r="G142" s="529"/>
      <c r="H142" s="529"/>
      <c r="I142" s="529"/>
      <c r="J142" s="529"/>
      <c r="K142" s="529"/>
      <c r="L142" s="529"/>
      <c r="M142" s="529"/>
      <c r="N142" s="529"/>
      <c r="O142" s="529"/>
      <c r="P142" s="529"/>
      <c r="Q142" s="529"/>
      <c r="R142" s="529"/>
      <c r="S142" s="529"/>
      <c r="T142" s="529"/>
      <c r="U142" s="529"/>
      <c r="V142" s="529"/>
      <c r="W142" s="529"/>
      <c r="X142" s="529"/>
      <c r="Y142" s="529"/>
      <c r="Z142" s="529"/>
      <c r="AA142" s="529"/>
      <c r="AB142" s="529"/>
      <c r="AC142" s="529"/>
      <c r="AD142" s="529"/>
      <c r="AE142" s="529"/>
      <c r="AF142" s="529"/>
      <c r="AG142" s="529"/>
      <c r="AH142" s="529"/>
      <c r="AI142" s="529"/>
      <c r="AJ142" s="529"/>
      <c r="AK142" s="529"/>
      <c r="AL142" s="529"/>
      <c r="AM142" s="529"/>
      <c r="AN142" s="529"/>
      <c r="AO142" s="529"/>
    </row>
    <row r="143">
      <c r="B143" s="865" t="s">
        <v>1390</v>
      </c>
      <c r="G143" s="529"/>
      <c r="H143" s="529"/>
      <c r="I143" s="529"/>
      <c r="J143" s="529"/>
      <c r="K143" s="529"/>
      <c r="L143" s="529"/>
      <c r="M143" s="529"/>
      <c r="N143" s="529"/>
      <c r="O143" s="529"/>
      <c r="P143" s="529"/>
      <c r="Q143" s="529"/>
      <c r="R143" s="529"/>
      <c r="S143" s="529"/>
      <c r="T143" s="529"/>
      <c r="U143" s="529"/>
      <c r="V143" s="529"/>
      <c r="W143" s="529"/>
      <c r="X143" s="529"/>
      <c r="Y143" s="529"/>
      <c r="Z143" s="529"/>
      <c r="AA143" s="529"/>
      <c r="AB143" s="529"/>
      <c r="AC143" s="529"/>
      <c r="AD143" s="529"/>
      <c r="AE143" s="529"/>
      <c r="AF143" s="529"/>
      <c r="AG143" s="529"/>
      <c r="AH143" s="529"/>
      <c r="AI143" s="529"/>
      <c r="AJ143" s="529"/>
      <c r="AK143" s="529"/>
      <c r="AL143" s="529"/>
      <c r="AM143" s="529"/>
      <c r="AN143" s="529"/>
      <c r="AO143" s="529"/>
    </row>
    <row r="144">
      <c r="B144" s="865" t="s">
        <v>1391</v>
      </c>
      <c r="G144" s="529"/>
      <c r="H144" s="529"/>
      <c r="I144" s="529"/>
      <c r="J144" s="529"/>
      <c r="K144" s="529"/>
      <c r="L144" s="529"/>
      <c r="M144" s="529"/>
      <c r="N144" s="529"/>
      <c r="O144" s="529"/>
      <c r="P144" s="529"/>
      <c r="Q144" s="529"/>
      <c r="R144" s="529"/>
      <c r="S144" s="529"/>
      <c r="T144" s="529"/>
      <c r="U144" s="529"/>
      <c r="V144" s="529"/>
      <c r="W144" s="529"/>
      <c r="X144" s="529"/>
      <c r="Y144" s="529"/>
      <c r="Z144" s="529"/>
      <c r="AA144" s="529"/>
      <c r="AB144" s="529"/>
      <c r="AC144" s="529"/>
      <c r="AD144" s="529"/>
      <c r="AE144" s="529"/>
      <c r="AF144" s="529"/>
      <c r="AG144" s="529"/>
      <c r="AH144" s="529"/>
      <c r="AI144" s="529"/>
      <c r="AJ144" s="529"/>
      <c r="AK144" s="529"/>
      <c r="AL144" s="529"/>
      <c r="AM144" s="529"/>
      <c r="AN144" s="529"/>
      <c r="AO144" s="529"/>
    </row>
    <row r="145">
      <c r="B145" s="862" t="s">
        <v>1392</v>
      </c>
      <c r="G145" s="529"/>
      <c r="H145" s="529"/>
      <c r="I145" s="529"/>
      <c r="J145" s="529"/>
      <c r="K145" s="529"/>
      <c r="L145" s="529"/>
      <c r="M145" s="529"/>
      <c r="N145" s="529"/>
      <c r="O145" s="529"/>
      <c r="P145" s="529"/>
      <c r="Q145" s="529"/>
      <c r="R145" s="529"/>
      <c r="S145" s="529"/>
      <c r="T145" s="529"/>
      <c r="U145" s="529"/>
      <c r="V145" s="529"/>
      <c r="W145" s="529"/>
      <c r="X145" s="529"/>
      <c r="Y145" s="529"/>
      <c r="Z145" s="529"/>
      <c r="AA145" s="529"/>
      <c r="AB145" s="529"/>
      <c r="AC145" s="529"/>
      <c r="AD145" s="529"/>
      <c r="AE145" s="529"/>
      <c r="AF145" s="529"/>
      <c r="AG145" s="529"/>
      <c r="AH145" s="529"/>
      <c r="AI145" s="529"/>
      <c r="AJ145" s="529"/>
      <c r="AK145" s="529"/>
      <c r="AL145" s="529"/>
      <c r="AM145" s="529"/>
      <c r="AN145" s="529"/>
      <c r="AO145" s="529"/>
    </row>
    <row r="146">
      <c r="B146" s="862" t="s">
        <v>1393</v>
      </c>
      <c r="G146" s="529"/>
      <c r="H146" s="529"/>
      <c r="I146" s="529"/>
      <c r="J146" s="529"/>
      <c r="K146" s="529"/>
      <c r="L146" s="529"/>
      <c r="M146" s="529"/>
      <c r="N146" s="529"/>
      <c r="O146" s="529"/>
      <c r="P146" s="529"/>
      <c r="Q146" s="529"/>
      <c r="R146" s="529"/>
      <c r="S146" s="529"/>
      <c r="T146" s="529"/>
      <c r="U146" s="529"/>
      <c r="V146" s="529"/>
      <c r="W146" s="529"/>
      <c r="X146" s="529"/>
      <c r="Y146" s="529"/>
      <c r="Z146" s="529"/>
      <c r="AA146" s="529"/>
      <c r="AB146" s="529"/>
      <c r="AC146" s="529"/>
      <c r="AD146" s="529"/>
      <c r="AE146" s="529"/>
      <c r="AF146" s="529"/>
      <c r="AG146" s="529"/>
      <c r="AH146" s="529"/>
      <c r="AI146" s="529"/>
      <c r="AJ146" s="529"/>
      <c r="AK146" s="529"/>
      <c r="AL146" s="529"/>
      <c r="AM146" s="529"/>
      <c r="AN146" s="529"/>
      <c r="AO146" s="529"/>
    </row>
    <row r="147">
      <c r="B147" s="862" t="s">
        <v>1394</v>
      </c>
      <c r="G147" s="529"/>
      <c r="H147" s="529"/>
      <c r="I147" s="529"/>
      <c r="J147" s="529"/>
      <c r="K147" s="529"/>
      <c r="L147" s="529"/>
      <c r="M147" s="529"/>
      <c r="N147" s="529"/>
      <c r="O147" s="529"/>
      <c r="P147" s="529"/>
      <c r="Q147" s="529"/>
      <c r="R147" s="529"/>
      <c r="S147" s="529"/>
      <c r="T147" s="529"/>
      <c r="U147" s="529"/>
      <c r="V147" s="529"/>
      <c r="W147" s="529"/>
      <c r="X147" s="529"/>
      <c r="Y147" s="529"/>
      <c r="Z147" s="529"/>
      <c r="AA147" s="529"/>
      <c r="AB147" s="529"/>
      <c r="AC147" s="529"/>
      <c r="AD147" s="529"/>
      <c r="AE147" s="529"/>
      <c r="AF147" s="529"/>
      <c r="AG147" s="529"/>
      <c r="AH147" s="529"/>
      <c r="AI147" s="529"/>
      <c r="AJ147" s="529"/>
      <c r="AK147" s="529"/>
      <c r="AL147" s="529"/>
      <c r="AM147" s="529"/>
      <c r="AN147" s="529"/>
      <c r="AO147" s="529"/>
    </row>
    <row r="148">
      <c r="A148" s="860" t="s">
        <v>1400</v>
      </c>
      <c r="B148" s="861" t="s">
        <v>1386</v>
      </c>
      <c r="G148" s="529"/>
      <c r="H148" s="529"/>
      <c r="I148" s="529"/>
      <c r="J148" s="529"/>
      <c r="K148" s="529"/>
      <c r="L148" s="529"/>
      <c r="M148" s="529"/>
      <c r="N148" s="529"/>
      <c r="O148" s="529"/>
      <c r="P148" s="529"/>
      <c r="Q148" s="529"/>
      <c r="R148" s="529"/>
      <c r="S148" s="529"/>
      <c r="T148" s="529"/>
      <c r="U148" s="529"/>
      <c r="V148" s="529"/>
      <c r="W148" s="529"/>
      <c r="X148" s="529"/>
      <c r="Y148" s="529"/>
      <c r="Z148" s="529"/>
      <c r="AA148" s="529"/>
      <c r="AB148" s="529"/>
      <c r="AC148" s="529"/>
      <c r="AD148" s="529"/>
      <c r="AE148" s="529"/>
      <c r="AF148" s="529"/>
      <c r="AG148" s="529"/>
      <c r="AH148" s="529"/>
      <c r="AI148" s="529"/>
      <c r="AJ148" s="529"/>
      <c r="AK148" s="529"/>
      <c r="AL148" s="529"/>
      <c r="AM148" s="529"/>
      <c r="AN148" s="529"/>
      <c r="AO148" s="529"/>
    </row>
    <row r="149">
      <c r="B149" s="862" t="s">
        <v>1387</v>
      </c>
      <c r="G149" s="529"/>
      <c r="H149" s="529"/>
      <c r="I149" s="529"/>
      <c r="J149" s="529"/>
      <c r="K149" s="529"/>
      <c r="L149" s="529"/>
      <c r="M149" s="529"/>
      <c r="N149" s="529"/>
      <c r="O149" s="529"/>
      <c r="P149" s="529"/>
      <c r="Q149" s="529"/>
      <c r="R149" s="529"/>
      <c r="S149" s="529"/>
      <c r="T149" s="529"/>
      <c r="U149" s="529"/>
      <c r="V149" s="529"/>
      <c r="W149" s="529"/>
      <c r="X149" s="529"/>
      <c r="Y149" s="529"/>
      <c r="Z149" s="529"/>
      <c r="AA149" s="529"/>
      <c r="AB149" s="529"/>
      <c r="AC149" s="529"/>
      <c r="AD149" s="529"/>
      <c r="AE149" s="529"/>
      <c r="AF149" s="529"/>
      <c r="AG149" s="529"/>
      <c r="AH149" s="529"/>
      <c r="AI149" s="529"/>
      <c r="AJ149" s="529"/>
      <c r="AK149" s="529"/>
      <c r="AL149" s="529"/>
      <c r="AM149" s="529"/>
      <c r="AN149" s="529"/>
      <c r="AO149" s="529"/>
    </row>
    <row r="150">
      <c r="B150" s="862" t="s">
        <v>1388</v>
      </c>
      <c r="G150" s="529"/>
      <c r="H150" s="529"/>
      <c r="I150" s="529"/>
      <c r="J150" s="529"/>
      <c r="K150" s="529"/>
      <c r="L150" s="529"/>
      <c r="M150" s="529"/>
      <c r="N150" s="529"/>
      <c r="O150" s="529"/>
      <c r="P150" s="529"/>
      <c r="Q150" s="529"/>
      <c r="R150" s="529"/>
      <c r="S150" s="529"/>
      <c r="T150" s="529"/>
      <c r="U150" s="529"/>
      <c r="V150" s="529"/>
      <c r="W150" s="529"/>
      <c r="X150" s="529"/>
      <c r="Y150" s="529"/>
      <c r="Z150" s="529"/>
      <c r="AA150" s="529"/>
      <c r="AB150" s="529"/>
      <c r="AC150" s="529"/>
      <c r="AD150" s="529"/>
      <c r="AE150" s="529"/>
      <c r="AF150" s="529"/>
      <c r="AG150" s="529"/>
      <c r="AH150" s="529"/>
      <c r="AI150" s="529"/>
      <c r="AJ150" s="529"/>
      <c r="AK150" s="529"/>
      <c r="AL150" s="529"/>
      <c r="AM150" s="529"/>
      <c r="AN150" s="529"/>
      <c r="AO150" s="529"/>
    </row>
    <row r="151">
      <c r="B151" s="862" t="s">
        <v>1389</v>
      </c>
      <c r="G151" s="529"/>
      <c r="H151" s="529"/>
      <c r="I151" s="529"/>
      <c r="J151" s="529"/>
      <c r="K151" s="529"/>
      <c r="L151" s="529"/>
      <c r="M151" s="529"/>
      <c r="N151" s="529"/>
      <c r="O151" s="529"/>
      <c r="P151" s="529"/>
      <c r="Q151" s="529"/>
      <c r="R151" s="529"/>
      <c r="S151" s="529"/>
      <c r="T151" s="529"/>
      <c r="U151" s="529"/>
      <c r="V151" s="529"/>
      <c r="W151" s="529"/>
      <c r="X151" s="529"/>
      <c r="Y151" s="529"/>
      <c r="Z151" s="529"/>
      <c r="AA151" s="529"/>
      <c r="AB151" s="529"/>
      <c r="AC151" s="529"/>
      <c r="AD151" s="529"/>
      <c r="AE151" s="529"/>
      <c r="AF151" s="529"/>
      <c r="AG151" s="529"/>
      <c r="AH151" s="529"/>
      <c r="AI151" s="529"/>
      <c r="AJ151" s="529"/>
      <c r="AK151" s="529"/>
      <c r="AL151" s="529"/>
      <c r="AM151" s="529"/>
      <c r="AN151" s="529"/>
      <c r="AO151" s="529"/>
    </row>
    <row r="152">
      <c r="B152" s="865" t="s">
        <v>1390</v>
      </c>
      <c r="G152" s="529"/>
      <c r="H152" s="529"/>
      <c r="I152" s="529"/>
      <c r="J152" s="529"/>
      <c r="K152" s="529"/>
      <c r="L152" s="529"/>
      <c r="M152" s="529"/>
      <c r="N152" s="529"/>
      <c r="O152" s="529"/>
      <c r="P152" s="529"/>
      <c r="Q152" s="529"/>
      <c r="R152" s="529"/>
      <c r="S152" s="529"/>
      <c r="T152" s="529"/>
      <c r="U152" s="529"/>
      <c r="V152" s="529"/>
      <c r="W152" s="529"/>
      <c r="X152" s="529"/>
      <c r="Y152" s="529"/>
      <c r="Z152" s="529"/>
      <c r="AA152" s="529"/>
      <c r="AB152" s="529"/>
      <c r="AC152" s="529"/>
      <c r="AD152" s="529"/>
      <c r="AE152" s="529"/>
      <c r="AF152" s="529"/>
      <c r="AG152" s="529"/>
      <c r="AH152" s="529"/>
      <c r="AI152" s="529"/>
      <c r="AJ152" s="529"/>
      <c r="AK152" s="529"/>
      <c r="AL152" s="529"/>
      <c r="AM152" s="529"/>
      <c r="AN152" s="529"/>
      <c r="AO152" s="529"/>
    </row>
    <row r="153">
      <c r="B153" s="865" t="s">
        <v>1391</v>
      </c>
      <c r="G153" s="529"/>
      <c r="H153" s="529"/>
      <c r="I153" s="529"/>
      <c r="J153" s="529"/>
      <c r="K153" s="529"/>
      <c r="L153" s="529"/>
      <c r="M153" s="529"/>
      <c r="N153" s="529"/>
      <c r="O153" s="529"/>
      <c r="P153" s="529"/>
      <c r="Q153" s="529"/>
      <c r="R153" s="529"/>
      <c r="S153" s="529"/>
      <c r="T153" s="529"/>
      <c r="U153" s="529"/>
      <c r="V153" s="529"/>
      <c r="W153" s="529"/>
      <c r="X153" s="529"/>
      <c r="Y153" s="529"/>
      <c r="Z153" s="529"/>
      <c r="AA153" s="529"/>
      <c r="AB153" s="529"/>
      <c r="AC153" s="529"/>
      <c r="AD153" s="529"/>
      <c r="AE153" s="529"/>
      <c r="AF153" s="529"/>
      <c r="AG153" s="529"/>
      <c r="AH153" s="529"/>
      <c r="AI153" s="529"/>
      <c r="AJ153" s="529"/>
      <c r="AK153" s="529"/>
      <c r="AL153" s="529"/>
      <c r="AM153" s="529"/>
      <c r="AN153" s="529"/>
      <c r="AO153" s="529"/>
    </row>
    <row r="154">
      <c r="B154" s="862" t="s">
        <v>1392</v>
      </c>
      <c r="G154" s="529"/>
      <c r="H154" s="529"/>
      <c r="I154" s="529"/>
      <c r="J154" s="529"/>
      <c r="K154" s="529"/>
      <c r="L154" s="529"/>
      <c r="M154" s="529"/>
      <c r="N154" s="529"/>
      <c r="O154" s="529"/>
      <c r="P154" s="529"/>
      <c r="Q154" s="529"/>
      <c r="R154" s="529"/>
      <c r="S154" s="529"/>
      <c r="T154" s="529"/>
      <c r="U154" s="529"/>
      <c r="V154" s="529"/>
      <c r="W154" s="529"/>
      <c r="X154" s="529"/>
      <c r="Y154" s="529"/>
      <c r="Z154" s="529"/>
      <c r="AA154" s="529"/>
      <c r="AB154" s="529"/>
      <c r="AC154" s="529"/>
      <c r="AD154" s="529"/>
      <c r="AE154" s="529"/>
      <c r="AF154" s="529"/>
      <c r="AG154" s="529"/>
      <c r="AH154" s="529"/>
      <c r="AI154" s="529"/>
      <c r="AJ154" s="529"/>
      <c r="AK154" s="529"/>
      <c r="AL154" s="529"/>
      <c r="AM154" s="529"/>
      <c r="AN154" s="529"/>
      <c r="AO154" s="529"/>
    </row>
    <row r="155">
      <c r="B155" s="862" t="s">
        <v>1393</v>
      </c>
      <c r="G155" s="529"/>
      <c r="H155" s="529"/>
      <c r="I155" s="529"/>
      <c r="J155" s="529"/>
      <c r="K155" s="529"/>
      <c r="L155" s="529"/>
      <c r="M155" s="529"/>
      <c r="N155" s="529"/>
      <c r="O155" s="529"/>
      <c r="P155" s="529"/>
      <c r="Q155" s="529"/>
      <c r="R155" s="529"/>
      <c r="S155" s="529"/>
      <c r="T155" s="529"/>
      <c r="U155" s="529"/>
      <c r="V155" s="529"/>
      <c r="W155" s="529"/>
      <c r="X155" s="529"/>
      <c r="Y155" s="529"/>
      <c r="Z155" s="529"/>
      <c r="AA155" s="529"/>
      <c r="AB155" s="529"/>
      <c r="AC155" s="529"/>
      <c r="AD155" s="529"/>
      <c r="AE155" s="529"/>
      <c r="AF155" s="529"/>
      <c r="AG155" s="529"/>
      <c r="AH155" s="529"/>
      <c r="AI155" s="529"/>
      <c r="AJ155" s="529"/>
      <c r="AK155" s="529"/>
      <c r="AL155" s="529"/>
      <c r="AM155" s="529"/>
      <c r="AN155" s="529"/>
      <c r="AO155" s="529"/>
    </row>
    <row r="156">
      <c r="B156" s="862" t="s">
        <v>1394</v>
      </c>
      <c r="G156" s="529"/>
      <c r="H156" s="529"/>
      <c r="I156" s="529"/>
      <c r="J156" s="529"/>
      <c r="K156" s="529"/>
      <c r="L156" s="529"/>
      <c r="M156" s="529"/>
      <c r="N156" s="529"/>
      <c r="O156" s="529"/>
      <c r="P156" s="529"/>
      <c r="Q156" s="529"/>
      <c r="R156" s="529"/>
      <c r="S156" s="529"/>
      <c r="T156" s="529"/>
      <c r="U156" s="529"/>
      <c r="V156" s="529"/>
      <c r="W156" s="529"/>
      <c r="X156" s="529"/>
      <c r="Y156" s="529"/>
      <c r="Z156" s="529"/>
      <c r="AA156" s="529"/>
      <c r="AB156" s="529"/>
      <c r="AC156" s="529"/>
      <c r="AD156" s="529"/>
      <c r="AE156" s="529"/>
      <c r="AF156" s="529"/>
      <c r="AG156" s="529"/>
      <c r="AH156" s="529"/>
      <c r="AI156" s="529"/>
      <c r="AJ156" s="529"/>
      <c r="AK156" s="529"/>
      <c r="AL156" s="529"/>
      <c r="AM156" s="529"/>
      <c r="AN156" s="529"/>
      <c r="AO156" s="529"/>
    </row>
    <row r="157">
      <c r="A157" s="860" t="s">
        <v>1401</v>
      </c>
      <c r="B157" s="861" t="s">
        <v>1386</v>
      </c>
      <c r="G157" s="529"/>
      <c r="H157" s="529"/>
      <c r="I157" s="529"/>
      <c r="J157" s="529"/>
      <c r="K157" s="529"/>
      <c r="L157" s="529"/>
      <c r="M157" s="529"/>
      <c r="N157" s="529"/>
      <c r="O157" s="529"/>
      <c r="P157" s="529"/>
      <c r="Q157" s="529"/>
      <c r="R157" s="529"/>
      <c r="S157" s="529"/>
      <c r="T157" s="529"/>
      <c r="U157" s="529"/>
      <c r="V157" s="529"/>
      <c r="W157" s="529"/>
      <c r="X157" s="529"/>
      <c r="Y157" s="529"/>
      <c r="Z157" s="529"/>
      <c r="AA157" s="529"/>
      <c r="AB157" s="529"/>
      <c r="AC157" s="529"/>
      <c r="AD157" s="529"/>
      <c r="AE157" s="529"/>
      <c r="AF157" s="529"/>
      <c r="AG157" s="529"/>
      <c r="AH157" s="529"/>
      <c r="AI157" s="529"/>
      <c r="AJ157" s="529"/>
      <c r="AK157" s="529"/>
      <c r="AL157" s="529"/>
      <c r="AM157" s="529"/>
      <c r="AN157" s="529"/>
      <c r="AO157" s="529"/>
    </row>
    <row r="158">
      <c r="B158" s="862" t="s">
        <v>1387</v>
      </c>
      <c r="G158" s="529"/>
      <c r="H158" s="529"/>
      <c r="I158" s="529"/>
      <c r="J158" s="529"/>
      <c r="K158" s="529"/>
      <c r="L158" s="529"/>
      <c r="M158" s="529"/>
      <c r="N158" s="529"/>
      <c r="O158" s="529"/>
      <c r="P158" s="529"/>
      <c r="Q158" s="529"/>
      <c r="R158" s="529"/>
      <c r="S158" s="529"/>
      <c r="T158" s="529"/>
      <c r="U158" s="529"/>
      <c r="V158" s="529"/>
      <c r="W158" s="529"/>
      <c r="X158" s="529"/>
      <c r="Y158" s="529"/>
      <c r="Z158" s="529"/>
      <c r="AA158" s="529"/>
      <c r="AB158" s="529"/>
      <c r="AC158" s="529"/>
      <c r="AD158" s="529"/>
      <c r="AE158" s="529"/>
      <c r="AF158" s="529"/>
      <c r="AG158" s="529"/>
      <c r="AH158" s="529"/>
      <c r="AI158" s="529"/>
      <c r="AJ158" s="529"/>
      <c r="AK158" s="529"/>
      <c r="AL158" s="529"/>
      <c r="AM158" s="529"/>
      <c r="AN158" s="529"/>
      <c r="AO158" s="529"/>
    </row>
    <row r="159">
      <c r="B159" s="862" t="s">
        <v>1388</v>
      </c>
      <c r="G159" s="529"/>
      <c r="H159" s="529"/>
      <c r="I159" s="529"/>
      <c r="J159" s="529"/>
      <c r="K159" s="529"/>
      <c r="L159" s="529"/>
      <c r="M159" s="529"/>
      <c r="N159" s="529"/>
      <c r="O159" s="529"/>
      <c r="P159" s="529"/>
      <c r="Q159" s="529"/>
      <c r="R159" s="529"/>
      <c r="S159" s="529"/>
      <c r="T159" s="529"/>
      <c r="U159" s="529"/>
      <c r="V159" s="529"/>
      <c r="W159" s="529"/>
      <c r="X159" s="529"/>
      <c r="Y159" s="529"/>
      <c r="Z159" s="529"/>
      <c r="AA159" s="529"/>
      <c r="AB159" s="529"/>
      <c r="AC159" s="529"/>
      <c r="AD159" s="529"/>
      <c r="AE159" s="529"/>
      <c r="AF159" s="529"/>
      <c r="AG159" s="529"/>
      <c r="AH159" s="529"/>
      <c r="AI159" s="529"/>
      <c r="AJ159" s="529"/>
      <c r="AK159" s="529"/>
      <c r="AL159" s="529"/>
      <c r="AM159" s="529"/>
      <c r="AN159" s="529"/>
      <c r="AO159" s="529"/>
    </row>
    <row r="160">
      <c r="B160" s="862" t="s">
        <v>1389</v>
      </c>
      <c r="G160" s="529"/>
      <c r="H160" s="529"/>
      <c r="I160" s="529"/>
      <c r="J160" s="529"/>
      <c r="K160" s="529"/>
      <c r="L160" s="529"/>
      <c r="M160" s="529"/>
      <c r="N160" s="529"/>
      <c r="O160" s="529"/>
      <c r="P160" s="529"/>
      <c r="Q160" s="529"/>
      <c r="R160" s="529"/>
      <c r="S160" s="529"/>
      <c r="T160" s="529"/>
      <c r="U160" s="529"/>
      <c r="V160" s="529"/>
      <c r="W160" s="529"/>
      <c r="X160" s="529"/>
      <c r="Y160" s="529"/>
      <c r="Z160" s="529"/>
      <c r="AA160" s="529"/>
      <c r="AB160" s="529"/>
      <c r="AC160" s="529"/>
      <c r="AD160" s="529"/>
      <c r="AE160" s="529"/>
      <c r="AF160" s="529"/>
      <c r="AG160" s="529"/>
      <c r="AH160" s="529"/>
      <c r="AI160" s="529"/>
      <c r="AJ160" s="529"/>
      <c r="AK160" s="529"/>
      <c r="AL160" s="529"/>
      <c r="AM160" s="529"/>
      <c r="AN160" s="529"/>
      <c r="AO160" s="529"/>
    </row>
    <row r="161">
      <c r="B161" s="865" t="s">
        <v>1390</v>
      </c>
      <c r="G161" s="529"/>
      <c r="H161" s="529"/>
      <c r="I161" s="529"/>
      <c r="J161" s="529"/>
      <c r="K161" s="529"/>
      <c r="L161" s="529"/>
      <c r="M161" s="529"/>
      <c r="N161" s="529"/>
      <c r="O161" s="529"/>
      <c r="P161" s="529"/>
      <c r="Q161" s="529"/>
      <c r="R161" s="529"/>
      <c r="S161" s="529"/>
      <c r="T161" s="529"/>
      <c r="U161" s="529"/>
      <c r="V161" s="529"/>
      <c r="W161" s="529"/>
      <c r="X161" s="529"/>
      <c r="Y161" s="529"/>
      <c r="Z161" s="529"/>
      <c r="AA161" s="529"/>
      <c r="AB161" s="529"/>
      <c r="AC161" s="529"/>
      <c r="AD161" s="529"/>
      <c r="AE161" s="529"/>
      <c r="AF161" s="529"/>
      <c r="AG161" s="529"/>
      <c r="AH161" s="529"/>
      <c r="AI161" s="529"/>
      <c r="AJ161" s="529"/>
      <c r="AK161" s="529"/>
      <c r="AL161" s="529"/>
      <c r="AM161" s="529"/>
      <c r="AN161" s="529"/>
      <c r="AO161" s="529"/>
    </row>
    <row r="162">
      <c r="B162" s="865" t="s">
        <v>1391</v>
      </c>
      <c r="G162" s="529"/>
      <c r="H162" s="529"/>
      <c r="I162" s="529"/>
      <c r="J162" s="529"/>
      <c r="K162" s="529"/>
      <c r="L162" s="529"/>
      <c r="M162" s="529"/>
      <c r="N162" s="529"/>
      <c r="O162" s="529"/>
      <c r="P162" s="529"/>
      <c r="Q162" s="529"/>
      <c r="R162" s="529"/>
      <c r="S162" s="529"/>
      <c r="T162" s="529"/>
      <c r="U162" s="529"/>
      <c r="V162" s="529"/>
      <c r="W162" s="529"/>
      <c r="X162" s="529"/>
      <c r="Y162" s="529"/>
      <c r="Z162" s="529"/>
      <c r="AA162" s="529"/>
      <c r="AB162" s="529"/>
      <c r="AC162" s="529"/>
      <c r="AD162" s="529"/>
      <c r="AE162" s="529"/>
      <c r="AF162" s="529"/>
      <c r="AG162" s="529"/>
      <c r="AH162" s="529"/>
      <c r="AI162" s="529"/>
      <c r="AJ162" s="529"/>
      <c r="AK162" s="529"/>
      <c r="AL162" s="529"/>
      <c r="AM162" s="529"/>
      <c r="AN162" s="529"/>
      <c r="AO162" s="529"/>
    </row>
    <row r="163">
      <c r="B163" s="862" t="s">
        <v>1392</v>
      </c>
      <c r="G163" s="529"/>
      <c r="H163" s="529"/>
      <c r="I163" s="529"/>
      <c r="J163" s="529"/>
      <c r="K163" s="529"/>
      <c r="L163" s="529"/>
      <c r="M163" s="529"/>
      <c r="N163" s="529"/>
      <c r="O163" s="529"/>
      <c r="P163" s="529"/>
      <c r="Q163" s="529"/>
      <c r="R163" s="529"/>
      <c r="S163" s="529"/>
      <c r="T163" s="529"/>
      <c r="U163" s="529"/>
      <c r="V163" s="529"/>
      <c r="W163" s="529"/>
      <c r="X163" s="529"/>
      <c r="Y163" s="529"/>
      <c r="Z163" s="529"/>
      <c r="AA163" s="529"/>
      <c r="AB163" s="529"/>
      <c r="AC163" s="529"/>
      <c r="AD163" s="529"/>
      <c r="AE163" s="529"/>
      <c r="AF163" s="529"/>
      <c r="AG163" s="529"/>
      <c r="AH163" s="529"/>
      <c r="AI163" s="529"/>
      <c r="AJ163" s="529"/>
      <c r="AK163" s="529"/>
      <c r="AL163" s="529"/>
      <c r="AM163" s="529"/>
      <c r="AN163" s="529"/>
      <c r="AO163" s="529"/>
    </row>
    <row r="164">
      <c r="B164" s="862" t="s">
        <v>1393</v>
      </c>
      <c r="G164" s="529"/>
      <c r="H164" s="529"/>
      <c r="I164" s="529"/>
      <c r="J164" s="529"/>
      <c r="K164" s="529"/>
      <c r="L164" s="529"/>
      <c r="M164" s="529"/>
      <c r="N164" s="529"/>
      <c r="O164" s="529"/>
      <c r="P164" s="529"/>
      <c r="Q164" s="529"/>
      <c r="R164" s="529"/>
      <c r="S164" s="529"/>
      <c r="T164" s="529"/>
      <c r="U164" s="529"/>
      <c r="V164" s="529"/>
      <c r="W164" s="529"/>
      <c r="X164" s="529"/>
      <c r="Y164" s="529"/>
      <c r="Z164" s="529"/>
      <c r="AA164" s="529"/>
      <c r="AB164" s="529"/>
      <c r="AC164" s="529"/>
      <c r="AD164" s="529"/>
      <c r="AE164" s="529"/>
      <c r="AF164" s="529"/>
      <c r="AG164" s="529"/>
      <c r="AH164" s="529"/>
      <c r="AI164" s="529"/>
      <c r="AJ164" s="529"/>
      <c r="AK164" s="529"/>
      <c r="AL164" s="529"/>
      <c r="AM164" s="529"/>
      <c r="AN164" s="529"/>
      <c r="AO164" s="529"/>
    </row>
    <row r="165">
      <c r="B165" s="862" t="s">
        <v>1394</v>
      </c>
      <c r="G165" s="529"/>
      <c r="H165" s="529"/>
      <c r="I165" s="529"/>
      <c r="J165" s="529"/>
      <c r="K165" s="529"/>
      <c r="L165" s="529"/>
      <c r="M165" s="529"/>
      <c r="N165" s="529"/>
      <c r="O165" s="529"/>
      <c r="P165" s="529"/>
      <c r="Q165" s="529"/>
      <c r="R165" s="529"/>
      <c r="S165" s="529"/>
      <c r="T165" s="529"/>
      <c r="U165" s="529"/>
      <c r="V165" s="529"/>
      <c r="W165" s="529"/>
      <c r="X165" s="529"/>
      <c r="Y165" s="529"/>
      <c r="Z165" s="529"/>
      <c r="AA165" s="529"/>
      <c r="AB165" s="529"/>
      <c r="AC165" s="529"/>
      <c r="AD165" s="529"/>
      <c r="AE165" s="529"/>
      <c r="AF165" s="529"/>
      <c r="AG165" s="529"/>
      <c r="AH165" s="529"/>
      <c r="AI165" s="529"/>
      <c r="AJ165" s="529"/>
      <c r="AK165" s="529"/>
      <c r="AL165" s="529"/>
      <c r="AM165" s="529"/>
      <c r="AN165" s="529"/>
      <c r="AO165" s="529"/>
    </row>
    <row r="166">
      <c r="A166" s="860" t="s">
        <v>1402</v>
      </c>
      <c r="B166" s="861" t="s">
        <v>1386</v>
      </c>
      <c r="G166" s="529"/>
      <c r="H166" s="529"/>
      <c r="I166" s="529"/>
      <c r="J166" s="529"/>
      <c r="K166" s="529"/>
      <c r="L166" s="529"/>
      <c r="M166" s="529"/>
      <c r="N166" s="529"/>
      <c r="O166" s="529"/>
      <c r="P166" s="529"/>
      <c r="Q166" s="529"/>
      <c r="R166" s="529"/>
      <c r="S166" s="529"/>
      <c r="T166" s="529"/>
      <c r="U166" s="529"/>
      <c r="V166" s="529"/>
      <c r="W166" s="529"/>
      <c r="X166" s="529"/>
      <c r="Y166" s="529"/>
      <c r="Z166" s="529"/>
      <c r="AA166" s="529"/>
      <c r="AB166" s="529"/>
      <c r="AC166" s="529"/>
      <c r="AD166" s="529"/>
      <c r="AE166" s="529"/>
      <c r="AF166" s="529"/>
      <c r="AG166" s="529"/>
      <c r="AH166" s="529"/>
      <c r="AI166" s="529"/>
      <c r="AJ166" s="529"/>
      <c r="AK166" s="529"/>
      <c r="AL166" s="529"/>
      <c r="AM166" s="529"/>
      <c r="AN166" s="529"/>
      <c r="AO166" s="529"/>
    </row>
    <row r="167">
      <c r="B167" s="862" t="s">
        <v>1387</v>
      </c>
      <c r="G167" s="529"/>
      <c r="H167" s="529"/>
      <c r="I167" s="529"/>
      <c r="J167" s="529"/>
      <c r="K167" s="529"/>
      <c r="L167" s="529"/>
      <c r="M167" s="529"/>
      <c r="N167" s="529"/>
      <c r="O167" s="529"/>
      <c r="P167" s="529"/>
      <c r="Q167" s="529"/>
      <c r="R167" s="529"/>
      <c r="S167" s="529"/>
      <c r="T167" s="529"/>
      <c r="U167" s="529"/>
      <c r="V167" s="529"/>
      <c r="W167" s="529"/>
      <c r="X167" s="529"/>
      <c r="Y167" s="529"/>
      <c r="Z167" s="529"/>
      <c r="AA167" s="529"/>
      <c r="AB167" s="529"/>
      <c r="AC167" s="529"/>
      <c r="AD167" s="529"/>
      <c r="AE167" s="529"/>
      <c r="AF167" s="529"/>
      <c r="AG167" s="529"/>
      <c r="AH167" s="529"/>
      <c r="AI167" s="529"/>
      <c r="AJ167" s="529"/>
      <c r="AK167" s="529"/>
      <c r="AL167" s="529"/>
      <c r="AM167" s="529"/>
      <c r="AN167" s="529"/>
      <c r="AO167" s="529"/>
    </row>
    <row r="168">
      <c r="B168" s="862" t="s">
        <v>1388</v>
      </c>
      <c r="G168" s="529"/>
      <c r="H168" s="529"/>
      <c r="I168" s="529"/>
      <c r="J168" s="529"/>
      <c r="K168" s="529"/>
      <c r="L168" s="529"/>
      <c r="M168" s="529"/>
      <c r="N168" s="529"/>
      <c r="O168" s="529"/>
      <c r="P168" s="529"/>
      <c r="Q168" s="529"/>
      <c r="R168" s="529"/>
      <c r="S168" s="529"/>
      <c r="T168" s="529"/>
      <c r="U168" s="529"/>
      <c r="V168" s="529"/>
      <c r="W168" s="529"/>
      <c r="X168" s="529"/>
      <c r="Y168" s="529"/>
      <c r="Z168" s="529"/>
      <c r="AA168" s="529"/>
      <c r="AB168" s="529"/>
      <c r="AC168" s="529"/>
      <c r="AD168" s="529"/>
      <c r="AE168" s="529"/>
      <c r="AF168" s="529"/>
      <c r="AG168" s="529"/>
      <c r="AH168" s="529"/>
      <c r="AI168" s="529"/>
      <c r="AJ168" s="529"/>
      <c r="AK168" s="529"/>
      <c r="AL168" s="529"/>
      <c r="AM168" s="529"/>
      <c r="AN168" s="529"/>
      <c r="AO168" s="529"/>
    </row>
    <row r="169">
      <c r="B169" s="862" t="s">
        <v>1389</v>
      </c>
      <c r="G169" s="529"/>
      <c r="H169" s="529"/>
      <c r="I169" s="529"/>
      <c r="J169" s="529"/>
      <c r="K169" s="529"/>
      <c r="L169" s="529"/>
      <c r="M169" s="529"/>
      <c r="N169" s="529"/>
      <c r="O169" s="529"/>
      <c r="P169" s="529"/>
      <c r="Q169" s="529"/>
      <c r="R169" s="529"/>
      <c r="S169" s="529"/>
      <c r="T169" s="529"/>
      <c r="U169" s="529"/>
      <c r="V169" s="529"/>
      <c r="W169" s="529"/>
      <c r="X169" s="529"/>
      <c r="Y169" s="529"/>
      <c r="Z169" s="529"/>
      <c r="AA169" s="529"/>
      <c r="AB169" s="529"/>
      <c r="AC169" s="529"/>
      <c r="AD169" s="529"/>
      <c r="AE169" s="529"/>
      <c r="AF169" s="529"/>
      <c r="AG169" s="529"/>
      <c r="AH169" s="529"/>
      <c r="AI169" s="529"/>
      <c r="AJ169" s="529"/>
      <c r="AK169" s="529"/>
      <c r="AL169" s="529"/>
      <c r="AM169" s="529"/>
      <c r="AN169" s="529"/>
      <c r="AO169" s="529"/>
    </row>
    <row r="170">
      <c r="B170" s="865" t="s">
        <v>1390</v>
      </c>
      <c r="G170" s="529"/>
      <c r="H170" s="529"/>
      <c r="I170" s="529"/>
      <c r="J170" s="529"/>
      <c r="K170" s="529"/>
      <c r="L170" s="529"/>
      <c r="M170" s="529"/>
      <c r="N170" s="529"/>
      <c r="O170" s="529"/>
      <c r="P170" s="529"/>
      <c r="Q170" s="529"/>
      <c r="R170" s="529"/>
      <c r="S170" s="529"/>
      <c r="T170" s="529"/>
      <c r="U170" s="529"/>
      <c r="V170" s="529"/>
      <c r="W170" s="529"/>
      <c r="X170" s="529"/>
      <c r="Y170" s="529"/>
      <c r="Z170" s="529"/>
      <c r="AA170" s="529"/>
      <c r="AB170" s="529"/>
      <c r="AC170" s="529"/>
      <c r="AD170" s="529"/>
      <c r="AE170" s="529"/>
      <c r="AF170" s="529"/>
      <c r="AG170" s="529"/>
      <c r="AH170" s="529"/>
      <c r="AI170" s="529"/>
      <c r="AJ170" s="529"/>
      <c r="AK170" s="529"/>
      <c r="AL170" s="529"/>
      <c r="AM170" s="529"/>
      <c r="AN170" s="529"/>
      <c r="AO170" s="529"/>
    </row>
    <row r="171">
      <c r="B171" s="865" t="s">
        <v>1391</v>
      </c>
      <c r="G171" s="529"/>
      <c r="H171" s="529"/>
      <c r="I171" s="529"/>
      <c r="J171" s="529"/>
      <c r="K171" s="529"/>
      <c r="L171" s="529"/>
      <c r="M171" s="529"/>
      <c r="N171" s="529"/>
      <c r="O171" s="529"/>
      <c r="P171" s="529"/>
      <c r="Q171" s="529"/>
      <c r="R171" s="529"/>
      <c r="S171" s="529"/>
      <c r="T171" s="529"/>
      <c r="U171" s="529"/>
      <c r="V171" s="529"/>
      <c r="W171" s="529"/>
      <c r="X171" s="529"/>
      <c r="Y171" s="529"/>
      <c r="Z171" s="529"/>
      <c r="AA171" s="529"/>
      <c r="AB171" s="529"/>
      <c r="AC171" s="529"/>
      <c r="AD171" s="529"/>
      <c r="AE171" s="529"/>
      <c r="AF171" s="529"/>
      <c r="AG171" s="529"/>
      <c r="AH171" s="529"/>
      <c r="AI171" s="529"/>
      <c r="AJ171" s="529"/>
      <c r="AK171" s="529"/>
      <c r="AL171" s="529"/>
      <c r="AM171" s="529"/>
      <c r="AN171" s="529"/>
      <c r="AO171" s="529"/>
    </row>
    <row r="172">
      <c r="B172" s="862" t="s">
        <v>1392</v>
      </c>
      <c r="G172" s="529"/>
      <c r="H172" s="529"/>
      <c r="I172" s="529"/>
      <c r="J172" s="529"/>
      <c r="K172" s="529"/>
      <c r="L172" s="529"/>
      <c r="M172" s="529"/>
      <c r="N172" s="529"/>
      <c r="O172" s="529"/>
      <c r="P172" s="529"/>
      <c r="Q172" s="529"/>
      <c r="R172" s="529"/>
      <c r="S172" s="529"/>
      <c r="T172" s="529"/>
      <c r="U172" s="529"/>
      <c r="V172" s="529"/>
      <c r="W172" s="529"/>
      <c r="X172" s="529"/>
      <c r="Y172" s="529"/>
      <c r="Z172" s="529"/>
      <c r="AA172" s="529"/>
      <c r="AB172" s="529"/>
      <c r="AC172" s="529"/>
      <c r="AD172" s="529"/>
      <c r="AE172" s="529"/>
      <c r="AF172" s="529"/>
      <c r="AG172" s="529"/>
      <c r="AH172" s="529"/>
      <c r="AI172" s="529"/>
      <c r="AJ172" s="529"/>
      <c r="AK172" s="529"/>
      <c r="AL172" s="529"/>
      <c r="AM172" s="529"/>
      <c r="AN172" s="529"/>
      <c r="AO172" s="529"/>
    </row>
    <row r="173">
      <c r="B173" s="862" t="s">
        <v>1393</v>
      </c>
      <c r="G173" s="529"/>
      <c r="H173" s="529"/>
      <c r="I173" s="529"/>
      <c r="J173" s="529"/>
      <c r="K173" s="529"/>
      <c r="L173" s="529"/>
      <c r="M173" s="529"/>
      <c r="N173" s="529"/>
      <c r="O173" s="529"/>
      <c r="P173" s="529"/>
      <c r="Q173" s="529"/>
      <c r="R173" s="529"/>
      <c r="S173" s="529"/>
      <c r="T173" s="529"/>
      <c r="U173" s="529"/>
      <c r="V173" s="529"/>
      <c r="W173" s="529"/>
      <c r="X173" s="529"/>
      <c r="Y173" s="529"/>
      <c r="Z173" s="529"/>
      <c r="AA173" s="529"/>
      <c r="AB173" s="529"/>
      <c r="AC173" s="529"/>
      <c r="AD173" s="529"/>
      <c r="AE173" s="529"/>
      <c r="AF173" s="529"/>
      <c r="AG173" s="529"/>
      <c r="AH173" s="529"/>
      <c r="AI173" s="529"/>
      <c r="AJ173" s="529"/>
      <c r="AK173" s="529"/>
      <c r="AL173" s="529"/>
      <c r="AM173" s="529"/>
      <c r="AN173" s="529"/>
      <c r="AO173" s="529"/>
    </row>
    <row r="174">
      <c r="B174" s="862" t="s">
        <v>1394</v>
      </c>
      <c r="G174" s="529"/>
      <c r="H174" s="529"/>
      <c r="I174" s="529"/>
      <c r="J174" s="529"/>
      <c r="K174" s="529"/>
      <c r="L174" s="529"/>
      <c r="M174" s="529"/>
      <c r="N174" s="529"/>
      <c r="O174" s="529"/>
      <c r="P174" s="529"/>
      <c r="Q174" s="529"/>
      <c r="R174" s="529"/>
      <c r="S174" s="529"/>
      <c r="T174" s="529"/>
      <c r="U174" s="529"/>
      <c r="V174" s="529"/>
      <c r="W174" s="529"/>
      <c r="X174" s="529"/>
      <c r="Y174" s="529"/>
      <c r="Z174" s="529"/>
      <c r="AA174" s="529"/>
      <c r="AB174" s="529"/>
      <c r="AC174" s="529"/>
      <c r="AD174" s="529"/>
      <c r="AE174" s="529"/>
      <c r="AF174" s="529"/>
      <c r="AG174" s="529"/>
      <c r="AH174" s="529"/>
      <c r="AI174" s="529"/>
      <c r="AJ174" s="529"/>
      <c r="AK174" s="529"/>
      <c r="AL174" s="529"/>
      <c r="AM174" s="529"/>
      <c r="AN174" s="529"/>
      <c r="AO174" s="529"/>
    </row>
    <row r="175">
      <c r="A175" s="860" t="s">
        <v>1403</v>
      </c>
      <c r="B175" s="861" t="s">
        <v>1386</v>
      </c>
      <c r="G175" s="529"/>
      <c r="H175" s="529"/>
      <c r="I175" s="529"/>
      <c r="J175" s="529"/>
      <c r="K175" s="529"/>
      <c r="L175" s="529"/>
      <c r="M175" s="529"/>
      <c r="N175" s="529"/>
      <c r="O175" s="529"/>
      <c r="P175" s="529"/>
      <c r="Q175" s="529"/>
      <c r="R175" s="529"/>
      <c r="S175" s="529"/>
      <c r="T175" s="529"/>
      <c r="U175" s="529"/>
      <c r="V175" s="529"/>
      <c r="W175" s="529"/>
      <c r="X175" s="529"/>
      <c r="Y175" s="529"/>
      <c r="Z175" s="529"/>
      <c r="AA175" s="529"/>
      <c r="AB175" s="529"/>
      <c r="AC175" s="529"/>
      <c r="AD175" s="529"/>
      <c r="AE175" s="529"/>
      <c r="AF175" s="529"/>
      <c r="AG175" s="529"/>
      <c r="AH175" s="529"/>
      <c r="AI175" s="529"/>
      <c r="AJ175" s="529"/>
      <c r="AK175" s="529"/>
      <c r="AL175" s="529"/>
      <c r="AM175" s="529"/>
      <c r="AN175" s="529"/>
      <c r="AO175" s="529"/>
    </row>
    <row r="176">
      <c r="B176" s="862" t="s">
        <v>1387</v>
      </c>
      <c r="G176" s="529"/>
      <c r="H176" s="529"/>
      <c r="I176" s="529"/>
      <c r="J176" s="529"/>
      <c r="K176" s="529"/>
      <c r="L176" s="529"/>
      <c r="M176" s="529"/>
      <c r="N176" s="529"/>
      <c r="O176" s="529"/>
      <c r="P176" s="529"/>
      <c r="Q176" s="529"/>
      <c r="R176" s="529"/>
      <c r="S176" s="529"/>
      <c r="T176" s="529"/>
      <c r="U176" s="529"/>
      <c r="V176" s="529"/>
      <c r="W176" s="529"/>
      <c r="X176" s="529"/>
      <c r="Y176" s="529"/>
      <c r="Z176" s="529"/>
      <c r="AA176" s="529"/>
      <c r="AB176" s="529"/>
      <c r="AC176" s="529"/>
      <c r="AD176" s="529"/>
      <c r="AE176" s="529"/>
      <c r="AF176" s="529"/>
      <c r="AG176" s="529"/>
      <c r="AH176" s="529"/>
      <c r="AI176" s="529"/>
      <c r="AJ176" s="529"/>
      <c r="AK176" s="529"/>
      <c r="AL176" s="529"/>
      <c r="AM176" s="529"/>
      <c r="AN176" s="529"/>
      <c r="AO176" s="529"/>
    </row>
    <row r="177">
      <c r="B177" s="862" t="s">
        <v>1388</v>
      </c>
      <c r="G177" s="529"/>
      <c r="H177" s="529"/>
      <c r="I177" s="529"/>
      <c r="J177" s="529"/>
      <c r="K177" s="529"/>
      <c r="L177" s="529"/>
      <c r="M177" s="529"/>
      <c r="N177" s="529"/>
      <c r="O177" s="529"/>
      <c r="P177" s="529"/>
      <c r="Q177" s="529"/>
      <c r="R177" s="529"/>
      <c r="S177" s="529"/>
      <c r="T177" s="529"/>
      <c r="U177" s="529"/>
      <c r="V177" s="529"/>
      <c r="W177" s="529"/>
      <c r="X177" s="529"/>
      <c r="Y177" s="529"/>
      <c r="Z177" s="529"/>
      <c r="AA177" s="529"/>
      <c r="AB177" s="529"/>
      <c r="AC177" s="529"/>
      <c r="AD177" s="529"/>
      <c r="AE177" s="529"/>
      <c r="AF177" s="529"/>
      <c r="AG177" s="529"/>
      <c r="AH177" s="529"/>
      <c r="AI177" s="529"/>
      <c r="AJ177" s="529"/>
      <c r="AK177" s="529"/>
      <c r="AL177" s="529"/>
      <c r="AM177" s="529"/>
      <c r="AN177" s="529"/>
      <c r="AO177" s="529"/>
    </row>
    <row r="178">
      <c r="B178" s="862" t="s">
        <v>1389</v>
      </c>
      <c r="G178" s="529"/>
      <c r="H178" s="529"/>
      <c r="I178" s="529"/>
      <c r="J178" s="529"/>
      <c r="K178" s="529"/>
      <c r="L178" s="529"/>
      <c r="M178" s="529"/>
      <c r="N178" s="529"/>
      <c r="O178" s="529"/>
      <c r="P178" s="529"/>
      <c r="Q178" s="529"/>
      <c r="R178" s="529"/>
      <c r="S178" s="529"/>
      <c r="T178" s="529"/>
      <c r="U178" s="529"/>
      <c r="V178" s="529"/>
      <c r="W178" s="529"/>
      <c r="X178" s="529"/>
      <c r="Y178" s="529"/>
      <c r="Z178" s="529"/>
      <c r="AA178" s="529"/>
      <c r="AB178" s="529"/>
      <c r="AC178" s="529"/>
      <c r="AD178" s="529"/>
      <c r="AE178" s="529"/>
      <c r="AF178" s="529"/>
      <c r="AG178" s="529"/>
      <c r="AH178" s="529"/>
      <c r="AI178" s="529"/>
      <c r="AJ178" s="529"/>
      <c r="AK178" s="529"/>
      <c r="AL178" s="529"/>
      <c r="AM178" s="529"/>
      <c r="AN178" s="529"/>
      <c r="AO178" s="529"/>
    </row>
    <row r="179">
      <c r="B179" s="865" t="s">
        <v>1390</v>
      </c>
      <c r="G179" s="529"/>
      <c r="H179" s="529"/>
      <c r="I179" s="529"/>
      <c r="J179" s="529"/>
      <c r="K179" s="529"/>
      <c r="L179" s="529"/>
      <c r="M179" s="529"/>
      <c r="N179" s="529"/>
      <c r="O179" s="529"/>
      <c r="P179" s="529"/>
      <c r="Q179" s="529"/>
      <c r="R179" s="529"/>
      <c r="S179" s="529"/>
      <c r="T179" s="529"/>
      <c r="U179" s="529"/>
      <c r="V179" s="529"/>
      <c r="W179" s="529"/>
      <c r="X179" s="529"/>
      <c r="Y179" s="529"/>
      <c r="Z179" s="529"/>
      <c r="AA179" s="529"/>
      <c r="AB179" s="529"/>
      <c r="AC179" s="529"/>
      <c r="AD179" s="529"/>
      <c r="AE179" s="529"/>
      <c r="AF179" s="529"/>
      <c r="AG179" s="529"/>
      <c r="AH179" s="529"/>
      <c r="AI179" s="529"/>
      <c r="AJ179" s="529"/>
      <c r="AK179" s="529"/>
      <c r="AL179" s="529"/>
      <c r="AM179" s="529"/>
      <c r="AN179" s="529"/>
      <c r="AO179" s="529"/>
    </row>
    <row r="180">
      <c r="B180" s="865" t="s">
        <v>1391</v>
      </c>
      <c r="G180" s="529"/>
      <c r="H180" s="529"/>
      <c r="I180" s="529"/>
      <c r="J180" s="529"/>
      <c r="K180" s="529"/>
      <c r="L180" s="529"/>
      <c r="M180" s="529"/>
      <c r="N180" s="529"/>
      <c r="O180" s="529"/>
      <c r="P180" s="529"/>
      <c r="Q180" s="529"/>
      <c r="R180" s="529"/>
      <c r="S180" s="529"/>
      <c r="T180" s="529"/>
      <c r="U180" s="529"/>
      <c r="V180" s="529"/>
      <c r="W180" s="529"/>
      <c r="X180" s="529"/>
      <c r="Y180" s="529"/>
      <c r="Z180" s="529"/>
      <c r="AA180" s="529"/>
      <c r="AB180" s="529"/>
      <c r="AC180" s="529"/>
      <c r="AD180" s="529"/>
      <c r="AE180" s="529"/>
      <c r="AF180" s="529"/>
      <c r="AG180" s="529"/>
      <c r="AH180" s="529"/>
      <c r="AI180" s="529"/>
      <c r="AJ180" s="529"/>
      <c r="AK180" s="529"/>
      <c r="AL180" s="529"/>
      <c r="AM180" s="529"/>
      <c r="AN180" s="529"/>
      <c r="AO180" s="529"/>
    </row>
    <row r="181">
      <c r="B181" s="862" t="s">
        <v>1392</v>
      </c>
      <c r="G181" s="529"/>
      <c r="H181" s="529"/>
      <c r="I181" s="529"/>
      <c r="J181" s="529"/>
      <c r="K181" s="529"/>
      <c r="L181" s="529"/>
      <c r="M181" s="529"/>
      <c r="N181" s="529"/>
      <c r="O181" s="529"/>
      <c r="P181" s="529"/>
      <c r="Q181" s="529"/>
      <c r="R181" s="529"/>
      <c r="S181" s="529"/>
      <c r="T181" s="529"/>
      <c r="U181" s="529"/>
      <c r="V181" s="529"/>
      <c r="W181" s="529"/>
      <c r="X181" s="529"/>
      <c r="Y181" s="529"/>
      <c r="Z181" s="529"/>
      <c r="AA181" s="529"/>
      <c r="AB181" s="529"/>
      <c r="AC181" s="529"/>
      <c r="AD181" s="529"/>
      <c r="AE181" s="529"/>
      <c r="AF181" s="529"/>
      <c r="AG181" s="529"/>
      <c r="AH181" s="529"/>
      <c r="AI181" s="529"/>
      <c r="AJ181" s="529"/>
      <c r="AK181" s="529"/>
      <c r="AL181" s="529"/>
      <c r="AM181" s="529"/>
      <c r="AN181" s="529"/>
      <c r="AO181" s="529"/>
    </row>
    <row r="182">
      <c r="B182" s="862" t="s">
        <v>1393</v>
      </c>
      <c r="G182" s="529"/>
      <c r="H182" s="529"/>
      <c r="I182" s="529"/>
      <c r="J182" s="529"/>
      <c r="K182" s="529"/>
      <c r="L182" s="529"/>
      <c r="M182" s="529"/>
      <c r="N182" s="529"/>
      <c r="O182" s="529"/>
      <c r="P182" s="529"/>
      <c r="Q182" s="529"/>
      <c r="R182" s="529"/>
      <c r="S182" s="529"/>
      <c r="T182" s="529"/>
      <c r="U182" s="529"/>
      <c r="V182" s="529"/>
      <c r="W182" s="529"/>
      <c r="X182" s="529"/>
      <c r="Y182" s="529"/>
      <c r="Z182" s="529"/>
      <c r="AA182" s="529"/>
      <c r="AB182" s="529"/>
      <c r="AC182" s="529"/>
      <c r="AD182" s="529"/>
      <c r="AE182" s="529"/>
      <c r="AF182" s="529"/>
      <c r="AG182" s="529"/>
      <c r="AH182" s="529"/>
      <c r="AI182" s="529"/>
      <c r="AJ182" s="529"/>
      <c r="AK182" s="529"/>
      <c r="AL182" s="529"/>
      <c r="AM182" s="529"/>
      <c r="AN182" s="529"/>
      <c r="AO182" s="529"/>
    </row>
    <row r="183">
      <c r="B183" s="862" t="s">
        <v>1394</v>
      </c>
      <c r="G183" s="529"/>
      <c r="H183" s="529"/>
      <c r="I183" s="529"/>
      <c r="J183" s="529"/>
      <c r="K183" s="529"/>
      <c r="L183" s="529"/>
      <c r="M183" s="529"/>
      <c r="N183" s="529"/>
      <c r="O183" s="529"/>
      <c r="P183" s="529"/>
      <c r="Q183" s="529"/>
      <c r="R183" s="529"/>
      <c r="S183" s="529"/>
      <c r="T183" s="529"/>
      <c r="U183" s="529"/>
      <c r="V183" s="529"/>
      <c r="W183" s="529"/>
      <c r="X183" s="529"/>
      <c r="Y183" s="529"/>
      <c r="Z183" s="529"/>
      <c r="AA183" s="529"/>
      <c r="AB183" s="529"/>
      <c r="AC183" s="529"/>
      <c r="AD183" s="529"/>
      <c r="AE183" s="529"/>
      <c r="AF183" s="529"/>
      <c r="AG183" s="529"/>
      <c r="AH183" s="529"/>
      <c r="AI183" s="529"/>
      <c r="AJ183" s="529"/>
      <c r="AK183" s="529"/>
      <c r="AL183" s="529"/>
      <c r="AM183" s="529"/>
      <c r="AN183" s="529"/>
      <c r="AO183" s="529"/>
    </row>
    <row r="184">
      <c r="A184" s="860" t="s">
        <v>1404</v>
      </c>
      <c r="B184" s="861" t="s">
        <v>1386</v>
      </c>
      <c r="G184" s="529"/>
      <c r="H184" s="529"/>
      <c r="I184" s="529"/>
      <c r="J184" s="529"/>
      <c r="K184" s="529"/>
      <c r="L184" s="529"/>
      <c r="M184" s="529"/>
      <c r="N184" s="529"/>
      <c r="O184" s="529"/>
      <c r="P184" s="529"/>
      <c r="Q184" s="529"/>
      <c r="R184" s="529"/>
      <c r="S184" s="529"/>
      <c r="T184" s="529"/>
      <c r="U184" s="529"/>
      <c r="V184" s="529"/>
      <c r="W184" s="529"/>
      <c r="X184" s="529"/>
      <c r="Y184" s="529"/>
      <c r="Z184" s="529"/>
      <c r="AA184" s="529"/>
      <c r="AB184" s="529"/>
      <c r="AC184" s="529"/>
      <c r="AD184" s="529"/>
      <c r="AE184" s="529"/>
      <c r="AF184" s="529"/>
      <c r="AG184" s="529"/>
      <c r="AH184" s="529"/>
      <c r="AI184" s="529"/>
      <c r="AJ184" s="529"/>
      <c r="AK184" s="529"/>
      <c r="AL184" s="529"/>
      <c r="AM184" s="529"/>
      <c r="AN184" s="529"/>
      <c r="AO184" s="529"/>
    </row>
    <row r="185">
      <c r="B185" s="862" t="s">
        <v>1387</v>
      </c>
      <c r="G185" s="529"/>
      <c r="H185" s="529"/>
      <c r="I185" s="529"/>
      <c r="J185" s="529"/>
      <c r="K185" s="529"/>
      <c r="L185" s="529"/>
      <c r="M185" s="529"/>
      <c r="N185" s="529"/>
      <c r="O185" s="529"/>
      <c r="P185" s="529"/>
      <c r="Q185" s="529"/>
      <c r="R185" s="529"/>
      <c r="S185" s="529"/>
      <c r="T185" s="529"/>
      <c r="U185" s="529"/>
      <c r="V185" s="529"/>
      <c r="W185" s="529"/>
      <c r="X185" s="529"/>
      <c r="Y185" s="529"/>
      <c r="Z185" s="529"/>
      <c r="AA185" s="529"/>
      <c r="AB185" s="529"/>
      <c r="AC185" s="529"/>
      <c r="AD185" s="529"/>
      <c r="AE185" s="529"/>
      <c r="AF185" s="529"/>
      <c r="AG185" s="529"/>
      <c r="AH185" s="529"/>
      <c r="AI185" s="529"/>
      <c r="AJ185" s="529"/>
      <c r="AK185" s="529"/>
      <c r="AL185" s="529"/>
      <c r="AM185" s="529"/>
      <c r="AN185" s="529"/>
      <c r="AO185" s="529"/>
    </row>
    <row r="186">
      <c r="B186" s="862" t="s">
        <v>1388</v>
      </c>
      <c r="G186" s="529"/>
      <c r="H186" s="529"/>
      <c r="I186" s="529"/>
      <c r="J186" s="529"/>
      <c r="K186" s="529"/>
      <c r="L186" s="529"/>
      <c r="M186" s="529"/>
      <c r="N186" s="529"/>
      <c r="O186" s="529"/>
      <c r="P186" s="529"/>
      <c r="Q186" s="529"/>
      <c r="R186" s="529"/>
      <c r="S186" s="529"/>
      <c r="T186" s="529"/>
      <c r="U186" s="529"/>
      <c r="V186" s="529"/>
      <c r="W186" s="529"/>
      <c r="X186" s="529"/>
      <c r="Y186" s="529"/>
      <c r="Z186" s="529"/>
      <c r="AA186" s="529"/>
      <c r="AB186" s="529"/>
      <c r="AC186" s="529"/>
      <c r="AD186" s="529"/>
      <c r="AE186" s="529"/>
      <c r="AF186" s="529"/>
      <c r="AG186" s="529"/>
      <c r="AH186" s="529"/>
      <c r="AI186" s="529"/>
      <c r="AJ186" s="529"/>
      <c r="AK186" s="529"/>
      <c r="AL186" s="529"/>
      <c r="AM186" s="529"/>
      <c r="AN186" s="529"/>
      <c r="AO186" s="529"/>
    </row>
    <row r="187">
      <c r="B187" s="862" t="s">
        <v>1389</v>
      </c>
      <c r="G187" s="529"/>
      <c r="H187" s="529"/>
      <c r="I187" s="529"/>
      <c r="J187" s="529"/>
      <c r="K187" s="529"/>
      <c r="L187" s="529"/>
      <c r="M187" s="529"/>
      <c r="N187" s="529"/>
      <c r="O187" s="529"/>
      <c r="P187" s="529"/>
      <c r="Q187" s="529"/>
      <c r="R187" s="529"/>
      <c r="S187" s="529"/>
      <c r="T187" s="529"/>
      <c r="U187" s="529"/>
      <c r="V187" s="529"/>
      <c r="W187" s="529"/>
      <c r="X187" s="529"/>
      <c r="Y187" s="529"/>
      <c r="Z187" s="529"/>
      <c r="AA187" s="529"/>
      <c r="AB187" s="529"/>
      <c r="AC187" s="529"/>
      <c r="AD187" s="529"/>
      <c r="AE187" s="529"/>
      <c r="AF187" s="529"/>
      <c r="AG187" s="529"/>
      <c r="AH187" s="529"/>
      <c r="AI187" s="529"/>
      <c r="AJ187" s="529"/>
      <c r="AK187" s="529"/>
      <c r="AL187" s="529"/>
      <c r="AM187" s="529"/>
      <c r="AN187" s="529"/>
      <c r="AO187" s="529"/>
    </row>
    <row r="188">
      <c r="B188" s="865" t="s">
        <v>1390</v>
      </c>
      <c r="G188" s="529"/>
      <c r="H188" s="529"/>
      <c r="I188" s="529"/>
      <c r="J188" s="529"/>
      <c r="K188" s="529"/>
      <c r="L188" s="529"/>
      <c r="M188" s="529"/>
      <c r="N188" s="529"/>
      <c r="O188" s="529"/>
      <c r="P188" s="529"/>
      <c r="Q188" s="529"/>
      <c r="R188" s="529"/>
      <c r="S188" s="529"/>
      <c r="T188" s="529"/>
      <c r="U188" s="529"/>
      <c r="V188" s="529"/>
      <c r="W188" s="529"/>
      <c r="X188" s="529"/>
      <c r="Y188" s="529"/>
      <c r="Z188" s="529"/>
      <c r="AA188" s="529"/>
      <c r="AB188" s="529"/>
      <c r="AC188" s="529"/>
      <c r="AD188" s="529"/>
      <c r="AE188" s="529"/>
      <c r="AF188" s="529"/>
      <c r="AG188" s="529"/>
      <c r="AH188" s="529"/>
      <c r="AI188" s="529"/>
      <c r="AJ188" s="529"/>
      <c r="AK188" s="529"/>
      <c r="AL188" s="529"/>
      <c r="AM188" s="529"/>
      <c r="AN188" s="529"/>
      <c r="AO188" s="529"/>
    </row>
    <row r="189">
      <c r="B189" s="865" t="s">
        <v>1391</v>
      </c>
      <c r="G189" s="529"/>
      <c r="H189" s="529"/>
      <c r="I189" s="529"/>
      <c r="J189" s="529"/>
      <c r="K189" s="529"/>
      <c r="L189" s="529"/>
      <c r="M189" s="529"/>
      <c r="N189" s="529"/>
      <c r="O189" s="529"/>
      <c r="P189" s="529"/>
      <c r="Q189" s="529"/>
      <c r="R189" s="529"/>
      <c r="S189" s="529"/>
      <c r="T189" s="529"/>
      <c r="U189" s="529"/>
      <c r="V189" s="529"/>
      <c r="W189" s="529"/>
      <c r="X189" s="529"/>
      <c r="Y189" s="529"/>
      <c r="Z189" s="529"/>
      <c r="AA189" s="529"/>
      <c r="AB189" s="529"/>
      <c r="AC189" s="529"/>
      <c r="AD189" s="529"/>
      <c r="AE189" s="529"/>
      <c r="AF189" s="529"/>
      <c r="AG189" s="529"/>
      <c r="AH189" s="529"/>
      <c r="AI189" s="529"/>
      <c r="AJ189" s="529"/>
      <c r="AK189" s="529"/>
      <c r="AL189" s="529"/>
      <c r="AM189" s="529"/>
      <c r="AN189" s="529"/>
      <c r="AO189" s="529"/>
    </row>
    <row r="190">
      <c r="B190" s="862" t="s">
        <v>1392</v>
      </c>
      <c r="G190" s="529"/>
      <c r="H190" s="529"/>
      <c r="I190" s="529"/>
      <c r="J190" s="529"/>
      <c r="K190" s="529"/>
      <c r="L190" s="529"/>
      <c r="M190" s="529"/>
      <c r="N190" s="529"/>
      <c r="O190" s="529"/>
      <c r="P190" s="529"/>
      <c r="Q190" s="529"/>
      <c r="R190" s="529"/>
      <c r="S190" s="529"/>
      <c r="T190" s="529"/>
      <c r="U190" s="529"/>
      <c r="V190" s="529"/>
      <c r="W190" s="529"/>
      <c r="X190" s="529"/>
      <c r="Y190" s="529"/>
      <c r="Z190" s="529"/>
      <c r="AA190" s="529"/>
      <c r="AB190" s="529"/>
      <c r="AC190" s="529"/>
      <c r="AD190" s="529"/>
      <c r="AE190" s="529"/>
      <c r="AF190" s="529"/>
      <c r="AG190" s="529"/>
      <c r="AH190" s="529"/>
      <c r="AI190" s="529"/>
      <c r="AJ190" s="529"/>
      <c r="AK190" s="529"/>
      <c r="AL190" s="529"/>
      <c r="AM190" s="529"/>
      <c r="AN190" s="529"/>
      <c r="AO190" s="529"/>
    </row>
    <row r="191">
      <c r="B191" s="862" t="s">
        <v>1393</v>
      </c>
      <c r="G191" s="529"/>
      <c r="H191" s="529"/>
      <c r="I191" s="529"/>
      <c r="J191" s="529"/>
      <c r="K191" s="529"/>
      <c r="L191" s="529"/>
      <c r="M191" s="529"/>
      <c r="N191" s="529"/>
      <c r="O191" s="529"/>
      <c r="P191" s="529"/>
      <c r="Q191" s="529"/>
      <c r="R191" s="529"/>
      <c r="S191" s="529"/>
      <c r="T191" s="529"/>
      <c r="U191" s="529"/>
      <c r="V191" s="529"/>
      <c r="W191" s="529"/>
      <c r="X191" s="529"/>
      <c r="Y191" s="529"/>
      <c r="Z191" s="529"/>
      <c r="AA191" s="529"/>
      <c r="AB191" s="529"/>
      <c r="AC191" s="529"/>
      <c r="AD191" s="529"/>
      <c r="AE191" s="529"/>
      <c r="AF191" s="529"/>
      <c r="AG191" s="529"/>
      <c r="AH191" s="529"/>
      <c r="AI191" s="529"/>
      <c r="AJ191" s="529"/>
      <c r="AK191" s="529"/>
      <c r="AL191" s="529"/>
      <c r="AM191" s="529"/>
      <c r="AN191" s="529"/>
      <c r="AO191" s="529"/>
    </row>
    <row r="192">
      <c r="B192" s="862" t="s">
        <v>1394</v>
      </c>
      <c r="G192" s="529"/>
      <c r="H192" s="529"/>
      <c r="I192" s="529"/>
      <c r="J192" s="529"/>
      <c r="K192" s="529"/>
      <c r="L192" s="529"/>
      <c r="M192" s="529"/>
      <c r="N192" s="529"/>
      <c r="O192" s="529"/>
      <c r="P192" s="529"/>
      <c r="Q192" s="529"/>
      <c r="R192" s="529"/>
      <c r="S192" s="529"/>
      <c r="T192" s="529"/>
      <c r="U192" s="529"/>
      <c r="V192" s="529"/>
      <c r="W192" s="529"/>
      <c r="X192" s="529"/>
      <c r="Y192" s="529"/>
      <c r="Z192" s="529"/>
      <c r="AA192" s="529"/>
      <c r="AB192" s="529"/>
      <c r="AC192" s="529"/>
      <c r="AD192" s="529"/>
      <c r="AE192" s="529"/>
      <c r="AF192" s="529"/>
      <c r="AG192" s="529"/>
      <c r="AH192" s="529"/>
      <c r="AI192" s="529"/>
      <c r="AJ192" s="529"/>
      <c r="AK192" s="529"/>
      <c r="AL192" s="529"/>
      <c r="AM192" s="529"/>
      <c r="AN192" s="529"/>
      <c r="AO192" s="529"/>
    </row>
    <row r="193">
      <c r="A193" s="860" t="s">
        <v>1405</v>
      </c>
      <c r="B193" s="861" t="s">
        <v>1386</v>
      </c>
      <c r="G193" s="529"/>
      <c r="H193" s="529"/>
      <c r="I193" s="529"/>
      <c r="J193" s="529"/>
      <c r="K193" s="529"/>
      <c r="L193" s="529"/>
      <c r="M193" s="529"/>
      <c r="N193" s="529"/>
      <c r="O193" s="529"/>
      <c r="P193" s="529"/>
      <c r="Q193" s="529"/>
      <c r="R193" s="529"/>
      <c r="S193" s="529"/>
      <c r="T193" s="529"/>
      <c r="U193" s="529"/>
      <c r="V193" s="529"/>
      <c r="W193" s="529"/>
      <c r="X193" s="529"/>
      <c r="Y193" s="529"/>
      <c r="Z193" s="529"/>
      <c r="AA193" s="529"/>
      <c r="AB193" s="529"/>
      <c r="AC193" s="529"/>
      <c r="AD193" s="529"/>
      <c r="AE193" s="529"/>
      <c r="AF193" s="529"/>
      <c r="AG193" s="529"/>
      <c r="AH193" s="529"/>
      <c r="AI193" s="529"/>
      <c r="AJ193" s="529"/>
      <c r="AK193" s="529"/>
      <c r="AL193" s="529"/>
      <c r="AM193" s="529"/>
      <c r="AN193" s="529"/>
      <c r="AO193" s="529"/>
    </row>
    <row r="194">
      <c r="B194" s="862" t="s">
        <v>1387</v>
      </c>
      <c r="G194" s="529"/>
      <c r="H194" s="529"/>
      <c r="I194" s="529"/>
      <c r="J194" s="529"/>
      <c r="K194" s="529"/>
      <c r="L194" s="529"/>
      <c r="M194" s="529"/>
      <c r="N194" s="529"/>
      <c r="O194" s="529"/>
      <c r="P194" s="529"/>
      <c r="Q194" s="529"/>
      <c r="R194" s="529"/>
      <c r="S194" s="529"/>
      <c r="T194" s="529"/>
      <c r="U194" s="529"/>
      <c r="V194" s="529"/>
      <c r="W194" s="529"/>
      <c r="X194" s="529"/>
      <c r="Y194" s="529"/>
      <c r="Z194" s="529"/>
      <c r="AA194" s="529"/>
      <c r="AB194" s="529"/>
      <c r="AC194" s="529"/>
      <c r="AD194" s="529"/>
      <c r="AE194" s="529"/>
      <c r="AF194" s="529"/>
      <c r="AG194" s="529"/>
      <c r="AH194" s="529"/>
      <c r="AI194" s="529"/>
      <c r="AJ194" s="529"/>
      <c r="AK194" s="529"/>
      <c r="AL194" s="529"/>
      <c r="AM194" s="529"/>
      <c r="AN194" s="529"/>
      <c r="AO194" s="529"/>
    </row>
    <row r="195">
      <c r="B195" s="862" t="s">
        <v>1388</v>
      </c>
      <c r="G195" s="529"/>
      <c r="H195" s="529"/>
      <c r="I195" s="529"/>
      <c r="J195" s="529"/>
      <c r="K195" s="529"/>
      <c r="L195" s="529"/>
      <c r="M195" s="529"/>
      <c r="N195" s="529"/>
      <c r="O195" s="529"/>
      <c r="P195" s="529"/>
      <c r="Q195" s="529"/>
      <c r="R195" s="529"/>
      <c r="S195" s="529"/>
      <c r="T195" s="529"/>
      <c r="U195" s="529"/>
      <c r="V195" s="529"/>
      <c r="W195" s="529"/>
      <c r="X195" s="529"/>
      <c r="Y195" s="529"/>
      <c r="Z195" s="529"/>
      <c r="AA195" s="529"/>
      <c r="AB195" s="529"/>
      <c r="AC195" s="529"/>
      <c r="AD195" s="529"/>
      <c r="AE195" s="529"/>
      <c r="AF195" s="529"/>
      <c r="AG195" s="529"/>
      <c r="AH195" s="529"/>
      <c r="AI195" s="529"/>
      <c r="AJ195" s="529"/>
      <c r="AK195" s="529"/>
      <c r="AL195" s="529"/>
      <c r="AM195" s="529"/>
      <c r="AN195" s="529"/>
      <c r="AO195" s="529"/>
    </row>
    <row r="196">
      <c r="B196" s="862" t="s">
        <v>1389</v>
      </c>
      <c r="G196" s="529"/>
      <c r="H196" s="529"/>
      <c r="I196" s="529"/>
      <c r="J196" s="529"/>
      <c r="K196" s="529"/>
      <c r="L196" s="529"/>
      <c r="M196" s="529"/>
      <c r="N196" s="529"/>
      <c r="O196" s="529"/>
      <c r="P196" s="529"/>
      <c r="Q196" s="529"/>
      <c r="R196" s="529"/>
      <c r="S196" s="529"/>
      <c r="T196" s="529"/>
      <c r="U196" s="529"/>
      <c r="V196" s="529"/>
      <c r="W196" s="529"/>
      <c r="X196" s="529"/>
      <c r="Y196" s="529"/>
      <c r="Z196" s="529"/>
      <c r="AA196" s="529"/>
      <c r="AB196" s="529"/>
      <c r="AC196" s="529"/>
      <c r="AD196" s="529"/>
      <c r="AE196" s="529"/>
      <c r="AF196" s="529"/>
      <c r="AG196" s="529"/>
      <c r="AH196" s="529"/>
      <c r="AI196" s="529"/>
      <c r="AJ196" s="529"/>
      <c r="AK196" s="529"/>
      <c r="AL196" s="529"/>
      <c r="AM196" s="529"/>
      <c r="AN196" s="529"/>
      <c r="AO196" s="529"/>
    </row>
    <row r="197">
      <c r="B197" s="865" t="s">
        <v>1390</v>
      </c>
      <c r="G197" s="529"/>
      <c r="H197" s="529"/>
      <c r="I197" s="529"/>
      <c r="J197" s="529"/>
      <c r="K197" s="529"/>
      <c r="L197" s="529"/>
      <c r="M197" s="529"/>
      <c r="N197" s="529"/>
      <c r="O197" s="529"/>
      <c r="P197" s="529"/>
      <c r="Q197" s="529"/>
      <c r="R197" s="529"/>
      <c r="S197" s="529"/>
      <c r="T197" s="529"/>
      <c r="U197" s="529"/>
      <c r="V197" s="529"/>
      <c r="W197" s="529"/>
      <c r="X197" s="529"/>
      <c r="Y197" s="529"/>
      <c r="Z197" s="529"/>
      <c r="AA197" s="529"/>
      <c r="AB197" s="529"/>
      <c r="AC197" s="529"/>
      <c r="AD197" s="529"/>
      <c r="AE197" s="529"/>
      <c r="AF197" s="529"/>
      <c r="AG197" s="529"/>
      <c r="AH197" s="529"/>
      <c r="AI197" s="529"/>
      <c r="AJ197" s="529"/>
      <c r="AK197" s="529"/>
      <c r="AL197" s="529"/>
      <c r="AM197" s="529"/>
      <c r="AN197" s="529"/>
      <c r="AO197" s="529"/>
    </row>
    <row r="198">
      <c r="B198" s="865" t="s">
        <v>1391</v>
      </c>
      <c r="G198" s="529"/>
      <c r="H198" s="529"/>
      <c r="I198" s="529"/>
      <c r="J198" s="529"/>
      <c r="K198" s="529"/>
      <c r="L198" s="529"/>
      <c r="M198" s="529"/>
      <c r="N198" s="529"/>
      <c r="O198" s="529"/>
      <c r="P198" s="529"/>
      <c r="Q198" s="529"/>
      <c r="R198" s="529"/>
      <c r="S198" s="529"/>
      <c r="T198" s="529"/>
      <c r="U198" s="529"/>
      <c r="V198" s="529"/>
      <c r="W198" s="529"/>
      <c r="X198" s="529"/>
      <c r="Y198" s="529"/>
      <c r="Z198" s="529"/>
      <c r="AA198" s="529"/>
      <c r="AB198" s="529"/>
      <c r="AC198" s="529"/>
      <c r="AD198" s="529"/>
      <c r="AE198" s="529"/>
      <c r="AF198" s="529"/>
      <c r="AG198" s="529"/>
      <c r="AH198" s="529"/>
      <c r="AI198" s="529"/>
      <c r="AJ198" s="529"/>
      <c r="AK198" s="529"/>
      <c r="AL198" s="529"/>
      <c r="AM198" s="529"/>
      <c r="AN198" s="529"/>
      <c r="AO198" s="529"/>
    </row>
    <row r="199">
      <c r="B199" s="862" t="s">
        <v>1392</v>
      </c>
      <c r="G199" s="529"/>
      <c r="H199" s="529"/>
      <c r="I199" s="529"/>
      <c r="J199" s="529"/>
      <c r="K199" s="529"/>
      <c r="L199" s="529"/>
      <c r="M199" s="529"/>
      <c r="N199" s="529"/>
      <c r="O199" s="529"/>
      <c r="P199" s="529"/>
      <c r="Q199" s="529"/>
      <c r="R199" s="529"/>
      <c r="S199" s="529"/>
      <c r="T199" s="529"/>
      <c r="U199" s="529"/>
      <c r="V199" s="529"/>
      <c r="W199" s="529"/>
      <c r="X199" s="529"/>
      <c r="Y199" s="529"/>
      <c r="Z199" s="529"/>
      <c r="AA199" s="529"/>
      <c r="AB199" s="529"/>
      <c r="AC199" s="529"/>
      <c r="AD199" s="529"/>
      <c r="AE199" s="529"/>
      <c r="AF199" s="529"/>
      <c r="AG199" s="529"/>
      <c r="AH199" s="529"/>
      <c r="AI199" s="529"/>
      <c r="AJ199" s="529"/>
      <c r="AK199" s="529"/>
      <c r="AL199" s="529"/>
      <c r="AM199" s="529"/>
      <c r="AN199" s="529"/>
      <c r="AO199" s="529"/>
    </row>
    <row r="200">
      <c r="B200" s="862" t="s">
        <v>1393</v>
      </c>
      <c r="G200" s="529"/>
      <c r="H200" s="529"/>
      <c r="I200" s="529"/>
      <c r="J200" s="529"/>
      <c r="K200" s="529"/>
      <c r="L200" s="529"/>
      <c r="M200" s="529"/>
      <c r="N200" s="529"/>
      <c r="O200" s="529"/>
      <c r="P200" s="529"/>
      <c r="Q200" s="529"/>
      <c r="R200" s="529"/>
      <c r="S200" s="529"/>
      <c r="T200" s="529"/>
      <c r="U200" s="529"/>
      <c r="V200" s="529"/>
      <c r="W200" s="529"/>
      <c r="X200" s="529"/>
      <c r="Y200" s="529"/>
      <c r="Z200" s="529"/>
      <c r="AA200" s="529"/>
      <c r="AB200" s="529"/>
      <c r="AC200" s="529"/>
      <c r="AD200" s="529"/>
      <c r="AE200" s="529"/>
      <c r="AF200" s="529"/>
      <c r="AG200" s="529"/>
      <c r="AH200" s="529"/>
      <c r="AI200" s="529"/>
      <c r="AJ200" s="529"/>
      <c r="AK200" s="529"/>
      <c r="AL200" s="529"/>
      <c r="AM200" s="529"/>
      <c r="AN200" s="529"/>
      <c r="AO200" s="529"/>
    </row>
    <row r="201">
      <c r="B201" s="862" t="s">
        <v>1394</v>
      </c>
      <c r="G201" s="529"/>
      <c r="H201" s="529"/>
      <c r="I201" s="529"/>
      <c r="J201" s="529"/>
      <c r="K201" s="529"/>
      <c r="L201" s="529"/>
      <c r="M201" s="529"/>
      <c r="N201" s="529"/>
      <c r="O201" s="529"/>
      <c r="P201" s="529"/>
      <c r="Q201" s="529"/>
      <c r="R201" s="529"/>
      <c r="S201" s="529"/>
      <c r="T201" s="529"/>
      <c r="U201" s="529"/>
      <c r="V201" s="529"/>
      <c r="W201" s="529"/>
      <c r="X201" s="529"/>
      <c r="Y201" s="529"/>
      <c r="Z201" s="529"/>
      <c r="AA201" s="529"/>
      <c r="AB201" s="529"/>
      <c r="AC201" s="529"/>
      <c r="AD201" s="529"/>
      <c r="AE201" s="529"/>
      <c r="AF201" s="529"/>
      <c r="AG201" s="529"/>
      <c r="AH201" s="529"/>
      <c r="AI201" s="529"/>
      <c r="AJ201" s="529"/>
      <c r="AK201" s="529"/>
      <c r="AL201" s="529"/>
      <c r="AM201" s="529"/>
      <c r="AN201" s="529"/>
      <c r="AO201" s="529"/>
    </row>
    <row r="202">
      <c r="A202" s="860" t="s">
        <v>1406</v>
      </c>
      <c r="B202" s="861" t="s">
        <v>1386</v>
      </c>
      <c r="G202" s="529"/>
      <c r="H202" s="529"/>
      <c r="I202" s="529"/>
      <c r="J202" s="529"/>
      <c r="K202" s="529"/>
      <c r="L202" s="529"/>
      <c r="M202" s="529"/>
      <c r="N202" s="529"/>
      <c r="O202" s="529"/>
      <c r="P202" s="529"/>
      <c r="Q202" s="529"/>
      <c r="R202" s="529"/>
      <c r="S202" s="529"/>
      <c r="T202" s="529"/>
      <c r="U202" s="529"/>
      <c r="V202" s="529"/>
      <c r="W202" s="529"/>
      <c r="X202" s="529"/>
      <c r="Y202" s="529"/>
      <c r="Z202" s="529"/>
      <c r="AA202" s="529"/>
      <c r="AB202" s="529"/>
      <c r="AC202" s="529"/>
      <c r="AD202" s="529"/>
      <c r="AE202" s="529"/>
      <c r="AF202" s="529"/>
      <c r="AG202" s="529"/>
      <c r="AH202" s="529"/>
      <c r="AI202" s="529"/>
      <c r="AJ202" s="529"/>
      <c r="AK202" s="529"/>
      <c r="AL202" s="529"/>
      <c r="AM202" s="529"/>
      <c r="AN202" s="529"/>
      <c r="AO202" s="529"/>
    </row>
    <row r="203">
      <c r="B203" s="862" t="s">
        <v>1387</v>
      </c>
      <c r="G203" s="529"/>
      <c r="H203" s="529"/>
      <c r="I203" s="529"/>
      <c r="J203" s="529"/>
      <c r="K203" s="529"/>
      <c r="L203" s="529"/>
      <c r="M203" s="529"/>
      <c r="N203" s="529"/>
      <c r="O203" s="529"/>
      <c r="P203" s="529"/>
      <c r="Q203" s="529"/>
      <c r="R203" s="529"/>
      <c r="S203" s="529"/>
      <c r="T203" s="529"/>
      <c r="U203" s="529"/>
      <c r="V203" s="529"/>
      <c r="W203" s="529"/>
      <c r="X203" s="529"/>
      <c r="Y203" s="529"/>
      <c r="Z203" s="529"/>
      <c r="AA203" s="529"/>
      <c r="AB203" s="529"/>
      <c r="AC203" s="529"/>
      <c r="AD203" s="529"/>
      <c r="AE203" s="529"/>
      <c r="AF203" s="529"/>
      <c r="AG203" s="529"/>
      <c r="AH203" s="529"/>
      <c r="AI203" s="529"/>
      <c r="AJ203" s="529"/>
      <c r="AK203" s="529"/>
      <c r="AL203" s="529"/>
      <c r="AM203" s="529"/>
      <c r="AN203" s="529"/>
      <c r="AO203" s="529"/>
    </row>
    <row r="204">
      <c r="B204" s="862" t="s">
        <v>1388</v>
      </c>
      <c r="G204" s="529"/>
      <c r="H204" s="529"/>
      <c r="I204" s="529"/>
      <c r="J204" s="529"/>
      <c r="K204" s="529"/>
      <c r="L204" s="529"/>
      <c r="M204" s="529"/>
      <c r="N204" s="529"/>
      <c r="O204" s="529"/>
      <c r="P204" s="529"/>
      <c r="Q204" s="529"/>
      <c r="R204" s="529"/>
      <c r="S204" s="529"/>
      <c r="T204" s="529"/>
      <c r="U204" s="529"/>
      <c r="V204" s="529"/>
      <c r="W204" s="529"/>
      <c r="X204" s="529"/>
      <c r="Y204" s="529"/>
      <c r="Z204" s="529"/>
      <c r="AA204" s="529"/>
      <c r="AB204" s="529"/>
      <c r="AC204" s="529"/>
      <c r="AD204" s="529"/>
      <c r="AE204" s="529"/>
      <c r="AF204" s="529"/>
      <c r="AG204" s="529"/>
      <c r="AH204" s="529"/>
      <c r="AI204" s="529"/>
      <c r="AJ204" s="529"/>
      <c r="AK204" s="529"/>
      <c r="AL204" s="529"/>
      <c r="AM204" s="529"/>
      <c r="AN204" s="529"/>
      <c r="AO204" s="529"/>
    </row>
    <row r="205">
      <c r="B205" s="862" t="s">
        <v>1389</v>
      </c>
      <c r="G205" s="529"/>
      <c r="H205" s="529"/>
      <c r="I205" s="529"/>
      <c r="J205" s="529"/>
      <c r="K205" s="529"/>
      <c r="L205" s="529"/>
      <c r="M205" s="529"/>
      <c r="N205" s="529"/>
      <c r="O205" s="529"/>
      <c r="P205" s="529"/>
      <c r="Q205" s="529"/>
      <c r="R205" s="529"/>
      <c r="S205" s="529"/>
      <c r="T205" s="529"/>
      <c r="U205" s="529"/>
      <c r="V205" s="529"/>
      <c r="W205" s="529"/>
      <c r="X205" s="529"/>
      <c r="Y205" s="529"/>
      <c r="Z205" s="529"/>
      <c r="AA205" s="529"/>
      <c r="AB205" s="529"/>
      <c r="AC205" s="529"/>
      <c r="AD205" s="529"/>
      <c r="AE205" s="529"/>
      <c r="AF205" s="529"/>
      <c r="AG205" s="529"/>
      <c r="AH205" s="529"/>
      <c r="AI205" s="529"/>
      <c r="AJ205" s="529"/>
      <c r="AK205" s="529"/>
      <c r="AL205" s="529"/>
      <c r="AM205" s="529"/>
      <c r="AN205" s="529"/>
      <c r="AO205" s="529"/>
    </row>
    <row r="206">
      <c r="B206" s="865" t="s">
        <v>1390</v>
      </c>
      <c r="G206" s="529"/>
      <c r="H206" s="529"/>
      <c r="I206" s="529"/>
      <c r="J206" s="529"/>
      <c r="K206" s="529"/>
      <c r="L206" s="529"/>
      <c r="M206" s="529"/>
      <c r="N206" s="529"/>
      <c r="O206" s="529"/>
      <c r="P206" s="529"/>
      <c r="Q206" s="529"/>
      <c r="R206" s="529"/>
      <c r="S206" s="529"/>
      <c r="T206" s="529"/>
      <c r="U206" s="529"/>
      <c r="V206" s="529"/>
      <c r="W206" s="529"/>
      <c r="X206" s="529"/>
      <c r="Y206" s="529"/>
      <c r="Z206" s="529"/>
      <c r="AA206" s="529"/>
      <c r="AB206" s="529"/>
      <c r="AC206" s="529"/>
      <c r="AD206" s="529"/>
      <c r="AE206" s="529"/>
      <c r="AF206" s="529"/>
      <c r="AG206" s="529"/>
      <c r="AH206" s="529"/>
      <c r="AI206" s="529"/>
      <c r="AJ206" s="529"/>
      <c r="AK206" s="529"/>
      <c r="AL206" s="529"/>
      <c r="AM206" s="529"/>
      <c r="AN206" s="529"/>
      <c r="AO206" s="529"/>
    </row>
    <row r="207">
      <c r="B207" s="865" t="s">
        <v>1391</v>
      </c>
      <c r="G207" s="529"/>
      <c r="H207" s="529"/>
      <c r="I207" s="529"/>
      <c r="J207" s="529"/>
      <c r="K207" s="529"/>
      <c r="L207" s="529"/>
      <c r="M207" s="529"/>
      <c r="N207" s="529"/>
      <c r="O207" s="529"/>
      <c r="P207" s="529"/>
      <c r="Q207" s="529"/>
      <c r="R207" s="529"/>
      <c r="S207" s="529"/>
      <c r="T207" s="529"/>
      <c r="U207" s="529"/>
      <c r="V207" s="529"/>
      <c r="W207" s="529"/>
      <c r="X207" s="529"/>
      <c r="Y207" s="529"/>
      <c r="Z207" s="529"/>
      <c r="AA207" s="529"/>
      <c r="AB207" s="529"/>
      <c r="AC207" s="529"/>
      <c r="AD207" s="529"/>
      <c r="AE207" s="529"/>
      <c r="AF207" s="529"/>
      <c r="AG207" s="529"/>
      <c r="AH207" s="529"/>
      <c r="AI207" s="529"/>
      <c r="AJ207" s="529"/>
      <c r="AK207" s="529"/>
      <c r="AL207" s="529"/>
      <c r="AM207" s="529"/>
      <c r="AN207" s="529"/>
      <c r="AO207" s="529"/>
    </row>
    <row r="208">
      <c r="B208" s="862" t="s">
        <v>1392</v>
      </c>
      <c r="G208" s="529"/>
      <c r="H208" s="529"/>
      <c r="I208" s="529"/>
      <c r="J208" s="529"/>
      <c r="K208" s="529"/>
      <c r="L208" s="529"/>
      <c r="M208" s="529"/>
      <c r="N208" s="529"/>
      <c r="O208" s="529"/>
      <c r="P208" s="529"/>
      <c r="Q208" s="529"/>
      <c r="R208" s="529"/>
      <c r="S208" s="529"/>
      <c r="T208" s="529"/>
      <c r="U208" s="529"/>
      <c r="V208" s="529"/>
      <c r="W208" s="529"/>
      <c r="X208" s="529"/>
      <c r="Y208" s="529"/>
      <c r="Z208" s="529"/>
      <c r="AA208" s="529"/>
      <c r="AB208" s="529"/>
      <c r="AC208" s="529"/>
      <c r="AD208" s="529"/>
      <c r="AE208" s="529"/>
      <c r="AF208" s="529"/>
      <c r="AG208" s="529"/>
      <c r="AH208" s="529"/>
      <c r="AI208" s="529"/>
      <c r="AJ208" s="529"/>
      <c r="AK208" s="529"/>
      <c r="AL208" s="529"/>
      <c r="AM208" s="529"/>
      <c r="AN208" s="529"/>
      <c r="AO208" s="529"/>
    </row>
    <row r="209">
      <c r="B209" s="862" t="s">
        <v>1393</v>
      </c>
      <c r="G209" s="529"/>
      <c r="H209" s="529"/>
      <c r="I209" s="529"/>
      <c r="J209" s="529"/>
      <c r="K209" s="529"/>
      <c r="L209" s="529"/>
      <c r="M209" s="529"/>
      <c r="N209" s="529"/>
      <c r="O209" s="529"/>
      <c r="P209" s="529"/>
      <c r="Q209" s="529"/>
      <c r="R209" s="529"/>
      <c r="S209" s="529"/>
      <c r="T209" s="529"/>
      <c r="U209" s="529"/>
      <c r="V209" s="529"/>
      <c r="W209" s="529"/>
      <c r="X209" s="529"/>
      <c r="Y209" s="529"/>
      <c r="Z209" s="529"/>
      <c r="AA209" s="529"/>
      <c r="AB209" s="529"/>
      <c r="AC209" s="529"/>
      <c r="AD209" s="529"/>
      <c r="AE209" s="529"/>
      <c r="AF209" s="529"/>
      <c r="AG209" s="529"/>
      <c r="AH209" s="529"/>
      <c r="AI209" s="529"/>
      <c r="AJ209" s="529"/>
      <c r="AK209" s="529"/>
      <c r="AL209" s="529"/>
      <c r="AM209" s="529"/>
      <c r="AN209" s="529"/>
      <c r="AO209" s="529"/>
    </row>
    <row r="210">
      <c r="B210" s="862" t="s">
        <v>1394</v>
      </c>
      <c r="G210" s="529"/>
      <c r="H210" s="529"/>
      <c r="I210" s="529"/>
      <c r="J210" s="529"/>
      <c r="K210" s="529"/>
      <c r="L210" s="529"/>
      <c r="M210" s="529"/>
      <c r="N210" s="529"/>
      <c r="O210" s="529"/>
      <c r="P210" s="529"/>
      <c r="Q210" s="529"/>
      <c r="R210" s="529"/>
      <c r="S210" s="529"/>
      <c r="T210" s="529"/>
      <c r="U210" s="529"/>
      <c r="V210" s="529"/>
      <c r="W210" s="529"/>
      <c r="X210" s="529"/>
      <c r="Y210" s="529"/>
      <c r="Z210" s="529"/>
      <c r="AA210" s="529"/>
      <c r="AB210" s="529"/>
      <c r="AC210" s="529"/>
      <c r="AD210" s="529"/>
      <c r="AE210" s="529"/>
      <c r="AF210" s="529"/>
      <c r="AG210" s="529"/>
      <c r="AH210" s="529"/>
      <c r="AI210" s="529"/>
      <c r="AJ210" s="529"/>
      <c r="AK210" s="529"/>
      <c r="AL210" s="529"/>
      <c r="AM210" s="529"/>
      <c r="AN210" s="529"/>
      <c r="AO210" s="529"/>
    </row>
    <row r="211">
      <c r="A211" s="860" t="s">
        <v>1407</v>
      </c>
      <c r="B211" s="861" t="s">
        <v>1386</v>
      </c>
      <c r="G211" s="529"/>
      <c r="H211" s="529"/>
      <c r="I211" s="529"/>
      <c r="J211" s="529"/>
      <c r="K211" s="529"/>
      <c r="L211" s="529"/>
      <c r="M211" s="529"/>
      <c r="N211" s="529"/>
      <c r="O211" s="529"/>
      <c r="P211" s="529"/>
      <c r="Q211" s="529"/>
      <c r="R211" s="529"/>
      <c r="S211" s="529"/>
      <c r="T211" s="529"/>
      <c r="U211" s="529"/>
      <c r="V211" s="529"/>
      <c r="W211" s="529"/>
      <c r="X211" s="529"/>
      <c r="Y211" s="529"/>
      <c r="Z211" s="529"/>
      <c r="AA211" s="529"/>
      <c r="AB211" s="529"/>
      <c r="AC211" s="529"/>
      <c r="AD211" s="529"/>
      <c r="AE211" s="529"/>
      <c r="AF211" s="529"/>
      <c r="AG211" s="529"/>
      <c r="AH211" s="529"/>
      <c r="AI211" s="529"/>
      <c r="AJ211" s="529"/>
      <c r="AK211" s="529"/>
      <c r="AL211" s="529"/>
      <c r="AM211" s="529"/>
      <c r="AN211" s="529"/>
      <c r="AO211" s="529"/>
    </row>
    <row r="212">
      <c r="B212" s="862" t="s">
        <v>1387</v>
      </c>
      <c r="G212" s="529"/>
      <c r="H212" s="529"/>
      <c r="I212" s="529"/>
      <c r="J212" s="529"/>
      <c r="K212" s="529"/>
      <c r="L212" s="529"/>
      <c r="M212" s="529"/>
      <c r="N212" s="529"/>
      <c r="O212" s="529"/>
      <c r="P212" s="529"/>
      <c r="Q212" s="529"/>
      <c r="R212" s="529"/>
      <c r="S212" s="529"/>
      <c r="T212" s="529"/>
      <c r="U212" s="529"/>
      <c r="V212" s="529"/>
      <c r="W212" s="529"/>
      <c r="X212" s="529"/>
      <c r="Y212" s="529"/>
      <c r="Z212" s="529"/>
      <c r="AA212" s="529"/>
      <c r="AB212" s="529"/>
      <c r="AC212" s="529"/>
      <c r="AD212" s="529"/>
      <c r="AE212" s="529"/>
      <c r="AF212" s="529"/>
      <c r="AG212" s="529"/>
      <c r="AH212" s="529"/>
      <c r="AI212" s="529"/>
      <c r="AJ212" s="529"/>
      <c r="AK212" s="529"/>
      <c r="AL212" s="529"/>
      <c r="AM212" s="529"/>
      <c r="AN212" s="529"/>
      <c r="AO212" s="529"/>
    </row>
    <row r="213">
      <c r="B213" s="862" t="s">
        <v>1388</v>
      </c>
      <c r="G213" s="529"/>
      <c r="H213" s="529"/>
      <c r="I213" s="529"/>
      <c r="J213" s="529"/>
      <c r="K213" s="529"/>
      <c r="L213" s="529"/>
      <c r="M213" s="529"/>
      <c r="N213" s="529"/>
      <c r="O213" s="529"/>
      <c r="P213" s="529"/>
      <c r="Q213" s="529"/>
      <c r="R213" s="529"/>
      <c r="S213" s="529"/>
      <c r="T213" s="529"/>
      <c r="U213" s="529"/>
      <c r="V213" s="529"/>
      <c r="W213" s="529"/>
      <c r="X213" s="529"/>
      <c r="Y213" s="529"/>
      <c r="Z213" s="529"/>
      <c r="AA213" s="529"/>
      <c r="AB213" s="529"/>
      <c r="AC213" s="529"/>
      <c r="AD213" s="529"/>
      <c r="AE213" s="529"/>
      <c r="AF213" s="529"/>
      <c r="AG213" s="529"/>
      <c r="AH213" s="529"/>
      <c r="AI213" s="529"/>
      <c r="AJ213" s="529"/>
      <c r="AK213" s="529"/>
      <c r="AL213" s="529"/>
      <c r="AM213" s="529"/>
      <c r="AN213" s="529"/>
      <c r="AO213" s="529"/>
    </row>
    <row r="214">
      <c r="B214" s="862" t="s">
        <v>1389</v>
      </c>
      <c r="G214" s="529"/>
      <c r="H214" s="529"/>
      <c r="I214" s="529"/>
      <c r="J214" s="529"/>
      <c r="K214" s="529"/>
      <c r="L214" s="529"/>
      <c r="M214" s="529"/>
      <c r="N214" s="529"/>
      <c r="O214" s="529"/>
      <c r="P214" s="529"/>
      <c r="Q214" s="529"/>
      <c r="R214" s="529"/>
      <c r="S214" s="529"/>
      <c r="T214" s="529"/>
      <c r="U214" s="529"/>
      <c r="V214" s="529"/>
      <c r="W214" s="529"/>
      <c r="X214" s="529"/>
      <c r="Y214" s="529"/>
      <c r="Z214" s="529"/>
      <c r="AA214" s="529"/>
      <c r="AB214" s="529"/>
      <c r="AC214" s="529"/>
      <c r="AD214" s="529"/>
      <c r="AE214" s="529"/>
      <c r="AF214" s="529"/>
      <c r="AG214" s="529"/>
      <c r="AH214" s="529"/>
      <c r="AI214" s="529"/>
      <c r="AJ214" s="529"/>
      <c r="AK214" s="529"/>
      <c r="AL214" s="529"/>
      <c r="AM214" s="529"/>
      <c r="AN214" s="529"/>
      <c r="AO214" s="529"/>
    </row>
    <row r="215">
      <c r="B215" s="865" t="s">
        <v>1390</v>
      </c>
      <c r="G215" s="529"/>
      <c r="H215" s="529"/>
      <c r="I215" s="529"/>
      <c r="J215" s="529"/>
      <c r="K215" s="529"/>
      <c r="L215" s="529"/>
      <c r="M215" s="529"/>
      <c r="N215" s="529"/>
      <c r="O215" s="529"/>
      <c r="P215" s="529"/>
      <c r="Q215" s="529"/>
      <c r="R215" s="529"/>
      <c r="S215" s="529"/>
      <c r="T215" s="529"/>
      <c r="U215" s="529"/>
      <c r="V215" s="529"/>
      <c r="W215" s="529"/>
      <c r="X215" s="529"/>
      <c r="Y215" s="529"/>
      <c r="Z215" s="529"/>
      <c r="AA215" s="529"/>
      <c r="AB215" s="529"/>
      <c r="AC215" s="529"/>
      <c r="AD215" s="529"/>
      <c r="AE215" s="529"/>
      <c r="AF215" s="529"/>
      <c r="AG215" s="529"/>
      <c r="AH215" s="529"/>
      <c r="AI215" s="529"/>
      <c r="AJ215" s="529"/>
      <c r="AK215" s="529"/>
      <c r="AL215" s="529"/>
      <c r="AM215" s="529"/>
      <c r="AN215" s="529"/>
      <c r="AO215" s="529"/>
    </row>
    <row r="216">
      <c r="B216" s="865" t="s">
        <v>1391</v>
      </c>
      <c r="G216" s="529"/>
      <c r="H216" s="529"/>
      <c r="I216" s="529"/>
      <c r="J216" s="529"/>
      <c r="K216" s="529"/>
      <c r="L216" s="529"/>
      <c r="M216" s="529"/>
      <c r="N216" s="529"/>
      <c r="O216" s="529"/>
      <c r="P216" s="529"/>
      <c r="Q216" s="529"/>
      <c r="R216" s="529"/>
      <c r="S216" s="529"/>
      <c r="T216" s="529"/>
      <c r="U216" s="529"/>
      <c r="V216" s="529"/>
      <c r="W216" s="529"/>
      <c r="X216" s="529"/>
      <c r="Y216" s="529"/>
      <c r="Z216" s="529"/>
      <c r="AA216" s="529"/>
      <c r="AB216" s="529"/>
      <c r="AC216" s="529"/>
      <c r="AD216" s="529"/>
      <c r="AE216" s="529"/>
      <c r="AF216" s="529"/>
      <c r="AG216" s="529"/>
      <c r="AH216" s="529"/>
      <c r="AI216" s="529"/>
      <c r="AJ216" s="529"/>
      <c r="AK216" s="529"/>
      <c r="AL216" s="529"/>
      <c r="AM216" s="529"/>
      <c r="AN216" s="529"/>
      <c r="AO216" s="529"/>
    </row>
    <row r="217">
      <c r="B217" s="862" t="s">
        <v>1392</v>
      </c>
      <c r="G217" s="529"/>
      <c r="H217" s="529"/>
      <c r="I217" s="529"/>
      <c r="J217" s="529"/>
      <c r="K217" s="529"/>
      <c r="L217" s="529"/>
      <c r="M217" s="529"/>
      <c r="N217" s="529"/>
      <c r="O217" s="529"/>
      <c r="P217" s="529"/>
      <c r="Q217" s="529"/>
      <c r="R217" s="529"/>
      <c r="S217" s="529"/>
      <c r="T217" s="529"/>
      <c r="U217" s="529"/>
      <c r="V217" s="529"/>
      <c r="W217" s="529"/>
      <c r="X217" s="529"/>
      <c r="Y217" s="529"/>
      <c r="Z217" s="529"/>
      <c r="AA217" s="529"/>
      <c r="AB217" s="529"/>
      <c r="AC217" s="529"/>
      <c r="AD217" s="529"/>
      <c r="AE217" s="529"/>
      <c r="AF217" s="529"/>
      <c r="AG217" s="529"/>
      <c r="AH217" s="529"/>
      <c r="AI217" s="529"/>
      <c r="AJ217" s="529"/>
      <c r="AK217" s="529"/>
      <c r="AL217" s="529"/>
      <c r="AM217" s="529"/>
      <c r="AN217" s="529"/>
      <c r="AO217" s="529"/>
    </row>
    <row r="218">
      <c r="B218" s="862" t="s">
        <v>1393</v>
      </c>
      <c r="G218" s="529"/>
      <c r="H218" s="529"/>
      <c r="I218" s="529"/>
      <c r="J218" s="529"/>
      <c r="K218" s="529"/>
      <c r="L218" s="529"/>
      <c r="M218" s="529"/>
      <c r="N218" s="529"/>
      <c r="O218" s="529"/>
      <c r="P218" s="529"/>
      <c r="Q218" s="529"/>
      <c r="R218" s="529"/>
      <c r="S218" s="529"/>
      <c r="T218" s="529"/>
      <c r="U218" s="529"/>
      <c r="V218" s="529"/>
      <c r="W218" s="529"/>
      <c r="X218" s="529"/>
      <c r="Y218" s="529"/>
      <c r="Z218" s="529"/>
      <c r="AA218" s="529"/>
      <c r="AB218" s="529"/>
      <c r="AC218" s="529"/>
      <c r="AD218" s="529"/>
      <c r="AE218" s="529"/>
      <c r="AF218" s="529"/>
      <c r="AG218" s="529"/>
      <c r="AH218" s="529"/>
      <c r="AI218" s="529"/>
      <c r="AJ218" s="529"/>
      <c r="AK218" s="529"/>
      <c r="AL218" s="529"/>
      <c r="AM218" s="529"/>
      <c r="AN218" s="529"/>
      <c r="AO218" s="529"/>
    </row>
    <row r="219">
      <c r="B219" s="862" t="s">
        <v>1394</v>
      </c>
      <c r="G219" s="529"/>
      <c r="H219" s="529"/>
      <c r="I219" s="529"/>
      <c r="J219" s="529"/>
      <c r="K219" s="529"/>
      <c r="L219" s="529"/>
      <c r="M219" s="529"/>
      <c r="N219" s="529"/>
      <c r="O219" s="529"/>
      <c r="P219" s="529"/>
      <c r="Q219" s="529"/>
      <c r="R219" s="529"/>
      <c r="S219" s="529"/>
      <c r="T219" s="529"/>
      <c r="U219" s="529"/>
      <c r="V219" s="529"/>
      <c r="W219" s="529"/>
      <c r="X219" s="529"/>
      <c r="Y219" s="529"/>
      <c r="Z219" s="529"/>
      <c r="AA219" s="529"/>
      <c r="AB219" s="529"/>
      <c r="AC219" s="529"/>
      <c r="AD219" s="529"/>
      <c r="AE219" s="529"/>
      <c r="AF219" s="529"/>
      <c r="AG219" s="529"/>
      <c r="AH219" s="529"/>
      <c r="AI219" s="529"/>
      <c r="AJ219" s="529"/>
      <c r="AK219" s="529"/>
      <c r="AL219" s="529"/>
      <c r="AM219" s="529"/>
      <c r="AN219" s="529"/>
      <c r="AO219" s="529"/>
    </row>
    <row r="220">
      <c r="A220" s="860" t="s">
        <v>1408</v>
      </c>
      <c r="B220" s="861" t="s">
        <v>1386</v>
      </c>
      <c r="G220" s="529"/>
      <c r="H220" s="529"/>
      <c r="I220" s="529"/>
      <c r="J220" s="529"/>
      <c r="K220" s="529"/>
      <c r="L220" s="529"/>
      <c r="M220" s="529"/>
      <c r="N220" s="529"/>
      <c r="O220" s="529"/>
      <c r="P220" s="529"/>
      <c r="Q220" s="529"/>
      <c r="R220" s="529"/>
      <c r="S220" s="529"/>
      <c r="T220" s="529"/>
      <c r="U220" s="529"/>
      <c r="V220" s="529"/>
      <c r="W220" s="529"/>
      <c r="X220" s="529"/>
      <c r="Y220" s="529"/>
      <c r="Z220" s="529"/>
      <c r="AA220" s="529"/>
      <c r="AB220" s="529"/>
      <c r="AC220" s="529"/>
      <c r="AD220" s="529"/>
      <c r="AE220" s="529"/>
      <c r="AF220" s="529"/>
      <c r="AG220" s="529"/>
      <c r="AH220" s="529"/>
      <c r="AI220" s="529"/>
      <c r="AJ220" s="529"/>
      <c r="AK220" s="529"/>
      <c r="AL220" s="529"/>
      <c r="AM220" s="529"/>
      <c r="AN220" s="529"/>
      <c r="AO220" s="529"/>
    </row>
    <row r="221">
      <c r="B221" s="862" t="s">
        <v>1387</v>
      </c>
      <c r="G221" s="529"/>
      <c r="H221" s="529"/>
      <c r="I221" s="529"/>
      <c r="J221" s="529"/>
      <c r="K221" s="529"/>
      <c r="L221" s="529"/>
      <c r="M221" s="529"/>
      <c r="N221" s="529"/>
      <c r="O221" s="529"/>
      <c r="P221" s="529"/>
      <c r="Q221" s="529"/>
      <c r="R221" s="529"/>
      <c r="S221" s="529"/>
      <c r="T221" s="529"/>
      <c r="U221" s="529"/>
      <c r="V221" s="529"/>
      <c r="W221" s="529"/>
      <c r="X221" s="529"/>
      <c r="Y221" s="529"/>
      <c r="Z221" s="529"/>
      <c r="AA221" s="529"/>
      <c r="AB221" s="529"/>
      <c r="AC221" s="529"/>
      <c r="AD221" s="529"/>
      <c r="AE221" s="529"/>
      <c r="AF221" s="529"/>
      <c r="AG221" s="529"/>
      <c r="AH221" s="529"/>
      <c r="AI221" s="529"/>
      <c r="AJ221" s="529"/>
      <c r="AK221" s="529"/>
      <c r="AL221" s="529"/>
      <c r="AM221" s="529"/>
      <c r="AN221" s="529"/>
      <c r="AO221" s="529"/>
    </row>
    <row r="222">
      <c r="B222" s="862" t="s">
        <v>1388</v>
      </c>
      <c r="G222" s="529"/>
      <c r="H222" s="529"/>
      <c r="I222" s="529"/>
      <c r="J222" s="529"/>
      <c r="K222" s="529"/>
      <c r="L222" s="529"/>
      <c r="M222" s="529"/>
      <c r="N222" s="529"/>
      <c r="O222" s="529"/>
      <c r="P222" s="529"/>
      <c r="Q222" s="529"/>
      <c r="R222" s="529"/>
      <c r="S222" s="529"/>
      <c r="T222" s="529"/>
      <c r="U222" s="529"/>
      <c r="V222" s="529"/>
      <c r="W222" s="529"/>
      <c r="X222" s="529"/>
      <c r="Y222" s="529"/>
      <c r="Z222" s="529"/>
      <c r="AA222" s="529"/>
      <c r="AB222" s="529"/>
      <c r="AC222" s="529"/>
      <c r="AD222" s="529"/>
      <c r="AE222" s="529"/>
      <c r="AF222" s="529"/>
      <c r="AG222" s="529"/>
      <c r="AH222" s="529"/>
      <c r="AI222" s="529"/>
      <c r="AJ222" s="529"/>
      <c r="AK222" s="529"/>
      <c r="AL222" s="529"/>
      <c r="AM222" s="529"/>
      <c r="AN222" s="529"/>
      <c r="AO222" s="529"/>
    </row>
    <row r="223">
      <c r="B223" s="862" t="s">
        <v>1389</v>
      </c>
      <c r="G223" s="529"/>
      <c r="H223" s="529"/>
      <c r="I223" s="529"/>
      <c r="J223" s="529"/>
      <c r="K223" s="529"/>
      <c r="L223" s="529"/>
      <c r="M223" s="529"/>
      <c r="N223" s="529"/>
      <c r="O223" s="529"/>
      <c r="P223" s="529"/>
      <c r="Q223" s="529"/>
      <c r="R223" s="529"/>
      <c r="S223" s="529"/>
      <c r="T223" s="529"/>
      <c r="U223" s="529"/>
      <c r="V223" s="529"/>
      <c r="W223" s="529"/>
      <c r="X223" s="529"/>
      <c r="Y223" s="529"/>
      <c r="Z223" s="529"/>
      <c r="AA223" s="529"/>
      <c r="AB223" s="529"/>
      <c r="AC223" s="529"/>
      <c r="AD223" s="529"/>
      <c r="AE223" s="529"/>
      <c r="AF223" s="529"/>
      <c r="AG223" s="529"/>
      <c r="AH223" s="529"/>
      <c r="AI223" s="529"/>
      <c r="AJ223" s="529"/>
      <c r="AK223" s="529"/>
      <c r="AL223" s="529"/>
      <c r="AM223" s="529"/>
      <c r="AN223" s="529"/>
      <c r="AO223" s="529"/>
    </row>
    <row r="224">
      <c r="B224" s="865" t="s">
        <v>1390</v>
      </c>
      <c r="G224" s="529"/>
      <c r="H224" s="529"/>
      <c r="I224" s="529"/>
      <c r="J224" s="529"/>
      <c r="K224" s="529"/>
      <c r="L224" s="529"/>
      <c r="M224" s="529"/>
      <c r="N224" s="529"/>
      <c r="O224" s="529"/>
      <c r="P224" s="529"/>
      <c r="Q224" s="529"/>
      <c r="R224" s="529"/>
      <c r="S224" s="529"/>
      <c r="T224" s="529"/>
      <c r="U224" s="529"/>
      <c r="V224" s="529"/>
      <c r="W224" s="529"/>
      <c r="X224" s="529"/>
      <c r="Y224" s="529"/>
      <c r="Z224" s="529"/>
      <c r="AA224" s="529"/>
      <c r="AB224" s="529"/>
      <c r="AC224" s="529"/>
      <c r="AD224" s="529"/>
      <c r="AE224" s="529"/>
      <c r="AF224" s="529"/>
      <c r="AG224" s="529"/>
      <c r="AH224" s="529"/>
      <c r="AI224" s="529"/>
      <c r="AJ224" s="529"/>
      <c r="AK224" s="529"/>
      <c r="AL224" s="529"/>
      <c r="AM224" s="529"/>
      <c r="AN224" s="529"/>
      <c r="AO224" s="529"/>
    </row>
    <row r="225">
      <c r="B225" s="865" t="s">
        <v>1391</v>
      </c>
      <c r="G225" s="529"/>
      <c r="H225" s="529"/>
      <c r="I225" s="529"/>
      <c r="J225" s="529"/>
      <c r="K225" s="529"/>
      <c r="L225" s="529"/>
      <c r="M225" s="529"/>
      <c r="N225" s="529"/>
      <c r="O225" s="529"/>
      <c r="P225" s="529"/>
      <c r="Q225" s="529"/>
      <c r="R225" s="529"/>
      <c r="S225" s="529"/>
      <c r="T225" s="529"/>
      <c r="U225" s="529"/>
      <c r="V225" s="529"/>
      <c r="W225" s="529"/>
      <c r="X225" s="529"/>
      <c r="Y225" s="529"/>
      <c r="Z225" s="529"/>
      <c r="AA225" s="529"/>
      <c r="AB225" s="529"/>
      <c r="AC225" s="529"/>
      <c r="AD225" s="529"/>
      <c r="AE225" s="529"/>
      <c r="AF225" s="529"/>
      <c r="AG225" s="529"/>
      <c r="AH225" s="529"/>
      <c r="AI225" s="529"/>
      <c r="AJ225" s="529"/>
      <c r="AK225" s="529"/>
      <c r="AL225" s="529"/>
      <c r="AM225" s="529"/>
      <c r="AN225" s="529"/>
      <c r="AO225" s="529"/>
    </row>
    <row r="226">
      <c r="B226" s="862" t="s">
        <v>1392</v>
      </c>
      <c r="G226" s="529"/>
      <c r="H226" s="529"/>
      <c r="I226" s="529"/>
      <c r="J226" s="529"/>
      <c r="K226" s="529"/>
      <c r="L226" s="529"/>
      <c r="M226" s="529"/>
      <c r="N226" s="529"/>
      <c r="O226" s="529"/>
      <c r="P226" s="529"/>
      <c r="Q226" s="529"/>
      <c r="R226" s="529"/>
      <c r="S226" s="529"/>
      <c r="T226" s="529"/>
      <c r="U226" s="529"/>
      <c r="V226" s="529"/>
      <c r="W226" s="529"/>
      <c r="X226" s="529"/>
      <c r="Y226" s="529"/>
      <c r="Z226" s="529"/>
      <c r="AA226" s="529"/>
      <c r="AB226" s="529"/>
      <c r="AC226" s="529"/>
      <c r="AD226" s="529"/>
      <c r="AE226" s="529"/>
      <c r="AF226" s="529"/>
      <c r="AG226" s="529"/>
      <c r="AH226" s="529"/>
      <c r="AI226" s="529"/>
      <c r="AJ226" s="529"/>
      <c r="AK226" s="529"/>
      <c r="AL226" s="529"/>
      <c r="AM226" s="529"/>
      <c r="AN226" s="529"/>
      <c r="AO226" s="529"/>
    </row>
    <row r="227">
      <c r="B227" s="862" t="s">
        <v>1393</v>
      </c>
      <c r="G227" s="529"/>
      <c r="H227" s="529"/>
      <c r="I227" s="529"/>
      <c r="J227" s="529"/>
      <c r="K227" s="529"/>
      <c r="L227" s="529"/>
      <c r="M227" s="529"/>
      <c r="N227" s="529"/>
      <c r="O227" s="529"/>
      <c r="P227" s="529"/>
      <c r="Q227" s="529"/>
      <c r="R227" s="529"/>
      <c r="S227" s="529"/>
      <c r="T227" s="529"/>
      <c r="U227" s="529"/>
      <c r="V227" s="529"/>
      <c r="W227" s="529"/>
      <c r="X227" s="529"/>
      <c r="Y227" s="529"/>
      <c r="Z227" s="529"/>
      <c r="AA227" s="529"/>
      <c r="AB227" s="529"/>
      <c r="AC227" s="529"/>
      <c r="AD227" s="529"/>
      <c r="AE227" s="529"/>
      <c r="AF227" s="529"/>
      <c r="AG227" s="529"/>
      <c r="AH227" s="529"/>
      <c r="AI227" s="529"/>
      <c r="AJ227" s="529"/>
      <c r="AK227" s="529"/>
      <c r="AL227" s="529"/>
      <c r="AM227" s="529"/>
      <c r="AN227" s="529"/>
      <c r="AO227" s="529"/>
    </row>
    <row r="228">
      <c r="B228" s="862" t="s">
        <v>1394</v>
      </c>
      <c r="G228" s="529"/>
      <c r="H228" s="529"/>
      <c r="I228" s="529"/>
      <c r="J228" s="529"/>
      <c r="K228" s="529"/>
      <c r="L228" s="529"/>
      <c r="M228" s="529"/>
      <c r="N228" s="529"/>
      <c r="O228" s="529"/>
      <c r="P228" s="529"/>
      <c r="Q228" s="529"/>
      <c r="R228" s="529"/>
      <c r="S228" s="529"/>
      <c r="T228" s="529"/>
      <c r="U228" s="529"/>
      <c r="V228" s="529"/>
      <c r="W228" s="529"/>
      <c r="X228" s="529"/>
      <c r="Y228" s="529"/>
      <c r="Z228" s="529"/>
      <c r="AA228" s="529"/>
      <c r="AB228" s="529"/>
      <c r="AC228" s="529"/>
      <c r="AD228" s="529"/>
      <c r="AE228" s="529"/>
      <c r="AF228" s="529"/>
      <c r="AG228" s="529"/>
      <c r="AH228" s="529"/>
      <c r="AI228" s="529"/>
      <c r="AJ228" s="529"/>
      <c r="AK228" s="529"/>
      <c r="AL228" s="529"/>
      <c r="AM228" s="529"/>
      <c r="AN228" s="529"/>
      <c r="AO228" s="529"/>
    </row>
    <row r="229">
      <c r="A229" s="860" t="s">
        <v>1409</v>
      </c>
      <c r="B229" s="861" t="s">
        <v>1386</v>
      </c>
      <c r="G229" s="529"/>
      <c r="H229" s="529"/>
      <c r="I229" s="529"/>
      <c r="J229" s="529"/>
      <c r="K229" s="529"/>
      <c r="L229" s="529"/>
      <c r="M229" s="529"/>
      <c r="N229" s="529"/>
      <c r="O229" s="529"/>
      <c r="P229" s="529"/>
      <c r="Q229" s="529"/>
      <c r="R229" s="529"/>
      <c r="S229" s="529"/>
      <c r="T229" s="529"/>
      <c r="U229" s="529"/>
      <c r="V229" s="529"/>
      <c r="W229" s="529"/>
      <c r="X229" s="529"/>
      <c r="Y229" s="529"/>
      <c r="Z229" s="529"/>
      <c r="AA229" s="529"/>
      <c r="AB229" s="529"/>
      <c r="AC229" s="529"/>
      <c r="AD229" s="529"/>
      <c r="AE229" s="529"/>
      <c r="AF229" s="529"/>
      <c r="AG229" s="529"/>
      <c r="AH229" s="529"/>
      <c r="AI229" s="529"/>
      <c r="AJ229" s="529"/>
      <c r="AK229" s="529"/>
      <c r="AL229" s="529"/>
      <c r="AM229" s="529"/>
      <c r="AN229" s="529"/>
      <c r="AO229" s="529"/>
    </row>
    <row r="230">
      <c r="B230" s="862" t="s">
        <v>1387</v>
      </c>
      <c r="G230" s="529"/>
      <c r="H230" s="529"/>
      <c r="I230" s="529"/>
      <c r="J230" s="529"/>
      <c r="K230" s="529"/>
      <c r="L230" s="529"/>
      <c r="M230" s="529"/>
      <c r="N230" s="529"/>
      <c r="O230" s="529"/>
      <c r="P230" s="529"/>
      <c r="Q230" s="529"/>
      <c r="R230" s="529"/>
      <c r="S230" s="529"/>
      <c r="T230" s="529"/>
      <c r="U230" s="529"/>
      <c r="V230" s="529"/>
      <c r="W230" s="529"/>
      <c r="X230" s="529"/>
      <c r="Y230" s="529"/>
      <c r="Z230" s="529"/>
      <c r="AA230" s="529"/>
      <c r="AB230" s="529"/>
      <c r="AC230" s="529"/>
      <c r="AD230" s="529"/>
      <c r="AE230" s="529"/>
      <c r="AF230" s="529"/>
      <c r="AG230" s="529"/>
      <c r="AH230" s="529"/>
      <c r="AI230" s="529"/>
      <c r="AJ230" s="529"/>
      <c r="AK230" s="529"/>
      <c r="AL230" s="529"/>
      <c r="AM230" s="529"/>
      <c r="AN230" s="529"/>
      <c r="AO230" s="529"/>
    </row>
    <row r="231">
      <c r="B231" s="862" t="s">
        <v>1388</v>
      </c>
      <c r="G231" s="529"/>
      <c r="H231" s="529"/>
      <c r="I231" s="529"/>
      <c r="J231" s="529"/>
      <c r="K231" s="529"/>
      <c r="L231" s="529"/>
      <c r="M231" s="529"/>
      <c r="N231" s="529"/>
      <c r="O231" s="529"/>
      <c r="P231" s="529"/>
      <c r="Q231" s="529"/>
      <c r="R231" s="529"/>
      <c r="S231" s="529"/>
      <c r="T231" s="529"/>
      <c r="U231" s="529"/>
      <c r="V231" s="529"/>
      <c r="W231" s="529"/>
      <c r="X231" s="529"/>
      <c r="Y231" s="529"/>
      <c r="Z231" s="529"/>
      <c r="AA231" s="529"/>
      <c r="AB231" s="529"/>
      <c r="AC231" s="529"/>
      <c r="AD231" s="529"/>
      <c r="AE231" s="529"/>
      <c r="AF231" s="529"/>
      <c r="AG231" s="529"/>
      <c r="AH231" s="529"/>
      <c r="AI231" s="529"/>
      <c r="AJ231" s="529"/>
      <c r="AK231" s="529"/>
      <c r="AL231" s="529"/>
      <c r="AM231" s="529"/>
      <c r="AN231" s="529"/>
      <c r="AO231" s="529"/>
    </row>
    <row r="232">
      <c r="B232" s="862" t="s">
        <v>1389</v>
      </c>
      <c r="G232" s="529"/>
      <c r="H232" s="529"/>
      <c r="I232" s="529"/>
      <c r="J232" s="529"/>
      <c r="K232" s="529"/>
      <c r="L232" s="529"/>
      <c r="M232" s="529"/>
      <c r="N232" s="529"/>
      <c r="O232" s="529"/>
      <c r="P232" s="529"/>
      <c r="Q232" s="529"/>
      <c r="R232" s="529"/>
      <c r="S232" s="529"/>
      <c r="T232" s="529"/>
      <c r="U232" s="529"/>
      <c r="V232" s="529"/>
      <c r="W232" s="529"/>
      <c r="X232" s="529"/>
      <c r="Y232" s="529"/>
      <c r="Z232" s="529"/>
      <c r="AA232" s="529"/>
      <c r="AB232" s="529"/>
      <c r="AC232" s="529"/>
      <c r="AD232" s="529"/>
      <c r="AE232" s="529"/>
      <c r="AF232" s="529"/>
      <c r="AG232" s="529"/>
      <c r="AH232" s="529"/>
      <c r="AI232" s="529"/>
      <c r="AJ232" s="529"/>
      <c r="AK232" s="529"/>
      <c r="AL232" s="529"/>
      <c r="AM232" s="529"/>
      <c r="AN232" s="529"/>
      <c r="AO232" s="529"/>
    </row>
    <row r="233">
      <c r="B233" s="865" t="s">
        <v>1390</v>
      </c>
      <c r="G233" s="529"/>
      <c r="H233" s="529"/>
      <c r="I233" s="529"/>
      <c r="J233" s="529"/>
      <c r="K233" s="529"/>
      <c r="L233" s="529"/>
      <c r="M233" s="529"/>
      <c r="N233" s="529"/>
      <c r="O233" s="529"/>
      <c r="P233" s="529"/>
      <c r="Q233" s="529"/>
      <c r="R233" s="529"/>
      <c r="S233" s="529"/>
      <c r="T233" s="529"/>
      <c r="U233" s="529"/>
      <c r="V233" s="529"/>
      <c r="W233" s="529"/>
      <c r="X233" s="529"/>
      <c r="Y233" s="529"/>
      <c r="Z233" s="529"/>
      <c r="AA233" s="529"/>
      <c r="AB233" s="529"/>
      <c r="AC233" s="529"/>
      <c r="AD233" s="529"/>
      <c r="AE233" s="529"/>
      <c r="AF233" s="529"/>
      <c r="AG233" s="529"/>
      <c r="AH233" s="529"/>
      <c r="AI233" s="529"/>
      <c r="AJ233" s="529"/>
      <c r="AK233" s="529"/>
      <c r="AL233" s="529"/>
      <c r="AM233" s="529"/>
      <c r="AN233" s="529"/>
      <c r="AO233" s="529"/>
    </row>
    <row r="234">
      <c r="B234" s="865" t="s">
        <v>1391</v>
      </c>
      <c r="G234" s="529"/>
      <c r="H234" s="529"/>
      <c r="I234" s="529"/>
      <c r="J234" s="529"/>
      <c r="K234" s="529"/>
      <c r="L234" s="529"/>
      <c r="M234" s="529"/>
      <c r="N234" s="529"/>
      <c r="O234" s="529"/>
      <c r="P234" s="529"/>
      <c r="Q234" s="529"/>
      <c r="R234" s="529"/>
      <c r="S234" s="529"/>
      <c r="T234" s="529"/>
      <c r="U234" s="529"/>
      <c r="V234" s="529"/>
      <c r="W234" s="529"/>
      <c r="X234" s="529"/>
      <c r="Y234" s="529"/>
      <c r="Z234" s="529"/>
      <c r="AA234" s="529"/>
      <c r="AB234" s="529"/>
      <c r="AC234" s="529"/>
      <c r="AD234" s="529"/>
      <c r="AE234" s="529"/>
      <c r="AF234" s="529"/>
      <c r="AG234" s="529"/>
      <c r="AH234" s="529"/>
      <c r="AI234" s="529"/>
      <c r="AJ234" s="529"/>
      <c r="AK234" s="529"/>
      <c r="AL234" s="529"/>
      <c r="AM234" s="529"/>
      <c r="AN234" s="529"/>
      <c r="AO234" s="529"/>
    </row>
    <row r="235">
      <c r="B235" s="862" t="s">
        <v>1392</v>
      </c>
      <c r="G235" s="529"/>
      <c r="H235" s="529"/>
      <c r="I235" s="529"/>
      <c r="J235" s="529"/>
      <c r="K235" s="529"/>
      <c r="L235" s="529"/>
      <c r="M235" s="529"/>
      <c r="N235" s="529"/>
      <c r="O235" s="529"/>
      <c r="P235" s="529"/>
      <c r="Q235" s="529"/>
      <c r="R235" s="529"/>
      <c r="S235" s="529"/>
      <c r="T235" s="529"/>
      <c r="U235" s="529"/>
      <c r="V235" s="529"/>
      <c r="W235" s="529"/>
      <c r="X235" s="529"/>
      <c r="Y235" s="529"/>
      <c r="Z235" s="529"/>
      <c r="AA235" s="529"/>
      <c r="AB235" s="529"/>
      <c r="AC235" s="529"/>
      <c r="AD235" s="529"/>
      <c r="AE235" s="529"/>
      <c r="AF235" s="529"/>
      <c r="AG235" s="529"/>
      <c r="AH235" s="529"/>
      <c r="AI235" s="529"/>
      <c r="AJ235" s="529"/>
      <c r="AK235" s="529"/>
      <c r="AL235" s="529"/>
      <c r="AM235" s="529"/>
      <c r="AN235" s="529"/>
      <c r="AO235" s="529"/>
    </row>
    <row r="236">
      <c r="B236" s="862" t="s">
        <v>1393</v>
      </c>
      <c r="G236" s="529"/>
      <c r="H236" s="529"/>
      <c r="I236" s="529"/>
      <c r="J236" s="529"/>
      <c r="K236" s="529"/>
      <c r="L236" s="529"/>
      <c r="M236" s="529"/>
      <c r="N236" s="529"/>
      <c r="O236" s="529"/>
      <c r="P236" s="529"/>
      <c r="Q236" s="529"/>
      <c r="R236" s="529"/>
      <c r="S236" s="529"/>
      <c r="T236" s="529"/>
      <c r="U236" s="529"/>
      <c r="V236" s="529"/>
      <c r="W236" s="529"/>
      <c r="X236" s="529"/>
      <c r="Y236" s="529"/>
      <c r="Z236" s="529"/>
      <c r="AA236" s="529"/>
      <c r="AB236" s="529"/>
      <c r="AC236" s="529"/>
      <c r="AD236" s="529"/>
      <c r="AE236" s="529"/>
      <c r="AF236" s="529"/>
      <c r="AG236" s="529"/>
      <c r="AH236" s="529"/>
      <c r="AI236" s="529"/>
      <c r="AJ236" s="529"/>
      <c r="AK236" s="529"/>
      <c r="AL236" s="529"/>
      <c r="AM236" s="529"/>
      <c r="AN236" s="529"/>
      <c r="AO236" s="529"/>
    </row>
    <row r="237">
      <c r="B237" s="862" t="s">
        <v>1394</v>
      </c>
      <c r="G237" s="529"/>
      <c r="H237" s="529"/>
      <c r="I237" s="529"/>
      <c r="J237" s="529"/>
      <c r="K237" s="529"/>
      <c r="L237" s="529"/>
      <c r="M237" s="529"/>
      <c r="N237" s="529"/>
      <c r="O237" s="529"/>
      <c r="P237" s="529"/>
      <c r="Q237" s="529"/>
      <c r="R237" s="529"/>
      <c r="S237" s="529"/>
      <c r="T237" s="529"/>
      <c r="U237" s="529"/>
      <c r="V237" s="529"/>
      <c r="W237" s="529"/>
      <c r="X237" s="529"/>
      <c r="Y237" s="529"/>
      <c r="Z237" s="529"/>
      <c r="AA237" s="529"/>
      <c r="AB237" s="529"/>
      <c r="AC237" s="529"/>
      <c r="AD237" s="529"/>
      <c r="AE237" s="529"/>
      <c r="AF237" s="529"/>
      <c r="AG237" s="529"/>
      <c r="AH237" s="529"/>
      <c r="AI237" s="529"/>
      <c r="AJ237" s="529"/>
      <c r="AK237" s="529"/>
      <c r="AL237" s="529"/>
      <c r="AM237" s="529"/>
      <c r="AN237" s="529"/>
      <c r="AO237" s="529"/>
    </row>
    <row r="238">
      <c r="A238" s="856" t="s">
        <v>1411</v>
      </c>
      <c r="G238" s="529"/>
      <c r="H238" s="529"/>
      <c r="I238" s="529"/>
      <c r="J238" s="529"/>
      <c r="K238" s="529"/>
      <c r="L238" s="529"/>
      <c r="M238" s="529"/>
      <c r="N238" s="529"/>
      <c r="O238" s="529"/>
      <c r="P238" s="529"/>
      <c r="Q238" s="529"/>
      <c r="R238" s="529"/>
      <c r="S238" s="529"/>
      <c r="T238" s="529"/>
      <c r="U238" s="529"/>
      <c r="V238" s="529"/>
      <c r="W238" s="529"/>
      <c r="X238" s="529"/>
      <c r="Y238" s="529"/>
      <c r="Z238" s="529"/>
      <c r="AA238" s="529"/>
      <c r="AB238" s="529"/>
      <c r="AC238" s="529"/>
      <c r="AD238" s="529"/>
      <c r="AE238" s="529"/>
      <c r="AF238" s="529"/>
      <c r="AG238" s="529"/>
      <c r="AH238" s="529"/>
      <c r="AI238" s="529"/>
      <c r="AJ238" s="529"/>
      <c r="AK238" s="529"/>
      <c r="AL238" s="529"/>
      <c r="AM238" s="529"/>
      <c r="AN238" s="529"/>
      <c r="AO238" s="529"/>
    </row>
    <row r="239">
      <c r="A239" s="871" t="s">
        <v>1399</v>
      </c>
      <c r="B239" s="861" t="s">
        <v>1386</v>
      </c>
      <c r="G239" s="529"/>
      <c r="H239" s="529"/>
      <c r="I239" s="529"/>
      <c r="J239" s="529"/>
      <c r="K239" s="529"/>
      <c r="L239" s="529"/>
      <c r="M239" s="529"/>
      <c r="N239" s="529"/>
      <c r="O239" s="529"/>
      <c r="P239" s="529"/>
      <c r="Q239" s="529"/>
      <c r="R239" s="529"/>
      <c r="S239" s="529"/>
      <c r="T239" s="529"/>
      <c r="U239" s="529"/>
      <c r="V239" s="529"/>
      <c r="W239" s="529"/>
      <c r="X239" s="529"/>
      <c r="Y239" s="529"/>
      <c r="Z239" s="529"/>
      <c r="AA239" s="529"/>
      <c r="AB239" s="529"/>
      <c r="AC239" s="529"/>
      <c r="AD239" s="529"/>
      <c r="AE239" s="529"/>
      <c r="AF239" s="529"/>
      <c r="AG239" s="529"/>
      <c r="AH239" s="529"/>
      <c r="AI239" s="529"/>
      <c r="AJ239" s="529"/>
      <c r="AK239" s="529"/>
      <c r="AL239" s="529"/>
      <c r="AM239" s="529"/>
      <c r="AN239" s="529"/>
      <c r="AO239" s="529"/>
    </row>
    <row r="240">
      <c r="B240" s="862" t="s">
        <v>1387</v>
      </c>
      <c r="G240" s="529"/>
      <c r="H240" s="529"/>
      <c r="I240" s="529"/>
      <c r="J240" s="529"/>
      <c r="K240" s="529"/>
      <c r="L240" s="529"/>
      <c r="M240" s="529"/>
      <c r="N240" s="529"/>
      <c r="O240" s="529"/>
      <c r="P240" s="529"/>
      <c r="Q240" s="529"/>
      <c r="R240" s="529"/>
      <c r="S240" s="529"/>
      <c r="T240" s="529"/>
      <c r="U240" s="529"/>
      <c r="V240" s="529"/>
      <c r="W240" s="529"/>
      <c r="X240" s="529"/>
      <c r="Y240" s="529"/>
      <c r="Z240" s="529"/>
      <c r="AA240" s="529"/>
      <c r="AB240" s="529"/>
      <c r="AC240" s="529"/>
      <c r="AD240" s="529"/>
      <c r="AE240" s="529"/>
      <c r="AF240" s="529"/>
      <c r="AG240" s="529"/>
      <c r="AH240" s="529"/>
      <c r="AI240" s="529"/>
      <c r="AJ240" s="529"/>
      <c r="AK240" s="529"/>
      <c r="AL240" s="529"/>
      <c r="AM240" s="529"/>
      <c r="AN240" s="529"/>
      <c r="AO240" s="529"/>
    </row>
    <row r="241">
      <c r="B241" s="862" t="s">
        <v>1388</v>
      </c>
      <c r="G241" s="529"/>
      <c r="H241" s="529"/>
      <c r="I241" s="529"/>
      <c r="J241" s="529"/>
      <c r="K241" s="529"/>
      <c r="L241" s="529"/>
      <c r="M241" s="529"/>
      <c r="N241" s="529"/>
      <c r="O241" s="529"/>
      <c r="P241" s="529"/>
      <c r="Q241" s="529"/>
      <c r="R241" s="529"/>
      <c r="S241" s="529"/>
      <c r="T241" s="529"/>
      <c r="U241" s="529"/>
      <c r="V241" s="529"/>
      <c r="W241" s="529"/>
      <c r="X241" s="529"/>
      <c r="Y241" s="529"/>
      <c r="Z241" s="529"/>
      <c r="AA241" s="529"/>
      <c r="AB241" s="529"/>
      <c r="AC241" s="529"/>
      <c r="AD241" s="529"/>
      <c r="AE241" s="529"/>
      <c r="AF241" s="529"/>
      <c r="AG241" s="529"/>
      <c r="AH241" s="529"/>
      <c r="AI241" s="529"/>
      <c r="AJ241" s="529"/>
      <c r="AK241" s="529"/>
      <c r="AL241" s="529"/>
      <c r="AM241" s="529"/>
      <c r="AN241" s="529"/>
      <c r="AO241" s="529"/>
    </row>
    <row r="242">
      <c r="B242" s="862" t="s">
        <v>1389</v>
      </c>
      <c r="G242" s="529"/>
      <c r="H242" s="529"/>
      <c r="I242" s="529"/>
      <c r="J242" s="529"/>
      <c r="K242" s="529"/>
      <c r="L242" s="529"/>
      <c r="M242" s="529"/>
      <c r="N242" s="529"/>
      <c r="O242" s="529"/>
      <c r="P242" s="529"/>
      <c r="Q242" s="529"/>
      <c r="R242" s="529"/>
      <c r="S242" s="529"/>
      <c r="T242" s="529"/>
      <c r="U242" s="529"/>
      <c r="V242" s="529"/>
      <c r="W242" s="529"/>
      <c r="X242" s="529"/>
      <c r="Y242" s="529"/>
      <c r="Z242" s="529"/>
      <c r="AA242" s="529"/>
      <c r="AB242" s="529"/>
      <c r="AC242" s="529"/>
      <c r="AD242" s="529"/>
      <c r="AE242" s="529"/>
      <c r="AF242" s="529"/>
      <c r="AG242" s="529"/>
      <c r="AH242" s="529"/>
      <c r="AI242" s="529"/>
      <c r="AJ242" s="529"/>
      <c r="AK242" s="529"/>
      <c r="AL242" s="529"/>
      <c r="AM242" s="529"/>
      <c r="AN242" s="529"/>
      <c r="AO242" s="529"/>
    </row>
    <row r="243">
      <c r="B243" s="865" t="s">
        <v>1390</v>
      </c>
      <c r="G243" s="529"/>
      <c r="H243" s="529"/>
      <c r="I243" s="529"/>
      <c r="J243" s="529"/>
      <c r="K243" s="529"/>
      <c r="L243" s="529"/>
      <c r="M243" s="529"/>
      <c r="N243" s="529"/>
      <c r="O243" s="529"/>
      <c r="P243" s="529"/>
      <c r="Q243" s="529"/>
      <c r="R243" s="529"/>
      <c r="S243" s="529"/>
      <c r="T243" s="529"/>
      <c r="U243" s="529"/>
      <c r="V243" s="529"/>
      <c r="W243" s="529"/>
      <c r="X243" s="529"/>
      <c r="Y243" s="529"/>
      <c r="Z243" s="529"/>
      <c r="AA243" s="529"/>
      <c r="AB243" s="529"/>
      <c r="AC243" s="529"/>
      <c r="AD243" s="529"/>
      <c r="AE243" s="529"/>
      <c r="AF243" s="529"/>
      <c r="AG243" s="529"/>
      <c r="AH243" s="529"/>
      <c r="AI243" s="529"/>
      <c r="AJ243" s="529"/>
      <c r="AK243" s="529"/>
      <c r="AL243" s="529"/>
      <c r="AM243" s="529"/>
      <c r="AN243" s="529"/>
      <c r="AO243" s="529"/>
    </row>
    <row r="244">
      <c r="B244" s="865" t="s">
        <v>1391</v>
      </c>
      <c r="G244" s="529"/>
      <c r="H244" s="529"/>
      <c r="I244" s="529"/>
      <c r="J244" s="529"/>
      <c r="K244" s="529"/>
      <c r="L244" s="529"/>
      <c r="M244" s="529"/>
      <c r="N244" s="529"/>
      <c r="O244" s="529"/>
      <c r="P244" s="529"/>
      <c r="Q244" s="529"/>
      <c r="R244" s="529"/>
      <c r="S244" s="529"/>
      <c r="T244" s="529"/>
      <c r="U244" s="529"/>
      <c r="V244" s="529"/>
      <c r="W244" s="529"/>
      <c r="X244" s="529"/>
      <c r="Y244" s="529"/>
      <c r="Z244" s="529"/>
      <c r="AA244" s="529"/>
      <c r="AB244" s="529"/>
      <c r="AC244" s="529"/>
      <c r="AD244" s="529"/>
      <c r="AE244" s="529"/>
      <c r="AF244" s="529"/>
      <c r="AG244" s="529"/>
      <c r="AH244" s="529"/>
      <c r="AI244" s="529"/>
      <c r="AJ244" s="529"/>
      <c r="AK244" s="529"/>
      <c r="AL244" s="529"/>
      <c r="AM244" s="529"/>
      <c r="AN244" s="529"/>
      <c r="AO244" s="529"/>
    </row>
    <row r="245">
      <c r="B245" s="862" t="s">
        <v>1392</v>
      </c>
      <c r="G245" s="529"/>
      <c r="H245" s="529"/>
      <c r="I245" s="529"/>
      <c r="J245" s="529"/>
      <c r="K245" s="529"/>
      <c r="L245" s="529"/>
      <c r="M245" s="529"/>
      <c r="N245" s="529"/>
      <c r="O245" s="529"/>
      <c r="P245" s="529"/>
      <c r="Q245" s="529"/>
      <c r="R245" s="529"/>
      <c r="S245" s="529"/>
      <c r="T245" s="529"/>
      <c r="U245" s="529"/>
      <c r="V245" s="529"/>
      <c r="W245" s="529"/>
      <c r="X245" s="529"/>
      <c r="Y245" s="529"/>
      <c r="Z245" s="529"/>
      <c r="AA245" s="529"/>
      <c r="AB245" s="529"/>
      <c r="AC245" s="529"/>
      <c r="AD245" s="529"/>
      <c r="AE245" s="529"/>
      <c r="AF245" s="529"/>
      <c r="AG245" s="529"/>
      <c r="AH245" s="529"/>
      <c r="AI245" s="529"/>
      <c r="AJ245" s="529"/>
      <c r="AK245" s="529"/>
      <c r="AL245" s="529"/>
      <c r="AM245" s="529"/>
      <c r="AN245" s="529"/>
      <c r="AO245" s="529"/>
    </row>
    <row r="246">
      <c r="B246" s="862" t="s">
        <v>1393</v>
      </c>
      <c r="G246" s="529"/>
      <c r="H246" s="529"/>
      <c r="I246" s="529"/>
      <c r="J246" s="529"/>
      <c r="K246" s="529"/>
      <c r="L246" s="529"/>
      <c r="M246" s="529"/>
      <c r="N246" s="529"/>
      <c r="O246" s="529"/>
      <c r="P246" s="529"/>
      <c r="Q246" s="529"/>
      <c r="R246" s="529"/>
      <c r="S246" s="529"/>
      <c r="T246" s="529"/>
      <c r="U246" s="529"/>
      <c r="V246" s="529"/>
      <c r="W246" s="529"/>
      <c r="X246" s="529"/>
      <c r="Y246" s="529"/>
      <c r="Z246" s="529"/>
      <c r="AA246" s="529"/>
      <c r="AB246" s="529"/>
      <c r="AC246" s="529"/>
      <c r="AD246" s="529"/>
      <c r="AE246" s="529"/>
      <c r="AF246" s="529"/>
      <c r="AG246" s="529"/>
      <c r="AH246" s="529"/>
      <c r="AI246" s="529"/>
      <c r="AJ246" s="529"/>
      <c r="AK246" s="529"/>
      <c r="AL246" s="529"/>
      <c r="AM246" s="529"/>
      <c r="AN246" s="529"/>
      <c r="AO246" s="529"/>
    </row>
    <row r="247">
      <c r="B247" s="862" t="s">
        <v>1394</v>
      </c>
      <c r="G247" s="529"/>
      <c r="H247" s="529"/>
      <c r="I247" s="529"/>
      <c r="J247" s="529"/>
      <c r="K247" s="529"/>
      <c r="L247" s="529"/>
      <c r="M247" s="529"/>
      <c r="N247" s="529"/>
      <c r="O247" s="529"/>
      <c r="P247" s="529"/>
      <c r="Q247" s="529"/>
      <c r="R247" s="529"/>
      <c r="S247" s="529"/>
      <c r="T247" s="529"/>
      <c r="U247" s="529"/>
      <c r="V247" s="529"/>
      <c r="W247" s="529"/>
      <c r="X247" s="529"/>
      <c r="Y247" s="529"/>
      <c r="Z247" s="529"/>
      <c r="AA247" s="529"/>
      <c r="AB247" s="529"/>
      <c r="AC247" s="529"/>
      <c r="AD247" s="529"/>
      <c r="AE247" s="529"/>
      <c r="AF247" s="529"/>
      <c r="AG247" s="529"/>
      <c r="AH247" s="529"/>
      <c r="AI247" s="529"/>
      <c r="AJ247" s="529"/>
      <c r="AK247" s="529"/>
      <c r="AL247" s="529"/>
      <c r="AM247" s="529"/>
      <c r="AN247" s="529"/>
      <c r="AO247" s="529"/>
    </row>
    <row r="248">
      <c r="A248" s="860" t="s">
        <v>1400</v>
      </c>
      <c r="B248" s="861" t="s">
        <v>1386</v>
      </c>
      <c r="G248" s="529"/>
      <c r="H248" s="529"/>
      <c r="I248" s="529"/>
      <c r="J248" s="529"/>
      <c r="K248" s="529"/>
      <c r="L248" s="529"/>
      <c r="M248" s="529"/>
      <c r="N248" s="529"/>
      <c r="O248" s="529"/>
      <c r="P248" s="529"/>
      <c r="Q248" s="529"/>
      <c r="R248" s="529"/>
      <c r="S248" s="529"/>
      <c r="T248" s="529"/>
      <c r="U248" s="529"/>
      <c r="V248" s="529"/>
      <c r="W248" s="529"/>
      <c r="X248" s="529"/>
      <c r="Y248" s="529"/>
      <c r="Z248" s="529"/>
      <c r="AA248" s="529"/>
      <c r="AB248" s="529"/>
      <c r="AC248" s="529"/>
      <c r="AD248" s="529"/>
      <c r="AE248" s="529"/>
      <c r="AF248" s="529"/>
      <c r="AG248" s="529"/>
      <c r="AH248" s="529"/>
      <c r="AI248" s="529"/>
      <c r="AJ248" s="529"/>
      <c r="AK248" s="529"/>
      <c r="AL248" s="529"/>
      <c r="AM248" s="529"/>
      <c r="AN248" s="529"/>
      <c r="AO248" s="529"/>
    </row>
    <row r="249">
      <c r="B249" s="862" t="s">
        <v>1387</v>
      </c>
      <c r="G249" s="529"/>
      <c r="H249" s="529"/>
      <c r="I249" s="529"/>
      <c r="J249" s="529"/>
      <c r="K249" s="529"/>
      <c r="L249" s="529"/>
      <c r="M249" s="529"/>
      <c r="N249" s="529"/>
      <c r="O249" s="529"/>
      <c r="P249" s="529"/>
      <c r="Q249" s="529"/>
      <c r="R249" s="529"/>
      <c r="S249" s="529"/>
      <c r="T249" s="529"/>
      <c r="U249" s="529"/>
      <c r="V249" s="529"/>
      <c r="W249" s="529"/>
      <c r="X249" s="529"/>
      <c r="Y249" s="529"/>
      <c r="Z249" s="529"/>
      <c r="AA249" s="529"/>
      <c r="AB249" s="529"/>
      <c r="AC249" s="529"/>
      <c r="AD249" s="529"/>
      <c r="AE249" s="529"/>
      <c r="AF249" s="529"/>
      <c r="AG249" s="529"/>
      <c r="AH249" s="529"/>
      <c r="AI249" s="529"/>
      <c r="AJ249" s="529"/>
      <c r="AK249" s="529"/>
      <c r="AL249" s="529"/>
      <c r="AM249" s="529"/>
      <c r="AN249" s="529"/>
      <c r="AO249" s="529"/>
    </row>
    <row r="250">
      <c r="B250" s="862" t="s">
        <v>1388</v>
      </c>
      <c r="G250" s="529"/>
      <c r="H250" s="529"/>
      <c r="I250" s="529"/>
      <c r="J250" s="529"/>
      <c r="K250" s="529"/>
      <c r="L250" s="529"/>
      <c r="M250" s="529"/>
      <c r="N250" s="529"/>
      <c r="O250" s="529"/>
      <c r="P250" s="529"/>
      <c r="Q250" s="529"/>
      <c r="R250" s="529"/>
      <c r="S250" s="529"/>
      <c r="T250" s="529"/>
      <c r="U250" s="529"/>
      <c r="V250" s="529"/>
      <c r="W250" s="529"/>
      <c r="X250" s="529"/>
      <c r="Y250" s="529"/>
      <c r="Z250" s="529"/>
      <c r="AA250" s="529"/>
      <c r="AB250" s="529"/>
      <c r="AC250" s="529"/>
      <c r="AD250" s="529"/>
      <c r="AE250" s="529"/>
      <c r="AF250" s="529"/>
      <c r="AG250" s="529"/>
      <c r="AH250" s="529"/>
      <c r="AI250" s="529"/>
      <c r="AJ250" s="529"/>
      <c r="AK250" s="529"/>
      <c r="AL250" s="529"/>
      <c r="AM250" s="529"/>
      <c r="AN250" s="529"/>
      <c r="AO250" s="529"/>
    </row>
    <row r="251">
      <c r="B251" s="862" t="s">
        <v>1389</v>
      </c>
      <c r="G251" s="529"/>
      <c r="H251" s="529"/>
      <c r="I251" s="529"/>
      <c r="J251" s="529"/>
      <c r="K251" s="529"/>
      <c r="L251" s="529"/>
      <c r="M251" s="529"/>
      <c r="N251" s="529"/>
      <c r="O251" s="529"/>
      <c r="P251" s="529"/>
      <c r="Q251" s="529"/>
      <c r="R251" s="529"/>
      <c r="S251" s="529"/>
      <c r="T251" s="529"/>
      <c r="U251" s="529"/>
      <c r="V251" s="529"/>
      <c r="W251" s="529"/>
      <c r="X251" s="529"/>
      <c r="Y251" s="529"/>
      <c r="Z251" s="529"/>
      <c r="AA251" s="529"/>
      <c r="AB251" s="529"/>
      <c r="AC251" s="529"/>
      <c r="AD251" s="529"/>
      <c r="AE251" s="529"/>
      <c r="AF251" s="529"/>
      <c r="AG251" s="529"/>
      <c r="AH251" s="529"/>
      <c r="AI251" s="529"/>
      <c r="AJ251" s="529"/>
      <c r="AK251" s="529"/>
      <c r="AL251" s="529"/>
      <c r="AM251" s="529"/>
      <c r="AN251" s="529"/>
      <c r="AO251" s="529"/>
    </row>
    <row r="252">
      <c r="B252" s="865" t="s">
        <v>1390</v>
      </c>
      <c r="G252" s="529"/>
      <c r="H252" s="529"/>
      <c r="I252" s="529"/>
      <c r="J252" s="529"/>
      <c r="K252" s="529"/>
      <c r="L252" s="529"/>
      <c r="M252" s="529"/>
      <c r="N252" s="529"/>
      <c r="O252" s="529"/>
      <c r="P252" s="529"/>
      <c r="Q252" s="529"/>
      <c r="R252" s="529"/>
      <c r="S252" s="529"/>
      <c r="T252" s="529"/>
      <c r="U252" s="529"/>
      <c r="V252" s="529"/>
      <c r="W252" s="529"/>
      <c r="X252" s="529"/>
      <c r="Y252" s="529"/>
      <c r="Z252" s="529"/>
      <c r="AA252" s="529"/>
      <c r="AB252" s="529"/>
      <c r="AC252" s="529"/>
      <c r="AD252" s="529"/>
      <c r="AE252" s="529"/>
      <c r="AF252" s="529"/>
      <c r="AG252" s="529"/>
      <c r="AH252" s="529"/>
      <c r="AI252" s="529"/>
      <c r="AJ252" s="529"/>
      <c r="AK252" s="529"/>
      <c r="AL252" s="529"/>
      <c r="AM252" s="529"/>
      <c r="AN252" s="529"/>
      <c r="AO252" s="529"/>
    </row>
    <row r="253">
      <c r="B253" s="865" t="s">
        <v>1391</v>
      </c>
      <c r="G253" s="529"/>
      <c r="H253" s="529"/>
      <c r="I253" s="529"/>
      <c r="J253" s="529"/>
      <c r="K253" s="529"/>
      <c r="L253" s="529"/>
      <c r="M253" s="529"/>
      <c r="N253" s="529"/>
      <c r="O253" s="529"/>
      <c r="P253" s="529"/>
      <c r="Q253" s="529"/>
      <c r="R253" s="529"/>
      <c r="S253" s="529"/>
      <c r="T253" s="529"/>
      <c r="U253" s="529"/>
      <c r="V253" s="529"/>
      <c r="W253" s="529"/>
      <c r="X253" s="529"/>
      <c r="Y253" s="529"/>
      <c r="Z253" s="529"/>
      <c r="AA253" s="529"/>
      <c r="AB253" s="529"/>
      <c r="AC253" s="529"/>
      <c r="AD253" s="529"/>
      <c r="AE253" s="529"/>
      <c r="AF253" s="529"/>
      <c r="AG253" s="529"/>
      <c r="AH253" s="529"/>
      <c r="AI253" s="529"/>
      <c r="AJ253" s="529"/>
      <c r="AK253" s="529"/>
      <c r="AL253" s="529"/>
      <c r="AM253" s="529"/>
      <c r="AN253" s="529"/>
      <c r="AO253" s="529"/>
    </row>
    <row r="254">
      <c r="B254" s="862" t="s">
        <v>1392</v>
      </c>
      <c r="G254" s="529"/>
      <c r="H254" s="529"/>
      <c r="I254" s="529"/>
      <c r="J254" s="529"/>
      <c r="K254" s="529"/>
      <c r="L254" s="529"/>
      <c r="M254" s="529"/>
      <c r="N254" s="529"/>
      <c r="O254" s="529"/>
      <c r="P254" s="529"/>
      <c r="Q254" s="529"/>
      <c r="R254" s="529"/>
      <c r="S254" s="529"/>
      <c r="T254" s="529"/>
      <c r="U254" s="529"/>
      <c r="V254" s="529"/>
      <c r="W254" s="529"/>
      <c r="X254" s="529"/>
      <c r="Y254" s="529"/>
      <c r="Z254" s="529"/>
      <c r="AA254" s="529"/>
      <c r="AB254" s="529"/>
      <c r="AC254" s="529"/>
      <c r="AD254" s="529"/>
      <c r="AE254" s="529"/>
      <c r="AF254" s="529"/>
      <c r="AG254" s="529"/>
      <c r="AH254" s="529"/>
      <c r="AI254" s="529"/>
      <c r="AJ254" s="529"/>
      <c r="AK254" s="529"/>
      <c r="AL254" s="529"/>
      <c r="AM254" s="529"/>
      <c r="AN254" s="529"/>
      <c r="AO254" s="529"/>
    </row>
    <row r="255">
      <c r="B255" s="862" t="s">
        <v>1393</v>
      </c>
      <c r="G255" s="529"/>
      <c r="H255" s="529"/>
      <c r="I255" s="529"/>
      <c r="J255" s="529"/>
      <c r="K255" s="529"/>
      <c r="L255" s="529"/>
      <c r="M255" s="529"/>
      <c r="N255" s="529"/>
      <c r="O255" s="529"/>
      <c r="P255" s="529"/>
      <c r="Q255" s="529"/>
      <c r="R255" s="529"/>
      <c r="S255" s="529"/>
      <c r="T255" s="529"/>
      <c r="U255" s="529"/>
      <c r="V255" s="529"/>
      <c r="W255" s="529"/>
      <c r="X255" s="529"/>
      <c r="Y255" s="529"/>
      <c r="Z255" s="529"/>
      <c r="AA255" s="529"/>
      <c r="AB255" s="529"/>
      <c r="AC255" s="529"/>
      <c r="AD255" s="529"/>
      <c r="AE255" s="529"/>
      <c r="AF255" s="529"/>
      <c r="AG255" s="529"/>
      <c r="AH255" s="529"/>
      <c r="AI255" s="529"/>
      <c r="AJ255" s="529"/>
      <c r="AK255" s="529"/>
      <c r="AL255" s="529"/>
      <c r="AM255" s="529"/>
      <c r="AN255" s="529"/>
      <c r="AO255" s="529"/>
    </row>
    <row r="256">
      <c r="B256" s="862" t="s">
        <v>1394</v>
      </c>
      <c r="G256" s="529"/>
      <c r="H256" s="529"/>
      <c r="I256" s="529"/>
      <c r="J256" s="529"/>
      <c r="K256" s="529"/>
      <c r="L256" s="529"/>
      <c r="M256" s="529"/>
      <c r="N256" s="529"/>
      <c r="O256" s="529"/>
      <c r="P256" s="529"/>
      <c r="Q256" s="529"/>
      <c r="R256" s="529"/>
      <c r="S256" s="529"/>
      <c r="T256" s="529"/>
      <c r="U256" s="529"/>
      <c r="V256" s="529"/>
      <c r="W256" s="529"/>
      <c r="X256" s="529"/>
      <c r="Y256" s="529"/>
      <c r="Z256" s="529"/>
      <c r="AA256" s="529"/>
      <c r="AB256" s="529"/>
      <c r="AC256" s="529"/>
      <c r="AD256" s="529"/>
      <c r="AE256" s="529"/>
      <c r="AF256" s="529"/>
      <c r="AG256" s="529"/>
      <c r="AH256" s="529"/>
      <c r="AI256" s="529"/>
      <c r="AJ256" s="529"/>
      <c r="AK256" s="529"/>
      <c r="AL256" s="529"/>
      <c r="AM256" s="529"/>
      <c r="AN256" s="529"/>
      <c r="AO256" s="529"/>
    </row>
    <row r="257">
      <c r="A257" s="860" t="s">
        <v>1401</v>
      </c>
      <c r="B257" s="861" t="s">
        <v>1386</v>
      </c>
      <c r="G257" s="529"/>
      <c r="H257" s="529"/>
      <c r="I257" s="529"/>
      <c r="J257" s="529"/>
      <c r="K257" s="529"/>
      <c r="L257" s="529"/>
      <c r="M257" s="529"/>
      <c r="N257" s="529"/>
      <c r="O257" s="529"/>
      <c r="P257" s="529"/>
      <c r="Q257" s="529"/>
      <c r="R257" s="529"/>
      <c r="S257" s="529"/>
      <c r="T257" s="529"/>
      <c r="U257" s="529"/>
      <c r="V257" s="529"/>
      <c r="W257" s="529"/>
      <c r="X257" s="529"/>
      <c r="Y257" s="529"/>
      <c r="Z257" s="529"/>
      <c r="AA257" s="529"/>
      <c r="AB257" s="529"/>
      <c r="AC257" s="529"/>
      <c r="AD257" s="529"/>
      <c r="AE257" s="529"/>
      <c r="AF257" s="529"/>
      <c r="AG257" s="529"/>
      <c r="AH257" s="529"/>
      <c r="AI257" s="529"/>
      <c r="AJ257" s="529"/>
      <c r="AK257" s="529"/>
      <c r="AL257" s="529"/>
      <c r="AM257" s="529"/>
      <c r="AN257" s="529"/>
      <c r="AO257" s="529"/>
    </row>
    <row r="258">
      <c r="B258" s="862" t="s">
        <v>1387</v>
      </c>
      <c r="G258" s="529"/>
      <c r="H258" s="529"/>
      <c r="I258" s="529"/>
      <c r="J258" s="529"/>
      <c r="K258" s="529"/>
      <c r="L258" s="529"/>
      <c r="M258" s="529"/>
      <c r="N258" s="529"/>
      <c r="O258" s="529"/>
      <c r="P258" s="529"/>
      <c r="Q258" s="529"/>
      <c r="R258" s="529"/>
      <c r="S258" s="529"/>
      <c r="T258" s="529"/>
      <c r="U258" s="529"/>
      <c r="V258" s="529"/>
      <c r="W258" s="529"/>
      <c r="X258" s="529"/>
      <c r="Y258" s="529"/>
      <c r="Z258" s="529"/>
      <c r="AA258" s="529"/>
      <c r="AB258" s="529"/>
      <c r="AC258" s="529"/>
      <c r="AD258" s="529"/>
      <c r="AE258" s="529"/>
      <c r="AF258" s="529"/>
      <c r="AG258" s="529"/>
      <c r="AH258" s="529"/>
      <c r="AI258" s="529"/>
      <c r="AJ258" s="529"/>
      <c r="AK258" s="529"/>
      <c r="AL258" s="529"/>
      <c r="AM258" s="529"/>
      <c r="AN258" s="529"/>
      <c r="AO258" s="529"/>
    </row>
    <row r="259">
      <c r="B259" s="862" t="s">
        <v>1388</v>
      </c>
      <c r="G259" s="529"/>
      <c r="H259" s="529"/>
      <c r="I259" s="529"/>
      <c r="J259" s="529"/>
      <c r="K259" s="529"/>
      <c r="L259" s="529"/>
      <c r="M259" s="529"/>
      <c r="N259" s="529"/>
      <c r="O259" s="529"/>
      <c r="P259" s="529"/>
      <c r="Q259" s="529"/>
      <c r="R259" s="529"/>
      <c r="S259" s="529"/>
      <c r="T259" s="529"/>
      <c r="U259" s="529"/>
      <c r="V259" s="529"/>
      <c r="W259" s="529"/>
      <c r="X259" s="529"/>
      <c r="Y259" s="529"/>
      <c r="Z259" s="529"/>
      <c r="AA259" s="529"/>
      <c r="AB259" s="529"/>
      <c r="AC259" s="529"/>
      <c r="AD259" s="529"/>
      <c r="AE259" s="529"/>
      <c r="AF259" s="529"/>
      <c r="AG259" s="529"/>
      <c r="AH259" s="529"/>
      <c r="AI259" s="529"/>
      <c r="AJ259" s="529"/>
      <c r="AK259" s="529"/>
      <c r="AL259" s="529"/>
      <c r="AM259" s="529"/>
      <c r="AN259" s="529"/>
      <c r="AO259" s="529"/>
    </row>
    <row r="260">
      <c r="B260" s="862" t="s">
        <v>1389</v>
      </c>
      <c r="G260" s="529"/>
      <c r="H260" s="529"/>
      <c r="I260" s="529"/>
      <c r="J260" s="529"/>
      <c r="K260" s="529"/>
      <c r="L260" s="529"/>
      <c r="M260" s="529"/>
      <c r="N260" s="529"/>
      <c r="O260" s="529"/>
      <c r="P260" s="529"/>
      <c r="Q260" s="529"/>
      <c r="R260" s="529"/>
      <c r="S260" s="529"/>
      <c r="T260" s="529"/>
      <c r="U260" s="529"/>
      <c r="V260" s="529"/>
      <c r="W260" s="529"/>
      <c r="X260" s="529"/>
      <c r="Y260" s="529"/>
      <c r="Z260" s="529"/>
      <c r="AA260" s="529"/>
      <c r="AB260" s="529"/>
      <c r="AC260" s="529"/>
      <c r="AD260" s="529"/>
      <c r="AE260" s="529"/>
      <c r="AF260" s="529"/>
      <c r="AG260" s="529"/>
      <c r="AH260" s="529"/>
      <c r="AI260" s="529"/>
      <c r="AJ260" s="529"/>
      <c r="AK260" s="529"/>
      <c r="AL260" s="529"/>
      <c r="AM260" s="529"/>
      <c r="AN260" s="529"/>
      <c r="AO260" s="529"/>
    </row>
    <row r="261">
      <c r="B261" s="865" t="s">
        <v>1390</v>
      </c>
      <c r="G261" s="529"/>
      <c r="H261" s="529"/>
      <c r="I261" s="529"/>
      <c r="J261" s="529"/>
      <c r="K261" s="529"/>
      <c r="L261" s="529"/>
      <c r="M261" s="529"/>
      <c r="N261" s="529"/>
      <c r="O261" s="529"/>
      <c r="P261" s="529"/>
      <c r="Q261" s="529"/>
      <c r="R261" s="529"/>
      <c r="S261" s="529"/>
      <c r="T261" s="529"/>
      <c r="U261" s="529"/>
      <c r="V261" s="529"/>
      <c r="W261" s="529"/>
      <c r="X261" s="529"/>
      <c r="Y261" s="529"/>
      <c r="Z261" s="529"/>
      <c r="AA261" s="529"/>
      <c r="AB261" s="529"/>
      <c r="AC261" s="529"/>
      <c r="AD261" s="529"/>
      <c r="AE261" s="529"/>
      <c r="AF261" s="529"/>
      <c r="AG261" s="529"/>
      <c r="AH261" s="529"/>
      <c r="AI261" s="529"/>
      <c r="AJ261" s="529"/>
      <c r="AK261" s="529"/>
      <c r="AL261" s="529"/>
      <c r="AM261" s="529"/>
      <c r="AN261" s="529"/>
      <c r="AO261" s="529"/>
    </row>
    <row r="262">
      <c r="B262" s="865" t="s">
        <v>1391</v>
      </c>
      <c r="G262" s="529"/>
      <c r="H262" s="529"/>
      <c r="I262" s="529"/>
      <c r="J262" s="529"/>
      <c r="K262" s="529"/>
      <c r="L262" s="529"/>
      <c r="M262" s="529"/>
      <c r="N262" s="529"/>
      <c r="O262" s="529"/>
      <c r="P262" s="529"/>
      <c r="Q262" s="529"/>
      <c r="R262" s="529"/>
      <c r="S262" s="529"/>
      <c r="T262" s="529"/>
      <c r="U262" s="529"/>
      <c r="V262" s="529"/>
      <c r="W262" s="529"/>
      <c r="X262" s="529"/>
      <c r="Y262" s="529"/>
      <c r="Z262" s="529"/>
      <c r="AA262" s="529"/>
      <c r="AB262" s="529"/>
      <c r="AC262" s="529"/>
      <c r="AD262" s="529"/>
      <c r="AE262" s="529"/>
      <c r="AF262" s="529"/>
      <c r="AG262" s="529"/>
      <c r="AH262" s="529"/>
      <c r="AI262" s="529"/>
      <c r="AJ262" s="529"/>
      <c r="AK262" s="529"/>
      <c r="AL262" s="529"/>
      <c r="AM262" s="529"/>
      <c r="AN262" s="529"/>
      <c r="AO262" s="529"/>
    </row>
    <row r="263">
      <c r="B263" s="862" t="s">
        <v>1392</v>
      </c>
      <c r="G263" s="529"/>
      <c r="H263" s="529"/>
      <c r="I263" s="529"/>
      <c r="J263" s="529"/>
      <c r="K263" s="529"/>
      <c r="L263" s="529"/>
      <c r="M263" s="529"/>
      <c r="N263" s="529"/>
      <c r="O263" s="529"/>
      <c r="P263" s="529"/>
      <c r="Q263" s="529"/>
      <c r="R263" s="529"/>
      <c r="S263" s="529"/>
      <c r="T263" s="529"/>
      <c r="U263" s="529"/>
      <c r="V263" s="529"/>
      <c r="W263" s="529"/>
      <c r="X263" s="529"/>
      <c r="Y263" s="529"/>
      <c r="Z263" s="529"/>
      <c r="AA263" s="529"/>
      <c r="AB263" s="529"/>
      <c r="AC263" s="529"/>
      <c r="AD263" s="529"/>
      <c r="AE263" s="529"/>
      <c r="AF263" s="529"/>
      <c r="AG263" s="529"/>
      <c r="AH263" s="529"/>
      <c r="AI263" s="529"/>
      <c r="AJ263" s="529"/>
      <c r="AK263" s="529"/>
      <c r="AL263" s="529"/>
      <c r="AM263" s="529"/>
      <c r="AN263" s="529"/>
      <c r="AO263" s="529"/>
    </row>
    <row r="264">
      <c r="B264" s="862" t="s">
        <v>1393</v>
      </c>
      <c r="G264" s="529"/>
      <c r="H264" s="529"/>
      <c r="I264" s="529"/>
      <c r="J264" s="529"/>
      <c r="K264" s="529"/>
      <c r="L264" s="529"/>
      <c r="M264" s="529"/>
      <c r="N264" s="529"/>
      <c r="O264" s="529"/>
      <c r="P264" s="529"/>
      <c r="Q264" s="529"/>
      <c r="R264" s="529"/>
      <c r="S264" s="529"/>
      <c r="T264" s="529"/>
      <c r="U264" s="529"/>
      <c r="V264" s="529"/>
      <c r="W264" s="529"/>
      <c r="X264" s="529"/>
      <c r="Y264" s="529"/>
      <c r="Z264" s="529"/>
      <c r="AA264" s="529"/>
      <c r="AB264" s="529"/>
      <c r="AC264" s="529"/>
      <c r="AD264" s="529"/>
      <c r="AE264" s="529"/>
      <c r="AF264" s="529"/>
      <c r="AG264" s="529"/>
      <c r="AH264" s="529"/>
      <c r="AI264" s="529"/>
      <c r="AJ264" s="529"/>
      <c r="AK264" s="529"/>
      <c r="AL264" s="529"/>
      <c r="AM264" s="529"/>
      <c r="AN264" s="529"/>
      <c r="AO264" s="529"/>
    </row>
    <row r="265">
      <c r="B265" s="862" t="s">
        <v>1394</v>
      </c>
      <c r="G265" s="529"/>
      <c r="H265" s="529"/>
      <c r="I265" s="529"/>
      <c r="J265" s="529"/>
      <c r="K265" s="529"/>
      <c r="L265" s="529"/>
      <c r="M265" s="529"/>
      <c r="N265" s="529"/>
      <c r="O265" s="529"/>
      <c r="P265" s="529"/>
      <c r="Q265" s="529"/>
      <c r="R265" s="529"/>
      <c r="S265" s="529"/>
      <c r="T265" s="529"/>
      <c r="U265" s="529"/>
      <c r="V265" s="529"/>
      <c r="W265" s="529"/>
      <c r="X265" s="529"/>
      <c r="Y265" s="529"/>
      <c r="Z265" s="529"/>
      <c r="AA265" s="529"/>
      <c r="AB265" s="529"/>
      <c r="AC265" s="529"/>
      <c r="AD265" s="529"/>
      <c r="AE265" s="529"/>
      <c r="AF265" s="529"/>
      <c r="AG265" s="529"/>
      <c r="AH265" s="529"/>
      <c r="AI265" s="529"/>
      <c r="AJ265" s="529"/>
      <c r="AK265" s="529"/>
      <c r="AL265" s="529"/>
      <c r="AM265" s="529"/>
      <c r="AN265" s="529"/>
      <c r="AO265" s="529"/>
    </row>
    <row r="266">
      <c r="A266" s="860" t="s">
        <v>1402</v>
      </c>
      <c r="B266" s="861" t="s">
        <v>1386</v>
      </c>
      <c r="G266" s="529"/>
      <c r="H266" s="529"/>
      <c r="I266" s="529"/>
      <c r="J266" s="529"/>
      <c r="K266" s="529"/>
      <c r="L266" s="529"/>
      <c r="M266" s="529"/>
      <c r="N266" s="529"/>
      <c r="O266" s="529"/>
      <c r="P266" s="529"/>
      <c r="Q266" s="529"/>
      <c r="R266" s="529"/>
      <c r="S266" s="529"/>
      <c r="T266" s="529"/>
      <c r="U266" s="529"/>
      <c r="V266" s="529"/>
      <c r="W266" s="529"/>
      <c r="X266" s="529"/>
      <c r="Y266" s="529"/>
      <c r="Z266" s="529"/>
      <c r="AA266" s="529"/>
      <c r="AB266" s="529"/>
      <c r="AC266" s="529"/>
      <c r="AD266" s="529"/>
      <c r="AE266" s="529"/>
      <c r="AF266" s="529"/>
      <c r="AG266" s="529"/>
      <c r="AH266" s="529"/>
      <c r="AI266" s="529"/>
      <c r="AJ266" s="529"/>
      <c r="AK266" s="529"/>
      <c r="AL266" s="529"/>
      <c r="AM266" s="529"/>
      <c r="AN266" s="529"/>
      <c r="AO266" s="529"/>
    </row>
    <row r="267">
      <c r="B267" s="862" t="s">
        <v>1387</v>
      </c>
      <c r="G267" s="529"/>
      <c r="H267" s="529"/>
      <c r="I267" s="529"/>
      <c r="J267" s="529"/>
      <c r="K267" s="529"/>
      <c r="L267" s="529"/>
      <c r="M267" s="529"/>
      <c r="N267" s="529"/>
      <c r="O267" s="529"/>
      <c r="P267" s="529"/>
      <c r="Q267" s="529"/>
      <c r="R267" s="529"/>
      <c r="S267" s="529"/>
      <c r="T267" s="529"/>
      <c r="U267" s="529"/>
      <c r="V267" s="529"/>
      <c r="W267" s="529"/>
      <c r="X267" s="529"/>
      <c r="Y267" s="529"/>
      <c r="Z267" s="529"/>
      <c r="AA267" s="529"/>
      <c r="AB267" s="529"/>
      <c r="AC267" s="529"/>
      <c r="AD267" s="529"/>
      <c r="AE267" s="529"/>
      <c r="AF267" s="529"/>
      <c r="AG267" s="529"/>
      <c r="AH267" s="529"/>
      <c r="AI267" s="529"/>
      <c r="AJ267" s="529"/>
      <c r="AK267" s="529"/>
      <c r="AL267" s="529"/>
      <c r="AM267" s="529"/>
      <c r="AN267" s="529"/>
      <c r="AO267" s="529"/>
    </row>
    <row r="268">
      <c r="B268" s="862" t="s">
        <v>1388</v>
      </c>
      <c r="G268" s="529"/>
      <c r="H268" s="529"/>
      <c r="I268" s="529"/>
      <c r="J268" s="529"/>
      <c r="K268" s="529"/>
      <c r="L268" s="529"/>
      <c r="M268" s="529"/>
      <c r="N268" s="529"/>
      <c r="O268" s="529"/>
      <c r="P268" s="529"/>
      <c r="Q268" s="529"/>
      <c r="R268" s="529"/>
      <c r="S268" s="529"/>
      <c r="T268" s="529"/>
      <c r="U268" s="529"/>
      <c r="V268" s="529"/>
      <c r="W268" s="529"/>
      <c r="X268" s="529"/>
      <c r="Y268" s="529"/>
      <c r="Z268" s="529"/>
      <c r="AA268" s="529"/>
      <c r="AB268" s="529"/>
      <c r="AC268" s="529"/>
      <c r="AD268" s="529"/>
      <c r="AE268" s="529"/>
      <c r="AF268" s="529"/>
      <c r="AG268" s="529"/>
      <c r="AH268" s="529"/>
      <c r="AI268" s="529"/>
      <c r="AJ268" s="529"/>
      <c r="AK268" s="529"/>
      <c r="AL268" s="529"/>
      <c r="AM268" s="529"/>
      <c r="AN268" s="529"/>
      <c r="AO268" s="529"/>
    </row>
    <row r="269">
      <c r="B269" s="862" t="s">
        <v>1389</v>
      </c>
      <c r="G269" s="529"/>
      <c r="H269" s="529"/>
      <c r="I269" s="529"/>
      <c r="J269" s="529"/>
      <c r="K269" s="529"/>
      <c r="L269" s="529"/>
      <c r="M269" s="529"/>
      <c r="N269" s="529"/>
      <c r="O269" s="529"/>
      <c r="P269" s="529"/>
      <c r="Q269" s="529"/>
      <c r="R269" s="529"/>
      <c r="S269" s="529"/>
      <c r="T269" s="529"/>
      <c r="U269" s="529"/>
      <c r="V269" s="529"/>
      <c r="W269" s="529"/>
      <c r="X269" s="529"/>
      <c r="Y269" s="529"/>
      <c r="Z269" s="529"/>
      <c r="AA269" s="529"/>
      <c r="AB269" s="529"/>
      <c r="AC269" s="529"/>
      <c r="AD269" s="529"/>
      <c r="AE269" s="529"/>
      <c r="AF269" s="529"/>
      <c r="AG269" s="529"/>
      <c r="AH269" s="529"/>
      <c r="AI269" s="529"/>
      <c r="AJ269" s="529"/>
      <c r="AK269" s="529"/>
      <c r="AL269" s="529"/>
      <c r="AM269" s="529"/>
      <c r="AN269" s="529"/>
      <c r="AO269" s="529"/>
    </row>
    <row r="270">
      <c r="B270" s="865" t="s">
        <v>1390</v>
      </c>
      <c r="G270" s="529"/>
      <c r="H270" s="529"/>
      <c r="I270" s="529"/>
      <c r="J270" s="529"/>
      <c r="K270" s="529"/>
      <c r="L270" s="529"/>
      <c r="M270" s="529"/>
      <c r="N270" s="529"/>
      <c r="O270" s="529"/>
      <c r="P270" s="529"/>
      <c r="Q270" s="529"/>
      <c r="R270" s="529"/>
      <c r="S270" s="529"/>
      <c r="T270" s="529"/>
      <c r="U270" s="529"/>
      <c r="V270" s="529"/>
      <c r="W270" s="529"/>
      <c r="X270" s="529"/>
      <c r="Y270" s="529"/>
      <c r="Z270" s="529"/>
      <c r="AA270" s="529"/>
      <c r="AB270" s="529"/>
      <c r="AC270" s="529"/>
      <c r="AD270" s="529"/>
      <c r="AE270" s="529"/>
      <c r="AF270" s="529"/>
      <c r="AG270" s="529"/>
      <c r="AH270" s="529"/>
      <c r="AI270" s="529"/>
      <c r="AJ270" s="529"/>
      <c r="AK270" s="529"/>
      <c r="AL270" s="529"/>
      <c r="AM270" s="529"/>
      <c r="AN270" s="529"/>
      <c r="AO270" s="529"/>
    </row>
    <row r="271">
      <c r="B271" s="865" t="s">
        <v>1391</v>
      </c>
      <c r="G271" s="529"/>
      <c r="H271" s="529"/>
      <c r="I271" s="529"/>
      <c r="J271" s="529"/>
      <c r="K271" s="529"/>
      <c r="L271" s="529"/>
      <c r="M271" s="529"/>
      <c r="N271" s="529"/>
      <c r="O271" s="529"/>
      <c r="P271" s="529"/>
      <c r="Q271" s="529"/>
      <c r="R271" s="529"/>
      <c r="S271" s="529"/>
      <c r="T271" s="529"/>
      <c r="U271" s="529"/>
      <c r="V271" s="529"/>
      <c r="W271" s="529"/>
      <c r="X271" s="529"/>
      <c r="Y271" s="529"/>
      <c r="Z271" s="529"/>
      <c r="AA271" s="529"/>
      <c r="AB271" s="529"/>
      <c r="AC271" s="529"/>
      <c r="AD271" s="529"/>
      <c r="AE271" s="529"/>
      <c r="AF271" s="529"/>
      <c r="AG271" s="529"/>
      <c r="AH271" s="529"/>
      <c r="AI271" s="529"/>
      <c r="AJ271" s="529"/>
      <c r="AK271" s="529"/>
      <c r="AL271" s="529"/>
      <c r="AM271" s="529"/>
      <c r="AN271" s="529"/>
      <c r="AO271" s="529"/>
    </row>
    <row r="272">
      <c r="B272" s="862" t="s">
        <v>1392</v>
      </c>
      <c r="G272" s="529"/>
      <c r="H272" s="529"/>
      <c r="I272" s="529"/>
      <c r="J272" s="529"/>
      <c r="K272" s="529"/>
      <c r="L272" s="529"/>
      <c r="M272" s="529"/>
      <c r="N272" s="529"/>
      <c r="O272" s="529"/>
      <c r="P272" s="529"/>
      <c r="Q272" s="529"/>
      <c r="R272" s="529"/>
      <c r="S272" s="529"/>
      <c r="T272" s="529"/>
      <c r="U272" s="529"/>
      <c r="V272" s="529"/>
      <c r="W272" s="529"/>
      <c r="X272" s="529"/>
      <c r="Y272" s="529"/>
      <c r="Z272" s="529"/>
      <c r="AA272" s="529"/>
      <c r="AB272" s="529"/>
      <c r="AC272" s="529"/>
      <c r="AD272" s="529"/>
      <c r="AE272" s="529"/>
      <c r="AF272" s="529"/>
      <c r="AG272" s="529"/>
      <c r="AH272" s="529"/>
      <c r="AI272" s="529"/>
      <c r="AJ272" s="529"/>
      <c r="AK272" s="529"/>
      <c r="AL272" s="529"/>
      <c r="AM272" s="529"/>
      <c r="AN272" s="529"/>
      <c r="AO272" s="529"/>
    </row>
    <row r="273">
      <c r="B273" s="862" t="s">
        <v>1393</v>
      </c>
      <c r="G273" s="529"/>
      <c r="H273" s="529"/>
      <c r="I273" s="529"/>
      <c r="J273" s="529"/>
      <c r="K273" s="529"/>
      <c r="L273" s="529"/>
      <c r="M273" s="529"/>
      <c r="N273" s="529"/>
      <c r="O273" s="529"/>
      <c r="P273" s="529"/>
      <c r="Q273" s="529"/>
      <c r="R273" s="529"/>
      <c r="S273" s="529"/>
      <c r="T273" s="529"/>
      <c r="U273" s="529"/>
      <c r="V273" s="529"/>
      <c r="W273" s="529"/>
      <c r="X273" s="529"/>
      <c r="Y273" s="529"/>
      <c r="Z273" s="529"/>
      <c r="AA273" s="529"/>
      <c r="AB273" s="529"/>
      <c r="AC273" s="529"/>
      <c r="AD273" s="529"/>
      <c r="AE273" s="529"/>
      <c r="AF273" s="529"/>
      <c r="AG273" s="529"/>
      <c r="AH273" s="529"/>
      <c r="AI273" s="529"/>
      <c r="AJ273" s="529"/>
      <c r="AK273" s="529"/>
      <c r="AL273" s="529"/>
      <c r="AM273" s="529"/>
      <c r="AN273" s="529"/>
      <c r="AO273" s="529"/>
    </row>
    <row r="274">
      <c r="B274" s="862" t="s">
        <v>1394</v>
      </c>
      <c r="G274" s="529"/>
      <c r="H274" s="529"/>
      <c r="I274" s="529"/>
      <c r="J274" s="529"/>
      <c r="K274" s="529"/>
      <c r="L274" s="529"/>
      <c r="M274" s="529"/>
      <c r="N274" s="529"/>
      <c r="O274" s="529"/>
      <c r="P274" s="529"/>
      <c r="Q274" s="529"/>
      <c r="R274" s="529"/>
      <c r="S274" s="529"/>
      <c r="T274" s="529"/>
      <c r="U274" s="529"/>
      <c r="V274" s="529"/>
      <c r="W274" s="529"/>
      <c r="X274" s="529"/>
      <c r="Y274" s="529"/>
      <c r="Z274" s="529"/>
      <c r="AA274" s="529"/>
      <c r="AB274" s="529"/>
      <c r="AC274" s="529"/>
      <c r="AD274" s="529"/>
      <c r="AE274" s="529"/>
      <c r="AF274" s="529"/>
      <c r="AG274" s="529"/>
      <c r="AH274" s="529"/>
      <c r="AI274" s="529"/>
      <c r="AJ274" s="529"/>
      <c r="AK274" s="529"/>
      <c r="AL274" s="529"/>
      <c r="AM274" s="529"/>
      <c r="AN274" s="529"/>
      <c r="AO274" s="529"/>
    </row>
    <row r="275">
      <c r="A275" s="860" t="s">
        <v>1403</v>
      </c>
      <c r="B275" s="861" t="s">
        <v>1386</v>
      </c>
      <c r="G275" s="529"/>
      <c r="H275" s="529"/>
      <c r="I275" s="529"/>
      <c r="J275" s="529"/>
      <c r="K275" s="529"/>
      <c r="L275" s="529"/>
      <c r="M275" s="529"/>
      <c r="N275" s="529"/>
      <c r="O275" s="529"/>
      <c r="P275" s="529"/>
      <c r="Q275" s="529"/>
      <c r="R275" s="529"/>
      <c r="S275" s="529"/>
      <c r="T275" s="529"/>
      <c r="U275" s="529"/>
      <c r="V275" s="529"/>
      <c r="W275" s="529"/>
      <c r="X275" s="529"/>
      <c r="Y275" s="529"/>
      <c r="Z275" s="529"/>
      <c r="AA275" s="529"/>
      <c r="AB275" s="529"/>
      <c r="AC275" s="529"/>
      <c r="AD275" s="529"/>
      <c r="AE275" s="529"/>
      <c r="AF275" s="529"/>
      <c r="AG275" s="529"/>
      <c r="AH275" s="529"/>
      <c r="AI275" s="529"/>
      <c r="AJ275" s="529"/>
      <c r="AK275" s="529"/>
      <c r="AL275" s="529"/>
      <c r="AM275" s="529"/>
      <c r="AN275" s="529"/>
      <c r="AO275" s="529"/>
    </row>
    <row r="276">
      <c r="B276" s="862" t="s">
        <v>1387</v>
      </c>
      <c r="G276" s="529"/>
      <c r="H276" s="529"/>
      <c r="I276" s="529"/>
      <c r="J276" s="529"/>
      <c r="K276" s="529"/>
      <c r="L276" s="529"/>
      <c r="M276" s="529"/>
      <c r="N276" s="529"/>
      <c r="O276" s="529"/>
      <c r="P276" s="529"/>
      <c r="Q276" s="529"/>
      <c r="R276" s="529"/>
      <c r="S276" s="529"/>
      <c r="T276" s="529"/>
      <c r="U276" s="529"/>
      <c r="V276" s="529"/>
      <c r="W276" s="529"/>
      <c r="X276" s="529"/>
      <c r="Y276" s="529"/>
      <c r="Z276" s="529"/>
      <c r="AA276" s="529"/>
      <c r="AB276" s="529"/>
      <c r="AC276" s="529"/>
      <c r="AD276" s="529"/>
      <c r="AE276" s="529"/>
      <c r="AF276" s="529"/>
      <c r="AG276" s="529"/>
      <c r="AH276" s="529"/>
      <c r="AI276" s="529"/>
      <c r="AJ276" s="529"/>
      <c r="AK276" s="529"/>
      <c r="AL276" s="529"/>
      <c r="AM276" s="529"/>
      <c r="AN276" s="529"/>
      <c r="AO276" s="529"/>
    </row>
    <row r="277">
      <c r="B277" s="862" t="s">
        <v>1388</v>
      </c>
      <c r="G277" s="529"/>
      <c r="H277" s="529"/>
      <c r="I277" s="529"/>
      <c r="J277" s="529"/>
      <c r="K277" s="529"/>
      <c r="L277" s="529"/>
      <c r="M277" s="529"/>
      <c r="N277" s="529"/>
      <c r="O277" s="529"/>
      <c r="P277" s="529"/>
      <c r="Q277" s="529"/>
      <c r="R277" s="529"/>
      <c r="S277" s="529"/>
      <c r="T277" s="529"/>
      <c r="U277" s="529"/>
      <c r="V277" s="529"/>
      <c r="W277" s="529"/>
      <c r="X277" s="529"/>
      <c r="Y277" s="529"/>
      <c r="Z277" s="529"/>
      <c r="AA277" s="529"/>
      <c r="AB277" s="529"/>
      <c r="AC277" s="529"/>
      <c r="AD277" s="529"/>
      <c r="AE277" s="529"/>
      <c r="AF277" s="529"/>
      <c r="AG277" s="529"/>
      <c r="AH277" s="529"/>
      <c r="AI277" s="529"/>
      <c r="AJ277" s="529"/>
      <c r="AK277" s="529"/>
      <c r="AL277" s="529"/>
      <c r="AM277" s="529"/>
      <c r="AN277" s="529"/>
      <c r="AO277" s="529"/>
    </row>
    <row r="278">
      <c r="B278" s="862" t="s">
        <v>1389</v>
      </c>
      <c r="G278" s="529"/>
      <c r="H278" s="529"/>
      <c r="I278" s="529"/>
      <c r="J278" s="529"/>
      <c r="K278" s="529"/>
      <c r="L278" s="529"/>
      <c r="M278" s="529"/>
      <c r="N278" s="529"/>
      <c r="O278" s="529"/>
      <c r="P278" s="529"/>
      <c r="Q278" s="529"/>
      <c r="R278" s="529"/>
      <c r="S278" s="529"/>
      <c r="T278" s="529"/>
      <c r="U278" s="529"/>
      <c r="V278" s="529"/>
      <c r="W278" s="529"/>
      <c r="X278" s="529"/>
      <c r="Y278" s="529"/>
      <c r="Z278" s="529"/>
      <c r="AA278" s="529"/>
      <c r="AB278" s="529"/>
      <c r="AC278" s="529"/>
      <c r="AD278" s="529"/>
      <c r="AE278" s="529"/>
      <c r="AF278" s="529"/>
      <c r="AG278" s="529"/>
      <c r="AH278" s="529"/>
      <c r="AI278" s="529"/>
      <c r="AJ278" s="529"/>
      <c r="AK278" s="529"/>
      <c r="AL278" s="529"/>
      <c r="AM278" s="529"/>
      <c r="AN278" s="529"/>
      <c r="AO278" s="529"/>
    </row>
    <row r="279">
      <c r="B279" s="865" t="s">
        <v>1390</v>
      </c>
      <c r="G279" s="529"/>
      <c r="H279" s="529"/>
      <c r="I279" s="529"/>
      <c r="J279" s="529"/>
      <c r="K279" s="529"/>
      <c r="L279" s="529"/>
      <c r="M279" s="529"/>
      <c r="N279" s="529"/>
      <c r="O279" s="529"/>
      <c r="P279" s="529"/>
      <c r="Q279" s="529"/>
      <c r="R279" s="529"/>
      <c r="S279" s="529"/>
      <c r="T279" s="529"/>
      <c r="U279" s="529"/>
      <c r="V279" s="529"/>
      <c r="W279" s="529"/>
      <c r="X279" s="529"/>
      <c r="Y279" s="529"/>
      <c r="Z279" s="529"/>
      <c r="AA279" s="529"/>
      <c r="AB279" s="529"/>
      <c r="AC279" s="529"/>
      <c r="AD279" s="529"/>
      <c r="AE279" s="529"/>
      <c r="AF279" s="529"/>
      <c r="AG279" s="529"/>
      <c r="AH279" s="529"/>
      <c r="AI279" s="529"/>
      <c r="AJ279" s="529"/>
      <c r="AK279" s="529"/>
      <c r="AL279" s="529"/>
      <c r="AM279" s="529"/>
      <c r="AN279" s="529"/>
      <c r="AO279" s="529"/>
    </row>
    <row r="280">
      <c r="B280" s="865" t="s">
        <v>1391</v>
      </c>
      <c r="G280" s="529"/>
      <c r="H280" s="529"/>
      <c r="I280" s="529"/>
      <c r="J280" s="529"/>
      <c r="K280" s="529"/>
      <c r="L280" s="529"/>
      <c r="M280" s="529"/>
      <c r="N280" s="529"/>
      <c r="O280" s="529"/>
      <c r="P280" s="529"/>
      <c r="Q280" s="529"/>
      <c r="R280" s="529"/>
      <c r="S280" s="529"/>
      <c r="T280" s="529"/>
      <c r="U280" s="529"/>
      <c r="V280" s="529"/>
      <c r="W280" s="529"/>
      <c r="X280" s="529"/>
      <c r="Y280" s="529"/>
      <c r="Z280" s="529"/>
      <c r="AA280" s="529"/>
      <c r="AB280" s="529"/>
      <c r="AC280" s="529"/>
      <c r="AD280" s="529"/>
      <c r="AE280" s="529"/>
      <c r="AF280" s="529"/>
      <c r="AG280" s="529"/>
      <c r="AH280" s="529"/>
      <c r="AI280" s="529"/>
      <c r="AJ280" s="529"/>
      <c r="AK280" s="529"/>
      <c r="AL280" s="529"/>
      <c r="AM280" s="529"/>
      <c r="AN280" s="529"/>
      <c r="AO280" s="529"/>
    </row>
    <row r="281">
      <c r="B281" s="862" t="s">
        <v>1392</v>
      </c>
      <c r="G281" s="529"/>
      <c r="H281" s="529"/>
      <c r="I281" s="529"/>
      <c r="J281" s="529"/>
      <c r="K281" s="529"/>
      <c r="L281" s="529"/>
      <c r="M281" s="529"/>
      <c r="N281" s="529"/>
      <c r="O281" s="529"/>
      <c r="P281" s="529"/>
      <c r="Q281" s="529"/>
      <c r="R281" s="529"/>
      <c r="S281" s="529"/>
      <c r="T281" s="529"/>
      <c r="U281" s="529"/>
      <c r="V281" s="529"/>
      <c r="W281" s="529"/>
      <c r="X281" s="529"/>
      <c r="Y281" s="529"/>
      <c r="Z281" s="529"/>
      <c r="AA281" s="529"/>
      <c r="AB281" s="529"/>
      <c r="AC281" s="529"/>
      <c r="AD281" s="529"/>
      <c r="AE281" s="529"/>
      <c r="AF281" s="529"/>
      <c r="AG281" s="529"/>
      <c r="AH281" s="529"/>
      <c r="AI281" s="529"/>
      <c r="AJ281" s="529"/>
      <c r="AK281" s="529"/>
      <c r="AL281" s="529"/>
      <c r="AM281" s="529"/>
      <c r="AN281" s="529"/>
      <c r="AO281" s="529"/>
    </row>
    <row r="282">
      <c r="B282" s="862" t="s">
        <v>1393</v>
      </c>
      <c r="G282" s="529"/>
      <c r="H282" s="529"/>
      <c r="I282" s="529"/>
      <c r="J282" s="529"/>
      <c r="K282" s="529"/>
      <c r="L282" s="529"/>
      <c r="M282" s="529"/>
      <c r="N282" s="529"/>
      <c r="O282" s="529"/>
      <c r="P282" s="529"/>
      <c r="Q282" s="529"/>
      <c r="R282" s="529"/>
      <c r="S282" s="529"/>
      <c r="T282" s="529"/>
      <c r="U282" s="529"/>
      <c r="V282" s="529"/>
      <c r="W282" s="529"/>
      <c r="X282" s="529"/>
      <c r="Y282" s="529"/>
      <c r="Z282" s="529"/>
      <c r="AA282" s="529"/>
      <c r="AB282" s="529"/>
      <c r="AC282" s="529"/>
      <c r="AD282" s="529"/>
      <c r="AE282" s="529"/>
      <c r="AF282" s="529"/>
      <c r="AG282" s="529"/>
      <c r="AH282" s="529"/>
      <c r="AI282" s="529"/>
      <c r="AJ282" s="529"/>
      <c r="AK282" s="529"/>
      <c r="AL282" s="529"/>
      <c r="AM282" s="529"/>
      <c r="AN282" s="529"/>
      <c r="AO282" s="529"/>
    </row>
    <row r="283">
      <c r="B283" s="862" t="s">
        <v>1394</v>
      </c>
      <c r="G283" s="529"/>
      <c r="H283" s="529"/>
      <c r="I283" s="529"/>
      <c r="J283" s="529"/>
      <c r="K283" s="529"/>
      <c r="L283" s="529"/>
      <c r="M283" s="529"/>
      <c r="N283" s="529"/>
      <c r="O283" s="529"/>
      <c r="P283" s="529"/>
      <c r="Q283" s="529"/>
      <c r="R283" s="529"/>
      <c r="S283" s="529"/>
      <c r="T283" s="529"/>
      <c r="U283" s="529"/>
      <c r="V283" s="529"/>
      <c r="W283" s="529"/>
      <c r="X283" s="529"/>
      <c r="Y283" s="529"/>
      <c r="Z283" s="529"/>
      <c r="AA283" s="529"/>
      <c r="AB283" s="529"/>
      <c r="AC283" s="529"/>
      <c r="AD283" s="529"/>
      <c r="AE283" s="529"/>
      <c r="AF283" s="529"/>
      <c r="AG283" s="529"/>
      <c r="AH283" s="529"/>
      <c r="AI283" s="529"/>
      <c r="AJ283" s="529"/>
      <c r="AK283" s="529"/>
      <c r="AL283" s="529"/>
      <c r="AM283" s="529"/>
      <c r="AN283" s="529"/>
      <c r="AO283" s="529"/>
    </row>
    <row r="284">
      <c r="A284" s="860" t="s">
        <v>1404</v>
      </c>
      <c r="B284" s="861" t="s">
        <v>1386</v>
      </c>
      <c r="G284" s="529"/>
      <c r="H284" s="529"/>
      <c r="I284" s="529"/>
      <c r="J284" s="529"/>
      <c r="K284" s="529"/>
      <c r="L284" s="529"/>
      <c r="M284" s="529"/>
      <c r="N284" s="529"/>
      <c r="O284" s="529"/>
      <c r="P284" s="529"/>
      <c r="Q284" s="529"/>
      <c r="R284" s="529"/>
      <c r="S284" s="529"/>
      <c r="T284" s="529"/>
      <c r="U284" s="529"/>
      <c r="V284" s="529"/>
      <c r="W284" s="529"/>
      <c r="X284" s="529"/>
      <c r="Y284" s="529"/>
      <c r="Z284" s="529"/>
      <c r="AA284" s="529"/>
      <c r="AB284" s="529"/>
      <c r="AC284" s="529"/>
      <c r="AD284" s="529"/>
      <c r="AE284" s="529"/>
      <c r="AF284" s="529"/>
      <c r="AG284" s="529"/>
      <c r="AH284" s="529"/>
      <c r="AI284" s="529"/>
      <c r="AJ284" s="529"/>
      <c r="AK284" s="529"/>
      <c r="AL284" s="529"/>
      <c r="AM284" s="529"/>
      <c r="AN284" s="529"/>
      <c r="AO284" s="529"/>
    </row>
    <row r="285">
      <c r="B285" s="862" t="s">
        <v>1387</v>
      </c>
      <c r="G285" s="529"/>
      <c r="H285" s="529"/>
      <c r="I285" s="529"/>
      <c r="J285" s="529"/>
      <c r="K285" s="529"/>
      <c r="L285" s="529"/>
      <c r="M285" s="529"/>
      <c r="N285" s="529"/>
      <c r="O285" s="529"/>
      <c r="P285" s="529"/>
      <c r="Q285" s="529"/>
      <c r="R285" s="529"/>
      <c r="S285" s="529"/>
      <c r="T285" s="529"/>
      <c r="U285" s="529"/>
      <c r="V285" s="529"/>
      <c r="W285" s="529"/>
      <c r="X285" s="529"/>
      <c r="Y285" s="529"/>
      <c r="Z285" s="529"/>
      <c r="AA285" s="529"/>
      <c r="AB285" s="529"/>
      <c r="AC285" s="529"/>
      <c r="AD285" s="529"/>
      <c r="AE285" s="529"/>
      <c r="AF285" s="529"/>
      <c r="AG285" s="529"/>
      <c r="AH285" s="529"/>
      <c r="AI285" s="529"/>
      <c r="AJ285" s="529"/>
      <c r="AK285" s="529"/>
      <c r="AL285" s="529"/>
      <c r="AM285" s="529"/>
      <c r="AN285" s="529"/>
      <c r="AO285" s="529"/>
    </row>
    <row r="286">
      <c r="B286" s="862" t="s">
        <v>1388</v>
      </c>
      <c r="G286" s="529"/>
      <c r="H286" s="529"/>
      <c r="I286" s="529"/>
      <c r="J286" s="529"/>
      <c r="K286" s="529"/>
      <c r="L286" s="529"/>
      <c r="M286" s="529"/>
      <c r="N286" s="529"/>
      <c r="O286" s="529"/>
      <c r="P286" s="529"/>
      <c r="Q286" s="529"/>
      <c r="R286" s="529"/>
      <c r="S286" s="529"/>
      <c r="T286" s="529"/>
      <c r="U286" s="529"/>
      <c r="V286" s="529"/>
      <c r="W286" s="529"/>
      <c r="X286" s="529"/>
      <c r="Y286" s="529"/>
      <c r="Z286" s="529"/>
      <c r="AA286" s="529"/>
      <c r="AB286" s="529"/>
      <c r="AC286" s="529"/>
      <c r="AD286" s="529"/>
      <c r="AE286" s="529"/>
      <c r="AF286" s="529"/>
      <c r="AG286" s="529"/>
      <c r="AH286" s="529"/>
      <c r="AI286" s="529"/>
      <c r="AJ286" s="529"/>
      <c r="AK286" s="529"/>
      <c r="AL286" s="529"/>
      <c r="AM286" s="529"/>
      <c r="AN286" s="529"/>
      <c r="AO286" s="529"/>
    </row>
    <row r="287">
      <c r="B287" s="862" t="s">
        <v>1389</v>
      </c>
      <c r="G287" s="529"/>
      <c r="H287" s="529"/>
      <c r="I287" s="529"/>
      <c r="J287" s="529"/>
      <c r="K287" s="529"/>
      <c r="L287" s="529"/>
      <c r="M287" s="529"/>
      <c r="N287" s="529"/>
      <c r="O287" s="529"/>
      <c r="P287" s="529"/>
      <c r="Q287" s="529"/>
      <c r="R287" s="529"/>
      <c r="S287" s="529"/>
      <c r="T287" s="529"/>
      <c r="U287" s="529"/>
      <c r="V287" s="529"/>
      <c r="W287" s="529"/>
      <c r="X287" s="529"/>
      <c r="Y287" s="529"/>
      <c r="Z287" s="529"/>
      <c r="AA287" s="529"/>
      <c r="AB287" s="529"/>
      <c r="AC287" s="529"/>
      <c r="AD287" s="529"/>
      <c r="AE287" s="529"/>
      <c r="AF287" s="529"/>
      <c r="AG287" s="529"/>
      <c r="AH287" s="529"/>
      <c r="AI287" s="529"/>
      <c r="AJ287" s="529"/>
      <c r="AK287" s="529"/>
      <c r="AL287" s="529"/>
      <c r="AM287" s="529"/>
      <c r="AN287" s="529"/>
      <c r="AO287" s="529"/>
    </row>
    <row r="288">
      <c r="B288" s="865" t="s">
        <v>1390</v>
      </c>
      <c r="G288" s="529"/>
      <c r="H288" s="529"/>
      <c r="I288" s="529"/>
      <c r="J288" s="529"/>
      <c r="K288" s="529"/>
      <c r="L288" s="529"/>
      <c r="M288" s="529"/>
      <c r="N288" s="529"/>
      <c r="O288" s="529"/>
      <c r="P288" s="529"/>
      <c r="Q288" s="529"/>
      <c r="R288" s="529"/>
      <c r="S288" s="529"/>
      <c r="T288" s="529"/>
      <c r="U288" s="529"/>
      <c r="V288" s="529"/>
      <c r="W288" s="529"/>
      <c r="X288" s="529"/>
      <c r="Y288" s="529"/>
      <c r="Z288" s="529"/>
      <c r="AA288" s="529"/>
      <c r="AB288" s="529"/>
      <c r="AC288" s="529"/>
      <c r="AD288" s="529"/>
      <c r="AE288" s="529"/>
      <c r="AF288" s="529"/>
      <c r="AG288" s="529"/>
      <c r="AH288" s="529"/>
      <c r="AI288" s="529"/>
      <c r="AJ288" s="529"/>
      <c r="AK288" s="529"/>
      <c r="AL288" s="529"/>
      <c r="AM288" s="529"/>
      <c r="AN288" s="529"/>
      <c r="AO288" s="529"/>
    </row>
    <row r="289">
      <c r="B289" s="865" t="s">
        <v>1391</v>
      </c>
      <c r="G289" s="529"/>
      <c r="H289" s="529"/>
      <c r="I289" s="529"/>
      <c r="J289" s="529"/>
      <c r="K289" s="529"/>
      <c r="L289" s="529"/>
      <c r="M289" s="529"/>
      <c r="N289" s="529"/>
      <c r="O289" s="529"/>
      <c r="P289" s="529"/>
      <c r="Q289" s="529"/>
      <c r="R289" s="529"/>
      <c r="S289" s="529"/>
      <c r="T289" s="529"/>
      <c r="U289" s="529"/>
      <c r="V289" s="529"/>
      <c r="W289" s="529"/>
      <c r="X289" s="529"/>
      <c r="Y289" s="529"/>
      <c r="Z289" s="529"/>
      <c r="AA289" s="529"/>
      <c r="AB289" s="529"/>
      <c r="AC289" s="529"/>
      <c r="AD289" s="529"/>
      <c r="AE289" s="529"/>
      <c r="AF289" s="529"/>
      <c r="AG289" s="529"/>
      <c r="AH289" s="529"/>
      <c r="AI289" s="529"/>
      <c r="AJ289" s="529"/>
      <c r="AK289" s="529"/>
      <c r="AL289" s="529"/>
      <c r="AM289" s="529"/>
      <c r="AN289" s="529"/>
      <c r="AO289" s="529"/>
    </row>
    <row r="290">
      <c r="B290" s="862" t="s">
        <v>1392</v>
      </c>
      <c r="G290" s="529"/>
      <c r="H290" s="529"/>
      <c r="I290" s="529"/>
      <c r="J290" s="529"/>
      <c r="K290" s="529"/>
      <c r="L290" s="529"/>
      <c r="M290" s="529"/>
      <c r="N290" s="529"/>
      <c r="O290" s="529"/>
      <c r="P290" s="529"/>
      <c r="Q290" s="529"/>
      <c r="R290" s="529"/>
      <c r="S290" s="529"/>
      <c r="T290" s="529"/>
      <c r="U290" s="529"/>
      <c r="V290" s="529"/>
      <c r="W290" s="529"/>
      <c r="X290" s="529"/>
      <c r="Y290" s="529"/>
      <c r="Z290" s="529"/>
      <c r="AA290" s="529"/>
      <c r="AB290" s="529"/>
      <c r="AC290" s="529"/>
      <c r="AD290" s="529"/>
      <c r="AE290" s="529"/>
      <c r="AF290" s="529"/>
      <c r="AG290" s="529"/>
      <c r="AH290" s="529"/>
      <c r="AI290" s="529"/>
      <c r="AJ290" s="529"/>
      <c r="AK290" s="529"/>
      <c r="AL290" s="529"/>
      <c r="AM290" s="529"/>
      <c r="AN290" s="529"/>
      <c r="AO290" s="529"/>
    </row>
    <row r="291">
      <c r="B291" s="862" t="s">
        <v>1393</v>
      </c>
      <c r="G291" s="529"/>
      <c r="H291" s="529"/>
      <c r="I291" s="529"/>
      <c r="J291" s="529"/>
      <c r="K291" s="529"/>
      <c r="L291" s="529"/>
      <c r="M291" s="529"/>
      <c r="N291" s="529"/>
      <c r="O291" s="529"/>
      <c r="P291" s="529"/>
      <c r="Q291" s="529"/>
      <c r="R291" s="529"/>
      <c r="S291" s="529"/>
      <c r="T291" s="529"/>
      <c r="U291" s="529"/>
      <c r="V291" s="529"/>
      <c r="W291" s="529"/>
      <c r="X291" s="529"/>
      <c r="Y291" s="529"/>
      <c r="Z291" s="529"/>
      <c r="AA291" s="529"/>
      <c r="AB291" s="529"/>
      <c r="AC291" s="529"/>
      <c r="AD291" s="529"/>
      <c r="AE291" s="529"/>
      <c r="AF291" s="529"/>
      <c r="AG291" s="529"/>
      <c r="AH291" s="529"/>
      <c r="AI291" s="529"/>
      <c r="AJ291" s="529"/>
      <c r="AK291" s="529"/>
      <c r="AL291" s="529"/>
      <c r="AM291" s="529"/>
      <c r="AN291" s="529"/>
      <c r="AO291" s="529"/>
    </row>
    <row r="292">
      <c r="B292" s="862" t="s">
        <v>1394</v>
      </c>
      <c r="G292" s="529"/>
      <c r="H292" s="529"/>
      <c r="I292" s="529"/>
      <c r="J292" s="529"/>
      <c r="K292" s="529"/>
      <c r="L292" s="529"/>
      <c r="M292" s="529"/>
      <c r="N292" s="529"/>
      <c r="O292" s="529"/>
      <c r="P292" s="529"/>
      <c r="Q292" s="529"/>
      <c r="R292" s="529"/>
      <c r="S292" s="529"/>
      <c r="T292" s="529"/>
      <c r="U292" s="529"/>
      <c r="V292" s="529"/>
      <c r="W292" s="529"/>
      <c r="X292" s="529"/>
      <c r="Y292" s="529"/>
      <c r="Z292" s="529"/>
      <c r="AA292" s="529"/>
      <c r="AB292" s="529"/>
      <c r="AC292" s="529"/>
      <c r="AD292" s="529"/>
      <c r="AE292" s="529"/>
      <c r="AF292" s="529"/>
      <c r="AG292" s="529"/>
      <c r="AH292" s="529"/>
      <c r="AI292" s="529"/>
      <c r="AJ292" s="529"/>
      <c r="AK292" s="529"/>
      <c r="AL292" s="529"/>
      <c r="AM292" s="529"/>
      <c r="AN292" s="529"/>
      <c r="AO292" s="529"/>
    </row>
    <row r="293">
      <c r="A293" s="860" t="s">
        <v>1405</v>
      </c>
      <c r="B293" s="861" t="s">
        <v>1386</v>
      </c>
      <c r="G293" s="529"/>
      <c r="H293" s="529"/>
      <c r="I293" s="529"/>
      <c r="J293" s="529"/>
      <c r="K293" s="529"/>
      <c r="L293" s="529"/>
      <c r="M293" s="529"/>
      <c r="N293" s="529"/>
      <c r="O293" s="529"/>
      <c r="P293" s="529"/>
      <c r="Q293" s="529"/>
      <c r="R293" s="529"/>
      <c r="S293" s="529"/>
      <c r="T293" s="529"/>
      <c r="U293" s="529"/>
      <c r="V293" s="529"/>
      <c r="W293" s="529"/>
      <c r="X293" s="529"/>
      <c r="Y293" s="529"/>
      <c r="Z293" s="529"/>
      <c r="AA293" s="529"/>
      <c r="AB293" s="529"/>
      <c r="AC293" s="529"/>
      <c r="AD293" s="529"/>
      <c r="AE293" s="529"/>
      <c r="AF293" s="529"/>
      <c r="AG293" s="529"/>
      <c r="AH293" s="529"/>
      <c r="AI293" s="529"/>
      <c r="AJ293" s="529"/>
      <c r="AK293" s="529"/>
      <c r="AL293" s="529"/>
      <c r="AM293" s="529"/>
      <c r="AN293" s="529"/>
      <c r="AO293" s="529"/>
    </row>
    <row r="294">
      <c r="B294" s="862" t="s">
        <v>1387</v>
      </c>
      <c r="G294" s="529"/>
      <c r="H294" s="529"/>
      <c r="I294" s="529"/>
      <c r="J294" s="529"/>
      <c r="K294" s="529"/>
      <c r="L294" s="529"/>
      <c r="M294" s="529"/>
      <c r="N294" s="529"/>
      <c r="O294" s="529"/>
      <c r="P294" s="529"/>
      <c r="Q294" s="529"/>
      <c r="R294" s="529"/>
      <c r="S294" s="529"/>
      <c r="T294" s="529"/>
      <c r="U294" s="529"/>
      <c r="V294" s="529"/>
      <c r="W294" s="529"/>
      <c r="X294" s="529"/>
      <c r="Y294" s="529"/>
      <c r="Z294" s="529"/>
      <c r="AA294" s="529"/>
      <c r="AB294" s="529"/>
      <c r="AC294" s="529"/>
      <c r="AD294" s="529"/>
      <c r="AE294" s="529"/>
      <c r="AF294" s="529"/>
      <c r="AG294" s="529"/>
      <c r="AH294" s="529"/>
      <c r="AI294" s="529"/>
      <c r="AJ294" s="529"/>
      <c r="AK294" s="529"/>
      <c r="AL294" s="529"/>
      <c r="AM294" s="529"/>
      <c r="AN294" s="529"/>
      <c r="AO294" s="529"/>
    </row>
    <row r="295">
      <c r="B295" s="862" t="s">
        <v>1388</v>
      </c>
      <c r="G295" s="529"/>
      <c r="H295" s="529"/>
      <c r="I295" s="529"/>
      <c r="J295" s="529"/>
      <c r="K295" s="529"/>
      <c r="L295" s="529"/>
      <c r="M295" s="529"/>
      <c r="N295" s="529"/>
      <c r="O295" s="529"/>
      <c r="P295" s="529"/>
      <c r="Q295" s="529"/>
      <c r="R295" s="529"/>
      <c r="S295" s="529"/>
      <c r="T295" s="529"/>
      <c r="U295" s="529"/>
      <c r="V295" s="529"/>
      <c r="W295" s="529"/>
      <c r="X295" s="529"/>
      <c r="Y295" s="529"/>
      <c r="Z295" s="529"/>
      <c r="AA295" s="529"/>
      <c r="AB295" s="529"/>
      <c r="AC295" s="529"/>
      <c r="AD295" s="529"/>
      <c r="AE295" s="529"/>
      <c r="AF295" s="529"/>
      <c r="AG295" s="529"/>
      <c r="AH295" s="529"/>
      <c r="AI295" s="529"/>
      <c r="AJ295" s="529"/>
      <c r="AK295" s="529"/>
      <c r="AL295" s="529"/>
      <c r="AM295" s="529"/>
      <c r="AN295" s="529"/>
      <c r="AO295" s="529"/>
    </row>
    <row r="296">
      <c r="B296" s="862" t="s">
        <v>1389</v>
      </c>
      <c r="G296" s="529"/>
      <c r="H296" s="529"/>
      <c r="I296" s="529"/>
      <c r="J296" s="529"/>
      <c r="K296" s="529"/>
      <c r="L296" s="529"/>
      <c r="M296" s="529"/>
      <c r="N296" s="529"/>
      <c r="O296" s="529"/>
      <c r="P296" s="529"/>
      <c r="Q296" s="529"/>
      <c r="R296" s="529"/>
      <c r="S296" s="529"/>
      <c r="T296" s="529"/>
      <c r="U296" s="529"/>
      <c r="V296" s="529"/>
      <c r="W296" s="529"/>
      <c r="X296" s="529"/>
      <c r="Y296" s="529"/>
      <c r="Z296" s="529"/>
      <c r="AA296" s="529"/>
      <c r="AB296" s="529"/>
      <c r="AC296" s="529"/>
      <c r="AD296" s="529"/>
      <c r="AE296" s="529"/>
      <c r="AF296" s="529"/>
      <c r="AG296" s="529"/>
      <c r="AH296" s="529"/>
      <c r="AI296" s="529"/>
      <c r="AJ296" s="529"/>
      <c r="AK296" s="529"/>
      <c r="AL296" s="529"/>
      <c r="AM296" s="529"/>
      <c r="AN296" s="529"/>
      <c r="AO296" s="529"/>
    </row>
    <row r="297">
      <c r="B297" s="865" t="s">
        <v>1390</v>
      </c>
      <c r="G297" s="529"/>
      <c r="H297" s="529"/>
      <c r="I297" s="529"/>
      <c r="J297" s="529"/>
      <c r="K297" s="529"/>
      <c r="L297" s="529"/>
      <c r="M297" s="529"/>
      <c r="N297" s="529"/>
      <c r="O297" s="529"/>
      <c r="P297" s="529"/>
      <c r="Q297" s="529"/>
      <c r="R297" s="529"/>
      <c r="S297" s="529"/>
      <c r="T297" s="529"/>
      <c r="U297" s="529"/>
      <c r="V297" s="529"/>
      <c r="W297" s="529"/>
      <c r="X297" s="529"/>
      <c r="Y297" s="529"/>
      <c r="Z297" s="529"/>
      <c r="AA297" s="529"/>
      <c r="AB297" s="529"/>
      <c r="AC297" s="529"/>
      <c r="AD297" s="529"/>
      <c r="AE297" s="529"/>
      <c r="AF297" s="529"/>
      <c r="AG297" s="529"/>
      <c r="AH297" s="529"/>
      <c r="AI297" s="529"/>
      <c r="AJ297" s="529"/>
      <c r="AK297" s="529"/>
      <c r="AL297" s="529"/>
      <c r="AM297" s="529"/>
      <c r="AN297" s="529"/>
      <c r="AO297" s="529"/>
    </row>
    <row r="298">
      <c r="B298" s="865" t="s">
        <v>1391</v>
      </c>
      <c r="G298" s="529"/>
      <c r="H298" s="529"/>
      <c r="I298" s="529"/>
      <c r="J298" s="529"/>
      <c r="K298" s="529"/>
      <c r="L298" s="529"/>
      <c r="M298" s="529"/>
      <c r="N298" s="529"/>
      <c r="O298" s="529"/>
      <c r="P298" s="529"/>
      <c r="Q298" s="529"/>
      <c r="R298" s="529"/>
      <c r="S298" s="529"/>
      <c r="T298" s="529"/>
      <c r="U298" s="529"/>
      <c r="V298" s="529"/>
      <c r="W298" s="529"/>
      <c r="X298" s="529"/>
      <c r="Y298" s="529"/>
      <c r="Z298" s="529"/>
      <c r="AA298" s="529"/>
      <c r="AB298" s="529"/>
      <c r="AC298" s="529"/>
      <c r="AD298" s="529"/>
      <c r="AE298" s="529"/>
      <c r="AF298" s="529"/>
      <c r="AG298" s="529"/>
      <c r="AH298" s="529"/>
      <c r="AI298" s="529"/>
      <c r="AJ298" s="529"/>
      <c r="AK298" s="529"/>
      <c r="AL298" s="529"/>
      <c r="AM298" s="529"/>
      <c r="AN298" s="529"/>
      <c r="AO298" s="529"/>
    </row>
    <row r="299">
      <c r="B299" s="862" t="s">
        <v>1392</v>
      </c>
      <c r="G299" s="529"/>
      <c r="H299" s="529"/>
      <c r="I299" s="529"/>
      <c r="J299" s="529"/>
      <c r="K299" s="529"/>
      <c r="L299" s="529"/>
      <c r="M299" s="529"/>
      <c r="N299" s="529"/>
      <c r="O299" s="529"/>
      <c r="P299" s="529"/>
      <c r="Q299" s="529"/>
      <c r="R299" s="529"/>
      <c r="S299" s="529"/>
      <c r="T299" s="529"/>
      <c r="U299" s="529"/>
      <c r="V299" s="529"/>
      <c r="W299" s="529"/>
      <c r="X299" s="529"/>
      <c r="Y299" s="529"/>
      <c r="Z299" s="529"/>
      <c r="AA299" s="529"/>
      <c r="AB299" s="529"/>
      <c r="AC299" s="529"/>
      <c r="AD299" s="529"/>
      <c r="AE299" s="529"/>
      <c r="AF299" s="529"/>
      <c r="AG299" s="529"/>
      <c r="AH299" s="529"/>
      <c r="AI299" s="529"/>
      <c r="AJ299" s="529"/>
      <c r="AK299" s="529"/>
      <c r="AL299" s="529"/>
      <c r="AM299" s="529"/>
      <c r="AN299" s="529"/>
      <c r="AO299" s="529"/>
    </row>
    <row r="300">
      <c r="B300" s="862" t="s">
        <v>1393</v>
      </c>
      <c r="G300" s="529"/>
      <c r="H300" s="529"/>
      <c r="I300" s="529"/>
      <c r="J300" s="529"/>
      <c r="K300" s="529"/>
      <c r="L300" s="529"/>
      <c r="M300" s="529"/>
      <c r="N300" s="529"/>
      <c r="O300" s="529"/>
      <c r="P300" s="529"/>
      <c r="Q300" s="529"/>
      <c r="R300" s="529"/>
      <c r="S300" s="529"/>
      <c r="T300" s="529"/>
      <c r="U300" s="529"/>
      <c r="V300" s="529"/>
      <c r="W300" s="529"/>
      <c r="X300" s="529"/>
      <c r="Y300" s="529"/>
      <c r="Z300" s="529"/>
      <c r="AA300" s="529"/>
      <c r="AB300" s="529"/>
      <c r="AC300" s="529"/>
      <c r="AD300" s="529"/>
      <c r="AE300" s="529"/>
      <c r="AF300" s="529"/>
      <c r="AG300" s="529"/>
      <c r="AH300" s="529"/>
      <c r="AI300" s="529"/>
      <c r="AJ300" s="529"/>
      <c r="AK300" s="529"/>
      <c r="AL300" s="529"/>
      <c r="AM300" s="529"/>
      <c r="AN300" s="529"/>
      <c r="AO300" s="529"/>
    </row>
    <row r="301">
      <c r="B301" s="862" t="s">
        <v>1394</v>
      </c>
      <c r="G301" s="529"/>
      <c r="H301" s="529"/>
      <c r="I301" s="529"/>
      <c r="J301" s="529"/>
      <c r="K301" s="529"/>
      <c r="L301" s="529"/>
      <c r="M301" s="529"/>
      <c r="N301" s="529"/>
      <c r="O301" s="529"/>
      <c r="P301" s="529"/>
      <c r="Q301" s="529"/>
      <c r="R301" s="529"/>
      <c r="S301" s="529"/>
      <c r="T301" s="529"/>
      <c r="U301" s="529"/>
      <c r="V301" s="529"/>
      <c r="W301" s="529"/>
      <c r="X301" s="529"/>
      <c r="Y301" s="529"/>
      <c r="Z301" s="529"/>
      <c r="AA301" s="529"/>
      <c r="AB301" s="529"/>
      <c r="AC301" s="529"/>
      <c r="AD301" s="529"/>
      <c r="AE301" s="529"/>
      <c r="AF301" s="529"/>
      <c r="AG301" s="529"/>
      <c r="AH301" s="529"/>
      <c r="AI301" s="529"/>
      <c r="AJ301" s="529"/>
      <c r="AK301" s="529"/>
      <c r="AL301" s="529"/>
      <c r="AM301" s="529"/>
      <c r="AN301" s="529"/>
      <c r="AO301" s="529"/>
    </row>
    <row r="302">
      <c r="A302" s="860" t="s">
        <v>1406</v>
      </c>
      <c r="B302" s="861" t="s">
        <v>1386</v>
      </c>
      <c r="G302" s="529"/>
      <c r="H302" s="529"/>
      <c r="I302" s="529"/>
      <c r="J302" s="529"/>
      <c r="K302" s="529"/>
      <c r="L302" s="529"/>
      <c r="M302" s="529"/>
      <c r="N302" s="529"/>
      <c r="O302" s="529"/>
      <c r="P302" s="529"/>
      <c r="Q302" s="529"/>
      <c r="R302" s="529"/>
      <c r="S302" s="529"/>
      <c r="T302" s="529"/>
      <c r="U302" s="529"/>
      <c r="V302" s="529"/>
      <c r="W302" s="529"/>
      <c r="X302" s="529"/>
      <c r="Y302" s="529"/>
      <c r="Z302" s="529"/>
      <c r="AA302" s="529"/>
      <c r="AB302" s="529"/>
      <c r="AC302" s="529"/>
      <c r="AD302" s="529"/>
      <c r="AE302" s="529"/>
      <c r="AF302" s="529"/>
      <c r="AG302" s="529"/>
      <c r="AH302" s="529"/>
      <c r="AI302" s="529"/>
      <c r="AJ302" s="529"/>
      <c r="AK302" s="529"/>
      <c r="AL302" s="529"/>
      <c r="AM302" s="529"/>
      <c r="AN302" s="529"/>
      <c r="AO302" s="529"/>
    </row>
    <row r="303">
      <c r="B303" s="862" t="s">
        <v>1387</v>
      </c>
      <c r="G303" s="529"/>
      <c r="H303" s="529"/>
      <c r="I303" s="529"/>
      <c r="J303" s="529"/>
      <c r="K303" s="529"/>
      <c r="L303" s="529"/>
      <c r="M303" s="529"/>
      <c r="N303" s="529"/>
      <c r="O303" s="529"/>
      <c r="P303" s="529"/>
      <c r="Q303" s="529"/>
      <c r="R303" s="529"/>
      <c r="S303" s="529"/>
      <c r="T303" s="529"/>
      <c r="U303" s="529"/>
      <c r="V303" s="529"/>
      <c r="W303" s="529"/>
      <c r="X303" s="529"/>
      <c r="Y303" s="529"/>
      <c r="Z303" s="529"/>
      <c r="AA303" s="529"/>
      <c r="AB303" s="529"/>
      <c r="AC303" s="529"/>
      <c r="AD303" s="529"/>
      <c r="AE303" s="529"/>
      <c r="AF303" s="529"/>
      <c r="AG303" s="529"/>
      <c r="AH303" s="529"/>
      <c r="AI303" s="529"/>
      <c r="AJ303" s="529"/>
      <c r="AK303" s="529"/>
      <c r="AL303" s="529"/>
      <c r="AM303" s="529"/>
      <c r="AN303" s="529"/>
      <c r="AO303" s="529"/>
    </row>
    <row r="304">
      <c r="B304" s="862" t="s">
        <v>1388</v>
      </c>
      <c r="G304" s="529"/>
      <c r="H304" s="529"/>
      <c r="I304" s="529"/>
      <c r="J304" s="529"/>
      <c r="K304" s="529"/>
      <c r="L304" s="529"/>
      <c r="M304" s="529"/>
      <c r="N304" s="529"/>
      <c r="O304" s="529"/>
      <c r="P304" s="529"/>
      <c r="Q304" s="529"/>
      <c r="R304" s="529"/>
      <c r="S304" s="529"/>
      <c r="T304" s="529"/>
      <c r="U304" s="529"/>
      <c r="V304" s="529"/>
      <c r="W304" s="529"/>
      <c r="X304" s="529"/>
      <c r="Y304" s="529"/>
      <c r="Z304" s="529"/>
      <c r="AA304" s="529"/>
      <c r="AB304" s="529"/>
      <c r="AC304" s="529"/>
      <c r="AD304" s="529"/>
      <c r="AE304" s="529"/>
      <c r="AF304" s="529"/>
      <c r="AG304" s="529"/>
      <c r="AH304" s="529"/>
      <c r="AI304" s="529"/>
      <c r="AJ304" s="529"/>
      <c r="AK304" s="529"/>
      <c r="AL304" s="529"/>
      <c r="AM304" s="529"/>
      <c r="AN304" s="529"/>
      <c r="AO304" s="529"/>
    </row>
    <row r="305">
      <c r="B305" s="862" t="s">
        <v>1389</v>
      </c>
      <c r="G305" s="529"/>
      <c r="H305" s="529"/>
      <c r="I305" s="529"/>
      <c r="J305" s="529"/>
      <c r="K305" s="529"/>
      <c r="L305" s="529"/>
      <c r="M305" s="529"/>
      <c r="N305" s="529"/>
      <c r="O305" s="529"/>
      <c r="P305" s="529"/>
      <c r="Q305" s="529"/>
      <c r="R305" s="529"/>
      <c r="S305" s="529"/>
      <c r="T305" s="529"/>
      <c r="U305" s="529"/>
      <c r="V305" s="529"/>
      <c r="W305" s="529"/>
      <c r="X305" s="529"/>
      <c r="Y305" s="529"/>
      <c r="Z305" s="529"/>
      <c r="AA305" s="529"/>
      <c r="AB305" s="529"/>
      <c r="AC305" s="529"/>
      <c r="AD305" s="529"/>
      <c r="AE305" s="529"/>
      <c r="AF305" s="529"/>
      <c r="AG305" s="529"/>
      <c r="AH305" s="529"/>
      <c r="AI305" s="529"/>
      <c r="AJ305" s="529"/>
      <c r="AK305" s="529"/>
      <c r="AL305" s="529"/>
      <c r="AM305" s="529"/>
      <c r="AN305" s="529"/>
      <c r="AO305" s="529"/>
    </row>
    <row r="306">
      <c r="B306" s="865" t="s">
        <v>1390</v>
      </c>
      <c r="G306" s="529"/>
      <c r="H306" s="529"/>
      <c r="I306" s="529"/>
      <c r="J306" s="529"/>
      <c r="K306" s="529"/>
      <c r="L306" s="529"/>
      <c r="M306" s="529"/>
      <c r="N306" s="529"/>
      <c r="O306" s="529"/>
      <c r="P306" s="529"/>
      <c r="Q306" s="529"/>
      <c r="R306" s="529"/>
      <c r="S306" s="529"/>
      <c r="T306" s="529"/>
      <c r="U306" s="529"/>
      <c r="V306" s="529"/>
      <c r="W306" s="529"/>
      <c r="X306" s="529"/>
      <c r="Y306" s="529"/>
      <c r="Z306" s="529"/>
      <c r="AA306" s="529"/>
      <c r="AB306" s="529"/>
      <c r="AC306" s="529"/>
      <c r="AD306" s="529"/>
      <c r="AE306" s="529"/>
      <c r="AF306" s="529"/>
      <c r="AG306" s="529"/>
      <c r="AH306" s="529"/>
      <c r="AI306" s="529"/>
      <c r="AJ306" s="529"/>
      <c r="AK306" s="529"/>
      <c r="AL306" s="529"/>
      <c r="AM306" s="529"/>
      <c r="AN306" s="529"/>
      <c r="AO306" s="529"/>
    </row>
    <row r="307">
      <c r="B307" s="865" t="s">
        <v>1391</v>
      </c>
      <c r="G307" s="529"/>
      <c r="H307" s="529"/>
      <c r="I307" s="529"/>
      <c r="J307" s="529"/>
      <c r="K307" s="529"/>
      <c r="L307" s="529"/>
      <c r="M307" s="529"/>
      <c r="N307" s="529"/>
      <c r="O307" s="529"/>
      <c r="P307" s="529"/>
      <c r="Q307" s="529"/>
      <c r="R307" s="529"/>
      <c r="S307" s="529"/>
      <c r="T307" s="529"/>
      <c r="U307" s="529"/>
      <c r="V307" s="529"/>
      <c r="W307" s="529"/>
      <c r="X307" s="529"/>
      <c r="Y307" s="529"/>
      <c r="Z307" s="529"/>
      <c r="AA307" s="529"/>
      <c r="AB307" s="529"/>
      <c r="AC307" s="529"/>
      <c r="AD307" s="529"/>
      <c r="AE307" s="529"/>
      <c r="AF307" s="529"/>
      <c r="AG307" s="529"/>
      <c r="AH307" s="529"/>
      <c r="AI307" s="529"/>
      <c r="AJ307" s="529"/>
      <c r="AK307" s="529"/>
      <c r="AL307" s="529"/>
      <c r="AM307" s="529"/>
      <c r="AN307" s="529"/>
      <c r="AO307" s="529"/>
    </row>
    <row r="308">
      <c r="B308" s="862" t="s">
        <v>1392</v>
      </c>
      <c r="G308" s="529"/>
      <c r="H308" s="529"/>
      <c r="I308" s="529"/>
      <c r="J308" s="529"/>
      <c r="K308" s="529"/>
      <c r="L308" s="529"/>
      <c r="M308" s="529"/>
      <c r="N308" s="529"/>
      <c r="O308" s="529"/>
      <c r="P308" s="529"/>
      <c r="Q308" s="529"/>
      <c r="R308" s="529"/>
      <c r="S308" s="529"/>
      <c r="T308" s="529"/>
      <c r="U308" s="529"/>
      <c r="V308" s="529"/>
      <c r="W308" s="529"/>
      <c r="X308" s="529"/>
      <c r="Y308" s="529"/>
      <c r="Z308" s="529"/>
      <c r="AA308" s="529"/>
      <c r="AB308" s="529"/>
      <c r="AC308" s="529"/>
      <c r="AD308" s="529"/>
      <c r="AE308" s="529"/>
      <c r="AF308" s="529"/>
      <c r="AG308" s="529"/>
      <c r="AH308" s="529"/>
      <c r="AI308" s="529"/>
      <c r="AJ308" s="529"/>
      <c r="AK308" s="529"/>
      <c r="AL308" s="529"/>
      <c r="AM308" s="529"/>
      <c r="AN308" s="529"/>
      <c r="AO308" s="529"/>
    </row>
    <row r="309">
      <c r="B309" s="862" t="s">
        <v>1393</v>
      </c>
      <c r="G309" s="529"/>
      <c r="H309" s="529"/>
      <c r="I309" s="529"/>
      <c r="J309" s="529"/>
      <c r="K309" s="529"/>
      <c r="L309" s="529"/>
      <c r="M309" s="529"/>
      <c r="N309" s="529"/>
      <c r="O309" s="529"/>
      <c r="P309" s="529"/>
      <c r="Q309" s="529"/>
      <c r="R309" s="529"/>
      <c r="S309" s="529"/>
      <c r="T309" s="529"/>
      <c r="U309" s="529"/>
      <c r="V309" s="529"/>
      <c r="W309" s="529"/>
      <c r="X309" s="529"/>
      <c r="Y309" s="529"/>
      <c r="Z309" s="529"/>
      <c r="AA309" s="529"/>
      <c r="AB309" s="529"/>
      <c r="AC309" s="529"/>
      <c r="AD309" s="529"/>
      <c r="AE309" s="529"/>
      <c r="AF309" s="529"/>
      <c r="AG309" s="529"/>
      <c r="AH309" s="529"/>
      <c r="AI309" s="529"/>
      <c r="AJ309" s="529"/>
      <c r="AK309" s="529"/>
      <c r="AL309" s="529"/>
      <c r="AM309" s="529"/>
      <c r="AN309" s="529"/>
      <c r="AO309" s="529"/>
    </row>
    <row r="310">
      <c r="B310" s="862" t="s">
        <v>1394</v>
      </c>
      <c r="G310" s="529"/>
      <c r="H310" s="529"/>
      <c r="I310" s="529"/>
      <c r="J310" s="529"/>
      <c r="K310" s="529"/>
      <c r="L310" s="529"/>
      <c r="M310" s="529"/>
      <c r="N310" s="529"/>
      <c r="O310" s="529"/>
      <c r="P310" s="529"/>
      <c r="Q310" s="529"/>
      <c r="R310" s="529"/>
      <c r="S310" s="529"/>
      <c r="T310" s="529"/>
      <c r="U310" s="529"/>
      <c r="V310" s="529"/>
      <c r="W310" s="529"/>
      <c r="X310" s="529"/>
      <c r="Y310" s="529"/>
      <c r="Z310" s="529"/>
      <c r="AA310" s="529"/>
      <c r="AB310" s="529"/>
      <c r="AC310" s="529"/>
      <c r="AD310" s="529"/>
      <c r="AE310" s="529"/>
      <c r="AF310" s="529"/>
      <c r="AG310" s="529"/>
      <c r="AH310" s="529"/>
      <c r="AI310" s="529"/>
      <c r="AJ310" s="529"/>
      <c r="AK310" s="529"/>
      <c r="AL310" s="529"/>
      <c r="AM310" s="529"/>
      <c r="AN310" s="529"/>
      <c r="AO310" s="529"/>
    </row>
    <row r="311">
      <c r="A311" s="860" t="s">
        <v>1407</v>
      </c>
      <c r="B311" s="861" t="s">
        <v>1386</v>
      </c>
      <c r="G311" s="529"/>
      <c r="H311" s="529"/>
      <c r="I311" s="529"/>
      <c r="J311" s="529"/>
      <c r="K311" s="529"/>
      <c r="L311" s="529"/>
      <c r="M311" s="529"/>
      <c r="N311" s="529"/>
      <c r="O311" s="529"/>
      <c r="P311" s="529"/>
      <c r="Q311" s="529"/>
      <c r="R311" s="529"/>
      <c r="S311" s="529"/>
      <c r="T311" s="529"/>
      <c r="U311" s="529"/>
      <c r="V311" s="529"/>
      <c r="W311" s="529"/>
      <c r="X311" s="529"/>
      <c r="Y311" s="529"/>
      <c r="Z311" s="529"/>
      <c r="AA311" s="529"/>
      <c r="AB311" s="529"/>
      <c r="AC311" s="529"/>
      <c r="AD311" s="529"/>
      <c r="AE311" s="529"/>
      <c r="AF311" s="529"/>
      <c r="AG311" s="529"/>
      <c r="AH311" s="529"/>
      <c r="AI311" s="529"/>
      <c r="AJ311" s="529"/>
      <c r="AK311" s="529"/>
      <c r="AL311" s="529"/>
      <c r="AM311" s="529"/>
      <c r="AN311" s="529"/>
      <c r="AO311" s="529"/>
    </row>
    <row r="312">
      <c r="B312" s="862" t="s">
        <v>1387</v>
      </c>
      <c r="G312" s="529"/>
      <c r="H312" s="529"/>
      <c r="I312" s="529"/>
      <c r="J312" s="529"/>
      <c r="K312" s="529"/>
      <c r="L312" s="529"/>
      <c r="M312" s="529"/>
      <c r="N312" s="529"/>
      <c r="O312" s="529"/>
      <c r="P312" s="529"/>
      <c r="Q312" s="529"/>
      <c r="R312" s="529"/>
      <c r="S312" s="529"/>
      <c r="T312" s="529"/>
      <c r="U312" s="529"/>
      <c r="V312" s="529"/>
      <c r="W312" s="529"/>
      <c r="X312" s="529"/>
      <c r="Y312" s="529"/>
      <c r="Z312" s="529"/>
      <c r="AA312" s="529"/>
      <c r="AB312" s="529"/>
      <c r="AC312" s="529"/>
      <c r="AD312" s="529"/>
      <c r="AE312" s="529"/>
      <c r="AF312" s="529"/>
      <c r="AG312" s="529"/>
      <c r="AH312" s="529"/>
      <c r="AI312" s="529"/>
      <c r="AJ312" s="529"/>
      <c r="AK312" s="529"/>
      <c r="AL312" s="529"/>
      <c r="AM312" s="529"/>
      <c r="AN312" s="529"/>
      <c r="AO312" s="529"/>
    </row>
    <row r="313">
      <c r="B313" s="862" t="s">
        <v>1388</v>
      </c>
      <c r="G313" s="529"/>
      <c r="H313" s="529"/>
      <c r="I313" s="529"/>
      <c r="J313" s="529"/>
      <c r="K313" s="529"/>
      <c r="L313" s="529"/>
      <c r="M313" s="529"/>
      <c r="N313" s="529"/>
      <c r="O313" s="529"/>
      <c r="P313" s="529"/>
      <c r="Q313" s="529"/>
      <c r="R313" s="529"/>
      <c r="S313" s="529"/>
      <c r="T313" s="529"/>
      <c r="U313" s="529"/>
      <c r="V313" s="529"/>
      <c r="W313" s="529"/>
      <c r="X313" s="529"/>
      <c r="Y313" s="529"/>
      <c r="Z313" s="529"/>
      <c r="AA313" s="529"/>
      <c r="AB313" s="529"/>
      <c r="AC313" s="529"/>
      <c r="AD313" s="529"/>
      <c r="AE313" s="529"/>
      <c r="AF313" s="529"/>
      <c r="AG313" s="529"/>
      <c r="AH313" s="529"/>
      <c r="AI313" s="529"/>
      <c r="AJ313" s="529"/>
      <c r="AK313" s="529"/>
      <c r="AL313" s="529"/>
      <c r="AM313" s="529"/>
      <c r="AN313" s="529"/>
      <c r="AO313" s="529"/>
    </row>
    <row r="314">
      <c r="B314" s="862" t="s">
        <v>1389</v>
      </c>
      <c r="G314" s="529"/>
      <c r="H314" s="529"/>
      <c r="I314" s="529"/>
      <c r="J314" s="529"/>
      <c r="K314" s="529"/>
      <c r="L314" s="529"/>
      <c r="M314" s="529"/>
      <c r="N314" s="529"/>
      <c r="O314" s="529"/>
      <c r="P314" s="529"/>
      <c r="Q314" s="529"/>
      <c r="R314" s="529"/>
      <c r="S314" s="529"/>
      <c r="T314" s="529"/>
      <c r="U314" s="529"/>
      <c r="V314" s="529"/>
      <c r="W314" s="529"/>
      <c r="X314" s="529"/>
      <c r="Y314" s="529"/>
      <c r="Z314" s="529"/>
      <c r="AA314" s="529"/>
      <c r="AB314" s="529"/>
      <c r="AC314" s="529"/>
      <c r="AD314" s="529"/>
      <c r="AE314" s="529"/>
      <c r="AF314" s="529"/>
      <c r="AG314" s="529"/>
      <c r="AH314" s="529"/>
      <c r="AI314" s="529"/>
      <c r="AJ314" s="529"/>
      <c r="AK314" s="529"/>
      <c r="AL314" s="529"/>
      <c r="AM314" s="529"/>
      <c r="AN314" s="529"/>
      <c r="AO314" s="529"/>
    </row>
    <row r="315">
      <c r="B315" s="865" t="s">
        <v>1390</v>
      </c>
      <c r="G315" s="529"/>
      <c r="H315" s="529"/>
      <c r="I315" s="529"/>
      <c r="J315" s="529"/>
      <c r="K315" s="529"/>
      <c r="L315" s="529"/>
      <c r="M315" s="529"/>
      <c r="N315" s="529"/>
      <c r="O315" s="529"/>
      <c r="P315" s="529"/>
      <c r="Q315" s="529"/>
      <c r="R315" s="529"/>
      <c r="S315" s="529"/>
      <c r="T315" s="529"/>
      <c r="U315" s="529"/>
      <c r="V315" s="529"/>
      <c r="W315" s="529"/>
      <c r="X315" s="529"/>
      <c r="Y315" s="529"/>
      <c r="Z315" s="529"/>
      <c r="AA315" s="529"/>
      <c r="AB315" s="529"/>
      <c r="AC315" s="529"/>
      <c r="AD315" s="529"/>
      <c r="AE315" s="529"/>
      <c r="AF315" s="529"/>
      <c r="AG315" s="529"/>
      <c r="AH315" s="529"/>
      <c r="AI315" s="529"/>
      <c r="AJ315" s="529"/>
      <c r="AK315" s="529"/>
      <c r="AL315" s="529"/>
      <c r="AM315" s="529"/>
      <c r="AN315" s="529"/>
      <c r="AO315" s="529"/>
    </row>
    <row r="316">
      <c r="B316" s="865" t="s">
        <v>1391</v>
      </c>
      <c r="G316" s="529"/>
      <c r="H316" s="529"/>
      <c r="I316" s="529"/>
      <c r="J316" s="529"/>
      <c r="K316" s="529"/>
      <c r="L316" s="529"/>
      <c r="M316" s="529"/>
      <c r="N316" s="529"/>
      <c r="O316" s="529"/>
      <c r="P316" s="529"/>
      <c r="Q316" s="529"/>
      <c r="R316" s="529"/>
      <c r="S316" s="529"/>
      <c r="T316" s="529"/>
      <c r="U316" s="529"/>
      <c r="V316" s="529"/>
      <c r="W316" s="529"/>
      <c r="X316" s="529"/>
      <c r="Y316" s="529"/>
      <c r="Z316" s="529"/>
      <c r="AA316" s="529"/>
      <c r="AB316" s="529"/>
      <c r="AC316" s="529"/>
      <c r="AD316" s="529"/>
      <c r="AE316" s="529"/>
      <c r="AF316" s="529"/>
      <c r="AG316" s="529"/>
      <c r="AH316" s="529"/>
      <c r="AI316" s="529"/>
      <c r="AJ316" s="529"/>
      <c r="AK316" s="529"/>
      <c r="AL316" s="529"/>
      <c r="AM316" s="529"/>
      <c r="AN316" s="529"/>
      <c r="AO316" s="529"/>
    </row>
    <row r="317">
      <c r="B317" s="862" t="s">
        <v>1392</v>
      </c>
      <c r="G317" s="529"/>
      <c r="H317" s="529"/>
      <c r="I317" s="529"/>
      <c r="J317" s="529"/>
      <c r="K317" s="529"/>
      <c r="L317" s="529"/>
      <c r="M317" s="529"/>
      <c r="N317" s="529"/>
      <c r="O317" s="529"/>
      <c r="P317" s="529"/>
      <c r="Q317" s="529"/>
      <c r="R317" s="529"/>
      <c r="S317" s="529"/>
      <c r="T317" s="529"/>
      <c r="U317" s="529"/>
      <c r="V317" s="529"/>
      <c r="W317" s="529"/>
      <c r="X317" s="529"/>
      <c r="Y317" s="529"/>
      <c r="Z317" s="529"/>
      <c r="AA317" s="529"/>
      <c r="AB317" s="529"/>
      <c r="AC317" s="529"/>
      <c r="AD317" s="529"/>
      <c r="AE317" s="529"/>
      <c r="AF317" s="529"/>
      <c r="AG317" s="529"/>
      <c r="AH317" s="529"/>
      <c r="AI317" s="529"/>
      <c r="AJ317" s="529"/>
      <c r="AK317" s="529"/>
      <c r="AL317" s="529"/>
      <c r="AM317" s="529"/>
      <c r="AN317" s="529"/>
      <c r="AO317" s="529"/>
    </row>
    <row r="318">
      <c r="B318" s="862" t="s">
        <v>1393</v>
      </c>
      <c r="G318" s="529"/>
      <c r="H318" s="529"/>
      <c r="I318" s="529"/>
      <c r="J318" s="529"/>
      <c r="K318" s="529"/>
      <c r="L318" s="529"/>
      <c r="M318" s="529"/>
      <c r="N318" s="529"/>
      <c r="O318" s="529"/>
      <c r="P318" s="529"/>
      <c r="Q318" s="529"/>
      <c r="R318" s="529"/>
      <c r="S318" s="529"/>
      <c r="T318" s="529"/>
      <c r="U318" s="529"/>
      <c r="V318" s="529"/>
      <c r="W318" s="529"/>
      <c r="X318" s="529"/>
      <c r="Y318" s="529"/>
      <c r="Z318" s="529"/>
      <c r="AA318" s="529"/>
      <c r="AB318" s="529"/>
      <c r="AC318" s="529"/>
      <c r="AD318" s="529"/>
      <c r="AE318" s="529"/>
      <c r="AF318" s="529"/>
      <c r="AG318" s="529"/>
      <c r="AH318" s="529"/>
      <c r="AI318" s="529"/>
      <c r="AJ318" s="529"/>
      <c r="AK318" s="529"/>
      <c r="AL318" s="529"/>
      <c r="AM318" s="529"/>
      <c r="AN318" s="529"/>
      <c r="AO318" s="529"/>
    </row>
    <row r="319">
      <c r="B319" s="862" t="s">
        <v>1394</v>
      </c>
      <c r="G319" s="529"/>
      <c r="H319" s="529"/>
      <c r="I319" s="529"/>
      <c r="J319" s="529"/>
      <c r="K319" s="529"/>
      <c r="L319" s="529"/>
      <c r="M319" s="529"/>
      <c r="N319" s="529"/>
      <c r="O319" s="529"/>
      <c r="P319" s="529"/>
      <c r="Q319" s="529"/>
      <c r="R319" s="529"/>
      <c r="S319" s="529"/>
      <c r="T319" s="529"/>
      <c r="U319" s="529"/>
      <c r="V319" s="529"/>
      <c r="W319" s="529"/>
      <c r="X319" s="529"/>
      <c r="Y319" s="529"/>
      <c r="Z319" s="529"/>
      <c r="AA319" s="529"/>
      <c r="AB319" s="529"/>
      <c r="AC319" s="529"/>
      <c r="AD319" s="529"/>
      <c r="AE319" s="529"/>
      <c r="AF319" s="529"/>
      <c r="AG319" s="529"/>
      <c r="AH319" s="529"/>
      <c r="AI319" s="529"/>
      <c r="AJ319" s="529"/>
      <c r="AK319" s="529"/>
      <c r="AL319" s="529"/>
      <c r="AM319" s="529"/>
      <c r="AN319" s="529"/>
      <c r="AO319" s="529"/>
    </row>
    <row r="320">
      <c r="A320" s="860" t="s">
        <v>1408</v>
      </c>
      <c r="B320" s="861" t="s">
        <v>1386</v>
      </c>
      <c r="G320" s="529"/>
      <c r="H320" s="529"/>
      <c r="I320" s="529"/>
      <c r="J320" s="529"/>
      <c r="K320" s="529"/>
      <c r="L320" s="529"/>
      <c r="M320" s="529"/>
      <c r="N320" s="529"/>
      <c r="O320" s="529"/>
      <c r="P320" s="529"/>
      <c r="Q320" s="529"/>
      <c r="R320" s="529"/>
      <c r="S320" s="529"/>
      <c r="T320" s="529"/>
      <c r="U320" s="529"/>
      <c r="V320" s="529"/>
      <c r="W320" s="529"/>
      <c r="X320" s="529"/>
      <c r="Y320" s="529"/>
      <c r="Z320" s="529"/>
      <c r="AA320" s="529"/>
      <c r="AB320" s="529"/>
      <c r="AC320" s="529"/>
      <c r="AD320" s="529"/>
      <c r="AE320" s="529"/>
      <c r="AF320" s="529"/>
      <c r="AG320" s="529"/>
      <c r="AH320" s="529"/>
      <c r="AI320" s="529"/>
      <c r="AJ320" s="529"/>
      <c r="AK320" s="529"/>
      <c r="AL320" s="529"/>
      <c r="AM320" s="529"/>
      <c r="AN320" s="529"/>
      <c r="AO320" s="529"/>
    </row>
    <row r="321">
      <c r="B321" s="862" t="s">
        <v>1387</v>
      </c>
      <c r="G321" s="529"/>
      <c r="H321" s="529"/>
      <c r="I321" s="529"/>
      <c r="J321" s="529"/>
      <c r="K321" s="529"/>
      <c r="L321" s="529"/>
      <c r="M321" s="529"/>
      <c r="N321" s="529"/>
      <c r="O321" s="529"/>
      <c r="P321" s="529"/>
      <c r="Q321" s="529"/>
      <c r="R321" s="529"/>
      <c r="S321" s="529"/>
      <c r="T321" s="529"/>
      <c r="U321" s="529"/>
      <c r="V321" s="529"/>
      <c r="W321" s="529"/>
      <c r="X321" s="529"/>
      <c r="Y321" s="529"/>
      <c r="Z321" s="529"/>
      <c r="AA321" s="529"/>
      <c r="AB321" s="529"/>
      <c r="AC321" s="529"/>
      <c r="AD321" s="529"/>
      <c r="AE321" s="529"/>
      <c r="AF321" s="529"/>
      <c r="AG321" s="529"/>
      <c r="AH321" s="529"/>
      <c r="AI321" s="529"/>
      <c r="AJ321" s="529"/>
      <c r="AK321" s="529"/>
      <c r="AL321" s="529"/>
      <c r="AM321" s="529"/>
      <c r="AN321" s="529"/>
      <c r="AO321" s="529"/>
    </row>
    <row r="322">
      <c r="B322" s="862" t="s">
        <v>1388</v>
      </c>
      <c r="G322" s="529"/>
      <c r="H322" s="529"/>
      <c r="I322" s="529"/>
      <c r="J322" s="529"/>
      <c r="K322" s="529"/>
      <c r="L322" s="529"/>
      <c r="M322" s="529"/>
      <c r="N322" s="529"/>
      <c r="O322" s="529"/>
      <c r="P322" s="529"/>
      <c r="Q322" s="529"/>
      <c r="R322" s="529"/>
      <c r="S322" s="529"/>
      <c r="T322" s="529"/>
      <c r="U322" s="529"/>
      <c r="V322" s="529"/>
      <c r="W322" s="529"/>
      <c r="X322" s="529"/>
      <c r="Y322" s="529"/>
      <c r="Z322" s="529"/>
      <c r="AA322" s="529"/>
      <c r="AB322" s="529"/>
      <c r="AC322" s="529"/>
      <c r="AD322" s="529"/>
      <c r="AE322" s="529"/>
      <c r="AF322" s="529"/>
      <c r="AG322" s="529"/>
      <c r="AH322" s="529"/>
      <c r="AI322" s="529"/>
      <c r="AJ322" s="529"/>
      <c r="AK322" s="529"/>
      <c r="AL322" s="529"/>
      <c r="AM322" s="529"/>
      <c r="AN322" s="529"/>
      <c r="AO322" s="529"/>
    </row>
    <row r="323">
      <c r="B323" s="862" t="s">
        <v>1389</v>
      </c>
      <c r="G323" s="529"/>
      <c r="H323" s="529"/>
      <c r="I323" s="529"/>
      <c r="J323" s="529"/>
      <c r="K323" s="529"/>
      <c r="L323" s="529"/>
      <c r="M323" s="529"/>
      <c r="N323" s="529"/>
      <c r="O323" s="529"/>
      <c r="P323" s="529"/>
      <c r="Q323" s="529"/>
      <c r="R323" s="529"/>
      <c r="S323" s="529"/>
      <c r="T323" s="529"/>
      <c r="U323" s="529"/>
      <c r="V323" s="529"/>
      <c r="W323" s="529"/>
      <c r="X323" s="529"/>
      <c r="Y323" s="529"/>
      <c r="Z323" s="529"/>
      <c r="AA323" s="529"/>
      <c r="AB323" s="529"/>
      <c r="AC323" s="529"/>
      <c r="AD323" s="529"/>
      <c r="AE323" s="529"/>
      <c r="AF323" s="529"/>
      <c r="AG323" s="529"/>
      <c r="AH323" s="529"/>
      <c r="AI323" s="529"/>
      <c r="AJ323" s="529"/>
      <c r="AK323" s="529"/>
      <c r="AL323" s="529"/>
      <c r="AM323" s="529"/>
      <c r="AN323" s="529"/>
      <c r="AO323" s="529"/>
    </row>
    <row r="324">
      <c r="B324" s="865" t="s">
        <v>1390</v>
      </c>
      <c r="G324" s="529"/>
      <c r="H324" s="529"/>
      <c r="I324" s="529"/>
      <c r="J324" s="529"/>
      <c r="K324" s="529"/>
      <c r="L324" s="529"/>
      <c r="M324" s="529"/>
      <c r="N324" s="529"/>
      <c r="O324" s="529"/>
      <c r="P324" s="529"/>
      <c r="Q324" s="529"/>
      <c r="R324" s="529"/>
      <c r="S324" s="529"/>
      <c r="T324" s="529"/>
      <c r="U324" s="529"/>
      <c r="V324" s="529"/>
      <c r="W324" s="529"/>
      <c r="X324" s="529"/>
      <c r="Y324" s="529"/>
      <c r="Z324" s="529"/>
      <c r="AA324" s="529"/>
      <c r="AB324" s="529"/>
      <c r="AC324" s="529"/>
      <c r="AD324" s="529"/>
      <c r="AE324" s="529"/>
      <c r="AF324" s="529"/>
      <c r="AG324" s="529"/>
      <c r="AH324" s="529"/>
      <c r="AI324" s="529"/>
      <c r="AJ324" s="529"/>
      <c r="AK324" s="529"/>
      <c r="AL324" s="529"/>
      <c r="AM324" s="529"/>
      <c r="AN324" s="529"/>
      <c r="AO324" s="529"/>
    </row>
    <row r="325">
      <c r="B325" s="865" t="s">
        <v>1391</v>
      </c>
      <c r="G325" s="529"/>
      <c r="H325" s="529"/>
      <c r="I325" s="529"/>
      <c r="J325" s="529"/>
      <c r="K325" s="529"/>
      <c r="L325" s="529"/>
      <c r="M325" s="529"/>
      <c r="N325" s="529"/>
      <c r="O325" s="529"/>
      <c r="P325" s="529"/>
      <c r="Q325" s="529"/>
      <c r="R325" s="529"/>
      <c r="S325" s="529"/>
      <c r="T325" s="529"/>
      <c r="U325" s="529"/>
      <c r="V325" s="529"/>
      <c r="W325" s="529"/>
      <c r="X325" s="529"/>
      <c r="Y325" s="529"/>
      <c r="Z325" s="529"/>
      <c r="AA325" s="529"/>
      <c r="AB325" s="529"/>
      <c r="AC325" s="529"/>
      <c r="AD325" s="529"/>
      <c r="AE325" s="529"/>
      <c r="AF325" s="529"/>
      <c r="AG325" s="529"/>
      <c r="AH325" s="529"/>
      <c r="AI325" s="529"/>
      <c r="AJ325" s="529"/>
      <c r="AK325" s="529"/>
      <c r="AL325" s="529"/>
      <c r="AM325" s="529"/>
      <c r="AN325" s="529"/>
      <c r="AO325" s="529"/>
    </row>
    <row r="326">
      <c r="B326" s="862" t="s">
        <v>1392</v>
      </c>
      <c r="G326" s="529"/>
      <c r="H326" s="529"/>
      <c r="I326" s="529"/>
      <c r="J326" s="529"/>
      <c r="K326" s="529"/>
      <c r="L326" s="529"/>
      <c r="M326" s="529"/>
      <c r="N326" s="529"/>
      <c r="O326" s="529"/>
      <c r="P326" s="529"/>
      <c r="Q326" s="529"/>
      <c r="R326" s="529"/>
      <c r="S326" s="529"/>
      <c r="T326" s="529"/>
      <c r="U326" s="529"/>
      <c r="V326" s="529"/>
      <c r="W326" s="529"/>
      <c r="X326" s="529"/>
      <c r="Y326" s="529"/>
      <c r="Z326" s="529"/>
      <c r="AA326" s="529"/>
      <c r="AB326" s="529"/>
      <c r="AC326" s="529"/>
      <c r="AD326" s="529"/>
      <c r="AE326" s="529"/>
      <c r="AF326" s="529"/>
      <c r="AG326" s="529"/>
      <c r="AH326" s="529"/>
      <c r="AI326" s="529"/>
      <c r="AJ326" s="529"/>
      <c r="AK326" s="529"/>
      <c r="AL326" s="529"/>
      <c r="AM326" s="529"/>
      <c r="AN326" s="529"/>
      <c r="AO326" s="529"/>
    </row>
    <row r="327">
      <c r="B327" s="862" t="s">
        <v>1393</v>
      </c>
      <c r="G327" s="529"/>
      <c r="H327" s="529"/>
      <c r="I327" s="529"/>
      <c r="J327" s="529"/>
      <c r="K327" s="529"/>
      <c r="L327" s="529"/>
      <c r="M327" s="529"/>
      <c r="N327" s="529"/>
      <c r="O327" s="529"/>
      <c r="P327" s="529"/>
      <c r="Q327" s="529"/>
      <c r="R327" s="529"/>
      <c r="S327" s="529"/>
      <c r="T327" s="529"/>
      <c r="U327" s="529"/>
      <c r="V327" s="529"/>
      <c r="W327" s="529"/>
      <c r="X327" s="529"/>
      <c r="Y327" s="529"/>
      <c r="Z327" s="529"/>
      <c r="AA327" s="529"/>
      <c r="AB327" s="529"/>
      <c r="AC327" s="529"/>
      <c r="AD327" s="529"/>
      <c r="AE327" s="529"/>
      <c r="AF327" s="529"/>
      <c r="AG327" s="529"/>
      <c r="AH327" s="529"/>
      <c r="AI327" s="529"/>
      <c r="AJ327" s="529"/>
      <c r="AK327" s="529"/>
      <c r="AL327" s="529"/>
      <c r="AM327" s="529"/>
      <c r="AN327" s="529"/>
      <c r="AO327" s="529"/>
    </row>
    <row r="328">
      <c r="B328" s="862" t="s">
        <v>1394</v>
      </c>
      <c r="G328" s="529"/>
      <c r="H328" s="529"/>
      <c r="I328" s="529"/>
      <c r="J328" s="529"/>
      <c r="K328" s="529"/>
      <c r="L328" s="529"/>
      <c r="M328" s="529"/>
      <c r="N328" s="529"/>
      <c r="O328" s="529"/>
      <c r="P328" s="529"/>
      <c r="Q328" s="529"/>
      <c r="R328" s="529"/>
      <c r="S328" s="529"/>
      <c r="T328" s="529"/>
      <c r="U328" s="529"/>
      <c r="V328" s="529"/>
      <c r="W328" s="529"/>
      <c r="X328" s="529"/>
      <c r="Y328" s="529"/>
      <c r="Z328" s="529"/>
      <c r="AA328" s="529"/>
      <c r="AB328" s="529"/>
      <c r="AC328" s="529"/>
      <c r="AD328" s="529"/>
      <c r="AE328" s="529"/>
      <c r="AF328" s="529"/>
      <c r="AG328" s="529"/>
      <c r="AH328" s="529"/>
      <c r="AI328" s="529"/>
      <c r="AJ328" s="529"/>
      <c r="AK328" s="529"/>
      <c r="AL328" s="529"/>
      <c r="AM328" s="529"/>
      <c r="AN328" s="529"/>
      <c r="AO328" s="529"/>
    </row>
    <row r="329">
      <c r="A329" s="860" t="s">
        <v>1409</v>
      </c>
      <c r="B329" s="861" t="s">
        <v>1386</v>
      </c>
      <c r="G329" s="529"/>
      <c r="H329" s="529"/>
      <c r="I329" s="529"/>
      <c r="J329" s="529"/>
      <c r="K329" s="529"/>
      <c r="L329" s="529"/>
      <c r="M329" s="529"/>
      <c r="N329" s="529"/>
      <c r="O329" s="529"/>
      <c r="P329" s="529"/>
      <c r="Q329" s="529"/>
      <c r="R329" s="529"/>
      <c r="S329" s="529"/>
      <c r="T329" s="529"/>
      <c r="U329" s="529"/>
      <c r="V329" s="529"/>
      <c r="W329" s="529"/>
      <c r="X329" s="529"/>
      <c r="Y329" s="529"/>
      <c r="Z329" s="529"/>
      <c r="AA329" s="529"/>
      <c r="AB329" s="529"/>
      <c r="AC329" s="529"/>
      <c r="AD329" s="529"/>
      <c r="AE329" s="529"/>
      <c r="AF329" s="529"/>
      <c r="AG329" s="529"/>
      <c r="AH329" s="529"/>
      <c r="AI329" s="529"/>
      <c r="AJ329" s="529"/>
      <c r="AK329" s="529"/>
      <c r="AL329" s="529"/>
      <c r="AM329" s="529"/>
      <c r="AN329" s="529"/>
      <c r="AO329" s="529"/>
    </row>
    <row r="330">
      <c r="B330" s="862" t="s">
        <v>1387</v>
      </c>
      <c r="G330" s="529"/>
      <c r="H330" s="529"/>
      <c r="I330" s="529"/>
      <c r="J330" s="529"/>
      <c r="K330" s="529"/>
      <c r="L330" s="529"/>
      <c r="M330" s="529"/>
      <c r="N330" s="529"/>
      <c r="O330" s="529"/>
      <c r="P330" s="529"/>
      <c r="Q330" s="529"/>
      <c r="R330" s="529"/>
      <c r="S330" s="529"/>
      <c r="T330" s="529"/>
      <c r="U330" s="529"/>
      <c r="V330" s="529"/>
      <c r="W330" s="529"/>
      <c r="X330" s="529"/>
      <c r="Y330" s="529"/>
      <c r="Z330" s="529"/>
      <c r="AA330" s="529"/>
      <c r="AB330" s="529"/>
      <c r="AC330" s="529"/>
      <c r="AD330" s="529"/>
      <c r="AE330" s="529"/>
      <c r="AF330" s="529"/>
      <c r="AG330" s="529"/>
      <c r="AH330" s="529"/>
      <c r="AI330" s="529"/>
      <c r="AJ330" s="529"/>
      <c r="AK330" s="529"/>
      <c r="AL330" s="529"/>
      <c r="AM330" s="529"/>
      <c r="AN330" s="529"/>
      <c r="AO330" s="529"/>
    </row>
    <row r="331">
      <c r="B331" s="862" t="s">
        <v>1388</v>
      </c>
      <c r="G331" s="529"/>
      <c r="H331" s="529"/>
      <c r="I331" s="529"/>
      <c r="J331" s="529"/>
      <c r="K331" s="529"/>
      <c r="L331" s="529"/>
      <c r="M331" s="529"/>
      <c r="N331" s="529"/>
      <c r="O331" s="529"/>
      <c r="P331" s="529"/>
      <c r="Q331" s="529"/>
      <c r="R331" s="529"/>
      <c r="S331" s="529"/>
      <c r="T331" s="529"/>
      <c r="U331" s="529"/>
      <c r="V331" s="529"/>
      <c r="W331" s="529"/>
      <c r="X331" s="529"/>
      <c r="Y331" s="529"/>
      <c r="Z331" s="529"/>
      <c r="AA331" s="529"/>
      <c r="AB331" s="529"/>
      <c r="AC331" s="529"/>
      <c r="AD331" s="529"/>
      <c r="AE331" s="529"/>
      <c r="AF331" s="529"/>
      <c r="AG331" s="529"/>
      <c r="AH331" s="529"/>
      <c r="AI331" s="529"/>
      <c r="AJ331" s="529"/>
      <c r="AK331" s="529"/>
      <c r="AL331" s="529"/>
      <c r="AM331" s="529"/>
      <c r="AN331" s="529"/>
      <c r="AO331" s="529"/>
    </row>
    <row r="332">
      <c r="B332" s="862" t="s">
        <v>1389</v>
      </c>
      <c r="G332" s="529"/>
      <c r="H332" s="529"/>
      <c r="I332" s="529"/>
      <c r="J332" s="529"/>
      <c r="K332" s="529"/>
      <c r="L332" s="529"/>
      <c r="M332" s="529"/>
      <c r="N332" s="529"/>
      <c r="O332" s="529"/>
      <c r="P332" s="529"/>
      <c r="Q332" s="529"/>
      <c r="R332" s="529"/>
      <c r="S332" s="529"/>
      <c r="T332" s="529"/>
      <c r="U332" s="529"/>
      <c r="V332" s="529"/>
      <c r="W332" s="529"/>
      <c r="X332" s="529"/>
      <c r="Y332" s="529"/>
      <c r="Z332" s="529"/>
      <c r="AA332" s="529"/>
      <c r="AB332" s="529"/>
      <c r="AC332" s="529"/>
      <c r="AD332" s="529"/>
      <c r="AE332" s="529"/>
      <c r="AF332" s="529"/>
      <c r="AG332" s="529"/>
      <c r="AH332" s="529"/>
      <c r="AI332" s="529"/>
      <c r="AJ332" s="529"/>
      <c r="AK332" s="529"/>
      <c r="AL332" s="529"/>
      <c r="AM332" s="529"/>
      <c r="AN332" s="529"/>
      <c r="AO332" s="529"/>
    </row>
    <row r="333">
      <c r="B333" s="865" t="s">
        <v>1390</v>
      </c>
      <c r="G333" s="529"/>
      <c r="H333" s="529"/>
      <c r="I333" s="529"/>
      <c r="J333" s="529"/>
      <c r="K333" s="529"/>
      <c r="L333" s="529"/>
      <c r="M333" s="529"/>
      <c r="N333" s="529"/>
      <c r="O333" s="529"/>
      <c r="P333" s="529"/>
      <c r="Q333" s="529"/>
      <c r="R333" s="529"/>
      <c r="S333" s="529"/>
      <c r="T333" s="529"/>
      <c r="U333" s="529"/>
      <c r="V333" s="529"/>
      <c r="W333" s="529"/>
      <c r="X333" s="529"/>
      <c r="Y333" s="529"/>
      <c r="Z333" s="529"/>
      <c r="AA333" s="529"/>
      <c r="AB333" s="529"/>
      <c r="AC333" s="529"/>
      <c r="AD333" s="529"/>
      <c r="AE333" s="529"/>
      <c r="AF333" s="529"/>
      <c r="AG333" s="529"/>
      <c r="AH333" s="529"/>
      <c r="AI333" s="529"/>
      <c r="AJ333" s="529"/>
      <c r="AK333" s="529"/>
      <c r="AL333" s="529"/>
      <c r="AM333" s="529"/>
      <c r="AN333" s="529"/>
      <c r="AO333" s="529"/>
    </row>
    <row r="334">
      <c r="B334" s="865" t="s">
        <v>1391</v>
      </c>
      <c r="G334" s="529"/>
      <c r="H334" s="529"/>
      <c r="I334" s="529"/>
      <c r="J334" s="529"/>
      <c r="K334" s="529"/>
      <c r="L334" s="529"/>
      <c r="M334" s="529"/>
      <c r="N334" s="529"/>
      <c r="O334" s="529"/>
      <c r="P334" s="529"/>
      <c r="Q334" s="529"/>
      <c r="R334" s="529"/>
      <c r="S334" s="529"/>
      <c r="T334" s="529"/>
      <c r="U334" s="529"/>
      <c r="V334" s="529"/>
      <c r="W334" s="529"/>
      <c r="X334" s="529"/>
      <c r="Y334" s="529"/>
      <c r="Z334" s="529"/>
      <c r="AA334" s="529"/>
      <c r="AB334" s="529"/>
      <c r="AC334" s="529"/>
      <c r="AD334" s="529"/>
      <c r="AE334" s="529"/>
      <c r="AF334" s="529"/>
      <c r="AG334" s="529"/>
      <c r="AH334" s="529"/>
      <c r="AI334" s="529"/>
      <c r="AJ334" s="529"/>
      <c r="AK334" s="529"/>
      <c r="AL334" s="529"/>
      <c r="AM334" s="529"/>
      <c r="AN334" s="529"/>
      <c r="AO334" s="529"/>
    </row>
    <row r="335">
      <c r="B335" s="862" t="s">
        <v>1392</v>
      </c>
      <c r="G335" s="529"/>
      <c r="H335" s="529"/>
      <c r="I335" s="529"/>
      <c r="J335" s="529"/>
      <c r="K335" s="529"/>
      <c r="L335" s="529"/>
      <c r="M335" s="529"/>
      <c r="N335" s="529"/>
      <c r="O335" s="529"/>
      <c r="P335" s="529"/>
      <c r="Q335" s="529"/>
      <c r="R335" s="529"/>
      <c r="S335" s="529"/>
      <c r="T335" s="529"/>
      <c r="U335" s="529"/>
      <c r="V335" s="529"/>
      <c r="W335" s="529"/>
      <c r="X335" s="529"/>
      <c r="Y335" s="529"/>
      <c r="Z335" s="529"/>
      <c r="AA335" s="529"/>
      <c r="AB335" s="529"/>
      <c r="AC335" s="529"/>
      <c r="AD335" s="529"/>
      <c r="AE335" s="529"/>
      <c r="AF335" s="529"/>
      <c r="AG335" s="529"/>
      <c r="AH335" s="529"/>
      <c r="AI335" s="529"/>
      <c r="AJ335" s="529"/>
      <c r="AK335" s="529"/>
      <c r="AL335" s="529"/>
      <c r="AM335" s="529"/>
      <c r="AN335" s="529"/>
      <c r="AO335" s="529"/>
    </row>
    <row r="336">
      <c r="B336" s="862" t="s">
        <v>1393</v>
      </c>
      <c r="G336" s="529"/>
      <c r="H336" s="529"/>
      <c r="I336" s="529"/>
      <c r="J336" s="529"/>
      <c r="K336" s="529"/>
      <c r="L336" s="529"/>
      <c r="M336" s="529"/>
      <c r="N336" s="529"/>
      <c r="O336" s="529"/>
      <c r="P336" s="529"/>
      <c r="Q336" s="529"/>
      <c r="R336" s="529"/>
      <c r="S336" s="529"/>
      <c r="T336" s="529"/>
      <c r="U336" s="529"/>
      <c r="V336" s="529"/>
      <c r="W336" s="529"/>
      <c r="X336" s="529"/>
      <c r="Y336" s="529"/>
      <c r="Z336" s="529"/>
      <c r="AA336" s="529"/>
      <c r="AB336" s="529"/>
      <c r="AC336" s="529"/>
      <c r="AD336" s="529"/>
      <c r="AE336" s="529"/>
      <c r="AF336" s="529"/>
      <c r="AG336" s="529"/>
      <c r="AH336" s="529"/>
      <c r="AI336" s="529"/>
      <c r="AJ336" s="529"/>
      <c r="AK336" s="529"/>
      <c r="AL336" s="529"/>
      <c r="AM336" s="529"/>
      <c r="AN336" s="529"/>
      <c r="AO336" s="529"/>
    </row>
    <row r="337">
      <c r="B337" s="862" t="s">
        <v>1394</v>
      </c>
      <c r="G337" s="529"/>
      <c r="H337" s="529"/>
      <c r="I337" s="529"/>
      <c r="J337" s="529"/>
      <c r="K337" s="529"/>
      <c r="L337" s="529"/>
      <c r="M337" s="529"/>
      <c r="N337" s="529"/>
      <c r="O337" s="529"/>
      <c r="P337" s="529"/>
      <c r="Q337" s="529"/>
      <c r="R337" s="529"/>
      <c r="S337" s="529"/>
      <c r="T337" s="529"/>
      <c r="U337" s="529"/>
      <c r="V337" s="529"/>
      <c r="W337" s="529"/>
      <c r="X337" s="529"/>
      <c r="Y337" s="529"/>
      <c r="Z337" s="529"/>
      <c r="AA337" s="529"/>
      <c r="AB337" s="529"/>
      <c r="AC337" s="529"/>
      <c r="AD337" s="529"/>
      <c r="AE337" s="529"/>
      <c r="AF337" s="529"/>
      <c r="AG337" s="529"/>
      <c r="AH337" s="529"/>
      <c r="AI337" s="529"/>
      <c r="AJ337" s="529"/>
      <c r="AK337" s="529"/>
      <c r="AL337" s="529"/>
      <c r="AM337" s="529"/>
      <c r="AN337" s="529"/>
      <c r="AO337" s="529"/>
    </row>
    <row r="338">
      <c r="G338" s="529"/>
      <c r="H338" s="529"/>
      <c r="I338" s="529"/>
      <c r="J338" s="529"/>
      <c r="K338" s="529"/>
      <c r="L338" s="529"/>
      <c r="M338" s="529"/>
      <c r="N338" s="529"/>
      <c r="O338" s="529"/>
      <c r="P338" s="529"/>
      <c r="Q338" s="529"/>
      <c r="R338" s="529"/>
      <c r="S338" s="529"/>
      <c r="T338" s="529"/>
      <c r="U338" s="529"/>
      <c r="V338" s="529"/>
      <c r="W338" s="529"/>
      <c r="X338" s="529"/>
      <c r="Y338" s="529"/>
      <c r="Z338" s="529"/>
      <c r="AA338" s="529"/>
      <c r="AB338" s="529"/>
      <c r="AC338" s="529"/>
      <c r="AD338" s="529"/>
      <c r="AE338" s="529"/>
      <c r="AF338" s="529"/>
      <c r="AG338" s="529"/>
      <c r="AH338" s="529"/>
      <c r="AI338" s="529"/>
      <c r="AJ338" s="529"/>
      <c r="AK338" s="529"/>
      <c r="AL338" s="529"/>
      <c r="AM338" s="529"/>
      <c r="AN338" s="529"/>
      <c r="AO338" s="529"/>
    </row>
    <row r="339">
      <c r="G339" s="529"/>
      <c r="H339" s="529"/>
      <c r="I339" s="529"/>
      <c r="J339" s="529"/>
      <c r="K339" s="529"/>
      <c r="L339" s="529"/>
      <c r="M339" s="529"/>
      <c r="N339" s="529"/>
      <c r="O339" s="529"/>
      <c r="P339" s="529"/>
      <c r="Q339" s="529"/>
      <c r="R339" s="529"/>
      <c r="S339" s="529"/>
      <c r="T339" s="529"/>
      <c r="U339" s="529"/>
      <c r="V339" s="529"/>
      <c r="W339" s="529"/>
      <c r="X339" s="529"/>
      <c r="Y339" s="529"/>
      <c r="Z339" s="529"/>
      <c r="AA339" s="529"/>
      <c r="AB339" s="529"/>
      <c r="AC339" s="529"/>
      <c r="AD339" s="529"/>
      <c r="AE339" s="529"/>
      <c r="AF339" s="529"/>
      <c r="AG339" s="529"/>
      <c r="AH339" s="529"/>
      <c r="AI339" s="529"/>
      <c r="AJ339" s="529"/>
      <c r="AK339" s="529"/>
      <c r="AL339" s="529"/>
      <c r="AM339" s="529"/>
      <c r="AN339" s="529"/>
      <c r="AO339" s="529"/>
    </row>
    <row r="340">
      <c r="G340" s="529"/>
      <c r="H340" s="529"/>
      <c r="I340" s="529"/>
      <c r="J340" s="529"/>
      <c r="K340" s="529"/>
      <c r="L340" s="529"/>
      <c r="M340" s="529"/>
      <c r="N340" s="529"/>
      <c r="O340" s="529"/>
      <c r="P340" s="529"/>
      <c r="Q340" s="529"/>
      <c r="R340" s="529"/>
      <c r="S340" s="529"/>
      <c r="T340" s="529"/>
      <c r="U340" s="529"/>
      <c r="V340" s="529"/>
      <c r="W340" s="529"/>
      <c r="X340" s="529"/>
      <c r="Y340" s="529"/>
      <c r="Z340" s="529"/>
      <c r="AA340" s="529"/>
      <c r="AB340" s="529"/>
      <c r="AC340" s="529"/>
      <c r="AD340" s="529"/>
      <c r="AE340" s="529"/>
      <c r="AF340" s="529"/>
      <c r="AG340" s="529"/>
      <c r="AH340" s="529"/>
      <c r="AI340" s="529"/>
      <c r="AJ340" s="529"/>
      <c r="AK340" s="529"/>
      <c r="AL340" s="529"/>
      <c r="AM340" s="529"/>
      <c r="AN340" s="529"/>
      <c r="AO340" s="529"/>
    </row>
    <row r="341">
      <c r="G341" s="529"/>
      <c r="H341" s="529"/>
      <c r="I341" s="529"/>
      <c r="J341" s="529"/>
      <c r="K341" s="529"/>
      <c r="L341" s="529"/>
      <c r="M341" s="529"/>
      <c r="N341" s="529"/>
      <c r="O341" s="529"/>
      <c r="P341" s="529"/>
      <c r="Q341" s="529"/>
      <c r="R341" s="529"/>
      <c r="S341" s="529"/>
      <c r="T341" s="529"/>
      <c r="U341" s="529"/>
      <c r="V341" s="529"/>
      <c r="W341" s="529"/>
      <c r="X341" s="529"/>
      <c r="Y341" s="529"/>
      <c r="Z341" s="529"/>
      <c r="AA341" s="529"/>
      <c r="AB341" s="529"/>
      <c r="AC341" s="529"/>
      <c r="AD341" s="529"/>
      <c r="AE341" s="529"/>
      <c r="AF341" s="529"/>
      <c r="AG341" s="529"/>
      <c r="AH341" s="529"/>
      <c r="AI341" s="529"/>
      <c r="AJ341" s="529"/>
      <c r="AK341" s="529"/>
      <c r="AL341" s="529"/>
      <c r="AM341" s="529"/>
      <c r="AN341" s="529"/>
      <c r="AO341" s="529"/>
    </row>
    <row r="342">
      <c r="G342" s="529"/>
      <c r="H342" s="529"/>
      <c r="I342" s="529"/>
      <c r="J342" s="529"/>
      <c r="K342" s="529"/>
      <c r="L342" s="529"/>
      <c r="M342" s="529"/>
      <c r="N342" s="529"/>
      <c r="O342" s="529"/>
      <c r="P342" s="529"/>
      <c r="Q342" s="529"/>
      <c r="R342" s="529"/>
      <c r="S342" s="529"/>
      <c r="T342" s="529"/>
      <c r="U342" s="529"/>
      <c r="V342" s="529"/>
      <c r="W342" s="529"/>
      <c r="X342" s="529"/>
      <c r="Y342" s="529"/>
      <c r="Z342" s="529"/>
      <c r="AA342" s="529"/>
      <c r="AB342" s="529"/>
      <c r="AC342" s="529"/>
      <c r="AD342" s="529"/>
      <c r="AE342" s="529"/>
      <c r="AF342" s="529"/>
      <c r="AG342" s="529"/>
      <c r="AH342" s="529"/>
      <c r="AI342" s="529"/>
      <c r="AJ342" s="529"/>
      <c r="AK342" s="529"/>
      <c r="AL342" s="529"/>
      <c r="AM342" s="529"/>
      <c r="AN342" s="529"/>
      <c r="AO342" s="529"/>
    </row>
    <row r="343">
      <c r="G343" s="529"/>
      <c r="H343" s="529"/>
      <c r="I343" s="529"/>
      <c r="J343" s="529"/>
      <c r="K343" s="529"/>
      <c r="L343" s="529"/>
      <c r="M343" s="529"/>
      <c r="N343" s="529"/>
      <c r="O343" s="529"/>
      <c r="P343" s="529"/>
      <c r="Q343" s="529"/>
      <c r="R343" s="529"/>
      <c r="S343" s="529"/>
      <c r="T343" s="529"/>
      <c r="U343" s="529"/>
      <c r="V343" s="529"/>
      <c r="W343" s="529"/>
      <c r="X343" s="529"/>
      <c r="Y343" s="529"/>
      <c r="Z343" s="529"/>
      <c r="AA343" s="529"/>
      <c r="AB343" s="529"/>
      <c r="AC343" s="529"/>
      <c r="AD343" s="529"/>
      <c r="AE343" s="529"/>
      <c r="AF343" s="529"/>
      <c r="AG343" s="529"/>
      <c r="AH343" s="529"/>
      <c r="AI343" s="529"/>
      <c r="AJ343" s="529"/>
      <c r="AK343" s="529"/>
      <c r="AL343" s="529"/>
      <c r="AM343" s="529"/>
      <c r="AN343" s="529"/>
      <c r="AO343" s="529"/>
    </row>
    <row r="344">
      <c r="G344" s="529"/>
      <c r="H344" s="529"/>
      <c r="I344" s="529"/>
      <c r="J344" s="529"/>
      <c r="K344" s="529"/>
      <c r="L344" s="529"/>
      <c r="M344" s="529"/>
      <c r="N344" s="529"/>
      <c r="O344" s="529"/>
      <c r="P344" s="529"/>
      <c r="Q344" s="529"/>
      <c r="R344" s="529"/>
      <c r="S344" s="529"/>
      <c r="T344" s="529"/>
      <c r="U344" s="529"/>
      <c r="V344" s="529"/>
      <c r="W344" s="529"/>
      <c r="X344" s="529"/>
      <c r="Y344" s="529"/>
      <c r="Z344" s="529"/>
      <c r="AA344" s="529"/>
      <c r="AB344" s="529"/>
      <c r="AC344" s="529"/>
      <c r="AD344" s="529"/>
      <c r="AE344" s="529"/>
      <c r="AF344" s="529"/>
      <c r="AG344" s="529"/>
      <c r="AH344" s="529"/>
      <c r="AI344" s="529"/>
      <c r="AJ344" s="529"/>
      <c r="AK344" s="529"/>
      <c r="AL344" s="529"/>
      <c r="AM344" s="529"/>
      <c r="AN344" s="529"/>
      <c r="AO344" s="529"/>
    </row>
    <row r="345">
      <c r="G345" s="529"/>
      <c r="H345" s="529"/>
      <c r="I345" s="529"/>
      <c r="J345" s="529"/>
      <c r="K345" s="529"/>
      <c r="L345" s="529"/>
      <c r="M345" s="529"/>
      <c r="N345" s="529"/>
      <c r="O345" s="529"/>
      <c r="P345" s="529"/>
      <c r="Q345" s="529"/>
      <c r="R345" s="529"/>
      <c r="S345" s="529"/>
      <c r="T345" s="529"/>
      <c r="U345" s="529"/>
      <c r="V345" s="529"/>
      <c r="W345" s="529"/>
      <c r="X345" s="529"/>
      <c r="Y345" s="529"/>
      <c r="Z345" s="529"/>
      <c r="AA345" s="529"/>
      <c r="AB345" s="529"/>
      <c r="AC345" s="529"/>
      <c r="AD345" s="529"/>
      <c r="AE345" s="529"/>
      <c r="AF345" s="529"/>
      <c r="AG345" s="529"/>
      <c r="AH345" s="529"/>
      <c r="AI345" s="529"/>
      <c r="AJ345" s="529"/>
      <c r="AK345" s="529"/>
      <c r="AL345" s="529"/>
      <c r="AM345" s="529"/>
      <c r="AN345" s="529"/>
      <c r="AO345" s="529"/>
    </row>
    <row r="346">
      <c r="G346" s="529"/>
      <c r="H346" s="529"/>
      <c r="I346" s="529"/>
      <c r="J346" s="529"/>
      <c r="K346" s="529"/>
      <c r="L346" s="529"/>
      <c r="M346" s="529"/>
      <c r="N346" s="529"/>
      <c r="O346" s="529"/>
      <c r="P346" s="529"/>
      <c r="Q346" s="529"/>
      <c r="R346" s="529"/>
      <c r="S346" s="529"/>
      <c r="T346" s="529"/>
      <c r="U346" s="529"/>
      <c r="V346" s="529"/>
      <c r="W346" s="529"/>
      <c r="X346" s="529"/>
      <c r="Y346" s="529"/>
      <c r="Z346" s="529"/>
      <c r="AA346" s="529"/>
      <c r="AB346" s="529"/>
      <c r="AC346" s="529"/>
      <c r="AD346" s="529"/>
      <c r="AE346" s="529"/>
      <c r="AF346" s="529"/>
      <c r="AG346" s="529"/>
      <c r="AH346" s="529"/>
      <c r="AI346" s="529"/>
      <c r="AJ346" s="529"/>
      <c r="AK346" s="529"/>
      <c r="AL346" s="529"/>
      <c r="AM346" s="529"/>
      <c r="AN346" s="529"/>
      <c r="AO346" s="529"/>
    </row>
    <row r="347">
      <c r="G347" s="529"/>
      <c r="H347" s="529"/>
      <c r="I347" s="529"/>
      <c r="J347" s="529"/>
      <c r="K347" s="529"/>
      <c r="L347" s="529"/>
      <c r="M347" s="529"/>
      <c r="N347" s="529"/>
      <c r="O347" s="529"/>
      <c r="P347" s="529"/>
      <c r="Q347" s="529"/>
      <c r="R347" s="529"/>
      <c r="S347" s="529"/>
      <c r="T347" s="529"/>
      <c r="U347" s="529"/>
      <c r="V347" s="529"/>
      <c r="W347" s="529"/>
      <c r="X347" s="529"/>
      <c r="Y347" s="529"/>
      <c r="Z347" s="529"/>
      <c r="AA347" s="529"/>
      <c r="AB347" s="529"/>
      <c r="AC347" s="529"/>
      <c r="AD347" s="529"/>
      <c r="AE347" s="529"/>
      <c r="AF347" s="529"/>
      <c r="AG347" s="529"/>
      <c r="AH347" s="529"/>
      <c r="AI347" s="529"/>
      <c r="AJ347" s="529"/>
      <c r="AK347" s="529"/>
      <c r="AL347" s="529"/>
      <c r="AM347" s="529"/>
      <c r="AN347" s="529"/>
      <c r="AO347" s="529"/>
    </row>
    <row r="348">
      <c r="G348" s="529"/>
      <c r="H348" s="529"/>
      <c r="I348" s="529"/>
      <c r="J348" s="529"/>
      <c r="K348" s="529"/>
      <c r="L348" s="529"/>
      <c r="M348" s="529"/>
      <c r="N348" s="529"/>
      <c r="O348" s="529"/>
      <c r="P348" s="529"/>
      <c r="Q348" s="529"/>
      <c r="R348" s="529"/>
      <c r="S348" s="529"/>
      <c r="T348" s="529"/>
      <c r="U348" s="529"/>
      <c r="V348" s="529"/>
      <c r="W348" s="529"/>
      <c r="X348" s="529"/>
      <c r="Y348" s="529"/>
      <c r="Z348" s="529"/>
      <c r="AA348" s="529"/>
      <c r="AB348" s="529"/>
      <c r="AC348" s="529"/>
      <c r="AD348" s="529"/>
      <c r="AE348" s="529"/>
      <c r="AF348" s="529"/>
      <c r="AG348" s="529"/>
      <c r="AH348" s="529"/>
      <c r="AI348" s="529"/>
      <c r="AJ348" s="529"/>
      <c r="AK348" s="529"/>
      <c r="AL348" s="529"/>
      <c r="AM348" s="529"/>
      <c r="AN348" s="529"/>
      <c r="AO348" s="529"/>
    </row>
    <row r="349">
      <c r="G349" s="529"/>
      <c r="H349" s="529"/>
      <c r="I349" s="529"/>
      <c r="J349" s="529"/>
      <c r="K349" s="529"/>
      <c r="L349" s="529"/>
      <c r="M349" s="529"/>
      <c r="N349" s="529"/>
      <c r="O349" s="529"/>
      <c r="P349" s="529"/>
      <c r="Q349" s="529"/>
      <c r="R349" s="529"/>
      <c r="S349" s="529"/>
      <c r="T349" s="529"/>
      <c r="U349" s="529"/>
      <c r="V349" s="529"/>
      <c r="W349" s="529"/>
      <c r="X349" s="529"/>
      <c r="Y349" s="529"/>
      <c r="Z349" s="529"/>
      <c r="AA349" s="529"/>
      <c r="AB349" s="529"/>
      <c r="AC349" s="529"/>
      <c r="AD349" s="529"/>
      <c r="AE349" s="529"/>
      <c r="AF349" s="529"/>
      <c r="AG349" s="529"/>
      <c r="AH349" s="529"/>
      <c r="AI349" s="529"/>
      <c r="AJ349" s="529"/>
      <c r="AK349" s="529"/>
      <c r="AL349" s="529"/>
      <c r="AM349" s="529"/>
      <c r="AN349" s="529"/>
      <c r="AO349" s="529"/>
    </row>
    <row r="350">
      <c r="G350" s="529"/>
      <c r="H350" s="529"/>
      <c r="I350" s="529"/>
      <c r="J350" s="529"/>
      <c r="K350" s="529"/>
      <c r="L350" s="529"/>
      <c r="M350" s="529"/>
      <c r="N350" s="529"/>
      <c r="O350" s="529"/>
      <c r="P350" s="529"/>
      <c r="Q350" s="529"/>
      <c r="R350" s="529"/>
      <c r="S350" s="529"/>
      <c r="T350" s="529"/>
      <c r="U350" s="529"/>
      <c r="V350" s="529"/>
      <c r="W350" s="529"/>
      <c r="X350" s="529"/>
      <c r="Y350" s="529"/>
      <c r="Z350" s="529"/>
      <c r="AA350" s="529"/>
      <c r="AB350" s="529"/>
      <c r="AC350" s="529"/>
      <c r="AD350" s="529"/>
      <c r="AE350" s="529"/>
      <c r="AF350" s="529"/>
      <c r="AG350" s="529"/>
      <c r="AH350" s="529"/>
      <c r="AI350" s="529"/>
      <c r="AJ350" s="529"/>
      <c r="AK350" s="529"/>
      <c r="AL350" s="529"/>
      <c r="AM350" s="529"/>
      <c r="AN350" s="529"/>
      <c r="AO350" s="529"/>
    </row>
    <row r="351">
      <c r="G351" s="529"/>
      <c r="H351" s="529"/>
      <c r="I351" s="529"/>
      <c r="J351" s="529"/>
      <c r="K351" s="529"/>
      <c r="L351" s="529"/>
      <c r="M351" s="529"/>
      <c r="N351" s="529"/>
      <c r="O351" s="529"/>
      <c r="P351" s="529"/>
      <c r="Q351" s="529"/>
      <c r="R351" s="529"/>
      <c r="S351" s="529"/>
      <c r="T351" s="529"/>
      <c r="U351" s="529"/>
      <c r="V351" s="529"/>
      <c r="W351" s="529"/>
      <c r="X351" s="529"/>
      <c r="Y351" s="529"/>
      <c r="Z351" s="529"/>
      <c r="AA351" s="529"/>
      <c r="AB351" s="529"/>
      <c r="AC351" s="529"/>
      <c r="AD351" s="529"/>
      <c r="AE351" s="529"/>
      <c r="AF351" s="529"/>
      <c r="AG351" s="529"/>
      <c r="AH351" s="529"/>
      <c r="AI351" s="529"/>
      <c r="AJ351" s="529"/>
      <c r="AK351" s="529"/>
      <c r="AL351" s="529"/>
      <c r="AM351" s="529"/>
      <c r="AN351" s="529"/>
      <c r="AO351" s="529"/>
    </row>
    <row r="352">
      <c r="G352" s="529"/>
      <c r="H352" s="529"/>
      <c r="I352" s="529"/>
      <c r="J352" s="529"/>
      <c r="K352" s="529"/>
      <c r="L352" s="529"/>
      <c r="M352" s="529"/>
      <c r="N352" s="529"/>
      <c r="O352" s="529"/>
      <c r="P352" s="529"/>
      <c r="Q352" s="529"/>
      <c r="R352" s="529"/>
      <c r="S352" s="529"/>
      <c r="T352" s="529"/>
      <c r="U352" s="529"/>
      <c r="V352" s="529"/>
      <c r="W352" s="529"/>
      <c r="X352" s="529"/>
      <c r="Y352" s="529"/>
      <c r="Z352" s="529"/>
      <c r="AA352" s="529"/>
      <c r="AB352" s="529"/>
      <c r="AC352" s="529"/>
      <c r="AD352" s="529"/>
      <c r="AE352" s="529"/>
      <c r="AF352" s="529"/>
      <c r="AG352" s="529"/>
      <c r="AH352" s="529"/>
      <c r="AI352" s="529"/>
      <c r="AJ352" s="529"/>
      <c r="AK352" s="529"/>
      <c r="AL352" s="529"/>
      <c r="AM352" s="529"/>
      <c r="AN352" s="529"/>
      <c r="AO352" s="529"/>
    </row>
    <row r="353">
      <c r="G353" s="529"/>
      <c r="H353" s="529"/>
      <c r="I353" s="529"/>
      <c r="J353" s="529"/>
      <c r="K353" s="529"/>
      <c r="L353" s="529"/>
      <c r="M353" s="529"/>
      <c r="N353" s="529"/>
      <c r="O353" s="529"/>
      <c r="P353" s="529"/>
      <c r="Q353" s="529"/>
      <c r="R353" s="529"/>
      <c r="S353" s="529"/>
      <c r="T353" s="529"/>
      <c r="U353" s="529"/>
      <c r="V353" s="529"/>
      <c r="W353" s="529"/>
      <c r="X353" s="529"/>
      <c r="Y353" s="529"/>
      <c r="Z353" s="529"/>
      <c r="AA353" s="529"/>
      <c r="AB353" s="529"/>
      <c r="AC353" s="529"/>
      <c r="AD353" s="529"/>
      <c r="AE353" s="529"/>
      <c r="AF353" s="529"/>
      <c r="AG353" s="529"/>
      <c r="AH353" s="529"/>
      <c r="AI353" s="529"/>
      <c r="AJ353" s="529"/>
      <c r="AK353" s="529"/>
      <c r="AL353" s="529"/>
      <c r="AM353" s="529"/>
      <c r="AN353" s="529"/>
      <c r="AO353" s="529"/>
    </row>
    <row r="354">
      <c r="G354" s="529"/>
      <c r="H354" s="529"/>
      <c r="I354" s="529"/>
      <c r="J354" s="529"/>
      <c r="K354" s="529"/>
      <c r="L354" s="529"/>
      <c r="M354" s="529"/>
      <c r="N354" s="529"/>
      <c r="O354" s="529"/>
      <c r="P354" s="529"/>
      <c r="Q354" s="529"/>
      <c r="R354" s="529"/>
      <c r="S354" s="529"/>
      <c r="T354" s="529"/>
      <c r="U354" s="529"/>
      <c r="V354" s="529"/>
      <c r="W354" s="529"/>
      <c r="X354" s="529"/>
      <c r="Y354" s="529"/>
      <c r="Z354" s="529"/>
      <c r="AA354" s="529"/>
      <c r="AB354" s="529"/>
      <c r="AC354" s="529"/>
      <c r="AD354" s="529"/>
      <c r="AE354" s="529"/>
      <c r="AF354" s="529"/>
      <c r="AG354" s="529"/>
      <c r="AH354" s="529"/>
      <c r="AI354" s="529"/>
      <c r="AJ354" s="529"/>
      <c r="AK354" s="529"/>
      <c r="AL354" s="529"/>
      <c r="AM354" s="529"/>
      <c r="AN354" s="529"/>
      <c r="AO354" s="529"/>
    </row>
    <row r="355">
      <c r="G355" s="529"/>
      <c r="H355" s="529"/>
      <c r="I355" s="529"/>
      <c r="J355" s="529"/>
      <c r="K355" s="529"/>
      <c r="L355" s="529"/>
      <c r="M355" s="529"/>
      <c r="N355" s="529"/>
      <c r="O355" s="529"/>
      <c r="P355" s="529"/>
      <c r="Q355" s="529"/>
      <c r="R355" s="529"/>
      <c r="S355" s="529"/>
      <c r="T355" s="529"/>
      <c r="U355" s="529"/>
      <c r="V355" s="529"/>
      <c r="W355" s="529"/>
      <c r="X355" s="529"/>
      <c r="Y355" s="529"/>
      <c r="Z355" s="529"/>
      <c r="AA355" s="529"/>
      <c r="AB355" s="529"/>
      <c r="AC355" s="529"/>
      <c r="AD355" s="529"/>
      <c r="AE355" s="529"/>
      <c r="AF355" s="529"/>
      <c r="AG355" s="529"/>
      <c r="AH355" s="529"/>
      <c r="AI355" s="529"/>
      <c r="AJ355" s="529"/>
      <c r="AK355" s="529"/>
      <c r="AL355" s="529"/>
      <c r="AM355" s="529"/>
      <c r="AN355" s="529"/>
      <c r="AO355" s="529"/>
    </row>
    <row r="356">
      <c r="G356" s="529"/>
      <c r="H356" s="529"/>
      <c r="I356" s="529"/>
      <c r="J356" s="529"/>
      <c r="K356" s="529"/>
      <c r="L356" s="529"/>
      <c r="M356" s="529"/>
      <c r="N356" s="529"/>
      <c r="O356" s="529"/>
      <c r="P356" s="529"/>
      <c r="Q356" s="529"/>
      <c r="R356" s="529"/>
      <c r="S356" s="529"/>
      <c r="T356" s="529"/>
      <c r="U356" s="529"/>
      <c r="V356" s="529"/>
      <c r="W356" s="529"/>
      <c r="X356" s="529"/>
      <c r="Y356" s="529"/>
      <c r="Z356" s="529"/>
      <c r="AA356" s="529"/>
      <c r="AB356" s="529"/>
      <c r="AC356" s="529"/>
      <c r="AD356" s="529"/>
      <c r="AE356" s="529"/>
      <c r="AF356" s="529"/>
      <c r="AG356" s="529"/>
      <c r="AH356" s="529"/>
      <c r="AI356" s="529"/>
      <c r="AJ356" s="529"/>
      <c r="AK356" s="529"/>
      <c r="AL356" s="529"/>
      <c r="AM356" s="529"/>
      <c r="AN356" s="529"/>
      <c r="AO356" s="529"/>
    </row>
    <row r="357">
      <c r="G357" s="529"/>
      <c r="H357" s="529"/>
      <c r="I357" s="529"/>
      <c r="J357" s="529"/>
      <c r="K357" s="529"/>
      <c r="L357" s="529"/>
      <c r="M357" s="529"/>
      <c r="N357" s="529"/>
      <c r="O357" s="529"/>
      <c r="P357" s="529"/>
      <c r="Q357" s="529"/>
      <c r="R357" s="529"/>
      <c r="S357" s="529"/>
      <c r="T357" s="529"/>
      <c r="U357" s="529"/>
      <c r="V357" s="529"/>
      <c r="W357" s="529"/>
      <c r="X357" s="529"/>
      <c r="Y357" s="529"/>
      <c r="Z357" s="529"/>
      <c r="AA357" s="529"/>
      <c r="AB357" s="529"/>
      <c r="AC357" s="529"/>
      <c r="AD357" s="529"/>
      <c r="AE357" s="529"/>
      <c r="AF357" s="529"/>
      <c r="AG357" s="529"/>
      <c r="AH357" s="529"/>
      <c r="AI357" s="529"/>
      <c r="AJ357" s="529"/>
      <c r="AK357" s="529"/>
      <c r="AL357" s="529"/>
      <c r="AM357" s="529"/>
      <c r="AN357" s="529"/>
      <c r="AO357" s="529"/>
    </row>
    <row r="358">
      <c r="G358" s="529"/>
      <c r="H358" s="529"/>
      <c r="I358" s="529"/>
      <c r="J358" s="529"/>
      <c r="K358" s="529"/>
      <c r="L358" s="529"/>
      <c r="M358" s="529"/>
      <c r="N358" s="529"/>
      <c r="O358" s="529"/>
      <c r="P358" s="529"/>
      <c r="Q358" s="529"/>
      <c r="R358" s="529"/>
      <c r="S358" s="529"/>
      <c r="T358" s="529"/>
      <c r="U358" s="529"/>
      <c r="V358" s="529"/>
      <c r="W358" s="529"/>
      <c r="X358" s="529"/>
      <c r="Y358" s="529"/>
      <c r="Z358" s="529"/>
      <c r="AA358" s="529"/>
      <c r="AB358" s="529"/>
      <c r="AC358" s="529"/>
      <c r="AD358" s="529"/>
      <c r="AE358" s="529"/>
      <c r="AF358" s="529"/>
      <c r="AG358" s="529"/>
      <c r="AH358" s="529"/>
      <c r="AI358" s="529"/>
      <c r="AJ358" s="529"/>
      <c r="AK358" s="529"/>
      <c r="AL358" s="529"/>
      <c r="AM358" s="529"/>
      <c r="AN358" s="529"/>
      <c r="AO358" s="529"/>
    </row>
    <row r="359">
      <c r="G359" s="529"/>
      <c r="H359" s="529"/>
      <c r="I359" s="529"/>
      <c r="J359" s="529"/>
      <c r="K359" s="529"/>
      <c r="L359" s="529"/>
      <c r="M359" s="529"/>
      <c r="N359" s="529"/>
      <c r="O359" s="529"/>
      <c r="P359" s="529"/>
      <c r="Q359" s="529"/>
      <c r="R359" s="529"/>
      <c r="S359" s="529"/>
      <c r="T359" s="529"/>
      <c r="U359" s="529"/>
      <c r="V359" s="529"/>
      <c r="W359" s="529"/>
      <c r="X359" s="529"/>
      <c r="Y359" s="529"/>
      <c r="Z359" s="529"/>
      <c r="AA359" s="529"/>
      <c r="AB359" s="529"/>
      <c r="AC359" s="529"/>
      <c r="AD359" s="529"/>
      <c r="AE359" s="529"/>
      <c r="AF359" s="529"/>
      <c r="AG359" s="529"/>
      <c r="AH359" s="529"/>
      <c r="AI359" s="529"/>
      <c r="AJ359" s="529"/>
      <c r="AK359" s="529"/>
      <c r="AL359" s="529"/>
      <c r="AM359" s="529"/>
      <c r="AN359" s="529"/>
      <c r="AO359" s="529"/>
    </row>
    <row r="360">
      <c r="G360" s="529"/>
      <c r="H360" s="529"/>
      <c r="I360" s="529"/>
      <c r="J360" s="529"/>
      <c r="K360" s="529"/>
      <c r="L360" s="529"/>
      <c r="M360" s="529"/>
      <c r="N360" s="529"/>
      <c r="O360" s="529"/>
      <c r="P360" s="529"/>
      <c r="Q360" s="529"/>
      <c r="R360" s="529"/>
      <c r="S360" s="529"/>
      <c r="T360" s="529"/>
      <c r="U360" s="529"/>
      <c r="V360" s="529"/>
      <c r="W360" s="529"/>
      <c r="X360" s="529"/>
      <c r="Y360" s="529"/>
      <c r="Z360" s="529"/>
      <c r="AA360" s="529"/>
      <c r="AB360" s="529"/>
      <c r="AC360" s="529"/>
      <c r="AD360" s="529"/>
      <c r="AE360" s="529"/>
      <c r="AF360" s="529"/>
      <c r="AG360" s="529"/>
      <c r="AH360" s="529"/>
      <c r="AI360" s="529"/>
      <c r="AJ360" s="529"/>
      <c r="AK360" s="529"/>
      <c r="AL360" s="529"/>
      <c r="AM360" s="529"/>
      <c r="AN360" s="529"/>
      <c r="AO360" s="529"/>
    </row>
    <row r="361">
      <c r="G361" s="529"/>
      <c r="H361" s="529"/>
      <c r="I361" s="529"/>
      <c r="J361" s="529"/>
      <c r="K361" s="529"/>
      <c r="L361" s="529"/>
      <c r="M361" s="529"/>
      <c r="N361" s="529"/>
      <c r="O361" s="529"/>
      <c r="P361" s="529"/>
      <c r="Q361" s="529"/>
      <c r="R361" s="529"/>
      <c r="S361" s="529"/>
      <c r="T361" s="529"/>
      <c r="U361" s="529"/>
      <c r="V361" s="529"/>
      <c r="W361" s="529"/>
      <c r="X361" s="529"/>
      <c r="Y361" s="529"/>
      <c r="Z361" s="529"/>
      <c r="AA361" s="529"/>
      <c r="AB361" s="529"/>
      <c r="AC361" s="529"/>
      <c r="AD361" s="529"/>
      <c r="AE361" s="529"/>
      <c r="AF361" s="529"/>
      <c r="AG361" s="529"/>
      <c r="AH361" s="529"/>
      <c r="AI361" s="529"/>
      <c r="AJ361" s="529"/>
      <c r="AK361" s="529"/>
      <c r="AL361" s="529"/>
      <c r="AM361" s="529"/>
      <c r="AN361" s="529"/>
      <c r="AO361" s="529"/>
    </row>
    <row r="362">
      <c r="G362" s="529"/>
      <c r="H362" s="529"/>
      <c r="I362" s="529"/>
      <c r="J362" s="529"/>
      <c r="K362" s="529"/>
      <c r="L362" s="529"/>
      <c r="M362" s="529"/>
      <c r="N362" s="529"/>
      <c r="O362" s="529"/>
      <c r="P362" s="529"/>
      <c r="Q362" s="529"/>
      <c r="R362" s="529"/>
      <c r="S362" s="529"/>
      <c r="T362" s="529"/>
      <c r="U362" s="529"/>
      <c r="V362" s="529"/>
      <c r="W362" s="529"/>
      <c r="X362" s="529"/>
      <c r="Y362" s="529"/>
      <c r="Z362" s="529"/>
      <c r="AA362" s="529"/>
      <c r="AB362" s="529"/>
      <c r="AC362" s="529"/>
      <c r="AD362" s="529"/>
      <c r="AE362" s="529"/>
      <c r="AF362" s="529"/>
      <c r="AG362" s="529"/>
      <c r="AH362" s="529"/>
      <c r="AI362" s="529"/>
      <c r="AJ362" s="529"/>
      <c r="AK362" s="529"/>
      <c r="AL362" s="529"/>
      <c r="AM362" s="529"/>
      <c r="AN362" s="529"/>
      <c r="AO362" s="529"/>
    </row>
    <row r="363">
      <c r="G363" s="529"/>
      <c r="H363" s="529"/>
      <c r="I363" s="529"/>
      <c r="J363" s="529"/>
      <c r="K363" s="529"/>
      <c r="L363" s="529"/>
      <c r="M363" s="529"/>
      <c r="N363" s="529"/>
      <c r="O363" s="529"/>
      <c r="P363" s="529"/>
      <c r="Q363" s="529"/>
      <c r="R363" s="529"/>
      <c r="S363" s="529"/>
      <c r="T363" s="529"/>
      <c r="U363" s="529"/>
      <c r="V363" s="529"/>
      <c r="W363" s="529"/>
      <c r="X363" s="529"/>
      <c r="Y363" s="529"/>
      <c r="Z363" s="529"/>
      <c r="AA363" s="529"/>
      <c r="AB363" s="529"/>
      <c r="AC363" s="529"/>
      <c r="AD363" s="529"/>
      <c r="AE363" s="529"/>
      <c r="AF363" s="529"/>
      <c r="AG363" s="529"/>
      <c r="AH363" s="529"/>
      <c r="AI363" s="529"/>
      <c r="AJ363" s="529"/>
      <c r="AK363" s="529"/>
      <c r="AL363" s="529"/>
      <c r="AM363" s="529"/>
      <c r="AN363" s="529"/>
      <c r="AO363" s="529"/>
    </row>
    <row r="364">
      <c r="G364" s="529"/>
      <c r="H364" s="529"/>
      <c r="I364" s="529"/>
      <c r="J364" s="529"/>
      <c r="K364" s="529"/>
      <c r="L364" s="529"/>
      <c r="M364" s="529"/>
      <c r="N364" s="529"/>
      <c r="O364" s="529"/>
      <c r="P364" s="529"/>
      <c r="Q364" s="529"/>
      <c r="R364" s="529"/>
      <c r="S364" s="529"/>
      <c r="T364" s="529"/>
      <c r="U364" s="529"/>
      <c r="V364" s="529"/>
      <c r="W364" s="529"/>
      <c r="X364" s="529"/>
      <c r="Y364" s="529"/>
      <c r="Z364" s="529"/>
      <c r="AA364" s="529"/>
      <c r="AB364" s="529"/>
      <c r="AC364" s="529"/>
      <c r="AD364" s="529"/>
      <c r="AE364" s="529"/>
      <c r="AF364" s="529"/>
      <c r="AG364" s="529"/>
      <c r="AH364" s="529"/>
      <c r="AI364" s="529"/>
      <c r="AJ364" s="529"/>
      <c r="AK364" s="529"/>
      <c r="AL364" s="529"/>
      <c r="AM364" s="529"/>
      <c r="AN364" s="529"/>
      <c r="AO364" s="529"/>
    </row>
    <row r="365">
      <c r="G365" s="529"/>
      <c r="H365" s="529"/>
      <c r="I365" s="529"/>
      <c r="J365" s="529"/>
      <c r="K365" s="529"/>
      <c r="L365" s="529"/>
      <c r="M365" s="529"/>
      <c r="N365" s="529"/>
      <c r="O365" s="529"/>
      <c r="P365" s="529"/>
      <c r="Q365" s="529"/>
      <c r="R365" s="529"/>
      <c r="S365" s="529"/>
      <c r="T365" s="529"/>
      <c r="U365" s="529"/>
      <c r="V365" s="529"/>
      <c r="W365" s="529"/>
      <c r="X365" s="529"/>
      <c r="Y365" s="529"/>
      <c r="Z365" s="529"/>
      <c r="AA365" s="529"/>
      <c r="AB365" s="529"/>
      <c r="AC365" s="529"/>
      <c r="AD365" s="529"/>
      <c r="AE365" s="529"/>
      <c r="AF365" s="529"/>
      <c r="AG365" s="529"/>
      <c r="AH365" s="529"/>
      <c r="AI365" s="529"/>
      <c r="AJ365" s="529"/>
      <c r="AK365" s="529"/>
      <c r="AL365" s="529"/>
      <c r="AM365" s="529"/>
      <c r="AN365" s="529"/>
      <c r="AO365" s="529"/>
    </row>
    <row r="366">
      <c r="G366" s="529"/>
      <c r="H366" s="529"/>
      <c r="I366" s="529"/>
      <c r="J366" s="529"/>
      <c r="K366" s="529"/>
      <c r="L366" s="529"/>
      <c r="M366" s="529"/>
      <c r="N366" s="529"/>
      <c r="O366" s="529"/>
      <c r="P366" s="529"/>
      <c r="Q366" s="529"/>
      <c r="R366" s="529"/>
      <c r="S366" s="529"/>
      <c r="T366" s="529"/>
      <c r="U366" s="529"/>
      <c r="V366" s="529"/>
      <c r="W366" s="529"/>
      <c r="X366" s="529"/>
      <c r="Y366" s="529"/>
      <c r="Z366" s="529"/>
      <c r="AA366" s="529"/>
      <c r="AB366" s="529"/>
      <c r="AC366" s="529"/>
      <c r="AD366" s="529"/>
      <c r="AE366" s="529"/>
      <c r="AF366" s="529"/>
      <c r="AG366" s="529"/>
      <c r="AH366" s="529"/>
      <c r="AI366" s="529"/>
      <c r="AJ366" s="529"/>
      <c r="AK366" s="529"/>
      <c r="AL366" s="529"/>
      <c r="AM366" s="529"/>
      <c r="AN366" s="529"/>
      <c r="AO366" s="529"/>
    </row>
    <row r="367">
      <c r="G367" s="529"/>
      <c r="H367" s="529"/>
      <c r="I367" s="529"/>
      <c r="J367" s="529"/>
      <c r="K367" s="529"/>
      <c r="L367" s="529"/>
      <c r="M367" s="529"/>
      <c r="N367" s="529"/>
      <c r="O367" s="529"/>
      <c r="P367" s="529"/>
      <c r="Q367" s="529"/>
      <c r="R367" s="529"/>
      <c r="S367" s="529"/>
      <c r="T367" s="529"/>
      <c r="U367" s="529"/>
      <c r="V367" s="529"/>
      <c r="W367" s="529"/>
      <c r="X367" s="529"/>
      <c r="Y367" s="529"/>
      <c r="Z367" s="529"/>
      <c r="AA367" s="529"/>
      <c r="AB367" s="529"/>
      <c r="AC367" s="529"/>
      <c r="AD367" s="529"/>
      <c r="AE367" s="529"/>
      <c r="AF367" s="529"/>
      <c r="AG367" s="529"/>
      <c r="AH367" s="529"/>
      <c r="AI367" s="529"/>
      <c r="AJ367" s="529"/>
      <c r="AK367" s="529"/>
      <c r="AL367" s="529"/>
      <c r="AM367" s="529"/>
      <c r="AN367" s="529"/>
      <c r="AO367" s="529"/>
    </row>
    <row r="368">
      <c r="G368" s="529"/>
      <c r="H368" s="529"/>
      <c r="I368" s="529"/>
      <c r="J368" s="529"/>
      <c r="K368" s="529"/>
      <c r="L368" s="529"/>
      <c r="M368" s="529"/>
      <c r="N368" s="529"/>
      <c r="O368" s="529"/>
      <c r="P368" s="529"/>
      <c r="Q368" s="529"/>
      <c r="R368" s="529"/>
      <c r="S368" s="529"/>
      <c r="T368" s="529"/>
      <c r="U368" s="529"/>
      <c r="V368" s="529"/>
      <c r="W368" s="529"/>
      <c r="X368" s="529"/>
      <c r="Y368" s="529"/>
      <c r="Z368" s="529"/>
      <c r="AA368" s="529"/>
      <c r="AB368" s="529"/>
      <c r="AC368" s="529"/>
      <c r="AD368" s="529"/>
      <c r="AE368" s="529"/>
      <c r="AF368" s="529"/>
      <c r="AG368" s="529"/>
      <c r="AH368" s="529"/>
      <c r="AI368" s="529"/>
      <c r="AJ368" s="529"/>
      <c r="AK368" s="529"/>
      <c r="AL368" s="529"/>
      <c r="AM368" s="529"/>
      <c r="AN368" s="529"/>
      <c r="AO368" s="529"/>
    </row>
    <row r="369">
      <c r="G369" s="529"/>
      <c r="H369" s="529"/>
      <c r="I369" s="529"/>
      <c r="J369" s="529"/>
      <c r="K369" s="529"/>
      <c r="L369" s="529"/>
      <c r="M369" s="529"/>
      <c r="N369" s="529"/>
      <c r="O369" s="529"/>
      <c r="P369" s="529"/>
      <c r="Q369" s="529"/>
      <c r="R369" s="529"/>
      <c r="S369" s="529"/>
      <c r="T369" s="529"/>
      <c r="U369" s="529"/>
      <c r="V369" s="529"/>
      <c r="W369" s="529"/>
      <c r="X369" s="529"/>
      <c r="Y369" s="529"/>
      <c r="Z369" s="529"/>
      <c r="AA369" s="529"/>
      <c r="AB369" s="529"/>
      <c r="AC369" s="529"/>
      <c r="AD369" s="529"/>
      <c r="AE369" s="529"/>
      <c r="AF369" s="529"/>
      <c r="AG369" s="529"/>
      <c r="AH369" s="529"/>
      <c r="AI369" s="529"/>
      <c r="AJ369" s="529"/>
      <c r="AK369" s="529"/>
      <c r="AL369" s="529"/>
      <c r="AM369" s="529"/>
      <c r="AN369" s="529"/>
      <c r="AO369" s="529"/>
    </row>
    <row r="370">
      <c r="G370" s="529"/>
      <c r="H370" s="529"/>
      <c r="I370" s="529"/>
      <c r="J370" s="529"/>
      <c r="K370" s="529"/>
      <c r="L370" s="529"/>
      <c r="M370" s="529"/>
      <c r="N370" s="529"/>
      <c r="O370" s="529"/>
      <c r="P370" s="529"/>
      <c r="Q370" s="529"/>
      <c r="R370" s="529"/>
      <c r="S370" s="529"/>
      <c r="T370" s="529"/>
      <c r="U370" s="529"/>
      <c r="V370" s="529"/>
      <c r="W370" s="529"/>
      <c r="X370" s="529"/>
      <c r="Y370" s="529"/>
      <c r="Z370" s="529"/>
      <c r="AA370" s="529"/>
      <c r="AB370" s="529"/>
      <c r="AC370" s="529"/>
      <c r="AD370" s="529"/>
      <c r="AE370" s="529"/>
      <c r="AF370" s="529"/>
      <c r="AG370" s="529"/>
      <c r="AH370" s="529"/>
      <c r="AI370" s="529"/>
      <c r="AJ370" s="529"/>
      <c r="AK370" s="529"/>
      <c r="AL370" s="529"/>
      <c r="AM370" s="529"/>
      <c r="AN370" s="529"/>
      <c r="AO370" s="529"/>
    </row>
    <row r="371">
      <c r="G371" s="529"/>
      <c r="H371" s="529"/>
      <c r="I371" s="529"/>
      <c r="J371" s="529"/>
      <c r="K371" s="529"/>
      <c r="L371" s="529"/>
      <c r="M371" s="529"/>
      <c r="N371" s="529"/>
      <c r="O371" s="529"/>
      <c r="P371" s="529"/>
      <c r="Q371" s="529"/>
      <c r="R371" s="529"/>
      <c r="S371" s="529"/>
      <c r="T371" s="529"/>
      <c r="U371" s="529"/>
      <c r="V371" s="529"/>
      <c r="W371" s="529"/>
      <c r="X371" s="529"/>
      <c r="Y371" s="529"/>
      <c r="Z371" s="529"/>
      <c r="AA371" s="529"/>
      <c r="AB371" s="529"/>
      <c r="AC371" s="529"/>
      <c r="AD371" s="529"/>
      <c r="AE371" s="529"/>
      <c r="AF371" s="529"/>
      <c r="AG371" s="529"/>
      <c r="AH371" s="529"/>
      <c r="AI371" s="529"/>
      <c r="AJ371" s="529"/>
      <c r="AK371" s="529"/>
      <c r="AL371" s="529"/>
      <c r="AM371" s="529"/>
      <c r="AN371" s="529"/>
      <c r="AO371" s="529"/>
    </row>
    <row r="372">
      <c r="G372" s="529"/>
      <c r="H372" s="529"/>
      <c r="I372" s="529"/>
      <c r="J372" s="529"/>
      <c r="K372" s="529"/>
      <c r="L372" s="529"/>
      <c r="M372" s="529"/>
      <c r="N372" s="529"/>
      <c r="O372" s="529"/>
      <c r="P372" s="529"/>
      <c r="Q372" s="529"/>
      <c r="R372" s="529"/>
      <c r="S372" s="529"/>
      <c r="T372" s="529"/>
      <c r="U372" s="529"/>
      <c r="V372" s="529"/>
      <c r="W372" s="529"/>
      <c r="X372" s="529"/>
      <c r="Y372" s="529"/>
      <c r="Z372" s="529"/>
      <c r="AA372" s="529"/>
      <c r="AB372" s="529"/>
      <c r="AC372" s="529"/>
      <c r="AD372" s="529"/>
      <c r="AE372" s="529"/>
      <c r="AF372" s="529"/>
      <c r="AG372" s="529"/>
      <c r="AH372" s="529"/>
      <c r="AI372" s="529"/>
      <c r="AJ372" s="529"/>
      <c r="AK372" s="529"/>
      <c r="AL372" s="529"/>
      <c r="AM372" s="529"/>
      <c r="AN372" s="529"/>
      <c r="AO372" s="529"/>
    </row>
    <row r="373">
      <c r="G373" s="529"/>
      <c r="H373" s="529"/>
      <c r="I373" s="529"/>
      <c r="J373" s="529"/>
      <c r="K373" s="529"/>
      <c r="L373" s="529"/>
      <c r="M373" s="529"/>
      <c r="N373" s="529"/>
      <c r="O373" s="529"/>
      <c r="P373" s="529"/>
      <c r="Q373" s="529"/>
      <c r="R373" s="529"/>
      <c r="S373" s="529"/>
      <c r="T373" s="529"/>
      <c r="U373" s="529"/>
      <c r="V373" s="529"/>
      <c r="W373" s="529"/>
      <c r="X373" s="529"/>
      <c r="Y373" s="529"/>
      <c r="Z373" s="529"/>
      <c r="AA373" s="529"/>
      <c r="AB373" s="529"/>
      <c r="AC373" s="529"/>
      <c r="AD373" s="529"/>
      <c r="AE373" s="529"/>
      <c r="AF373" s="529"/>
      <c r="AG373" s="529"/>
      <c r="AH373" s="529"/>
      <c r="AI373" s="529"/>
      <c r="AJ373" s="529"/>
      <c r="AK373" s="529"/>
      <c r="AL373" s="529"/>
      <c r="AM373" s="529"/>
      <c r="AN373" s="529"/>
      <c r="AO373" s="529"/>
    </row>
    <row r="374">
      <c r="G374" s="529"/>
      <c r="H374" s="529"/>
      <c r="I374" s="529"/>
      <c r="J374" s="529"/>
      <c r="K374" s="529"/>
      <c r="L374" s="529"/>
      <c r="M374" s="529"/>
      <c r="N374" s="529"/>
      <c r="O374" s="529"/>
      <c r="P374" s="529"/>
      <c r="Q374" s="529"/>
      <c r="R374" s="529"/>
      <c r="S374" s="529"/>
      <c r="T374" s="529"/>
      <c r="U374" s="529"/>
      <c r="V374" s="529"/>
      <c r="W374" s="529"/>
      <c r="X374" s="529"/>
      <c r="Y374" s="529"/>
      <c r="Z374" s="529"/>
      <c r="AA374" s="529"/>
      <c r="AB374" s="529"/>
      <c r="AC374" s="529"/>
      <c r="AD374" s="529"/>
      <c r="AE374" s="529"/>
      <c r="AF374" s="529"/>
      <c r="AG374" s="529"/>
      <c r="AH374" s="529"/>
      <c r="AI374" s="529"/>
      <c r="AJ374" s="529"/>
      <c r="AK374" s="529"/>
      <c r="AL374" s="529"/>
      <c r="AM374" s="529"/>
      <c r="AN374" s="529"/>
      <c r="AO374" s="529"/>
    </row>
    <row r="375">
      <c r="G375" s="529"/>
      <c r="H375" s="529"/>
      <c r="I375" s="529"/>
      <c r="J375" s="529"/>
      <c r="K375" s="529"/>
      <c r="L375" s="529"/>
      <c r="M375" s="529"/>
      <c r="N375" s="529"/>
      <c r="O375" s="529"/>
      <c r="P375" s="529"/>
      <c r="Q375" s="529"/>
      <c r="R375" s="529"/>
      <c r="S375" s="529"/>
      <c r="T375" s="529"/>
      <c r="U375" s="529"/>
      <c r="V375" s="529"/>
      <c r="W375" s="529"/>
      <c r="X375" s="529"/>
      <c r="Y375" s="529"/>
      <c r="Z375" s="529"/>
      <c r="AA375" s="529"/>
      <c r="AB375" s="529"/>
      <c r="AC375" s="529"/>
      <c r="AD375" s="529"/>
      <c r="AE375" s="529"/>
      <c r="AF375" s="529"/>
      <c r="AG375" s="529"/>
      <c r="AH375" s="529"/>
      <c r="AI375" s="529"/>
      <c r="AJ375" s="529"/>
      <c r="AK375" s="529"/>
      <c r="AL375" s="529"/>
      <c r="AM375" s="529"/>
      <c r="AN375" s="529"/>
      <c r="AO375" s="529"/>
    </row>
    <row r="376">
      <c r="G376" s="529"/>
      <c r="H376" s="529"/>
      <c r="I376" s="529"/>
      <c r="J376" s="529"/>
      <c r="K376" s="529"/>
      <c r="L376" s="529"/>
      <c r="M376" s="529"/>
      <c r="N376" s="529"/>
      <c r="O376" s="529"/>
      <c r="P376" s="529"/>
      <c r="Q376" s="529"/>
      <c r="R376" s="529"/>
      <c r="S376" s="529"/>
      <c r="T376" s="529"/>
      <c r="U376" s="529"/>
      <c r="V376" s="529"/>
      <c r="W376" s="529"/>
      <c r="X376" s="529"/>
      <c r="Y376" s="529"/>
      <c r="Z376" s="529"/>
      <c r="AA376" s="529"/>
      <c r="AB376" s="529"/>
      <c r="AC376" s="529"/>
      <c r="AD376" s="529"/>
      <c r="AE376" s="529"/>
      <c r="AF376" s="529"/>
      <c r="AG376" s="529"/>
      <c r="AH376" s="529"/>
      <c r="AI376" s="529"/>
      <c r="AJ376" s="529"/>
      <c r="AK376" s="529"/>
      <c r="AL376" s="529"/>
      <c r="AM376" s="529"/>
      <c r="AN376" s="529"/>
      <c r="AO376" s="529"/>
    </row>
    <row r="377">
      <c r="G377" s="529"/>
      <c r="H377" s="529"/>
      <c r="I377" s="529"/>
      <c r="J377" s="529"/>
      <c r="K377" s="529"/>
      <c r="L377" s="529"/>
      <c r="M377" s="529"/>
      <c r="N377" s="529"/>
      <c r="O377" s="529"/>
      <c r="P377" s="529"/>
      <c r="Q377" s="529"/>
      <c r="R377" s="529"/>
      <c r="S377" s="529"/>
      <c r="T377" s="529"/>
      <c r="U377" s="529"/>
      <c r="V377" s="529"/>
      <c r="W377" s="529"/>
      <c r="X377" s="529"/>
      <c r="Y377" s="529"/>
      <c r="Z377" s="529"/>
      <c r="AA377" s="529"/>
      <c r="AB377" s="529"/>
      <c r="AC377" s="529"/>
      <c r="AD377" s="529"/>
      <c r="AE377" s="529"/>
      <c r="AF377" s="529"/>
      <c r="AG377" s="529"/>
      <c r="AH377" s="529"/>
      <c r="AI377" s="529"/>
      <c r="AJ377" s="529"/>
      <c r="AK377" s="529"/>
      <c r="AL377" s="529"/>
      <c r="AM377" s="529"/>
      <c r="AN377" s="529"/>
      <c r="AO377" s="529"/>
    </row>
    <row r="378">
      <c r="G378" s="529"/>
      <c r="H378" s="529"/>
      <c r="I378" s="529"/>
      <c r="J378" s="529"/>
      <c r="K378" s="529"/>
      <c r="L378" s="529"/>
      <c r="M378" s="529"/>
      <c r="N378" s="529"/>
      <c r="O378" s="529"/>
      <c r="P378" s="529"/>
      <c r="Q378" s="529"/>
      <c r="R378" s="529"/>
      <c r="S378" s="529"/>
      <c r="T378" s="529"/>
      <c r="U378" s="529"/>
      <c r="V378" s="529"/>
      <c r="W378" s="529"/>
      <c r="X378" s="529"/>
      <c r="Y378" s="529"/>
      <c r="Z378" s="529"/>
      <c r="AA378" s="529"/>
      <c r="AB378" s="529"/>
      <c r="AC378" s="529"/>
      <c r="AD378" s="529"/>
      <c r="AE378" s="529"/>
      <c r="AF378" s="529"/>
      <c r="AG378" s="529"/>
      <c r="AH378" s="529"/>
      <c r="AI378" s="529"/>
      <c r="AJ378" s="529"/>
      <c r="AK378" s="529"/>
      <c r="AL378" s="529"/>
      <c r="AM378" s="529"/>
      <c r="AN378" s="529"/>
      <c r="AO378" s="529"/>
    </row>
    <row r="379">
      <c r="G379" s="529"/>
      <c r="H379" s="529"/>
      <c r="I379" s="529"/>
      <c r="J379" s="529"/>
      <c r="K379" s="529"/>
      <c r="L379" s="529"/>
      <c r="M379" s="529"/>
      <c r="N379" s="529"/>
      <c r="O379" s="529"/>
      <c r="P379" s="529"/>
      <c r="Q379" s="529"/>
      <c r="R379" s="529"/>
      <c r="S379" s="529"/>
      <c r="T379" s="529"/>
      <c r="U379" s="529"/>
      <c r="V379" s="529"/>
      <c r="W379" s="529"/>
      <c r="X379" s="529"/>
      <c r="Y379" s="529"/>
      <c r="Z379" s="529"/>
      <c r="AA379" s="529"/>
      <c r="AB379" s="529"/>
      <c r="AC379" s="529"/>
      <c r="AD379" s="529"/>
      <c r="AE379" s="529"/>
      <c r="AF379" s="529"/>
      <c r="AG379" s="529"/>
      <c r="AH379" s="529"/>
      <c r="AI379" s="529"/>
      <c r="AJ379" s="529"/>
      <c r="AK379" s="529"/>
      <c r="AL379" s="529"/>
      <c r="AM379" s="529"/>
      <c r="AN379" s="529"/>
      <c r="AO379" s="529"/>
    </row>
    <row r="380">
      <c r="G380" s="529"/>
      <c r="H380" s="529"/>
      <c r="I380" s="529"/>
      <c r="J380" s="529"/>
      <c r="K380" s="529"/>
      <c r="L380" s="529"/>
      <c r="M380" s="529"/>
      <c r="N380" s="529"/>
      <c r="O380" s="529"/>
      <c r="P380" s="529"/>
      <c r="Q380" s="529"/>
      <c r="R380" s="529"/>
      <c r="S380" s="529"/>
      <c r="T380" s="529"/>
      <c r="U380" s="529"/>
      <c r="V380" s="529"/>
      <c r="W380" s="529"/>
      <c r="X380" s="529"/>
      <c r="Y380" s="529"/>
      <c r="Z380" s="529"/>
      <c r="AA380" s="529"/>
      <c r="AB380" s="529"/>
      <c r="AC380" s="529"/>
      <c r="AD380" s="529"/>
      <c r="AE380" s="529"/>
      <c r="AF380" s="529"/>
      <c r="AG380" s="529"/>
      <c r="AH380" s="529"/>
      <c r="AI380" s="529"/>
      <c r="AJ380" s="529"/>
      <c r="AK380" s="529"/>
      <c r="AL380" s="529"/>
      <c r="AM380" s="529"/>
      <c r="AN380" s="529"/>
      <c r="AO380" s="529"/>
    </row>
    <row r="381">
      <c r="G381" s="529"/>
      <c r="H381" s="529"/>
      <c r="I381" s="529"/>
      <c r="J381" s="529"/>
      <c r="K381" s="529"/>
      <c r="L381" s="529"/>
      <c r="M381" s="529"/>
      <c r="N381" s="529"/>
      <c r="O381" s="529"/>
      <c r="P381" s="529"/>
      <c r="Q381" s="529"/>
      <c r="R381" s="529"/>
      <c r="S381" s="529"/>
      <c r="T381" s="529"/>
      <c r="U381" s="529"/>
      <c r="V381" s="529"/>
      <c r="W381" s="529"/>
      <c r="X381" s="529"/>
      <c r="Y381" s="529"/>
      <c r="Z381" s="529"/>
      <c r="AA381" s="529"/>
      <c r="AB381" s="529"/>
      <c r="AC381" s="529"/>
      <c r="AD381" s="529"/>
      <c r="AE381" s="529"/>
      <c r="AF381" s="529"/>
      <c r="AG381" s="529"/>
      <c r="AH381" s="529"/>
      <c r="AI381" s="529"/>
      <c r="AJ381" s="529"/>
      <c r="AK381" s="529"/>
      <c r="AL381" s="529"/>
      <c r="AM381" s="529"/>
      <c r="AN381" s="529"/>
      <c r="AO381" s="529"/>
    </row>
    <row r="382">
      <c r="G382" s="529"/>
      <c r="H382" s="529"/>
      <c r="I382" s="529"/>
      <c r="J382" s="529"/>
      <c r="K382" s="529"/>
      <c r="L382" s="529"/>
      <c r="M382" s="529"/>
      <c r="N382" s="529"/>
      <c r="O382" s="529"/>
      <c r="P382" s="529"/>
      <c r="Q382" s="529"/>
      <c r="R382" s="529"/>
      <c r="S382" s="529"/>
      <c r="T382" s="529"/>
      <c r="U382" s="529"/>
      <c r="V382" s="529"/>
      <c r="W382" s="529"/>
      <c r="X382" s="529"/>
      <c r="Y382" s="529"/>
      <c r="Z382" s="529"/>
      <c r="AA382" s="529"/>
      <c r="AB382" s="529"/>
      <c r="AC382" s="529"/>
      <c r="AD382" s="529"/>
      <c r="AE382" s="529"/>
      <c r="AF382" s="529"/>
      <c r="AG382" s="529"/>
      <c r="AH382" s="529"/>
      <c r="AI382" s="529"/>
      <c r="AJ382" s="529"/>
      <c r="AK382" s="529"/>
      <c r="AL382" s="529"/>
      <c r="AM382" s="529"/>
      <c r="AN382" s="529"/>
      <c r="AO382" s="529"/>
    </row>
    <row r="383">
      <c r="G383" s="529"/>
      <c r="H383" s="529"/>
      <c r="I383" s="529"/>
      <c r="J383" s="529"/>
      <c r="K383" s="529"/>
      <c r="L383" s="529"/>
      <c r="M383" s="529"/>
      <c r="N383" s="529"/>
      <c r="O383" s="529"/>
      <c r="P383" s="529"/>
      <c r="Q383" s="529"/>
      <c r="R383" s="529"/>
      <c r="S383" s="529"/>
      <c r="T383" s="529"/>
      <c r="U383" s="529"/>
      <c r="V383" s="529"/>
      <c r="W383" s="529"/>
      <c r="X383" s="529"/>
      <c r="Y383" s="529"/>
      <c r="Z383" s="529"/>
      <c r="AA383" s="529"/>
      <c r="AB383" s="529"/>
      <c r="AC383" s="529"/>
      <c r="AD383" s="529"/>
      <c r="AE383" s="529"/>
      <c r="AF383" s="529"/>
      <c r="AG383" s="529"/>
      <c r="AH383" s="529"/>
      <c r="AI383" s="529"/>
      <c r="AJ383" s="529"/>
      <c r="AK383" s="529"/>
      <c r="AL383" s="529"/>
      <c r="AM383" s="529"/>
      <c r="AN383" s="529"/>
      <c r="AO383" s="529"/>
    </row>
    <row r="384">
      <c r="G384" s="529"/>
      <c r="H384" s="529"/>
      <c r="I384" s="529"/>
      <c r="J384" s="529"/>
      <c r="K384" s="529"/>
      <c r="L384" s="529"/>
      <c r="M384" s="529"/>
      <c r="N384" s="529"/>
      <c r="O384" s="529"/>
      <c r="P384" s="529"/>
      <c r="Q384" s="529"/>
      <c r="R384" s="529"/>
      <c r="S384" s="529"/>
      <c r="T384" s="529"/>
      <c r="U384" s="529"/>
      <c r="V384" s="529"/>
      <c r="W384" s="529"/>
      <c r="X384" s="529"/>
      <c r="Y384" s="529"/>
      <c r="Z384" s="529"/>
      <c r="AA384" s="529"/>
      <c r="AB384" s="529"/>
      <c r="AC384" s="529"/>
      <c r="AD384" s="529"/>
      <c r="AE384" s="529"/>
      <c r="AF384" s="529"/>
      <c r="AG384" s="529"/>
      <c r="AH384" s="529"/>
      <c r="AI384" s="529"/>
      <c r="AJ384" s="529"/>
      <c r="AK384" s="529"/>
      <c r="AL384" s="529"/>
      <c r="AM384" s="529"/>
      <c r="AN384" s="529"/>
      <c r="AO384" s="529"/>
    </row>
    <row r="385">
      <c r="G385" s="529"/>
      <c r="H385" s="529"/>
      <c r="I385" s="529"/>
      <c r="J385" s="529"/>
      <c r="K385" s="529"/>
      <c r="L385" s="529"/>
      <c r="M385" s="529"/>
      <c r="N385" s="529"/>
      <c r="O385" s="529"/>
      <c r="P385" s="529"/>
      <c r="Q385" s="529"/>
      <c r="R385" s="529"/>
      <c r="S385" s="529"/>
      <c r="T385" s="529"/>
      <c r="U385" s="529"/>
      <c r="V385" s="529"/>
      <c r="W385" s="529"/>
      <c r="X385" s="529"/>
      <c r="Y385" s="529"/>
      <c r="Z385" s="529"/>
      <c r="AA385" s="529"/>
      <c r="AB385" s="529"/>
      <c r="AC385" s="529"/>
      <c r="AD385" s="529"/>
      <c r="AE385" s="529"/>
      <c r="AF385" s="529"/>
      <c r="AG385" s="529"/>
      <c r="AH385" s="529"/>
      <c r="AI385" s="529"/>
      <c r="AJ385" s="529"/>
      <c r="AK385" s="529"/>
      <c r="AL385" s="529"/>
      <c r="AM385" s="529"/>
      <c r="AN385" s="529"/>
      <c r="AO385" s="529"/>
    </row>
    <row r="386">
      <c r="G386" s="529"/>
      <c r="H386" s="529"/>
      <c r="I386" s="529"/>
      <c r="J386" s="529"/>
      <c r="K386" s="529"/>
      <c r="L386" s="529"/>
      <c r="M386" s="529"/>
      <c r="N386" s="529"/>
      <c r="O386" s="529"/>
      <c r="P386" s="529"/>
      <c r="Q386" s="529"/>
      <c r="R386" s="529"/>
      <c r="S386" s="529"/>
      <c r="T386" s="529"/>
      <c r="U386" s="529"/>
      <c r="V386" s="529"/>
      <c r="W386" s="529"/>
      <c r="X386" s="529"/>
      <c r="Y386" s="529"/>
      <c r="Z386" s="529"/>
      <c r="AA386" s="529"/>
      <c r="AB386" s="529"/>
      <c r="AC386" s="529"/>
      <c r="AD386" s="529"/>
      <c r="AE386" s="529"/>
      <c r="AF386" s="529"/>
      <c r="AG386" s="529"/>
      <c r="AH386" s="529"/>
      <c r="AI386" s="529"/>
      <c r="AJ386" s="529"/>
      <c r="AK386" s="529"/>
      <c r="AL386" s="529"/>
      <c r="AM386" s="529"/>
      <c r="AN386" s="529"/>
      <c r="AO386" s="529"/>
    </row>
    <row r="387">
      <c r="G387" s="529"/>
      <c r="H387" s="529"/>
      <c r="I387" s="529"/>
      <c r="J387" s="529"/>
      <c r="K387" s="529"/>
      <c r="L387" s="529"/>
      <c r="M387" s="529"/>
      <c r="N387" s="529"/>
      <c r="O387" s="529"/>
      <c r="P387" s="529"/>
      <c r="Q387" s="529"/>
      <c r="R387" s="529"/>
      <c r="S387" s="529"/>
      <c r="T387" s="529"/>
      <c r="U387" s="529"/>
      <c r="V387" s="529"/>
      <c r="W387" s="529"/>
      <c r="X387" s="529"/>
      <c r="Y387" s="529"/>
      <c r="Z387" s="529"/>
      <c r="AA387" s="529"/>
      <c r="AB387" s="529"/>
      <c r="AC387" s="529"/>
      <c r="AD387" s="529"/>
      <c r="AE387" s="529"/>
      <c r="AF387" s="529"/>
      <c r="AG387" s="529"/>
      <c r="AH387" s="529"/>
      <c r="AI387" s="529"/>
      <c r="AJ387" s="529"/>
      <c r="AK387" s="529"/>
      <c r="AL387" s="529"/>
      <c r="AM387" s="529"/>
      <c r="AN387" s="529"/>
      <c r="AO387" s="529"/>
    </row>
    <row r="388">
      <c r="G388" s="529"/>
      <c r="H388" s="529"/>
      <c r="I388" s="529"/>
      <c r="J388" s="529"/>
      <c r="K388" s="529"/>
      <c r="L388" s="529"/>
      <c r="M388" s="529"/>
      <c r="N388" s="529"/>
      <c r="O388" s="529"/>
      <c r="P388" s="529"/>
      <c r="Q388" s="529"/>
      <c r="R388" s="529"/>
      <c r="S388" s="529"/>
      <c r="T388" s="529"/>
      <c r="U388" s="529"/>
      <c r="V388" s="529"/>
      <c r="W388" s="529"/>
      <c r="X388" s="529"/>
      <c r="Y388" s="529"/>
      <c r="Z388" s="529"/>
      <c r="AA388" s="529"/>
      <c r="AB388" s="529"/>
      <c r="AC388" s="529"/>
      <c r="AD388" s="529"/>
      <c r="AE388" s="529"/>
      <c r="AF388" s="529"/>
      <c r="AG388" s="529"/>
      <c r="AH388" s="529"/>
      <c r="AI388" s="529"/>
      <c r="AJ388" s="529"/>
      <c r="AK388" s="529"/>
      <c r="AL388" s="529"/>
      <c r="AM388" s="529"/>
      <c r="AN388" s="529"/>
      <c r="AO388" s="529"/>
    </row>
    <row r="389">
      <c r="G389" s="529"/>
      <c r="H389" s="529"/>
      <c r="I389" s="529"/>
      <c r="J389" s="529"/>
      <c r="K389" s="529"/>
      <c r="L389" s="529"/>
      <c r="M389" s="529"/>
      <c r="N389" s="529"/>
      <c r="O389" s="529"/>
      <c r="P389" s="529"/>
      <c r="Q389" s="529"/>
      <c r="R389" s="529"/>
      <c r="S389" s="529"/>
      <c r="T389" s="529"/>
      <c r="U389" s="529"/>
      <c r="V389" s="529"/>
      <c r="W389" s="529"/>
      <c r="X389" s="529"/>
      <c r="Y389" s="529"/>
      <c r="Z389" s="529"/>
      <c r="AA389" s="529"/>
      <c r="AB389" s="529"/>
      <c r="AC389" s="529"/>
      <c r="AD389" s="529"/>
      <c r="AE389" s="529"/>
      <c r="AF389" s="529"/>
      <c r="AG389" s="529"/>
      <c r="AH389" s="529"/>
      <c r="AI389" s="529"/>
      <c r="AJ389" s="529"/>
      <c r="AK389" s="529"/>
      <c r="AL389" s="529"/>
      <c r="AM389" s="529"/>
      <c r="AN389" s="529"/>
      <c r="AO389" s="529"/>
    </row>
    <row r="390">
      <c r="G390" s="529"/>
      <c r="H390" s="529"/>
      <c r="I390" s="529"/>
      <c r="J390" s="529"/>
      <c r="K390" s="529"/>
      <c r="L390" s="529"/>
      <c r="M390" s="529"/>
      <c r="N390" s="529"/>
      <c r="O390" s="529"/>
      <c r="P390" s="529"/>
      <c r="Q390" s="529"/>
      <c r="R390" s="529"/>
      <c r="S390" s="529"/>
      <c r="T390" s="529"/>
      <c r="U390" s="529"/>
      <c r="V390" s="529"/>
      <c r="W390" s="529"/>
      <c r="X390" s="529"/>
      <c r="Y390" s="529"/>
      <c r="Z390" s="529"/>
      <c r="AA390" s="529"/>
      <c r="AB390" s="529"/>
      <c r="AC390" s="529"/>
      <c r="AD390" s="529"/>
      <c r="AE390" s="529"/>
      <c r="AF390" s="529"/>
      <c r="AG390" s="529"/>
      <c r="AH390" s="529"/>
      <c r="AI390" s="529"/>
      <c r="AJ390" s="529"/>
      <c r="AK390" s="529"/>
      <c r="AL390" s="529"/>
      <c r="AM390" s="529"/>
      <c r="AN390" s="529"/>
      <c r="AO390" s="529"/>
    </row>
    <row r="391">
      <c r="G391" s="529"/>
      <c r="H391" s="529"/>
      <c r="I391" s="529"/>
      <c r="J391" s="529"/>
      <c r="K391" s="529"/>
      <c r="L391" s="529"/>
      <c r="M391" s="529"/>
      <c r="N391" s="529"/>
      <c r="O391" s="529"/>
      <c r="P391" s="529"/>
      <c r="Q391" s="529"/>
      <c r="R391" s="529"/>
      <c r="S391" s="529"/>
      <c r="T391" s="529"/>
      <c r="U391" s="529"/>
      <c r="V391" s="529"/>
      <c r="W391" s="529"/>
      <c r="X391" s="529"/>
      <c r="Y391" s="529"/>
      <c r="Z391" s="529"/>
      <c r="AA391" s="529"/>
      <c r="AB391" s="529"/>
      <c r="AC391" s="529"/>
      <c r="AD391" s="529"/>
      <c r="AE391" s="529"/>
      <c r="AF391" s="529"/>
      <c r="AG391" s="529"/>
      <c r="AH391" s="529"/>
      <c r="AI391" s="529"/>
      <c r="AJ391" s="529"/>
      <c r="AK391" s="529"/>
      <c r="AL391" s="529"/>
      <c r="AM391" s="529"/>
      <c r="AN391" s="529"/>
      <c r="AO391" s="529"/>
    </row>
    <row r="392">
      <c r="G392" s="529"/>
      <c r="H392" s="529"/>
      <c r="I392" s="529"/>
      <c r="J392" s="529"/>
      <c r="K392" s="529"/>
      <c r="L392" s="529"/>
      <c r="M392" s="529"/>
      <c r="N392" s="529"/>
      <c r="O392" s="529"/>
      <c r="P392" s="529"/>
      <c r="Q392" s="529"/>
      <c r="R392" s="529"/>
      <c r="S392" s="529"/>
      <c r="T392" s="529"/>
      <c r="U392" s="529"/>
      <c r="V392" s="529"/>
      <c r="W392" s="529"/>
      <c r="X392" s="529"/>
      <c r="Y392" s="529"/>
      <c r="Z392" s="529"/>
      <c r="AA392" s="529"/>
      <c r="AB392" s="529"/>
      <c r="AC392" s="529"/>
      <c r="AD392" s="529"/>
      <c r="AE392" s="529"/>
      <c r="AF392" s="529"/>
      <c r="AG392" s="529"/>
      <c r="AH392" s="529"/>
      <c r="AI392" s="529"/>
      <c r="AJ392" s="529"/>
      <c r="AK392" s="529"/>
      <c r="AL392" s="529"/>
      <c r="AM392" s="529"/>
      <c r="AN392" s="529"/>
      <c r="AO392" s="529"/>
    </row>
    <row r="393">
      <c r="G393" s="529"/>
      <c r="H393" s="529"/>
      <c r="I393" s="529"/>
      <c r="J393" s="529"/>
      <c r="K393" s="529"/>
      <c r="L393" s="529"/>
      <c r="M393" s="529"/>
      <c r="N393" s="529"/>
      <c r="O393" s="529"/>
      <c r="P393" s="529"/>
      <c r="Q393" s="529"/>
      <c r="R393" s="529"/>
      <c r="S393" s="529"/>
      <c r="T393" s="529"/>
      <c r="U393" s="529"/>
      <c r="V393" s="529"/>
      <c r="W393" s="529"/>
      <c r="X393" s="529"/>
      <c r="Y393" s="529"/>
      <c r="Z393" s="529"/>
      <c r="AA393" s="529"/>
      <c r="AB393" s="529"/>
      <c r="AC393" s="529"/>
      <c r="AD393" s="529"/>
      <c r="AE393" s="529"/>
      <c r="AF393" s="529"/>
      <c r="AG393" s="529"/>
      <c r="AH393" s="529"/>
      <c r="AI393" s="529"/>
      <c r="AJ393" s="529"/>
      <c r="AK393" s="529"/>
      <c r="AL393" s="529"/>
      <c r="AM393" s="529"/>
      <c r="AN393" s="529"/>
      <c r="AO393" s="529"/>
    </row>
    <row r="394">
      <c r="G394" s="529"/>
      <c r="H394" s="529"/>
      <c r="I394" s="529"/>
      <c r="J394" s="529"/>
      <c r="K394" s="529"/>
      <c r="L394" s="529"/>
      <c r="M394" s="529"/>
      <c r="N394" s="529"/>
      <c r="O394" s="529"/>
      <c r="P394" s="529"/>
      <c r="Q394" s="529"/>
      <c r="R394" s="529"/>
      <c r="S394" s="529"/>
      <c r="T394" s="529"/>
      <c r="U394" s="529"/>
      <c r="V394" s="529"/>
      <c r="W394" s="529"/>
      <c r="X394" s="529"/>
      <c r="Y394" s="529"/>
      <c r="Z394" s="529"/>
      <c r="AA394" s="529"/>
      <c r="AB394" s="529"/>
      <c r="AC394" s="529"/>
      <c r="AD394" s="529"/>
      <c r="AE394" s="529"/>
      <c r="AF394" s="529"/>
      <c r="AG394" s="529"/>
      <c r="AH394" s="529"/>
      <c r="AI394" s="529"/>
      <c r="AJ394" s="529"/>
      <c r="AK394" s="529"/>
      <c r="AL394" s="529"/>
      <c r="AM394" s="529"/>
      <c r="AN394" s="529"/>
      <c r="AO394" s="529"/>
    </row>
    <row r="395">
      <c r="G395" s="529"/>
      <c r="H395" s="529"/>
      <c r="I395" s="529"/>
      <c r="J395" s="529"/>
      <c r="K395" s="529"/>
      <c r="L395" s="529"/>
      <c r="M395" s="529"/>
      <c r="N395" s="529"/>
      <c r="O395" s="529"/>
      <c r="P395" s="529"/>
      <c r="Q395" s="529"/>
      <c r="R395" s="529"/>
      <c r="S395" s="529"/>
      <c r="T395" s="529"/>
      <c r="U395" s="529"/>
      <c r="V395" s="529"/>
      <c r="W395" s="529"/>
      <c r="X395" s="529"/>
      <c r="Y395" s="529"/>
      <c r="Z395" s="529"/>
      <c r="AA395" s="529"/>
      <c r="AB395" s="529"/>
      <c r="AC395" s="529"/>
      <c r="AD395" s="529"/>
      <c r="AE395" s="529"/>
      <c r="AF395" s="529"/>
      <c r="AG395" s="529"/>
      <c r="AH395" s="529"/>
      <c r="AI395" s="529"/>
      <c r="AJ395" s="529"/>
      <c r="AK395" s="529"/>
      <c r="AL395" s="529"/>
      <c r="AM395" s="529"/>
      <c r="AN395" s="529"/>
      <c r="AO395" s="529"/>
    </row>
    <row r="396">
      <c r="G396" s="529"/>
      <c r="H396" s="529"/>
      <c r="I396" s="529"/>
      <c r="J396" s="529"/>
      <c r="K396" s="529"/>
      <c r="L396" s="529"/>
      <c r="M396" s="529"/>
      <c r="N396" s="529"/>
      <c r="O396" s="529"/>
      <c r="P396" s="529"/>
      <c r="Q396" s="529"/>
      <c r="R396" s="529"/>
      <c r="S396" s="529"/>
      <c r="T396" s="529"/>
      <c r="U396" s="529"/>
      <c r="V396" s="529"/>
      <c r="W396" s="529"/>
      <c r="X396" s="529"/>
      <c r="Y396" s="529"/>
      <c r="Z396" s="529"/>
      <c r="AA396" s="529"/>
      <c r="AB396" s="529"/>
      <c r="AC396" s="529"/>
      <c r="AD396" s="529"/>
      <c r="AE396" s="529"/>
      <c r="AF396" s="529"/>
      <c r="AG396" s="529"/>
      <c r="AH396" s="529"/>
      <c r="AI396" s="529"/>
      <c r="AJ396" s="529"/>
      <c r="AK396" s="529"/>
      <c r="AL396" s="529"/>
      <c r="AM396" s="529"/>
      <c r="AN396" s="529"/>
      <c r="AO396" s="529"/>
    </row>
    <row r="397">
      <c r="G397" s="529"/>
      <c r="H397" s="529"/>
      <c r="I397" s="529"/>
      <c r="J397" s="529"/>
      <c r="K397" s="529"/>
      <c r="L397" s="529"/>
      <c r="M397" s="529"/>
      <c r="N397" s="529"/>
      <c r="O397" s="529"/>
      <c r="P397" s="529"/>
      <c r="Q397" s="529"/>
      <c r="R397" s="529"/>
      <c r="S397" s="529"/>
      <c r="T397" s="529"/>
      <c r="U397" s="529"/>
      <c r="V397" s="529"/>
      <c r="W397" s="529"/>
      <c r="X397" s="529"/>
      <c r="Y397" s="529"/>
      <c r="Z397" s="529"/>
      <c r="AA397" s="529"/>
      <c r="AB397" s="529"/>
      <c r="AC397" s="529"/>
      <c r="AD397" s="529"/>
      <c r="AE397" s="529"/>
      <c r="AF397" s="529"/>
      <c r="AG397" s="529"/>
      <c r="AH397" s="529"/>
      <c r="AI397" s="529"/>
      <c r="AJ397" s="529"/>
      <c r="AK397" s="529"/>
      <c r="AL397" s="529"/>
      <c r="AM397" s="529"/>
      <c r="AN397" s="529"/>
      <c r="AO397" s="529"/>
    </row>
    <row r="398">
      <c r="G398" s="529"/>
      <c r="H398" s="529"/>
      <c r="I398" s="529"/>
      <c r="J398" s="529"/>
      <c r="K398" s="529"/>
      <c r="L398" s="529"/>
      <c r="M398" s="529"/>
      <c r="N398" s="529"/>
      <c r="O398" s="529"/>
      <c r="P398" s="529"/>
      <c r="Q398" s="529"/>
      <c r="R398" s="529"/>
      <c r="S398" s="529"/>
      <c r="T398" s="529"/>
      <c r="U398" s="529"/>
      <c r="V398" s="529"/>
      <c r="W398" s="529"/>
      <c r="X398" s="529"/>
      <c r="Y398" s="529"/>
      <c r="Z398" s="529"/>
      <c r="AA398" s="529"/>
      <c r="AB398" s="529"/>
      <c r="AC398" s="529"/>
      <c r="AD398" s="529"/>
      <c r="AE398" s="529"/>
      <c r="AF398" s="529"/>
      <c r="AG398" s="529"/>
      <c r="AH398" s="529"/>
      <c r="AI398" s="529"/>
      <c r="AJ398" s="529"/>
      <c r="AK398" s="529"/>
      <c r="AL398" s="529"/>
      <c r="AM398" s="529"/>
      <c r="AN398" s="529"/>
      <c r="AO398" s="529"/>
    </row>
    <row r="399">
      <c r="G399" s="529"/>
      <c r="H399" s="529"/>
      <c r="I399" s="529"/>
      <c r="J399" s="529"/>
      <c r="K399" s="529"/>
      <c r="L399" s="529"/>
      <c r="M399" s="529"/>
      <c r="N399" s="529"/>
      <c r="O399" s="529"/>
      <c r="P399" s="529"/>
      <c r="Q399" s="529"/>
      <c r="R399" s="529"/>
      <c r="S399" s="529"/>
      <c r="T399" s="529"/>
      <c r="U399" s="529"/>
      <c r="V399" s="529"/>
      <c r="W399" s="529"/>
      <c r="X399" s="529"/>
      <c r="Y399" s="529"/>
      <c r="Z399" s="529"/>
      <c r="AA399" s="529"/>
      <c r="AB399" s="529"/>
      <c r="AC399" s="529"/>
      <c r="AD399" s="529"/>
      <c r="AE399" s="529"/>
      <c r="AF399" s="529"/>
      <c r="AG399" s="529"/>
      <c r="AH399" s="529"/>
      <c r="AI399" s="529"/>
      <c r="AJ399" s="529"/>
      <c r="AK399" s="529"/>
      <c r="AL399" s="529"/>
      <c r="AM399" s="529"/>
      <c r="AN399" s="529"/>
      <c r="AO399" s="529"/>
    </row>
    <row r="400">
      <c r="G400" s="529"/>
      <c r="H400" s="529"/>
      <c r="I400" s="529"/>
      <c r="J400" s="529"/>
      <c r="K400" s="529"/>
      <c r="L400" s="529"/>
      <c r="M400" s="529"/>
      <c r="N400" s="529"/>
      <c r="O400" s="529"/>
      <c r="P400" s="529"/>
      <c r="Q400" s="529"/>
      <c r="R400" s="529"/>
      <c r="S400" s="529"/>
      <c r="T400" s="529"/>
      <c r="U400" s="529"/>
      <c r="V400" s="529"/>
      <c r="W400" s="529"/>
      <c r="X400" s="529"/>
      <c r="Y400" s="529"/>
      <c r="Z400" s="529"/>
      <c r="AA400" s="529"/>
      <c r="AB400" s="529"/>
      <c r="AC400" s="529"/>
      <c r="AD400" s="529"/>
      <c r="AE400" s="529"/>
      <c r="AF400" s="529"/>
      <c r="AG400" s="529"/>
      <c r="AH400" s="529"/>
      <c r="AI400" s="529"/>
      <c r="AJ400" s="529"/>
      <c r="AK400" s="529"/>
      <c r="AL400" s="529"/>
      <c r="AM400" s="529"/>
      <c r="AN400" s="529"/>
      <c r="AO400" s="529"/>
    </row>
    <row r="401">
      <c r="G401" s="529"/>
      <c r="H401" s="529"/>
      <c r="I401" s="529"/>
      <c r="J401" s="529"/>
      <c r="K401" s="529"/>
      <c r="L401" s="529"/>
      <c r="M401" s="529"/>
      <c r="N401" s="529"/>
      <c r="O401" s="529"/>
      <c r="P401" s="529"/>
      <c r="Q401" s="529"/>
      <c r="R401" s="529"/>
      <c r="S401" s="529"/>
      <c r="T401" s="529"/>
      <c r="U401" s="529"/>
      <c r="V401" s="529"/>
      <c r="W401" s="529"/>
      <c r="X401" s="529"/>
      <c r="Y401" s="529"/>
      <c r="Z401" s="529"/>
      <c r="AA401" s="529"/>
      <c r="AB401" s="529"/>
      <c r="AC401" s="529"/>
      <c r="AD401" s="529"/>
      <c r="AE401" s="529"/>
      <c r="AF401" s="529"/>
      <c r="AG401" s="529"/>
      <c r="AH401" s="529"/>
      <c r="AI401" s="529"/>
      <c r="AJ401" s="529"/>
      <c r="AK401" s="529"/>
      <c r="AL401" s="529"/>
      <c r="AM401" s="529"/>
      <c r="AN401" s="529"/>
      <c r="AO401" s="529"/>
    </row>
    <row r="402">
      <c r="G402" s="529"/>
      <c r="H402" s="529"/>
      <c r="I402" s="529"/>
      <c r="J402" s="529"/>
      <c r="K402" s="529"/>
      <c r="L402" s="529"/>
      <c r="M402" s="529"/>
      <c r="N402" s="529"/>
      <c r="O402" s="529"/>
      <c r="P402" s="529"/>
      <c r="Q402" s="529"/>
      <c r="R402" s="529"/>
      <c r="S402" s="529"/>
      <c r="T402" s="529"/>
      <c r="U402" s="529"/>
      <c r="V402" s="529"/>
      <c r="W402" s="529"/>
      <c r="X402" s="529"/>
      <c r="Y402" s="529"/>
      <c r="Z402" s="529"/>
      <c r="AA402" s="529"/>
      <c r="AB402" s="529"/>
      <c r="AC402" s="529"/>
      <c r="AD402" s="529"/>
      <c r="AE402" s="529"/>
      <c r="AF402" s="529"/>
      <c r="AG402" s="529"/>
      <c r="AH402" s="529"/>
      <c r="AI402" s="529"/>
      <c r="AJ402" s="529"/>
      <c r="AK402" s="529"/>
      <c r="AL402" s="529"/>
      <c r="AM402" s="529"/>
      <c r="AN402" s="529"/>
      <c r="AO402" s="529"/>
    </row>
    <row r="403">
      <c r="G403" s="529"/>
      <c r="H403" s="529"/>
      <c r="I403" s="529"/>
      <c r="J403" s="529"/>
      <c r="K403" s="529"/>
      <c r="L403" s="529"/>
      <c r="M403" s="529"/>
      <c r="N403" s="529"/>
      <c r="O403" s="529"/>
      <c r="P403" s="529"/>
      <c r="Q403" s="529"/>
      <c r="R403" s="529"/>
      <c r="S403" s="529"/>
      <c r="T403" s="529"/>
      <c r="U403" s="529"/>
      <c r="V403" s="529"/>
      <c r="W403" s="529"/>
      <c r="X403" s="529"/>
      <c r="Y403" s="529"/>
      <c r="Z403" s="529"/>
      <c r="AA403" s="529"/>
      <c r="AB403" s="529"/>
      <c r="AC403" s="529"/>
      <c r="AD403" s="529"/>
      <c r="AE403" s="529"/>
      <c r="AF403" s="529"/>
      <c r="AG403" s="529"/>
      <c r="AH403" s="529"/>
      <c r="AI403" s="529"/>
      <c r="AJ403" s="529"/>
      <c r="AK403" s="529"/>
      <c r="AL403" s="529"/>
      <c r="AM403" s="529"/>
      <c r="AN403" s="529"/>
      <c r="AO403" s="529"/>
    </row>
    <row r="404">
      <c r="G404" s="529"/>
      <c r="H404" s="529"/>
      <c r="I404" s="529"/>
      <c r="J404" s="529"/>
      <c r="K404" s="529"/>
      <c r="L404" s="529"/>
      <c r="M404" s="529"/>
      <c r="N404" s="529"/>
      <c r="O404" s="529"/>
      <c r="P404" s="529"/>
      <c r="Q404" s="529"/>
      <c r="R404" s="529"/>
      <c r="S404" s="529"/>
      <c r="T404" s="529"/>
      <c r="U404" s="529"/>
      <c r="V404" s="529"/>
      <c r="W404" s="529"/>
      <c r="X404" s="529"/>
      <c r="Y404" s="529"/>
      <c r="Z404" s="529"/>
      <c r="AA404" s="529"/>
      <c r="AB404" s="529"/>
      <c r="AC404" s="529"/>
      <c r="AD404" s="529"/>
      <c r="AE404" s="529"/>
      <c r="AF404" s="529"/>
      <c r="AG404" s="529"/>
      <c r="AH404" s="529"/>
      <c r="AI404" s="529"/>
      <c r="AJ404" s="529"/>
      <c r="AK404" s="529"/>
      <c r="AL404" s="529"/>
      <c r="AM404" s="529"/>
      <c r="AN404" s="529"/>
      <c r="AO404" s="529"/>
    </row>
    <row r="405">
      <c r="G405" s="529"/>
      <c r="H405" s="529"/>
      <c r="I405" s="529"/>
      <c r="J405" s="529"/>
      <c r="K405" s="529"/>
      <c r="L405" s="529"/>
      <c r="M405" s="529"/>
      <c r="N405" s="529"/>
      <c r="O405" s="529"/>
      <c r="P405" s="529"/>
      <c r="Q405" s="529"/>
      <c r="R405" s="529"/>
      <c r="S405" s="529"/>
      <c r="T405" s="529"/>
      <c r="U405" s="529"/>
      <c r="V405" s="529"/>
      <c r="W405" s="529"/>
      <c r="X405" s="529"/>
      <c r="Y405" s="529"/>
      <c r="Z405" s="529"/>
      <c r="AA405" s="529"/>
      <c r="AB405" s="529"/>
      <c r="AC405" s="529"/>
      <c r="AD405" s="529"/>
      <c r="AE405" s="529"/>
      <c r="AF405" s="529"/>
      <c r="AG405" s="529"/>
      <c r="AH405" s="529"/>
      <c r="AI405" s="529"/>
      <c r="AJ405" s="529"/>
      <c r="AK405" s="529"/>
      <c r="AL405" s="529"/>
      <c r="AM405" s="529"/>
      <c r="AN405" s="529"/>
      <c r="AO405" s="529"/>
    </row>
    <row r="406">
      <c r="G406" s="529"/>
      <c r="H406" s="529"/>
      <c r="I406" s="529"/>
      <c r="J406" s="529"/>
      <c r="K406" s="529"/>
      <c r="L406" s="529"/>
      <c r="M406" s="529"/>
      <c r="N406" s="529"/>
      <c r="O406" s="529"/>
      <c r="P406" s="529"/>
      <c r="Q406" s="529"/>
      <c r="R406" s="529"/>
      <c r="S406" s="529"/>
      <c r="T406" s="529"/>
      <c r="U406" s="529"/>
      <c r="V406" s="529"/>
      <c r="W406" s="529"/>
      <c r="X406" s="529"/>
      <c r="Y406" s="529"/>
      <c r="Z406" s="529"/>
      <c r="AA406" s="529"/>
      <c r="AB406" s="529"/>
      <c r="AC406" s="529"/>
      <c r="AD406" s="529"/>
      <c r="AE406" s="529"/>
      <c r="AF406" s="529"/>
      <c r="AG406" s="529"/>
      <c r="AH406" s="529"/>
      <c r="AI406" s="529"/>
      <c r="AJ406" s="529"/>
      <c r="AK406" s="529"/>
      <c r="AL406" s="529"/>
      <c r="AM406" s="529"/>
      <c r="AN406" s="529"/>
      <c r="AO406" s="529"/>
    </row>
    <row r="407">
      <c r="G407" s="529"/>
      <c r="H407" s="529"/>
      <c r="I407" s="529"/>
      <c r="J407" s="529"/>
      <c r="K407" s="529"/>
      <c r="L407" s="529"/>
      <c r="M407" s="529"/>
      <c r="N407" s="529"/>
      <c r="O407" s="529"/>
      <c r="P407" s="529"/>
      <c r="Q407" s="529"/>
      <c r="R407" s="529"/>
      <c r="S407" s="529"/>
      <c r="T407" s="529"/>
      <c r="U407" s="529"/>
      <c r="V407" s="529"/>
      <c r="W407" s="529"/>
      <c r="X407" s="529"/>
      <c r="Y407" s="529"/>
      <c r="Z407" s="529"/>
      <c r="AA407" s="529"/>
      <c r="AB407" s="529"/>
      <c r="AC407" s="529"/>
      <c r="AD407" s="529"/>
      <c r="AE407" s="529"/>
      <c r="AF407" s="529"/>
      <c r="AG407" s="529"/>
      <c r="AH407" s="529"/>
      <c r="AI407" s="529"/>
      <c r="AJ407" s="529"/>
      <c r="AK407" s="529"/>
      <c r="AL407" s="529"/>
      <c r="AM407" s="529"/>
      <c r="AN407" s="529"/>
      <c r="AO407" s="529"/>
    </row>
    <row r="408">
      <c r="G408" s="529"/>
      <c r="H408" s="529"/>
      <c r="I408" s="529"/>
      <c r="J408" s="529"/>
      <c r="K408" s="529"/>
      <c r="L408" s="529"/>
      <c r="M408" s="529"/>
      <c r="N408" s="529"/>
      <c r="O408" s="529"/>
      <c r="P408" s="529"/>
      <c r="Q408" s="529"/>
      <c r="R408" s="529"/>
      <c r="S408" s="529"/>
      <c r="T408" s="529"/>
      <c r="U408" s="529"/>
      <c r="V408" s="529"/>
      <c r="W408" s="529"/>
      <c r="X408" s="529"/>
      <c r="Y408" s="529"/>
      <c r="Z408" s="529"/>
      <c r="AA408" s="529"/>
      <c r="AB408" s="529"/>
      <c r="AC408" s="529"/>
      <c r="AD408" s="529"/>
      <c r="AE408" s="529"/>
      <c r="AF408" s="529"/>
      <c r="AG408" s="529"/>
      <c r="AH408" s="529"/>
      <c r="AI408" s="529"/>
      <c r="AJ408" s="529"/>
      <c r="AK408" s="529"/>
      <c r="AL408" s="529"/>
      <c r="AM408" s="529"/>
      <c r="AN408" s="529"/>
      <c r="AO408" s="529"/>
    </row>
    <row r="409">
      <c r="G409" s="529"/>
      <c r="H409" s="529"/>
      <c r="I409" s="529"/>
      <c r="J409" s="529"/>
      <c r="K409" s="529"/>
      <c r="L409" s="529"/>
      <c r="M409" s="529"/>
      <c r="N409" s="529"/>
      <c r="O409" s="529"/>
      <c r="P409" s="529"/>
      <c r="Q409" s="529"/>
      <c r="R409" s="529"/>
      <c r="S409" s="529"/>
      <c r="T409" s="529"/>
      <c r="U409" s="529"/>
      <c r="V409" s="529"/>
      <c r="W409" s="529"/>
      <c r="X409" s="529"/>
      <c r="Y409" s="529"/>
      <c r="Z409" s="529"/>
      <c r="AA409" s="529"/>
      <c r="AB409" s="529"/>
      <c r="AC409" s="529"/>
      <c r="AD409" s="529"/>
      <c r="AE409" s="529"/>
      <c r="AF409" s="529"/>
      <c r="AG409" s="529"/>
      <c r="AH409" s="529"/>
      <c r="AI409" s="529"/>
      <c r="AJ409" s="529"/>
      <c r="AK409" s="529"/>
      <c r="AL409" s="529"/>
      <c r="AM409" s="529"/>
      <c r="AN409" s="529"/>
      <c r="AO409" s="529"/>
    </row>
    <row r="410">
      <c r="G410" s="529"/>
      <c r="H410" s="529"/>
      <c r="I410" s="529"/>
      <c r="J410" s="529"/>
      <c r="K410" s="529"/>
      <c r="L410" s="529"/>
      <c r="M410" s="529"/>
      <c r="N410" s="529"/>
      <c r="O410" s="529"/>
      <c r="P410" s="529"/>
      <c r="Q410" s="529"/>
      <c r="R410" s="529"/>
      <c r="S410" s="529"/>
      <c r="T410" s="529"/>
      <c r="U410" s="529"/>
      <c r="V410" s="529"/>
      <c r="W410" s="529"/>
      <c r="X410" s="529"/>
      <c r="Y410" s="529"/>
      <c r="Z410" s="529"/>
      <c r="AA410" s="529"/>
      <c r="AB410" s="529"/>
      <c r="AC410" s="529"/>
      <c r="AD410" s="529"/>
      <c r="AE410" s="529"/>
      <c r="AF410" s="529"/>
      <c r="AG410" s="529"/>
      <c r="AH410" s="529"/>
      <c r="AI410" s="529"/>
      <c r="AJ410" s="529"/>
      <c r="AK410" s="529"/>
      <c r="AL410" s="529"/>
      <c r="AM410" s="529"/>
      <c r="AN410" s="529"/>
      <c r="AO410" s="529"/>
    </row>
    <row r="411">
      <c r="G411" s="529"/>
      <c r="H411" s="529"/>
      <c r="I411" s="529"/>
      <c r="J411" s="529"/>
      <c r="K411" s="529"/>
      <c r="L411" s="529"/>
      <c r="M411" s="529"/>
      <c r="N411" s="529"/>
      <c r="O411" s="529"/>
      <c r="P411" s="529"/>
      <c r="Q411" s="529"/>
      <c r="R411" s="529"/>
      <c r="S411" s="529"/>
      <c r="T411" s="529"/>
      <c r="U411" s="529"/>
      <c r="V411" s="529"/>
      <c r="W411" s="529"/>
      <c r="X411" s="529"/>
      <c r="Y411" s="529"/>
      <c r="Z411" s="529"/>
      <c r="AA411" s="529"/>
      <c r="AB411" s="529"/>
      <c r="AC411" s="529"/>
      <c r="AD411" s="529"/>
      <c r="AE411" s="529"/>
      <c r="AF411" s="529"/>
      <c r="AG411" s="529"/>
      <c r="AH411" s="529"/>
      <c r="AI411" s="529"/>
      <c r="AJ411" s="529"/>
      <c r="AK411" s="529"/>
      <c r="AL411" s="529"/>
      <c r="AM411" s="529"/>
      <c r="AN411" s="529"/>
      <c r="AO411" s="529"/>
    </row>
    <row r="412">
      <c r="G412" s="529"/>
      <c r="H412" s="529"/>
      <c r="I412" s="529"/>
      <c r="J412" s="529"/>
      <c r="K412" s="529"/>
      <c r="L412" s="529"/>
      <c r="M412" s="529"/>
      <c r="N412" s="529"/>
      <c r="O412" s="529"/>
      <c r="P412" s="529"/>
      <c r="Q412" s="529"/>
      <c r="R412" s="529"/>
      <c r="S412" s="529"/>
      <c r="T412" s="529"/>
      <c r="U412" s="529"/>
      <c r="V412" s="529"/>
      <c r="W412" s="529"/>
      <c r="X412" s="529"/>
      <c r="Y412" s="529"/>
      <c r="Z412" s="529"/>
      <c r="AA412" s="529"/>
      <c r="AB412" s="529"/>
      <c r="AC412" s="529"/>
      <c r="AD412" s="529"/>
      <c r="AE412" s="529"/>
      <c r="AF412" s="529"/>
      <c r="AG412" s="529"/>
      <c r="AH412" s="529"/>
      <c r="AI412" s="529"/>
      <c r="AJ412" s="529"/>
      <c r="AK412" s="529"/>
      <c r="AL412" s="529"/>
      <c r="AM412" s="529"/>
      <c r="AN412" s="529"/>
      <c r="AO412" s="529"/>
    </row>
    <row r="413">
      <c r="G413" s="529"/>
      <c r="H413" s="529"/>
      <c r="I413" s="529"/>
      <c r="J413" s="529"/>
      <c r="K413" s="529"/>
      <c r="L413" s="529"/>
      <c r="M413" s="529"/>
      <c r="N413" s="529"/>
      <c r="O413" s="529"/>
      <c r="P413" s="529"/>
      <c r="Q413" s="529"/>
      <c r="R413" s="529"/>
      <c r="S413" s="529"/>
      <c r="T413" s="529"/>
      <c r="U413" s="529"/>
      <c r="V413" s="529"/>
      <c r="W413" s="529"/>
      <c r="X413" s="529"/>
      <c r="Y413" s="529"/>
      <c r="Z413" s="529"/>
      <c r="AA413" s="529"/>
      <c r="AB413" s="529"/>
      <c r="AC413" s="529"/>
      <c r="AD413" s="529"/>
      <c r="AE413" s="529"/>
      <c r="AF413" s="529"/>
      <c r="AG413" s="529"/>
      <c r="AH413" s="529"/>
      <c r="AI413" s="529"/>
      <c r="AJ413" s="529"/>
      <c r="AK413" s="529"/>
      <c r="AL413" s="529"/>
      <c r="AM413" s="529"/>
      <c r="AN413" s="529"/>
      <c r="AO413" s="529"/>
    </row>
    <row r="414">
      <c r="G414" s="529"/>
      <c r="H414" s="529"/>
      <c r="I414" s="529"/>
      <c r="J414" s="529"/>
      <c r="K414" s="529"/>
      <c r="L414" s="529"/>
      <c r="M414" s="529"/>
      <c r="N414" s="529"/>
      <c r="O414" s="529"/>
      <c r="P414" s="529"/>
      <c r="Q414" s="529"/>
      <c r="R414" s="529"/>
      <c r="S414" s="529"/>
      <c r="T414" s="529"/>
      <c r="U414" s="529"/>
      <c r="V414" s="529"/>
      <c r="W414" s="529"/>
      <c r="X414" s="529"/>
      <c r="Y414" s="529"/>
      <c r="Z414" s="529"/>
      <c r="AA414" s="529"/>
      <c r="AB414" s="529"/>
      <c r="AC414" s="529"/>
      <c r="AD414" s="529"/>
      <c r="AE414" s="529"/>
      <c r="AF414" s="529"/>
      <c r="AG414" s="529"/>
      <c r="AH414" s="529"/>
      <c r="AI414" s="529"/>
      <c r="AJ414" s="529"/>
      <c r="AK414" s="529"/>
      <c r="AL414" s="529"/>
      <c r="AM414" s="529"/>
      <c r="AN414" s="529"/>
      <c r="AO414" s="529"/>
    </row>
    <row r="415">
      <c r="G415" s="529"/>
      <c r="H415" s="529"/>
      <c r="I415" s="529"/>
      <c r="J415" s="529"/>
      <c r="K415" s="529"/>
      <c r="L415" s="529"/>
      <c r="M415" s="529"/>
      <c r="N415" s="529"/>
      <c r="O415" s="529"/>
      <c r="P415" s="529"/>
      <c r="Q415" s="529"/>
      <c r="R415" s="529"/>
      <c r="S415" s="529"/>
      <c r="T415" s="529"/>
      <c r="U415" s="529"/>
      <c r="V415" s="529"/>
      <c r="W415" s="529"/>
      <c r="X415" s="529"/>
      <c r="Y415" s="529"/>
      <c r="Z415" s="529"/>
      <c r="AA415" s="529"/>
      <c r="AB415" s="529"/>
      <c r="AC415" s="529"/>
      <c r="AD415" s="529"/>
      <c r="AE415" s="529"/>
      <c r="AF415" s="529"/>
      <c r="AG415" s="529"/>
      <c r="AH415" s="529"/>
      <c r="AI415" s="529"/>
      <c r="AJ415" s="529"/>
      <c r="AK415" s="529"/>
      <c r="AL415" s="529"/>
      <c r="AM415" s="529"/>
      <c r="AN415" s="529"/>
      <c r="AO415" s="529"/>
    </row>
    <row r="416">
      <c r="G416" s="529"/>
      <c r="H416" s="529"/>
      <c r="I416" s="529"/>
      <c r="J416" s="529"/>
      <c r="K416" s="529"/>
      <c r="L416" s="529"/>
      <c r="M416" s="529"/>
      <c r="N416" s="529"/>
      <c r="O416" s="529"/>
      <c r="P416" s="529"/>
      <c r="Q416" s="529"/>
      <c r="R416" s="529"/>
      <c r="S416" s="529"/>
      <c r="T416" s="529"/>
      <c r="U416" s="529"/>
      <c r="V416" s="529"/>
      <c r="W416" s="529"/>
      <c r="X416" s="529"/>
      <c r="Y416" s="529"/>
      <c r="Z416" s="529"/>
      <c r="AA416" s="529"/>
      <c r="AB416" s="529"/>
      <c r="AC416" s="529"/>
      <c r="AD416" s="529"/>
      <c r="AE416" s="529"/>
      <c r="AF416" s="529"/>
      <c r="AG416" s="529"/>
      <c r="AH416" s="529"/>
      <c r="AI416" s="529"/>
      <c r="AJ416" s="529"/>
      <c r="AK416" s="529"/>
      <c r="AL416" s="529"/>
      <c r="AM416" s="529"/>
      <c r="AN416" s="529"/>
      <c r="AO416" s="529"/>
    </row>
    <row r="417">
      <c r="G417" s="529"/>
      <c r="H417" s="529"/>
      <c r="I417" s="529"/>
      <c r="J417" s="529"/>
      <c r="K417" s="529"/>
      <c r="L417" s="529"/>
      <c r="M417" s="529"/>
      <c r="N417" s="529"/>
      <c r="O417" s="529"/>
      <c r="P417" s="529"/>
      <c r="Q417" s="529"/>
      <c r="R417" s="529"/>
      <c r="S417" s="529"/>
      <c r="T417" s="529"/>
      <c r="U417" s="529"/>
      <c r="V417" s="529"/>
      <c r="W417" s="529"/>
      <c r="X417" s="529"/>
      <c r="Y417" s="529"/>
      <c r="Z417" s="529"/>
      <c r="AA417" s="529"/>
      <c r="AB417" s="529"/>
      <c r="AC417" s="529"/>
      <c r="AD417" s="529"/>
      <c r="AE417" s="529"/>
      <c r="AF417" s="529"/>
      <c r="AG417" s="529"/>
      <c r="AH417" s="529"/>
      <c r="AI417" s="529"/>
      <c r="AJ417" s="529"/>
      <c r="AK417" s="529"/>
      <c r="AL417" s="529"/>
      <c r="AM417" s="529"/>
      <c r="AN417" s="529"/>
      <c r="AO417" s="529"/>
    </row>
    <row r="418">
      <c r="G418" s="529"/>
      <c r="H418" s="529"/>
      <c r="I418" s="529"/>
      <c r="J418" s="529"/>
      <c r="K418" s="529"/>
      <c r="L418" s="529"/>
      <c r="M418" s="529"/>
      <c r="N418" s="529"/>
      <c r="O418" s="529"/>
      <c r="P418" s="529"/>
      <c r="Q418" s="529"/>
      <c r="R418" s="529"/>
      <c r="S418" s="529"/>
      <c r="T418" s="529"/>
      <c r="U418" s="529"/>
      <c r="V418" s="529"/>
      <c r="W418" s="529"/>
      <c r="X418" s="529"/>
      <c r="Y418" s="529"/>
      <c r="Z418" s="529"/>
      <c r="AA418" s="529"/>
      <c r="AB418" s="529"/>
      <c r="AC418" s="529"/>
      <c r="AD418" s="529"/>
      <c r="AE418" s="529"/>
      <c r="AF418" s="529"/>
      <c r="AG418" s="529"/>
      <c r="AH418" s="529"/>
      <c r="AI418" s="529"/>
      <c r="AJ418" s="529"/>
      <c r="AK418" s="529"/>
      <c r="AL418" s="529"/>
      <c r="AM418" s="529"/>
      <c r="AN418" s="529"/>
      <c r="AO418" s="529"/>
    </row>
    <row r="419">
      <c r="G419" s="529"/>
      <c r="H419" s="529"/>
      <c r="I419" s="529"/>
      <c r="J419" s="529"/>
      <c r="K419" s="529"/>
      <c r="L419" s="529"/>
      <c r="M419" s="529"/>
      <c r="N419" s="529"/>
      <c r="O419" s="529"/>
      <c r="P419" s="529"/>
      <c r="Q419" s="529"/>
      <c r="R419" s="529"/>
      <c r="S419" s="529"/>
      <c r="T419" s="529"/>
      <c r="U419" s="529"/>
      <c r="V419" s="529"/>
      <c r="W419" s="529"/>
      <c r="X419" s="529"/>
      <c r="Y419" s="529"/>
      <c r="Z419" s="529"/>
      <c r="AA419" s="529"/>
      <c r="AB419" s="529"/>
      <c r="AC419" s="529"/>
      <c r="AD419" s="529"/>
      <c r="AE419" s="529"/>
      <c r="AF419" s="529"/>
      <c r="AG419" s="529"/>
      <c r="AH419" s="529"/>
      <c r="AI419" s="529"/>
      <c r="AJ419" s="529"/>
      <c r="AK419" s="529"/>
      <c r="AL419" s="529"/>
      <c r="AM419" s="529"/>
      <c r="AN419" s="529"/>
      <c r="AO419" s="529"/>
    </row>
    <row r="420">
      <c r="G420" s="529"/>
      <c r="H420" s="529"/>
      <c r="I420" s="529"/>
      <c r="J420" s="529"/>
      <c r="K420" s="529"/>
      <c r="L420" s="529"/>
      <c r="M420" s="529"/>
      <c r="N420" s="529"/>
      <c r="O420" s="529"/>
      <c r="P420" s="529"/>
      <c r="Q420" s="529"/>
      <c r="R420" s="529"/>
      <c r="S420" s="529"/>
      <c r="T420" s="529"/>
      <c r="U420" s="529"/>
      <c r="V420" s="529"/>
      <c r="W420" s="529"/>
      <c r="X420" s="529"/>
      <c r="Y420" s="529"/>
      <c r="Z420" s="529"/>
      <c r="AA420" s="529"/>
      <c r="AB420" s="529"/>
      <c r="AC420" s="529"/>
      <c r="AD420" s="529"/>
      <c r="AE420" s="529"/>
      <c r="AF420" s="529"/>
      <c r="AG420" s="529"/>
      <c r="AH420" s="529"/>
      <c r="AI420" s="529"/>
      <c r="AJ420" s="529"/>
      <c r="AK420" s="529"/>
      <c r="AL420" s="529"/>
      <c r="AM420" s="529"/>
      <c r="AN420" s="529"/>
      <c r="AO420" s="529"/>
    </row>
    <row r="421">
      <c r="G421" s="529"/>
      <c r="H421" s="529"/>
      <c r="I421" s="529"/>
      <c r="J421" s="529"/>
      <c r="K421" s="529"/>
      <c r="L421" s="529"/>
      <c r="M421" s="529"/>
      <c r="N421" s="529"/>
      <c r="O421" s="529"/>
      <c r="P421" s="529"/>
      <c r="Q421" s="529"/>
      <c r="R421" s="529"/>
      <c r="S421" s="529"/>
      <c r="T421" s="529"/>
      <c r="U421" s="529"/>
      <c r="V421" s="529"/>
      <c r="W421" s="529"/>
      <c r="X421" s="529"/>
      <c r="Y421" s="529"/>
      <c r="Z421" s="529"/>
      <c r="AA421" s="529"/>
      <c r="AB421" s="529"/>
      <c r="AC421" s="529"/>
      <c r="AD421" s="529"/>
      <c r="AE421" s="529"/>
      <c r="AF421" s="529"/>
      <c r="AG421" s="529"/>
      <c r="AH421" s="529"/>
      <c r="AI421" s="529"/>
      <c r="AJ421" s="529"/>
      <c r="AK421" s="529"/>
      <c r="AL421" s="529"/>
      <c r="AM421" s="529"/>
      <c r="AN421" s="529"/>
      <c r="AO421" s="529"/>
    </row>
    <row r="422">
      <c r="G422" s="529"/>
      <c r="H422" s="529"/>
      <c r="I422" s="529"/>
      <c r="J422" s="529"/>
      <c r="K422" s="529"/>
      <c r="L422" s="529"/>
      <c r="M422" s="529"/>
      <c r="N422" s="529"/>
      <c r="O422" s="529"/>
      <c r="P422" s="529"/>
      <c r="Q422" s="529"/>
      <c r="R422" s="529"/>
      <c r="S422" s="529"/>
      <c r="T422" s="529"/>
      <c r="U422" s="529"/>
      <c r="V422" s="529"/>
      <c r="W422" s="529"/>
      <c r="X422" s="529"/>
      <c r="Y422" s="529"/>
      <c r="Z422" s="529"/>
      <c r="AA422" s="529"/>
      <c r="AB422" s="529"/>
      <c r="AC422" s="529"/>
      <c r="AD422" s="529"/>
      <c r="AE422" s="529"/>
      <c r="AF422" s="529"/>
      <c r="AG422" s="529"/>
      <c r="AH422" s="529"/>
      <c r="AI422" s="529"/>
      <c r="AJ422" s="529"/>
      <c r="AK422" s="529"/>
      <c r="AL422" s="529"/>
      <c r="AM422" s="529"/>
      <c r="AN422" s="529"/>
      <c r="AO422" s="529"/>
    </row>
    <row r="423">
      <c r="G423" s="529"/>
      <c r="H423" s="529"/>
      <c r="I423" s="529"/>
      <c r="J423" s="529"/>
      <c r="K423" s="529"/>
      <c r="L423" s="529"/>
      <c r="M423" s="529"/>
      <c r="N423" s="529"/>
      <c r="O423" s="529"/>
      <c r="P423" s="529"/>
      <c r="Q423" s="529"/>
      <c r="R423" s="529"/>
      <c r="S423" s="529"/>
      <c r="T423" s="529"/>
      <c r="U423" s="529"/>
      <c r="V423" s="529"/>
      <c r="W423" s="529"/>
      <c r="X423" s="529"/>
      <c r="Y423" s="529"/>
      <c r="Z423" s="529"/>
      <c r="AA423" s="529"/>
      <c r="AB423" s="529"/>
      <c r="AC423" s="529"/>
      <c r="AD423" s="529"/>
      <c r="AE423" s="529"/>
      <c r="AF423" s="529"/>
      <c r="AG423" s="529"/>
      <c r="AH423" s="529"/>
      <c r="AI423" s="529"/>
      <c r="AJ423" s="529"/>
      <c r="AK423" s="529"/>
      <c r="AL423" s="529"/>
      <c r="AM423" s="529"/>
      <c r="AN423" s="529"/>
      <c r="AO423" s="529"/>
    </row>
    <row r="424">
      <c r="G424" s="529"/>
      <c r="H424" s="529"/>
      <c r="I424" s="529"/>
      <c r="J424" s="529"/>
      <c r="K424" s="529"/>
      <c r="L424" s="529"/>
      <c r="M424" s="529"/>
      <c r="N424" s="529"/>
      <c r="O424" s="529"/>
      <c r="P424" s="529"/>
      <c r="Q424" s="529"/>
      <c r="R424" s="529"/>
      <c r="S424" s="529"/>
      <c r="T424" s="529"/>
      <c r="U424" s="529"/>
      <c r="V424" s="529"/>
      <c r="W424" s="529"/>
      <c r="X424" s="529"/>
      <c r="Y424" s="529"/>
      <c r="Z424" s="529"/>
      <c r="AA424" s="529"/>
      <c r="AB424" s="529"/>
      <c r="AC424" s="529"/>
      <c r="AD424" s="529"/>
      <c r="AE424" s="529"/>
      <c r="AF424" s="529"/>
      <c r="AG424" s="529"/>
      <c r="AH424" s="529"/>
      <c r="AI424" s="529"/>
      <c r="AJ424" s="529"/>
      <c r="AK424" s="529"/>
      <c r="AL424" s="529"/>
      <c r="AM424" s="529"/>
      <c r="AN424" s="529"/>
      <c r="AO424" s="529"/>
    </row>
    <row r="425">
      <c r="G425" s="529"/>
      <c r="H425" s="529"/>
      <c r="I425" s="529"/>
      <c r="J425" s="529"/>
      <c r="K425" s="529"/>
      <c r="L425" s="529"/>
      <c r="M425" s="529"/>
      <c r="N425" s="529"/>
      <c r="O425" s="529"/>
      <c r="P425" s="529"/>
      <c r="Q425" s="529"/>
      <c r="R425" s="529"/>
      <c r="S425" s="529"/>
      <c r="T425" s="529"/>
      <c r="U425" s="529"/>
      <c r="V425" s="529"/>
      <c r="W425" s="529"/>
      <c r="X425" s="529"/>
      <c r="Y425" s="529"/>
      <c r="Z425" s="529"/>
      <c r="AA425" s="529"/>
      <c r="AB425" s="529"/>
      <c r="AC425" s="529"/>
      <c r="AD425" s="529"/>
      <c r="AE425" s="529"/>
      <c r="AF425" s="529"/>
      <c r="AG425" s="529"/>
      <c r="AH425" s="529"/>
      <c r="AI425" s="529"/>
      <c r="AJ425" s="529"/>
      <c r="AK425" s="529"/>
      <c r="AL425" s="529"/>
      <c r="AM425" s="529"/>
      <c r="AN425" s="529"/>
      <c r="AO425" s="529"/>
    </row>
    <row r="426">
      <c r="G426" s="529"/>
      <c r="H426" s="529"/>
      <c r="I426" s="529"/>
      <c r="J426" s="529"/>
      <c r="K426" s="529"/>
      <c r="L426" s="529"/>
      <c r="M426" s="529"/>
      <c r="N426" s="529"/>
      <c r="O426" s="529"/>
      <c r="P426" s="529"/>
      <c r="Q426" s="529"/>
      <c r="R426" s="529"/>
      <c r="S426" s="529"/>
      <c r="T426" s="529"/>
      <c r="U426" s="529"/>
      <c r="V426" s="529"/>
      <c r="W426" s="529"/>
      <c r="X426" s="529"/>
      <c r="Y426" s="529"/>
      <c r="Z426" s="529"/>
      <c r="AA426" s="529"/>
      <c r="AB426" s="529"/>
      <c r="AC426" s="529"/>
      <c r="AD426" s="529"/>
      <c r="AE426" s="529"/>
      <c r="AF426" s="529"/>
      <c r="AG426" s="529"/>
      <c r="AH426" s="529"/>
      <c r="AI426" s="529"/>
      <c r="AJ426" s="529"/>
      <c r="AK426" s="529"/>
      <c r="AL426" s="529"/>
      <c r="AM426" s="529"/>
      <c r="AN426" s="529"/>
      <c r="AO426" s="529"/>
    </row>
    <row r="427">
      <c r="G427" s="529"/>
      <c r="H427" s="529"/>
      <c r="I427" s="529"/>
      <c r="J427" s="529"/>
      <c r="K427" s="529"/>
      <c r="L427" s="529"/>
      <c r="M427" s="529"/>
      <c r="N427" s="529"/>
      <c r="O427" s="529"/>
      <c r="P427" s="529"/>
      <c r="Q427" s="529"/>
      <c r="R427" s="529"/>
      <c r="S427" s="529"/>
      <c r="T427" s="529"/>
      <c r="U427" s="529"/>
      <c r="V427" s="529"/>
      <c r="W427" s="529"/>
      <c r="X427" s="529"/>
      <c r="Y427" s="529"/>
      <c r="Z427" s="529"/>
      <c r="AA427" s="529"/>
      <c r="AB427" s="529"/>
      <c r="AC427" s="529"/>
      <c r="AD427" s="529"/>
      <c r="AE427" s="529"/>
      <c r="AF427" s="529"/>
      <c r="AG427" s="529"/>
      <c r="AH427" s="529"/>
      <c r="AI427" s="529"/>
      <c r="AJ427" s="529"/>
      <c r="AK427" s="529"/>
      <c r="AL427" s="529"/>
      <c r="AM427" s="529"/>
      <c r="AN427" s="529"/>
      <c r="AO427" s="529"/>
    </row>
    <row r="428">
      <c r="G428" s="529"/>
      <c r="H428" s="529"/>
      <c r="I428" s="529"/>
      <c r="J428" s="529"/>
      <c r="K428" s="529"/>
      <c r="L428" s="529"/>
      <c r="M428" s="529"/>
      <c r="N428" s="529"/>
      <c r="O428" s="529"/>
      <c r="P428" s="529"/>
      <c r="Q428" s="529"/>
      <c r="R428" s="529"/>
      <c r="S428" s="529"/>
      <c r="T428" s="529"/>
      <c r="U428" s="529"/>
      <c r="V428" s="529"/>
      <c r="W428" s="529"/>
      <c r="X428" s="529"/>
      <c r="Y428" s="529"/>
      <c r="Z428" s="529"/>
      <c r="AA428" s="529"/>
      <c r="AB428" s="529"/>
      <c r="AC428" s="529"/>
      <c r="AD428" s="529"/>
      <c r="AE428" s="529"/>
      <c r="AF428" s="529"/>
      <c r="AG428" s="529"/>
      <c r="AH428" s="529"/>
      <c r="AI428" s="529"/>
      <c r="AJ428" s="529"/>
      <c r="AK428" s="529"/>
      <c r="AL428" s="529"/>
      <c r="AM428" s="529"/>
      <c r="AN428" s="529"/>
      <c r="AO428" s="529"/>
    </row>
    <row r="429">
      <c r="G429" s="529"/>
      <c r="H429" s="529"/>
      <c r="I429" s="529"/>
      <c r="J429" s="529"/>
      <c r="K429" s="529"/>
      <c r="L429" s="529"/>
      <c r="M429" s="529"/>
      <c r="N429" s="529"/>
      <c r="O429" s="529"/>
      <c r="P429" s="529"/>
      <c r="Q429" s="529"/>
      <c r="R429" s="529"/>
      <c r="S429" s="529"/>
      <c r="T429" s="529"/>
      <c r="U429" s="529"/>
      <c r="V429" s="529"/>
      <c r="W429" s="529"/>
      <c r="X429" s="529"/>
      <c r="Y429" s="529"/>
      <c r="Z429" s="529"/>
      <c r="AA429" s="529"/>
      <c r="AB429" s="529"/>
      <c r="AC429" s="529"/>
      <c r="AD429" s="529"/>
      <c r="AE429" s="529"/>
      <c r="AF429" s="529"/>
      <c r="AG429" s="529"/>
      <c r="AH429" s="529"/>
      <c r="AI429" s="529"/>
      <c r="AJ429" s="529"/>
      <c r="AK429" s="529"/>
      <c r="AL429" s="529"/>
      <c r="AM429" s="529"/>
      <c r="AN429" s="529"/>
      <c r="AO429" s="529"/>
    </row>
    <row r="430">
      <c r="G430" s="529"/>
      <c r="H430" s="529"/>
      <c r="I430" s="529"/>
      <c r="J430" s="529"/>
      <c r="K430" s="529"/>
      <c r="L430" s="529"/>
      <c r="M430" s="529"/>
      <c r="N430" s="529"/>
      <c r="O430" s="529"/>
      <c r="P430" s="529"/>
      <c r="Q430" s="529"/>
      <c r="R430" s="529"/>
      <c r="S430" s="529"/>
      <c r="T430" s="529"/>
      <c r="U430" s="529"/>
      <c r="V430" s="529"/>
      <c r="W430" s="529"/>
      <c r="X430" s="529"/>
      <c r="Y430" s="529"/>
      <c r="Z430" s="529"/>
      <c r="AA430" s="529"/>
      <c r="AB430" s="529"/>
      <c r="AC430" s="529"/>
      <c r="AD430" s="529"/>
      <c r="AE430" s="529"/>
      <c r="AF430" s="529"/>
      <c r="AG430" s="529"/>
      <c r="AH430" s="529"/>
      <c r="AI430" s="529"/>
      <c r="AJ430" s="529"/>
      <c r="AK430" s="529"/>
      <c r="AL430" s="529"/>
      <c r="AM430" s="529"/>
      <c r="AN430" s="529"/>
      <c r="AO430" s="529"/>
    </row>
    <row r="431">
      <c r="G431" s="529"/>
      <c r="H431" s="529"/>
      <c r="I431" s="529"/>
      <c r="J431" s="529"/>
      <c r="K431" s="529"/>
      <c r="L431" s="529"/>
      <c r="M431" s="529"/>
      <c r="N431" s="529"/>
      <c r="O431" s="529"/>
      <c r="P431" s="529"/>
      <c r="Q431" s="529"/>
      <c r="R431" s="529"/>
      <c r="S431" s="529"/>
      <c r="T431" s="529"/>
      <c r="U431" s="529"/>
      <c r="V431" s="529"/>
      <c r="W431" s="529"/>
      <c r="X431" s="529"/>
      <c r="Y431" s="529"/>
      <c r="Z431" s="529"/>
      <c r="AA431" s="529"/>
      <c r="AB431" s="529"/>
      <c r="AC431" s="529"/>
      <c r="AD431" s="529"/>
      <c r="AE431" s="529"/>
      <c r="AF431" s="529"/>
      <c r="AG431" s="529"/>
      <c r="AH431" s="529"/>
      <c r="AI431" s="529"/>
      <c r="AJ431" s="529"/>
      <c r="AK431" s="529"/>
      <c r="AL431" s="529"/>
      <c r="AM431" s="529"/>
      <c r="AN431" s="529"/>
      <c r="AO431" s="529"/>
    </row>
    <row r="432">
      <c r="G432" s="529"/>
      <c r="H432" s="529"/>
      <c r="I432" s="529"/>
      <c r="J432" s="529"/>
      <c r="K432" s="529"/>
      <c r="L432" s="529"/>
      <c r="M432" s="529"/>
      <c r="N432" s="529"/>
      <c r="O432" s="529"/>
      <c r="P432" s="529"/>
      <c r="Q432" s="529"/>
      <c r="R432" s="529"/>
      <c r="S432" s="529"/>
      <c r="T432" s="529"/>
      <c r="U432" s="529"/>
      <c r="V432" s="529"/>
      <c r="W432" s="529"/>
      <c r="X432" s="529"/>
      <c r="Y432" s="529"/>
      <c r="Z432" s="529"/>
      <c r="AA432" s="529"/>
      <c r="AB432" s="529"/>
      <c r="AC432" s="529"/>
      <c r="AD432" s="529"/>
      <c r="AE432" s="529"/>
      <c r="AF432" s="529"/>
      <c r="AG432" s="529"/>
      <c r="AH432" s="529"/>
      <c r="AI432" s="529"/>
      <c r="AJ432" s="529"/>
      <c r="AK432" s="529"/>
      <c r="AL432" s="529"/>
      <c r="AM432" s="529"/>
      <c r="AN432" s="529"/>
      <c r="AO432" s="529"/>
    </row>
    <row r="433">
      <c r="G433" s="529"/>
      <c r="H433" s="529"/>
      <c r="I433" s="529"/>
      <c r="J433" s="529"/>
      <c r="K433" s="529"/>
      <c r="L433" s="529"/>
      <c r="M433" s="529"/>
      <c r="N433" s="529"/>
      <c r="O433" s="529"/>
      <c r="P433" s="529"/>
      <c r="Q433" s="529"/>
      <c r="R433" s="529"/>
      <c r="S433" s="529"/>
      <c r="T433" s="529"/>
      <c r="U433" s="529"/>
      <c r="V433" s="529"/>
      <c r="W433" s="529"/>
      <c r="X433" s="529"/>
      <c r="Y433" s="529"/>
      <c r="Z433" s="529"/>
      <c r="AA433" s="529"/>
      <c r="AB433" s="529"/>
      <c r="AC433" s="529"/>
      <c r="AD433" s="529"/>
      <c r="AE433" s="529"/>
      <c r="AF433" s="529"/>
      <c r="AG433" s="529"/>
      <c r="AH433" s="529"/>
      <c r="AI433" s="529"/>
      <c r="AJ433" s="529"/>
      <c r="AK433" s="529"/>
      <c r="AL433" s="529"/>
      <c r="AM433" s="529"/>
      <c r="AN433" s="529"/>
      <c r="AO433" s="529"/>
    </row>
    <row r="434">
      <c r="G434" s="529"/>
      <c r="H434" s="529"/>
      <c r="I434" s="529"/>
      <c r="J434" s="529"/>
      <c r="K434" s="529"/>
      <c r="L434" s="529"/>
      <c r="M434" s="529"/>
      <c r="N434" s="529"/>
      <c r="O434" s="529"/>
      <c r="P434" s="529"/>
      <c r="Q434" s="529"/>
      <c r="R434" s="529"/>
      <c r="S434" s="529"/>
      <c r="T434" s="529"/>
      <c r="U434" s="529"/>
      <c r="V434" s="529"/>
      <c r="W434" s="529"/>
      <c r="X434" s="529"/>
      <c r="Y434" s="529"/>
      <c r="Z434" s="529"/>
      <c r="AA434" s="529"/>
      <c r="AB434" s="529"/>
      <c r="AC434" s="529"/>
      <c r="AD434" s="529"/>
      <c r="AE434" s="529"/>
      <c r="AF434" s="529"/>
      <c r="AG434" s="529"/>
      <c r="AH434" s="529"/>
      <c r="AI434" s="529"/>
      <c r="AJ434" s="529"/>
      <c r="AK434" s="529"/>
      <c r="AL434" s="529"/>
      <c r="AM434" s="529"/>
      <c r="AN434" s="529"/>
      <c r="AO434" s="529"/>
    </row>
    <row r="435">
      <c r="G435" s="529"/>
      <c r="H435" s="529"/>
      <c r="I435" s="529"/>
      <c r="J435" s="529"/>
      <c r="K435" s="529"/>
      <c r="L435" s="529"/>
      <c r="M435" s="529"/>
      <c r="N435" s="529"/>
      <c r="O435" s="529"/>
      <c r="P435" s="529"/>
      <c r="Q435" s="529"/>
      <c r="R435" s="529"/>
      <c r="S435" s="529"/>
      <c r="T435" s="529"/>
      <c r="U435" s="529"/>
      <c r="V435" s="529"/>
      <c r="W435" s="529"/>
      <c r="X435" s="529"/>
      <c r="Y435" s="529"/>
      <c r="Z435" s="529"/>
      <c r="AA435" s="529"/>
      <c r="AB435" s="529"/>
      <c r="AC435" s="529"/>
      <c r="AD435" s="529"/>
      <c r="AE435" s="529"/>
      <c r="AF435" s="529"/>
      <c r="AG435" s="529"/>
      <c r="AH435" s="529"/>
      <c r="AI435" s="529"/>
      <c r="AJ435" s="529"/>
      <c r="AK435" s="529"/>
      <c r="AL435" s="529"/>
      <c r="AM435" s="529"/>
      <c r="AN435" s="529"/>
      <c r="AO435" s="529"/>
    </row>
    <row r="436">
      <c r="G436" s="529"/>
      <c r="H436" s="529"/>
      <c r="I436" s="529"/>
      <c r="J436" s="529"/>
      <c r="K436" s="529"/>
      <c r="L436" s="529"/>
      <c r="M436" s="529"/>
      <c r="N436" s="529"/>
      <c r="O436" s="529"/>
      <c r="P436" s="529"/>
      <c r="Q436" s="529"/>
      <c r="R436" s="529"/>
      <c r="S436" s="529"/>
      <c r="T436" s="529"/>
      <c r="U436" s="529"/>
      <c r="V436" s="529"/>
      <c r="W436" s="529"/>
      <c r="X436" s="529"/>
      <c r="Y436" s="529"/>
      <c r="Z436" s="529"/>
      <c r="AA436" s="529"/>
      <c r="AB436" s="529"/>
      <c r="AC436" s="529"/>
      <c r="AD436" s="529"/>
      <c r="AE436" s="529"/>
      <c r="AF436" s="529"/>
      <c r="AG436" s="529"/>
      <c r="AH436" s="529"/>
      <c r="AI436" s="529"/>
      <c r="AJ436" s="529"/>
      <c r="AK436" s="529"/>
      <c r="AL436" s="529"/>
      <c r="AM436" s="529"/>
      <c r="AN436" s="529"/>
      <c r="AO436" s="529"/>
    </row>
    <row r="437">
      <c r="G437" s="529"/>
      <c r="H437" s="529"/>
      <c r="I437" s="529"/>
      <c r="J437" s="529"/>
      <c r="K437" s="529"/>
      <c r="L437" s="529"/>
      <c r="M437" s="529"/>
      <c r="N437" s="529"/>
      <c r="O437" s="529"/>
      <c r="P437" s="529"/>
      <c r="Q437" s="529"/>
      <c r="R437" s="529"/>
      <c r="S437" s="529"/>
      <c r="T437" s="529"/>
      <c r="U437" s="529"/>
      <c r="V437" s="529"/>
      <c r="W437" s="529"/>
      <c r="X437" s="529"/>
      <c r="Y437" s="529"/>
      <c r="Z437" s="529"/>
      <c r="AA437" s="529"/>
      <c r="AB437" s="529"/>
      <c r="AC437" s="529"/>
      <c r="AD437" s="529"/>
      <c r="AE437" s="529"/>
      <c r="AF437" s="529"/>
      <c r="AG437" s="529"/>
      <c r="AH437" s="529"/>
      <c r="AI437" s="529"/>
      <c r="AJ437" s="529"/>
      <c r="AK437" s="529"/>
      <c r="AL437" s="529"/>
      <c r="AM437" s="529"/>
      <c r="AN437" s="529"/>
      <c r="AO437" s="529"/>
    </row>
    <row r="438">
      <c r="G438" s="529"/>
      <c r="H438" s="529"/>
      <c r="I438" s="529"/>
      <c r="J438" s="529"/>
      <c r="K438" s="529"/>
      <c r="L438" s="529"/>
      <c r="M438" s="529"/>
      <c r="N438" s="529"/>
      <c r="O438" s="529"/>
      <c r="P438" s="529"/>
      <c r="Q438" s="529"/>
      <c r="R438" s="529"/>
      <c r="S438" s="529"/>
      <c r="T438" s="529"/>
      <c r="U438" s="529"/>
      <c r="V438" s="529"/>
      <c r="W438" s="529"/>
      <c r="X438" s="529"/>
      <c r="Y438" s="529"/>
      <c r="Z438" s="529"/>
      <c r="AA438" s="529"/>
      <c r="AB438" s="529"/>
      <c r="AC438" s="529"/>
      <c r="AD438" s="529"/>
      <c r="AE438" s="529"/>
      <c r="AF438" s="529"/>
      <c r="AG438" s="529"/>
      <c r="AH438" s="529"/>
      <c r="AI438" s="529"/>
      <c r="AJ438" s="529"/>
      <c r="AK438" s="529"/>
      <c r="AL438" s="529"/>
      <c r="AM438" s="529"/>
      <c r="AN438" s="529"/>
      <c r="AO438" s="529"/>
    </row>
    <row r="439">
      <c r="G439" s="529"/>
      <c r="H439" s="529"/>
      <c r="I439" s="529"/>
      <c r="J439" s="529"/>
      <c r="K439" s="529"/>
      <c r="L439" s="529"/>
      <c r="M439" s="529"/>
      <c r="N439" s="529"/>
      <c r="O439" s="529"/>
      <c r="P439" s="529"/>
      <c r="Q439" s="529"/>
      <c r="R439" s="529"/>
      <c r="S439" s="529"/>
      <c r="T439" s="529"/>
      <c r="U439" s="529"/>
      <c r="V439" s="529"/>
      <c r="W439" s="529"/>
      <c r="X439" s="529"/>
      <c r="Y439" s="529"/>
      <c r="Z439" s="529"/>
      <c r="AA439" s="529"/>
      <c r="AB439" s="529"/>
      <c r="AC439" s="529"/>
      <c r="AD439" s="529"/>
      <c r="AE439" s="529"/>
      <c r="AF439" s="529"/>
      <c r="AG439" s="529"/>
      <c r="AH439" s="529"/>
      <c r="AI439" s="529"/>
      <c r="AJ439" s="529"/>
      <c r="AK439" s="529"/>
      <c r="AL439" s="529"/>
      <c r="AM439" s="529"/>
      <c r="AN439" s="529"/>
      <c r="AO439" s="529"/>
    </row>
    <row r="440">
      <c r="G440" s="529"/>
      <c r="H440" s="529"/>
      <c r="I440" s="529"/>
      <c r="J440" s="529"/>
      <c r="K440" s="529"/>
      <c r="L440" s="529"/>
      <c r="M440" s="529"/>
      <c r="N440" s="529"/>
      <c r="O440" s="529"/>
      <c r="P440" s="529"/>
      <c r="Q440" s="529"/>
      <c r="R440" s="529"/>
      <c r="S440" s="529"/>
      <c r="T440" s="529"/>
      <c r="U440" s="529"/>
      <c r="V440" s="529"/>
      <c r="W440" s="529"/>
      <c r="X440" s="529"/>
      <c r="Y440" s="529"/>
      <c r="Z440" s="529"/>
      <c r="AA440" s="529"/>
      <c r="AB440" s="529"/>
      <c r="AC440" s="529"/>
      <c r="AD440" s="529"/>
      <c r="AE440" s="529"/>
      <c r="AF440" s="529"/>
      <c r="AG440" s="529"/>
      <c r="AH440" s="529"/>
      <c r="AI440" s="529"/>
      <c r="AJ440" s="529"/>
      <c r="AK440" s="529"/>
      <c r="AL440" s="529"/>
      <c r="AM440" s="529"/>
      <c r="AN440" s="529"/>
      <c r="AO440" s="529"/>
    </row>
    <row r="441">
      <c r="G441" s="529"/>
      <c r="H441" s="529"/>
      <c r="I441" s="529"/>
      <c r="J441" s="529"/>
      <c r="K441" s="529"/>
      <c r="L441" s="529"/>
      <c r="M441" s="529"/>
      <c r="N441" s="529"/>
      <c r="O441" s="529"/>
      <c r="P441" s="529"/>
      <c r="Q441" s="529"/>
      <c r="R441" s="529"/>
      <c r="S441" s="529"/>
      <c r="T441" s="529"/>
      <c r="U441" s="529"/>
      <c r="V441" s="529"/>
      <c r="W441" s="529"/>
      <c r="X441" s="529"/>
      <c r="Y441" s="529"/>
      <c r="Z441" s="529"/>
      <c r="AA441" s="529"/>
      <c r="AB441" s="529"/>
      <c r="AC441" s="529"/>
      <c r="AD441" s="529"/>
      <c r="AE441" s="529"/>
      <c r="AF441" s="529"/>
      <c r="AG441" s="529"/>
      <c r="AH441" s="529"/>
      <c r="AI441" s="529"/>
      <c r="AJ441" s="529"/>
      <c r="AK441" s="529"/>
      <c r="AL441" s="529"/>
      <c r="AM441" s="529"/>
      <c r="AN441" s="529"/>
      <c r="AO441" s="529"/>
    </row>
    <row r="442">
      <c r="G442" s="529"/>
      <c r="H442" s="529"/>
      <c r="I442" s="529"/>
      <c r="J442" s="529"/>
      <c r="K442" s="529"/>
      <c r="L442" s="529"/>
      <c r="M442" s="529"/>
      <c r="N442" s="529"/>
      <c r="O442" s="529"/>
      <c r="P442" s="529"/>
      <c r="Q442" s="529"/>
      <c r="R442" s="529"/>
      <c r="S442" s="529"/>
      <c r="T442" s="529"/>
      <c r="U442" s="529"/>
      <c r="V442" s="529"/>
      <c r="W442" s="529"/>
      <c r="X442" s="529"/>
      <c r="Y442" s="529"/>
      <c r="Z442" s="529"/>
      <c r="AA442" s="529"/>
      <c r="AB442" s="529"/>
      <c r="AC442" s="529"/>
      <c r="AD442" s="529"/>
      <c r="AE442" s="529"/>
      <c r="AF442" s="529"/>
      <c r="AG442" s="529"/>
      <c r="AH442" s="529"/>
      <c r="AI442" s="529"/>
      <c r="AJ442" s="529"/>
      <c r="AK442" s="529"/>
      <c r="AL442" s="529"/>
      <c r="AM442" s="529"/>
      <c r="AN442" s="529"/>
      <c r="AO442" s="529"/>
    </row>
    <row r="443">
      <c r="G443" s="529"/>
      <c r="H443" s="529"/>
      <c r="I443" s="529"/>
      <c r="J443" s="529"/>
      <c r="K443" s="529"/>
      <c r="L443" s="529"/>
      <c r="M443" s="529"/>
      <c r="N443" s="529"/>
      <c r="O443" s="529"/>
      <c r="P443" s="529"/>
      <c r="Q443" s="529"/>
      <c r="R443" s="529"/>
      <c r="S443" s="529"/>
      <c r="T443" s="529"/>
      <c r="U443" s="529"/>
      <c r="V443" s="529"/>
      <c r="W443" s="529"/>
      <c r="X443" s="529"/>
      <c r="Y443" s="529"/>
      <c r="Z443" s="529"/>
      <c r="AA443" s="529"/>
      <c r="AB443" s="529"/>
      <c r="AC443" s="529"/>
      <c r="AD443" s="529"/>
      <c r="AE443" s="529"/>
      <c r="AF443" s="529"/>
      <c r="AG443" s="529"/>
      <c r="AH443" s="529"/>
      <c r="AI443" s="529"/>
      <c r="AJ443" s="529"/>
      <c r="AK443" s="529"/>
      <c r="AL443" s="529"/>
      <c r="AM443" s="529"/>
      <c r="AN443" s="529"/>
      <c r="AO443" s="529"/>
    </row>
    <row r="444">
      <c r="G444" s="529"/>
      <c r="H444" s="529"/>
      <c r="I444" s="529"/>
      <c r="J444" s="529"/>
      <c r="K444" s="529"/>
      <c r="L444" s="529"/>
      <c r="M444" s="529"/>
      <c r="N444" s="529"/>
      <c r="O444" s="529"/>
      <c r="P444" s="529"/>
      <c r="Q444" s="529"/>
      <c r="R444" s="529"/>
      <c r="S444" s="529"/>
      <c r="T444" s="529"/>
      <c r="U444" s="529"/>
      <c r="V444" s="529"/>
      <c r="W444" s="529"/>
      <c r="X444" s="529"/>
      <c r="Y444" s="529"/>
      <c r="Z444" s="529"/>
      <c r="AA444" s="529"/>
      <c r="AB444" s="529"/>
      <c r="AC444" s="529"/>
      <c r="AD444" s="529"/>
      <c r="AE444" s="529"/>
      <c r="AF444" s="529"/>
      <c r="AG444" s="529"/>
      <c r="AH444" s="529"/>
      <c r="AI444" s="529"/>
      <c r="AJ444" s="529"/>
      <c r="AK444" s="529"/>
      <c r="AL444" s="529"/>
      <c r="AM444" s="529"/>
      <c r="AN444" s="529"/>
      <c r="AO444" s="529"/>
    </row>
    <row r="445">
      <c r="G445" s="529"/>
      <c r="H445" s="529"/>
      <c r="I445" s="529"/>
      <c r="J445" s="529"/>
      <c r="K445" s="529"/>
      <c r="L445" s="529"/>
      <c r="M445" s="529"/>
      <c r="N445" s="529"/>
      <c r="O445" s="529"/>
      <c r="P445" s="529"/>
      <c r="Q445" s="529"/>
      <c r="R445" s="529"/>
      <c r="S445" s="529"/>
      <c r="T445" s="529"/>
      <c r="U445" s="529"/>
      <c r="V445" s="529"/>
      <c r="W445" s="529"/>
      <c r="X445" s="529"/>
      <c r="Y445" s="529"/>
      <c r="Z445" s="529"/>
      <c r="AA445" s="529"/>
      <c r="AB445" s="529"/>
      <c r="AC445" s="529"/>
      <c r="AD445" s="529"/>
      <c r="AE445" s="529"/>
      <c r="AF445" s="529"/>
      <c r="AG445" s="529"/>
      <c r="AH445" s="529"/>
      <c r="AI445" s="529"/>
      <c r="AJ445" s="529"/>
      <c r="AK445" s="529"/>
      <c r="AL445" s="529"/>
      <c r="AM445" s="529"/>
      <c r="AN445" s="529"/>
      <c r="AO445" s="529"/>
    </row>
    <row r="446">
      <c r="G446" s="529"/>
      <c r="H446" s="529"/>
      <c r="I446" s="529"/>
      <c r="J446" s="529"/>
      <c r="K446" s="529"/>
      <c r="L446" s="529"/>
      <c r="M446" s="529"/>
      <c r="N446" s="529"/>
      <c r="O446" s="529"/>
      <c r="P446" s="529"/>
      <c r="Q446" s="529"/>
      <c r="R446" s="529"/>
      <c r="S446" s="529"/>
      <c r="T446" s="529"/>
      <c r="U446" s="529"/>
      <c r="V446" s="529"/>
      <c r="W446" s="529"/>
      <c r="X446" s="529"/>
      <c r="Y446" s="529"/>
      <c r="Z446" s="529"/>
      <c r="AA446" s="529"/>
      <c r="AB446" s="529"/>
      <c r="AC446" s="529"/>
      <c r="AD446" s="529"/>
      <c r="AE446" s="529"/>
      <c r="AF446" s="529"/>
      <c r="AG446" s="529"/>
      <c r="AH446" s="529"/>
      <c r="AI446" s="529"/>
      <c r="AJ446" s="529"/>
      <c r="AK446" s="529"/>
      <c r="AL446" s="529"/>
      <c r="AM446" s="529"/>
      <c r="AN446" s="529"/>
      <c r="AO446" s="529"/>
    </row>
    <row r="447">
      <c r="G447" s="529"/>
      <c r="H447" s="529"/>
      <c r="I447" s="529"/>
      <c r="J447" s="529"/>
      <c r="K447" s="529"/>
      <c r="L447" s="529"/>
      <c r="M447" s="529"/>
      <c r="N447" s="529"/>
      <c r="O447" s="529"/>
      <c r="P447" s="529"/>
      <c r="Q447" s="529"/>
      <c r="R447" s="529"/>
      <c r="S447" s="529"/>
      <c r="T447" s="529"/>
      <c r="U447" s="529"/>
      <c r="V447" s="529"/>
      <c r="W447" s="529"/>
      <c r="X447" s="529"/>
      <c r="Y447" s="529"/>
      <c r="Z447" s="529"/>
      <c r="AA447" s="529"/>
      <c r="AB447" s="529"/>
      <c r="AC447" s="529"/>
      <c r="AD447" s="529"/>
      <c r="AE447" s="529"/>
      <c r="AF447" s="529"/>
      <c r="AG447" s="529"/>
      <c r="AH447" s="529"/>
      <c r="AI447" s="529"/>
      <c r="AJ447" s="529"/>
      <c r="AK447" s="529"/>
      <c r="AL447" s="529"/>
      <c r="AM447" s="529"/>
      <c r="AN447" s="529"/>
      <c r="AO447" s="529"/>
    </row>
    <row r="448">
      <c r="G448" s="529"/>
      <c r="H448" s="529"/>
      <c r="I448" s="529"/>
      <c r="J448" s="529"/>
      <c r="K448" s="529"/>
      <c r="L448" s="529"/>
      <c r="M448" s="529"/>
      <c r="N448" s="529"/>
      <c r="O448" s="529"/>
      <c r="P448" s="529"/>
      <c r="Q448" s="529"/>
      <c r="R448" s="529"/>
      <c r="S448" s="529"/>
      <c r="T448" s="529"/>
      <c r="U448" s="529"/>
      <c r="V448" s="529"/>
      <c r="W448" s="529"/>
      <c r="X448" s="529"/>
      <c r="Y448" s="529"/>
      <c r="Z448" s="529"/>
      <c r="AA448" s="529"/>
      <c r="AB448" s="529"/>
      <c r="AC448" s="529"/>
      <c r="AD448" s="529"/>
      <c r="AE448" s="529"/>
      <c r="AF448" s="529"/>
      <c r="AG448" s="529"/>
      <c r="AH448" s="529"/>
      <c r="AI448" s="529"/>
      <c r="AJ448" s="529"/>
      <c r="AK448" s="529"/>
      <c r="AL448" s="529"/>
      <c r="AM448" s="529"/>
      <c r="AN448" s="529"/>
      <c r="AO448" s="529"/>
    </row>
    <row r="449">
      <c r="G449" s="529"/>
      <c r="H449" s="529"/>
      <c r="I449" s="529"/>
      <c r="J449" s="529"/>
      <c r="K449" s="529"/>
      <c r="L449" s="529"/>
      <c r="M449" s="529"/>
      <c r="N449" s="529"/>
      <c r="O449" s="529"/>
      <c r="P449" s="529"/>
      <c r="Q449" s="529"/>
      <c r="R449" s="529"/>
      <c r="S449" s="529"/>
      <c r="T449" s="529"/>
      <c r="U449" s="529"/>
      <c r="V449" s="529"/>
      <c r="W449" s="529"/>
      <c r="X449" s="529"/>
      <c r="Y449" s="529"/>
      <c r="Z449" s="529"/>
      <c r="AA449" s="529"/>
      <c r="AB449" s="529"/>
      <c r="AC449" s="529"/>
      <c r="AD449" s="529"/>
      <c r="AE449" s="529"/>
      <c r="AF449" s="529"/>
      <c r="AG449" s="529"/>
      <c r="AH449" s="529"/>
      <c r="AI449" s="529"/>
      <c r="AJ449" s="529"/>
      <c r="AK449" s="529"/>
      <c r="AL449" s="529"/>
      <c r="AM449" s="529"/>
      <c r="AN449" s="529"/>
      <c r="AO449" s="529"/>
    </row>
    <row r="450">
      <c r="G450" s="529"/>
      <c r="H450" s="529"/>
      <c r="I450" s="529"/>
      <c r="J450" s="529"/>
      <c r="K450" s="529"/>
      <c r="L450" s="529"/>
      <c r="M450" s="529"/>
      <c r="N450" s="529"/>
      <c r="O450" s="529"/>
      <c r="P450" s="529"/>
      <c r="Q450" s="529"/>
      <c r="R450" s="529"/>
      <c r="S450" s="529"/>
      <c r="T450" s="529"/>
      <c r="U450" s="529"/>
      <c r="V450" s="529"/>
      <c r="W450" s="529"/>
      <c r="X450" s="529"/>
      <c r="Y450" s="529"/>
      <c r="Z450" s="529"/>
      <c r="AA450" s="529"/>
      <c r="AB450" s="529"/>
      <c r="AC450" s="529"/>
      <c r="AD450" s="529"/>
      <c r="AE450" s="529"/>
      <c r="AF450" s="529"/>
      <c r="AG450" s="529"/>
      <c r="AH450" s="529"/>
      <c r="AI450" s="529"/>
      <c r="AJ450" s="529"/>
      <c r="AK450" s="529"/>
      <c r="AL450" s="529"/>
      <c r="AM450" s="529"/>
      <c r="AN450" s="529"/>
      <c r="AO450" s="529"/>
    </row>
    <row r="451">
      <c r="G451" s="529"/>
      <c r="H451" s="529"/>
      <c r="I451" s="529"/>
      <c r="J451" s="529"/>
      <c r="K451" s="529"/>
      <c r="L451" s="529"/>
      <c r="M451" s="529"/>
      <c r="N451" s="529"/>
      <c r="O451" s="529"/>
      <c r="P451" s="529"/>
      <c r="Q451" s="529"/>
      <c r="R451" s="529"/>
      <c r="S451" s="529"/>
      <c r="T451" s="529"/>
      <c r="U451" s="529"/>
      <c r="V451" s="529"/>
      <c r="W451" s="529"/>
      <c r="X451" s="529"/>
      <c r="Y451" s="529"/>
      <c r="Z451" s="529"/>
      <c r="AA451" s="529"/>
      <c r="AB451" s="529"/>
      <c r="AC451" s="529"/>
      <c r="AD451" s="529"/>
      <c r="AE451" s="529"/>
      <c r="AF451" s="529"/>
      <c r="AG451" s="529"/>
      <c r="AH451" s="529"/>
      <c r="AI451" s="529"/>
      <c r="AJ451" s="529"/>
      <c r="AK451" s="529"/>
      <c r="AL451" s="529"/>
      <c r="AM451" s="529"/>
      <c r="AN451" s="529"/>
      <c r="AO451" s="529"/>
    </row>
    <row r="452">
      <c r="G452" s="529"/>
      <c r="H452" s="529"/>
      <c r="I452" s="529"/>
      <c r="J452" s="529"/>
      <c r="K452" s="529"/>
      <c r="L452" s="529"/>
      <c r="M452" s="529"/>
      <c r="N452" s="529"/>
      <c r="O452" s="529"/>
      <c r="P452" s="529"/>
      <c r="Q452" s="529"/>
      <c r="R452" s="529"/>
      <c r="S452" s="529"/>
      <c r="T452" s="529"/>
      <c r="U452" s="529"/>
      <c r="V452" s="529"/>
      <c r="W452" s="529"/>
      <c r="X452" s="529"/>
      <c r="Y452" s="529"/>
      <c r="Z452" s="529"/>
      <c r="AA452" s="529"/>
      <c r="AB452" s="529"/>
      <c r="AC452" s="529"/>
      <c r="AD452" s="529"/>
      <c r="AE452" s="529"/>
      <c r="AF452" s="529"/>
      <c r="AG452" s="529"/>
      <c r="AH452" s="529"/>
      <c r="AI452" s="529"/>
      <c r="AJ452" s="529"/>
      <c r="AK452" s="529"/>
      <c r="AL452" s="529"/>
      <c r="AM452" s="529"/>
      <c r="AN452" s="529"/>
      <c r="AO452" s="529"/>
    </row>
    <row r="453">
      <c r="G453" s="529"/>
      <c r="H453" s="529"/>
      <c r="I453" s="529"/>
      <c r="J453" s="529"/>
      <c r="K453" s="529"/>
      <c r="L453" s="529"/>
      <c r="M453" s="529"/>
      <c r="N453" s="529"/>
      <c r="O453" s="529"/>
      <c r="P453" s="529"/>
      <c r="Q453" s="529"/>
      <c r="R453" s="529"/>
      <c r="S453" s="529"/>
      <c r="T453" s="529"/>
      <c r="U453" s="529"/>
      <c r="V453" s="529"/>
      <c r="W453" s="529"/>
      <c r="X453" s="529"/>
      <c r="Y453" s="529"/>
      <c r="Z453" s="529"/>
      <c r="AA453" s="529"/>
      <c r="AB453" s="529"/>
      <c r="AC453" s="529"/>
      <c r="AD453" s="529"/>
      <c r="AE453" s="529"/>
      <c r="AF453" s="529"/>
      <c r="AG453" s="529"/>
      <c r="AH453" s="529"/>
      <c r="AI453" s="529"/>
      <c r="AJ453" s="529"/>
      <c r="AK453" s="529"/>
      <c r="AL453" s="529"/>
      <c r="AM453" s="529"/>
      <c r="AN453" s="529"/>
      <c r="AO453" s="529"/>
    </row>
    <row r="454">
      <c r="G454" s="529"/>
      <c r="H454" s="529"/>
      <c r="I454" s="529"/>
      <c r="J454" s="529"/>
      <c r="K454" s="529"/>
      <c r="L454" s="529"/>
      <c r="M454" s="529"/>
      <c r="N454" s="529"/>
      <c r="O454" s="529"/>
      <c r="P454" s="529"/>
      <c r="Q454" s="529"/>
      <c r="R454" s="529"/>
      <c r="S454" s="529"/>
      <c r="T454" s="529"/>
      <c r="U454" s="529"/>
      <c r="V454" s="529"/>
      <c r="W454" s="529"/>
      <c r="X454" s="529"/>
      <c r="Y454" s="529"/>
      <c r="Z454" s="529"/>
      <c r="AA454" s="529"/>
      <c r="AB454" s="529"/>
      <c r="AC454" s="529"/>
      <c r="AD454" s="529"/>
      <c r="AE454" s="529"/>
      <c r="AF454" s="529"/>
      <c r="AG454" s="529"/>
      <c r="AH454" s="529"/>
      <c r="AI454" s="529"/>
      <c r="AJ454" s="529"/>
      <c r="AK454" s="529"/>
      <c r="AL454" s="529"/>
      <c r="AM454" s="529"/>
      <c r="AN454" s="529"/>
      <c r="AO454" s="529"/>
    </row>
    <row r="455">
      <c r="G455" s="529"/>
      <c r="H455" s="529"/>
      <c r="I455" s="529"/>
      <c r="J455" s="529"/>
      <c r="K455" s="529"/>
      <c r="L455" s="529"/>
      <c r="M455" s="529"/>
      <c r="N455" s="529"/>
      <c r="O455" s="529"/>
      <c r="P455" s="529"/>
      <c r="Q455" s="529"/>
      <c r="R455" s="529"/>
      <c r="S455" s="529"/>
      <c r="T455" s="529"/>
      <c r="U455" s="529"/>
      <c r="V455" s="529"/>
      <c r="W455" s="529"/>
      <c r="X455" s="529"/>
      <c r="Y455" s="529"/>
      <c r="Z455" s="529"/>
      <c r="AA455" s="529"/>
      <c r="AB455" s="529"/>
      <c r="AC455" s="529"/>
      <c r="AD455" s="529"/>
      <c r="AE455" s="529"/>
      <c r="AF455" s="529"/>
      <c r="AG455" s="529"/>
      <c r="AH455" s="529"/>
      <c r="AI455" s="529"/>
      <c r="AJ455" s="529"/>
      <c r="AK455" s="529"/>
      <c r="AL455" s="529"/>
      <c r="AM455" s="529"/>
      <c r="AN455" s="529"/>
      <c r="AO455" s="529"/>
    </row>
    <row r="456">
      <c r="G456" s="529"/>
      <c r="H456" s="529"/>
      <c r="I456" s="529"/>
      <c r="J456" s="529"/>
      <c r="K456" s="529"/>
      <c r="L456" s="529"/>
      <c r="M456" s="529"/>
      <c r="N456" s="529"/>
      <c r="O456" s="529"/>
      <c r="P456" s="529"/>
      <c r="Q456" s="529"/>
      <c r="R456" s="529"/>
      <c r="S456" s="529"/>
      <c r="T456" s="529"/>
      <c r="U456" s="529"/>
      <c r="V456" s="529"/>
      <c r="W456" s="529"/>
      <c r="X456" s="529"/>
      <c r="Y456" s="529"/>
      <c r="Z456" s="529"/>
      <c r="AA456" s="529"/>
      <c r="AB456" s="529"/>
      <c r="AC456" s="529"/>
      <c r="AD456" s="529"/>
      <c r="AE456" s="529"/>
      <c r="AF456" s="529"/>
      <c r="AG456" s="529"/>
      <c r="AH456" s="529"/>
      <c r="AI456" s="529"/>
      <c r="AJ456" s="529"/>
      <c r="AK456" s="529"/>
      <c r="AL456" s="529"/>
      <c r="AM456" s="529"/>
      <c r="AN456" s="529"/>
      <c r="AO456" s="529"/>
    </row>
    <row r="457">
      <c r="G457" s="529"/>
      <c r="H457" s="529"/>
      <c r="I457" s="529"/>
      <c r="J457" s="529"/>
      <c r="K457" s="529"/>
      <c r="L457" s="529"/>
      <c r="M457" s="529"/>
      <c r="N457" s="529"/>
      <c r="O457" s="529"/>
      <c r="P457" s="529"/>
      <c r="Q457" s="529"/>
      <c r="R457" s="529"/>
      <c r="S457" s="529"/>
      <c r="T457" s="529"/>
      <c r="U457" s="529"/>
      <c r="V457" s="529"/>
      <c r="W457" s="529"/>
      <c r="X457" s="529"/>
      <c r="Y457" s="529"/>
      <c r="Z457" s="529"/>
      <c r="AA457" s="529"/>
      <c r="AB457" s="529"/>
      <c r="AC457" s="529"/>
      <c r="AD457" s="529"/>
      <c r="AE457" s="529"/>
      <c r="AF457" s="529"/>
      <c r="AG457" s="529"/>
      <c r="AH457" s="529"/>
      <c r="AI457" s="529"/>
      <c r="AJ457" s="529"/>
      <c r="AK457" s="529"/>
      <c r="AL457" s="529"/>
      <c r="AM457" s="529"/>
      <c r="AN457" s="529"/>
      <c r="AO457" s="529"/>
    </row>
    <row r="458">
      <c r="G458" s="529"/>
      <c r="H458" s="529"/>
      <c r="I458" s="529"/>
      <c r="J458" s="529"/>
      <c r="K458" s="529"/>
      <c r="L458" s="529"/>
      <c r="M458" s="529"/>
      <c r="N458" s="529"/>
      <c r="O458" s="529"/>
      <c r="P458" s="529"/>
      <c r="Q458" s="529"/>
      <c r="R458" s="529"/>
      <c r="S458" s="529"/>
      <c r="T458" s="529"/>
      <c r="U458" s="529"/>
      <c r="V458" s="529"/>
      <c r="W458" s="529"/>
      <c r="X458" s="529"/>
      <c r="Y458" s="529"/>
      <c r="Z458" s="529"/>
      <c r="AA458" s="529"/>
      <c r="AB458" s="529"/>
      <c r="AC458" s="529"/>
      <c r="AD458" s="529"/>
      <c r="AE458" s="529"/>
      <c r="AF458" s="529"/>
      <c r="AG458" s="529"/>
      <c r="AH458" s="529"/>
      <c r="AI458" s="529"/>
      <c r="AJ458" s="529"/>
      <c r="AK458" s="529"/>
      <c r="AL458" s="529"/>
      <c r="AM458" s="529"/>
      <c r="AN458" s="529"/>
      <c r="AO458" s="529"/>
    </row>
    <row r="459">
      <c r="G459" s="529"/>
      <c r="H459" s="529"/>
      <c r="I459" s="529"/>
      <c r="J459" s="529"/>
      <c r="K459" s="529"/>
      <c r="L459" s="529"/>
      <c r="M459" s="529"/>
      <c r="N459" s="529"/>
      <c r="O459" s="529"/>
      <c r="P459" s="529"/>
      <c r="Q459" s="529"/>
      <c r="R459" s="529"/>
      <c r="S459" s="529"/>
      <c r="T459" s="529"/>
      <c r="U459" s="529"/>
      <c r="V459" s="529"/>
      <c r="W459" s="529"/>
      <c r="X459" s="529"/>
      <c r="Y459" s="529"/>
      <c r="Z459" s="529"/>
      <c r="AA459" s="529"/>
      <c r="AB459" s="529"/>
      <c r="AC459" s="529"/>
      <c r="AD459" s="529"/>
      <c r="AE459" s="529"/>
      <c r="AF459" s="529"/>
      <c r="AG459" s="529"/>
      <c r="AH459" s="529"/>
      <c r="AI459" s="529"/>
      <c r="AJ459" s="529"/>
      <c r="AK459" s="529"/>
      <c r="AL459" s="529"/>
      <c r="AM459" s="529"/>
      <c r="AN459" s="529"/>
      <c r="AO459" s="529"/>
    </row>
    <row r="460">
      <c r="G460" s="529"/>
      <c r="H460" s="529"/>
      <c r="I460" s="529"/>
      <c r="J460" s="529"/>
      <c r="K460" s="529"/>
      <c r="L460" s="529"/>
      <c r="M460" s="529"/>
      <c r="N460" s="529"/>
      <c r="O460" s="529"/>
      <c r="P460" s="529"/>
      <c r="Q460" s="529"/>
      <c r="R460" s="529"/>
      <c r="S460" s="529"/>
      <c r="T460" s="529"/>
      <c r="U460" s="529"/>
      <c r="V460" s="529"/>
      <c r="W460" s="529"/>
      <c r="X460" s="529"/>
      <c r="Y460" s="529"/>
      <c r="Z460" s="529"/>
      <c r="AA460" s="529"/>
      <c r="AB460" s="529"/>
      <c r="AC460" s="529"/>
      <c r="AD460" s="529"/>
      <c r="AE460" s="529"/>
      <c r="AF460" s="529"/>
      <c r="AG460" s="529"/>
      <c r="AH460" s="529"/>
      <c r="AI460" s="529"/>
      <c r="AJ460" s="529"/>
      <c r="AK460" s="529"/>
      <c r="AL460" s="529"/>
      <c r="AM460" s="529"/>
      <c r="AN460" s="529"/>
      <c r="AO460" s="529"/>
    </row>
    <row r="461">
      <c r="G461" s="529"/>
      <c r="H461" s="529"/>
      <c r="I461" s="529"/>
      <c r="J461" s="529"/>
      <c r="K461" s="529"/>
      <c r="L461" s="529"/>
      <c r="M461" s="529"/>
      <c r="N461" s="529"/>
      <c r="O461" s="529"/>
      <c r="P461" s="529"/>
      <c r="Q461" s="529"/>
      <c r="R461" s="529"/>
      <c r="S461" s="529"/>
      <c r="T461" s="529"/>
      <c r="U461" s="529"/>
      <c r="V461" s="529"/>
      <c r="W461" s="529"/>
      <c r="X461" s="529"/>
      <c r="Y461" s="529"/>
      <c r="Z461" s="529"/>
      <c r="AA461" s="529"/>
      <c r="AB461" s="529"/>
      <c r="AC461" s="529"/>
      <c r="AD461" s="529"/>
      <c r="AE461" s="529"/>
      <c r="AF461" s="529"/>
      <c r="AG461" s="529"/>
      <c r="AH461" s="529"/>
      <c r="AI461" s="529"/>
      <c r="AJ461" s="529"/>
      <c r="AK461" s="529"/>
      <c r="AL461" s="529"/>
      <c r="AM461" s="529"/>
      <c r="AN461" s="529"/>
      <c r="AO461" s="529"/>
    </row>
    <row r="462">
      <c r="G462" s="529"/>
      <c r="H462" s="529"/>
      <c r="I462" s="529"/>
      <c r="J462" s="529"/>
      <c r="K462" s="529"/>
      <c r="L462" s="529"/>
      <c r="M462" s="529"/>
      <c r="N462" s="529"/>
      <c r="O462" s="529"/>
      <c r="P462" s="529"/>
      <c r="Q462" s="529"/>
      <c r="R462" s="529"/>
      <c r="S462" s="529"/>
      <c r="T462" s="529"/>
      <c r="U462" s="529"/>
      <c r="V462" s="529"/>
      <c r="W462" s="529"/>
      <c r="X462" s="529"/>
      <c r="Y462" s="529"/>
      <c r="Z462" s="529"/>
      <c r="AA462" s="529"/>
      <c r="AB462" s="529"/>
      <c r="AC462" s="529"/>
      <c r="AD462" s="529"/>
      <c r="AE462" s="529"/>
      <c r="AF462" s="529"/>
      <c r="AG462" s="529"/>
      <c r="AH462" s="529"/>
      <c r="AI462" s="529"/>
      <c r="AJ462" s="529"/>
      <c r="AK462" s="529"/>
      <c r="AL462" s="529"/>
      <c r="AM462" s="529"/>
      <c r="AN462" s="529"/>
      <c r="AO462" s="529"/>
    </row>
    <row r="463">
      <c r="G463" s="529"/>
      <c r="H463" s="529"/>
      <c r="I463" s="529"/>
      <c r="J463" s="529"/>
      <c r="K463" s="529"/>
      <c r="L463" s="529"/>
      <c r="M463" s="529"/>
      <c r="N463" s="529"/>
      <c r="O463" s="529"/>
      <c r="P463" s="529"/>
      <c r="Q463" s="529"/>
      <c r="R463" s="529"/>
      <c r="S463" s="529"/>
      <c r="T463" s="529"/>
      <c r="U463" s="529"/>
      <c r="V463" s="529"/>
      <c r="W463" s="529"/>
      <c r="X463" s="529"/>
      <c r="Y463" s="529"/>
      <c r="Z463" s="529"/>
      <c r="AA463" s="529"/>
      <c r="AB463" s="529"/>
      <c r="AC463" s="529"/>
      <c r="AD463" s="529"/>
      <c r="AE463" s="529"/>
      <c r="AF463" s="529"/>
      <c r="AG463" s="529"/>
      <c r="AH463" s="529"/>
      <c r="AI463" s="529"/>
      <c r="AJ463" s="529"/>
      <c r="AK463" s="529"/>
      <c r="AL463" s="529"/>
      <c r="AM463" s="529"/>
      <c r="AN463" s="529"/>
      <c r="AO463" s="529"/>
    </row>
    <row r="464">
      <c r="G464" s="529"/>
      <c r="H464" s="529"/>
      <c r="I464" s="529"/>
      <c r="J464" s="529"/>
      <c r="K464" s="529"/>
      <c r="L464" s="529"/>
      <c r="M464" s="529"/>
      <c r="N464" s="529"/>
      <c r="O464" s="529"/>
      <c r="P464" s="529"/>
      <c r="Q464" s="529"/>
      <c r="R464" s="529"/>
      <c r="S464" s="529"/>
      <c r="T464" s="529"/>
      <c r="U464" s="529"/>
      <c r="V464" s="529"/>
      <c r="W464" s="529"/>
      <c r="X464" s="529"/>
      <c r="Y464" s="529"/>
      <c r="Z464" s="529"/>
      <c r="AA464" s="529"/>
      <c r="AB464" s="529"/>
      <c r="AC464" s="529"/>
      <c r="AD464" s="529"/>
      <c r="AE464" s="529"/>
      <c r="AF464" s="529"/>
      <c r="AG464" s="529"/>
      <c r="AH464" s="529"/>
      <c r="AI464" s="529"/>
      <c r="AJ464" s="529"/>
      <c r="AK464" s="529"/>
      <c r="AL464" s="529"/>
      <c r="AM464" s="529"/>
      <c r="AN464" s="529"/>
      <c r="AO464" s="529"/>
    </row>
    <row r="465">
      <c r="G465" s="529"/>
      <c r="H465" s="529"/>
      <c r="I465" s="529"/>
      <c r="J465" s="529"/>
      <c r="K465" s="529"/>
      <c r="L465" s="529"/>
      <c r="M465" s="529"/>
      <c r="N465" s="529"/>
      <c r="O465" s="529"/>
      <c r="P465" s="529"/>
      <c r="Q465" s="529"/>
      <c r="R465" s="529"/>
      <c r="S465" s="529"/>
      <c r="T465" s="529"/>
      <c r="U465" s="529"/>
      <c r="V465" s="529"/>
      <c r="W465" s="529"/>
      <c r="X465" s="529"/>
      <c r="Y465" s="529"/>
      <c r="Z465" s="529"/>
      <c r="AA465" s="529"/>
      <c r="AB465" s="529"/>
      <c r="AC465" s="529"/>
      <c r="AD465" s="529"/>
      <c r="AE465" s="529"/>
      <c r="AF465" s="529"/>
      <c r="AG465" s="529"/>
      <c r="AH465" s="529"/>
      <c r="AI465" s="529"/>
      <c r="AJ465" s="529"/>
      <c r="AK465" s="529"/>
      <c r="AL465" s="529"/>
      <c r="AM465" s="529"/>
      <c r="AN465" s="529"/>
      <c r="AO465" s="529"/>
    </row>
    <row r="466">
      <c r="G466" s="529"/>
      <c r="H466" s="529"/>
      <c r="I466" s="529"/>
      <c r="J466" s="529"/>
      <c r="K466" s="529"/>
      <c r="L466" s="529"/>
      <c r="M466" s="529"/>
      <c r="N466" s="529"/>
      <c r="O466" s="529"/>
      <c r="P466" s="529"/>
      <c r="Q466" s="529"/>
      <c r="R466" s="529"/>
      <c r="S466" s="529"/>
      <c r="T466" s="529"/>
      <c r="U466" s="529"/>
      <c r="V466" s="529"/>
      <c r="W466" s="529"/>
      <c r="X466" s="529"/>
      <c r="Y466" s="529"/>
      <c r="Z466" s="529"/>
      <c r="AA466" s="529"/>
      <c r="AB466" s="529"/>
      <c r="AC466" s="529"/>
      <c r="AD466" s="529"/>
      <c r="AE466" s="529"/>
      <c r="AF466" s="529"/>
      <c r="AG466" s="529"/>
      <c r="AH466" s="529"/>
      <c r="AI466" s="529"/>
      <c r="AJ466" s="529"/>
      <c r="AK466" s="529"/>
      <c r="AL466" s="529"/>
      <c r="AM466" s="529"/>
      <c r="AN466" s="529"/>
      <c r="AO466" s="529"/>
    </row>
    <row r="467">
      <c r="G467" s="529"/>
      <c r="H467" s="529"/>
      <c r="I467" s="529"/>
      <c r="J467" s="529"/>
      <c r="K467" s="529"/>
      <c r="L467" s="529"/>
      <c r="M467" s="529"/>
      <c r="N467" s="529"/>
      <c r="O467" s="529"/>
      <c r="P467" s="529"/>
      <c r="Q467" s="529"/>
      <c r="R467" s="529"/>
      <c r="S467" s="529"/>
      <c r="T467" s="529"/>
      <c r="U467" s="529"/>
      <c r="V467" s="529"/>
      <c r="W467" s="529"/>
      <c r="X467" s="529"/>
      <c r="Y467" s="529"/>
      <c r="Z467" s="529"/>
      <c r="AA467" s="529"/>
      <c r="AB467" s="529"/>
      <c r="AC467" s="529"/>
      <c r="AD467" s="529"/>
      <c r="AE467" s="529"/>
      <c r="AF467" s="529"/>
      <c r="AG467" s="529"/>
      <c r="AH467" s="529"/>
      <c r="AI467" s="529"/>
      <c r="AJ467" s="529"/>
      <c r="AK467" s="529"/>
      <c r="AL467" s="529"/>
      <c r="AM467" s="529"/>
      <c r="AN467" s="529"/>
      <c r="AO467" s="529"/>
    </row>
    <row r="468">
      <c r="G468" s="529"/>
      <c r="H468" s="529"/>
      <c r="I468" s="529"/>
      <c r="J468" s="529"/>
      <c r="K468" s="529"/>
      <c r="L468" s="529"/>
      <c r="M468" s="529"/>
      <c r="N468" s="529"/>
      <c r="O468" s="529"/>
      <c r="P468" s="529"/>
      <c r="Q468" s="529"/>
      <c r="R468" s="529"/>
      <c r="S468" s="529"/>
      <c r="T468" s="529"/>
      <c r="U468" s="529"/>
      <c r="V468" s="529"/>
      <c r="W468" s="529"/>
      <c r="X468" s="529"/>
      <c r="Y468" s="529"/>
      <c r="Z468" s="529"/>
      <c r="AA468" s="529"/>
      <c r="AB468" s="529"/>
      <c r="AC468" s="529"/>
      <c r="AD468" s="529"/>
      <c r="AE468" s="529"/>
      <c r="AF468" s="529"/>
      <c r="AG468" s="529"/>
      <c r="AH468" s="529"/>
      <c r="AI468" s="529"/>
      <c r="AJ468" s="529"/>
      <c r="AK468" s="529"/>
      <c r="AL468" s="529"/>
      <c r="AM468" s="529"/>
      <c r="AN468" s="529"/>
      <c r="AO468" s="529"/>
    </row>
    <row r="469">
      <c r="G469" s="529"/>
      <c r="H469" s="529"/>
      <c r="I469" s="529"/>
      <c r="J469" s="529"/>
      <c r="K469" s="529"/>
      <c r="L469" s="529"/>
      <c r="M469" s="529"/>
      <c r="N469" s="529"/>
      <c r="O469" s="529"/>
      <c r="P469" s="529"/>
      <c r="Q469" s="529"/>
      <c r="R469" s="529"/>
      <c r="S469" s="529"/>
      <c r="T469" s="529"/>
      <c r="U469" s="529"/>
      <c r="V469" s="529"/>
      <c r="W469" s="529"/>
      <c r="X469" s="529"/>
      <c r="Y469" s="529"/>
      <c r="Z469" s="529"/>
      <c r="AA469" s="529"/>
      <c r="AB469" s="529"/>
      <c r="AC469" s="529"/>
      <c r="AD469" s="529"/>
      <c r="AE469" s="529"/>
      <c r="AF469" s="529"/>
      <c r="AG469" s="529"/>
      <c r="AH469" s="529"/>
      <c r="AI469" s="529"/>
      <c r="AJ469" s="529"/>
      <c r="AK469" s="529"/>
      <c r="AL469" s="529"/>
      <c r="AM469" s="529"/>
      <c r="AN469" s="529"/>
      <c r="AO469" s="529"/>
    </row>
    <row r="470">
      <c r="G470" s="529"/>
      <c r="H470" s="529"/>
      <c r="I470" s="529"/>
      <c r="J470" s="529"/>
      <c r="K470" s="529"/>
      <c r="L470" s="529"/>
      <c r="M470" s="529"/>
      <c r="N470" s="529"/>
      <c r="O470" s="529"/>
      <c r="P470" s="529"/>
      <c r="Q470" s="529"/>
      <c r="R470" s="529"/>
      <c r="S470" s="529"/>
      <c r="T470" s="529"/>
      <c r="U470" s="529"/>
      <c r="V470" s="529"/>
      <c r="W470" s="529"/>
      <c r="X470" s="529"/>
      <c r="Y470" s="529"/>
      <c r="Z470" s="529"/>
      <c r="AA470" s="529"/>
      <c r="AB470" s="529"/>
      <c r="AC470" s="529"/>
      <c r="AD470" s="529"/>
      <c r="AE470" s="529"/>
      <c r="AF470" s="529"/>
      <c r="AG470" s="529"/>
      <c r="AH470" s="529"/>
      <c r="AI470" s="529"/>
      <c r="AJ470" s="529"/>
      <c r="AK470" s="529"/>
      <c r="AL470" s="529"/>
      <c r="AM470" s="529"/>
      <c r="AN470" s="529"/>
      <c r="AO470" s="529"/>
    </row>
    <row r="471">
      <c r="G471" s="529"/>
      <c r="H471" s="529"/>
      <c r="I471" s="529"/>
      <c r="J471" s="529"/>
      <c r="K471" s="529"/>
      <c r="L471" s="529"/>
      <c r="M471" s="529"/>
      <c r="N471" s="529"/>
      <c r="O471" s="529"/>
      <c r="P471" s="529"/>
      <c r="Q471" s="529"/>
      <c r="R471" s="529"/>
      <c r="S471" s="529"/>
      <c r="T471" s="529"/>
      <c r="U471" s="529"/>
      <c r="V471" s="529"/>
      <c r="W471" s="529"/>
      <c r="X471" s="529"/>
      <c r="Y471" s="529"/>
      <c r="Z471" s="529"/>
      <c r="AA471" s="529"/>
      <c r="AB471" s="529"/>
      <c r="AC471" s="529"/>
      <c r="AD471" s="529"/>
      <c r="AE471" s="529"/>
      <c r="AF471" s="529"/>
      <c r="AG471" s="529"/>
      <c r="AH471" s="529"/>
      <c r="AI471" s="529"/>
      <c r="AJ471" s="529"/>
      <c r="AK471" s="529"/>
      <c r="AL471" s="529"/>
      <c r="AM471" s="529"/>
      <c r="AN471" s="529"/>
      <c r="AO471" s="529"/>
    </row>
    <row r="472">
      <c r="G472" s="529"/>
      <c r="H472" s="529"/>
      <c r="I472" s="529"/>
      <c r="J472" s="529"/>
      <c r="K472" s="529"/>
      <c r="L472" s="529"/>
      <c r="M472" s="529"/>
      <c r="N472" s="529"/>
      <c r="O472" s="529"/>
      <c r="P472" s="529"/>
      <c r="Q472" s="529"/>
      <c r="R472" s="529"/>
      <c r="S472" s="529"/>
      <c r="T472" s="529"/>
      <c r="U472" s="529"/>
      <c r="V472" s="529"/>
      <c r="W472" s="529"/>
      <c r="X472" s="529"/>
      <c r="Y472" s="529"/>
      <c r="Z472" s="529"/>
      <c r="AA472" s="529"/>
      <c r="AB472" s="529"/>
      <c r="AC472" s="529"/>
      <c r="AD472" s="529"/>
      <c r="AE472" s="529"/>
      <c r="AF472" s="529"/>
      <c r="AG472" s="529"/>
      <c r="AH472" s="529"/>
      <c r="AI472" s="529"/>
      <c r="AJ472" s="529"/>
      <c r="AK472" s="529"/>
      <c r="AL472" s="529"/>
      <c r="AM472" s="529"/>
      <c r="AN472" s="529"/>
      <c r="AO472" s="529"/>
    </row>
    <row r="473">
      <c r="G473" s="529"/>
      <c r="H473" s="529"/>
      <c r="I473" s="529"/>
      <c r="J473" s="529"/>
      <c r="K473" s="529"/>
      <c r="L473" s="529"/>
      <c r="M473" s="529"/>
      <c r="N473" s="529"/>
      <c r="O473" s="529"/>
      <c r="P473" s="529"/>
      <c r="Q473" s="529"/>
      <c r="R473" s="529"/>
      <c r="S473" s="529"/>
      <c r="T473" s="529"/>
      <c r="U473" s="529"/>
      <c r="V473" s="529"/>
      <c r="W473" s="529"/>
      <c r="X473" s="529"/>
      <c r="Y473" s="529"/>
      <c r="Z473" s="529"/>
      <c r="AA473" s="529"/>
      <c r="AB473" s="529"/>
      <c r="AC473" s="529"/>
      <c r="AD473" s="529"/>
      <c r="AE473" s="529"/>
      <c r="AF473" s="529"/>
      <c r="AG473" s="529"/>
      <c r="AH473" s="529"/>
      <c r="AI473" s="529"/>
      <c r="AJ473" s="529"/>
      <c r="AK473" s="529"/>
      <c r="AL473" s="529"/>
      <c r="AM473" s="529"/>
      <c r="AN473" s="529"/>
      <c r="AO473" s="529"/>
    </row>
    <row r="474">
      <c r="G474" s="529"/>
      <c r="H474" s="529"/>
      <c r="I474" s="529"/>
      <c r="J474" s="529"/>
      <c r="K474" s="529"/>
      <c r="L474" s="529"/>
      <c r="M474" s="529"/>
      <c r="N474" s="529"/>
      <c r="O474" s="529"/>
      <c r="P474" s="529"/>
      <c r="Q474" s="529"/>
      <c r="R474" s="529"/>
      <c r="S474" s="529"/>
      <c r="T474" s="529"/>
      <c r="U474" s="529"/>
      <c r="V474" s="529"/>
      <c r="W474" s="529"/>
      <c r="X474" s="529"/>
      <c r="Y474" s="529"/>
      <c r="Z474" s="529"/>
      <c r="AA474" s="529"/>
      <c r="AB474" s="529"/>
      <c r="AC474" s="529"/>
      <c r="AD474" s="529"/>
      <c r="AE474" s="529"/>
      <c r="AF474" s="529"/>
      <c r="AG474" s="529"/>
      <c r="AH474" s="529"/>
      <c r="AI474" s="529"/>
      <c r="AJ474" s="529"/>
      <c r="AK474" s="529"/>
      <c r="AL474" s="529"/>
      <c r="AM474" s="529"/>
      <c r="AN474" s="529"/>
      <c r="AO474" s="529"/>
    </row>
    <row r="475">
      <c r="G475" s="529"/>
      <c r="H475" s="529"/>
      <c r="I475" s="529"/>
      <c r="J475" s="529"/>
      <c r="K475" s="529"/>
      <c r="L475" s="529"/>
      <c r="M475" s="529"/>
      <c r="N475" s="529"/>
      <c r="O475" s="529"/>
      <c r="P475" s="529"/>
      <c r="Q475" s="529"/>
      <c r="R475" s="529"/>
      <c r="S475" s="529"/>
      <c r="T475" s="529"/>
      <c r="U475" s="529"/>
      <c r="V475" s="529"/>
      <c r="W475" s="529"/>
      <c r="X475" s="529"/>
      <c r="Y475" s="529"/>
      <c r="Z475" s="529"/>
      <c r="AA475" s="529"/>
      <c r="AB475" s="529"/>
      <c r="AC475" s="529"/>
      <c r="AD475" s="529"/>
      <c r="AE475" s="529"/>
      <c r="AF475" s="529"/>
      <c r="AG475" s="529"/>
      <c r="AH475" s="529"/>
      <c r="AI475" s="529"/>
      <c r="AJ475" s="529"/>
      <c r="AK475" s="529"/>
      <c r="AL475" s="529"/>
      <c r="AM475" s="529"/>
      <c r="AN475" s="529"/>
      <c r="AO475" s="529"/>
    </row>
    <row r="476">
      <c r="G476" s="529"/>
      <c r="H476" s="529"/>
      <c r="I476" s="529"/>
      <c r="J476" s="529"/>
      <c r="K476" s="529"/>
      <c r="L476" s="529"/>
      <c r="M476" s="529"/>
      <c r="N476" s="529"/>
      <c r="O476" s="529"/>
      <c r="P476" s="529"/>
      <c r="Q476" s="529"/>
      <c r="R476" s="529"/>
      <c r="S476" s="529"/>
      <c r="T476" s="529"/>
      <c r="U476" s="529"/>
      <c r="V476" s="529"/>
      <c r="W476" s="529"/>
      <c r="X476" s="529"/>
      <c r="Y476" s="529"/>
      <c r="Z476" s="529"/>
      <c r="AA476" s="529"/>
      <c r="AB476" s="529"/>
      <c r="AC476" s="529"/>
      <c r="AD476" s="529"/>
      <c r="AE476" s="529"/>
      <c r="AF476" s="529"/>
      <c r="AG476" s="529"/>
      <c r="AH476" s="529"/>
      <c r="AI476" s="529"/>
      <c r="AJ476" s="529"/>
      <c r="AK476" s="529"/>
      <c r="AL476" s="529"/>
      <c r="AM476" s="529"/>
      <c r="AN476" s="529"/>
      <c r="AO476" s="529"/>
    </row>
    <row r="477">
      <c r="G477" s="529"/>
      <c r="H477" s="529"/>
      <c r="I477" s="529"/>
      <c r="J477" s="529"/>
      <c r="K477" s="529"/>
      <c r="L477" s="529"/>
      <c r="M477" s="529"/>
      <c r="N477" s="529"/>
      <c r="O477" s="529"/>
      <c r="P477" s="529"/>
      <c r="Q477" s="529"/>
      <c r="R477" s="529"/>
      <c r="S477" s="529"/>
      <c r="T477" s="529"/>
      <c r="U477" s="529"/>
      <c r="V477" s="529"/>
      <c r="W477" s="529"/>
      <c r="X477" s="529"/>
      <c r="Y477" s="529"/>
      <c r="Z477" s="529"/>
      <c r="AA477" s="529"/>
      <c r="AB477" s="529"/>
      <c r="AC477" s="529"/>
      <c r="AD477" s="529"/>
      <c r="AE477" s="529"/>
      <c r="AF477" s="529"/>
      <c r="AG477" s="529"/>
      <c r="AH477" s="529"/>
      <c r="AI477" s="529"/>
      <c r="AJ477" s="529"/>
      <c r="AK477" s="529"/>
      <c r="AL477" s="529"/>
      <c r="AM477" s="529"/>
      <c r="AN477" s="529"/>
      <c r="AO477" s="529"/>
    </row>
    <row r="478">
      <c r="G478" s="529"/>
      <c r="H478" s="529"/>
      <c r="I478" s="529"/>
      <c r="J478" s="529"/>
      <c r="K478" s="529"/>
      <c r="L478" s="529"/>
      <c r="M478" s="529"/>
      <c r="N478" s="529"/>
      <c r="O478" s="529"/>
      <c r="P478" s="529"/>
      <c r="Q478" s="529"/>
      <c r="R478" s="529"/>
      <c r="S478" s="529"/>
      <c r="T478" s="529"/>
      <c r="U478" s="529"/>
      <c r="V478" s="529"/>
      <c r="W478" s="529"/>
      <c r="X478" s="529"/>
      <c r="Y478" s="529"/>
      <c r="Z478" s="529"/>
      <c r="AA478" s="529"/>
      <c r="AB478" s="529"/>
      <c r="AC478" s="529"/>
      <c r="AD478" s="529"/>
      <c r="AE478" s="529"/>
      <c r="AF478" s="529"/>
      <c r="AG478" s="529"/>
      <c r="AH478" s="529"/>
      <c r="AI478" s="529"/>
      <c r="AJ478" s="529"/>
      <c r="AK478" s="529"/>
      <c r="AL478" s="529"/>
      <c r="AM478" s="529"/>
      <c r="AN478" s="529"/>
      <c r="AO478" s="529"/>
    </row>
    <row r="479">
      <c r="G479" s="529"/>
      <c r="H479" s="529"/>
      <c r="I479" s="529"/>
      <c r="J479" s="529"/>
      <c r="K479" s="529"/>
      <c r="L479" s="529"/>
      <c r="M479" s="529"/>
      <c r="N479" s="529"/>
      <c r="O479" s="529"/>
      <c r="P479" s="529"/>
      <c r="Q479" s="529"/>
      <c r="R479" s="529"/>
      <c r="S479" s="529"/>
      <c r="T479" s="529"/>
      <c r="U479" s="529"/>
      <c r="V479" s="529"/>
      <c r="W479" s="529"/>
      <c r="X479" s="529"/>
      <c r="Y479" s="529"/>
      <c r="Z479" s="529"/>
      <c r="AA479" s="529"/>
      <c r="AB479" s="529"/>
      <c r="AC479" s="529"/>
      <c r="AD479" s="529"/>
      <c r="AE479" s="529"/>
      <c r="AF479" s="529"/>
      <c r="AG479" s="529"/>
      <c r="AH479" s="529"/>
      <c r="AI479" s="529"/>
      <c r="AJ479" s="529"/>
      <c r="AK479" s="529"/>
      <c r="AL479" s="529"/>
      <c r="AM479" s="529"/>
      <c r="AN479" s="529"/>
      <c r="AO479" s="529"/>
    </row>
    <row r="480">
      <c r="G480" s="529"/>
      <c r="H480" s="529"/>
      <c r="I480" s="529"/>
      <c r="J480" s="529"/>
      <c r="K480" s="529"/>
      <c r="L480" s="529"/>
      <c r="M480" s="529"/>
      <c r="N480" s="529"/>
      <c r="O480" s="529"/>
      <c r="P480" s="529"/>
      <c r="Q480" s="529"/>
      <c r="R480" s="529"/>
      <c r="S480" s="529"/>
      <c r="T480" s="529"/>
      <c r="U480" s="529"/>
      <c r="V480" s="529"/>
      <c r="W480" s="529"/>
      <c r="X480" s="529"/>
      <c r="Y480" s="529"/>
      <c r="Z480" s="529"/>
      <c r="AA480" s="529"/>
      <c r="AB480" s="529"/>
      <c r="AC480" s="529"/>
      <c r="AD480" s="529"/>
      <c r="AE480" s="529"/>
      <c r="AF480" s="529"/>
      <c r="AG480" s="529"/>
      <c r="AH480" s="529"/>
      <c r="AI480" s="529"/>
      <c r="AJ480" s="529"/>
      <c r="AK480" s="529"/>
      <c r="AL480" s="529"/>
      <c r="AM480" s="529"/>
      <c r="AN480" s="529"/>
      <c r="AO480" s="529"/>
    </row>
    <row r="481">
      <c r="G481" s="529"/>
      <c r="H481" s="529"/>
      <c r="I481" s="529"/>
      <c r="J481" s="529"/>
      <c r="K481" s="529"/>
      <c r="L481" s="529"/>
      <c r="M481" s="529"/>
      <c r="N481" s="529"/>
      <c r="O481" s="529"/>
      <c r="P481" s="529"/>
      <c r="Q481" s="529"/>
      <c r="R481" s="529"/>
      <c r="S481" s="529"/>
      <c r="T481" s="529"/>
      <c r="U481" s="529"/>
      <c r="V481" s="529"/>
      <c r="W481" s="529"/>
      <c r="X481" s="529"/>
      <c r="Y481" s="529"/>
      <c r="Z481" s="529"/>
      <c r="AA481" s="529"/>
      <c r="AB481" s="529"/>
      <c r="AC481" s="529"/>
      <c r="AD481" s="529"/>
      <c r="AE481" s="529"/>
      <c r="AF481" s="529"/>
      <c r="AG481" s="529"/>
      <c r="AH481" s="529"/>
      <c r="AI481" s="529"/>
      <c r="AJ481" s="529"/>
      <c r="AK481" s="529"/>
      <c r="AL481" s="529"/>
      <c r="AM481" s="529"/>
      <c r="AN481" s="529"/>
      <c r="AO481" s="529"/>
    </row>
    <row r="482">
      <c r="G482" s="529"/>
      <c r="H482" s="529"/>
      <c r="I482" s="529"/>
      <c r="J482" s="529"/>
      <c r="K482" s="529"/>
      <c r="L482" s="529"/>
      <c r="M482" s="529"/>
      <c r="N482" s="529"/>
      <c r="O482" s="529"/>
      <c r="P482" s="529"/>
      <c r="Q482" s="529"/>
      <c r="R482" s="529"/>
      <c r="S482" s="529"/>
      <c r="T482" s="529"/>
      <c r="U482" s="529"/>
      <c r="V482" s="529"/>
      <c r="W482" s="529"/>
      <c r="X482" s="529"/>
      <c r="Y482" s="529"/>
      <c r="Z482" s="529"/>
      <c r="AA482" s="529"/>
      <c r="AB482" s="529"/>
      <c r="AC482" s="529"/>
      <c r="AD482" s="529"/>
      <c r="AE482" s="529"/>
      <c r="AF482" s="529"/>
      <c r="AG482" s="529"/>
      <c r="AH482" s="529"/>
      <c r="AI482" s="529"/>
      <c r="AJ482" s="529"/>
      <c r="AK482" s="529"/>
      <c r="AL482" s="529"/>
      <c r="AM482" s="529"/>
      <c r="AN482" s="529"/>
      <c r="AO482" s="529"/>
    </row>
    <row r="483">
      <c r="G483" s="529"/>
      <c r="H483" s="529"/>
      <c r="I483" s="529"/>
      <c r="J483" s="529"/>
      <c r="K483" s="529"/>
      <c r="L483" s="529"/>
      <c r="M483" s="529"/>
      <c r="N483" s="529"/>
      <c r="O483" s="529"/>
      <c r="P483" s="529"/>
      <c r="Q483" s="529"/>
      <c r="R483" s="529"/>
      <c r="S483" s="529"/>
      <c r="T483" s="529"/>
      <c r="U483" s="529"/>
      <c r="V483" s="529"/>
      <c r="W483" s="529"/>
      <c r="X483" s="529"/>
      <c r="Y483" s="529"/>
      <c r="Z483" s="529"/>
      <c r="AA483" s="529"/>
      <c r="AB483" s="529"/>
      <c r="AC483" s="529"/>
      <c r="AD483" s="529"/>
      <c r="AE483" s="529"/>
      <c r="AF483" s="529"/>
      <c r="AG483" s="529"/>
      <c r="AH483" s="529"/>
      <c r="AI483" s="529"/>
      <c r="AJ483" s="529"/>
      <c r="AK483" s="529"/>
      <c r="AL483" s="529"/>
      <c r="AM483" s="529"/>
      <c r="AN483" s="529"/>
      <c r="AO483" s="529"/>
    </row>
    <row r="484">
      <c r="G484" s="529"/>
      <c r="H484" s="529"/>
      <c r="I484" s="529"/>
      <c r="J484" s="529"/>
      <c r="K484" s="529"/>
      <c r="L484" s="529"/>
      <c r="M484" s="529"/>
      <c r="N484" s="529"/>
      <c r="O484" s="529"/>
      <c r="P484" s="529"/>
      <c r="Q484" s="529"/>
      <c r="R484" s="529"/>
      <c r="S484" s="529"/>
      <c r="T484" s="529"/>
      <c r="U484" s="529"/>
      <c r="V484" s="529"/>
      <c r="W484" s="529"/>
      <c r="X484" s="529"/>
      <c r="Y484" s="529"/>
      <c r="Z484" s="529"/>
      <c r="AA484" s="529"/>
      <c r="AB484" s="529"/>
      <c r="AC484" s="529"/>
      <c r="AD484" s="529"/>
      <c r="AE484" s="529"/>
      <c r="AF484" s="529"/>
      <c r="AG484" s="529"/>
      <c r="AH484" s="529"/>
      <c r="AI484" s="529"/>
      <c r="AJ484" s="529"/>
      <c r="AK484" s="529"/>
      <c r="AL484" s="529"/>
      <c r="AM484" s="529"/>
      <c r="AN484" s="529"/>
      <c r="AO484" s="529"/>
    </row>
    <row r="485">
      <c r="G485" s="529"/>
      <c r="H485" s="529"/>
      <c r="I485" s="529"/>
      <c r="J485" s="529"/>
      <c r="K485" s="529"/>
      <c r="L485" s="529"/>
      <c r="M485" s="529"/>
      <c r="N485" s="529"/>
      <c r="O485" s="529"/>
      <c r="P485" s="529"/>
      <c r="Q485" s="529"/>
      <c r="R485" s="529"/>
      <c r="S485" s="529"/>
      <c r="T485" s="529"/>
      <c r="U485" s="529"/>
      <c r="V485" s="529"/>
      <c r="W485" s="529"/>
      <c r="X485" s="529"/>
      <c r="Y485" s="529"/>
      <c r="Z485" s="529"/>
      <c r="AA485" s="529"/>
      <c r="AB485" s="529"/>
      <c r="AC485" s="529"/>
      <c r="AD485" s="529"/>
      <c r="AE485" s="529"/>
      <c r="AF485" s="529"/>
      <c r="AG485" s="529"/>
      <c r="AH485" s="529"/>
      <c r="AI485" s="529"/>
      <c r="AJ485" s="529"/>
      <c r="AK485" s="529"/>
      <c r="AL485" s="529"/>
      <c r="AM485" s="529"/>
      <c r="AN485" s="529"/>
      <c r="AO485" s="529"/>
    </row>
    <row r="486">
      <c r="G486" s="529"/>
      <c r="H486" s="529"/>
      <c r="I486" s="529"/>
      <c r="J486" s="529"/>
      <c r="K486" s="529"/>
      <c r="L486" s="529"/>
      <c r="M486" s="529"/>
      <c r="N486" s="529"/>
      <c r="O486" s="529"/>
      <c r="P486" s="529"/>
      <c r="Q486" s="529"/>
      <c r="R486" s="529"/>
      <c r="S486" s="529"/>
      <c r="T486" s="529"/>
      <c r="U486" s="529"/>
      <c r="V486" s="529"/>
      <c r="W486" s="529"/>
      <c r="X486" s="529"/>
      <c r="Y486" s="529"/>
      <c r="Z486" s="529"/>
      <c r="AA486" s="529"/>
      <c r="AB486" s="529"/>
      <c r="AC486" s="529"/>
      <c r="AD486" s="529"/>
      <c r="AE486" s="529"/>
      <c r="AF486" s="529"/>
      <c r="AG486" s="529"/>
      <c r="AH486" s="529"/>
      <c r="AI486" s="529"/>
      <c r="AJ486" s="529"/>
      <c r="AK486" s="529"/>
      <c r="AL486" s="529"/>
      <c r="AM486" s="529"/>
      <c r="AN486" s="529"/>
      <c r="AO486" s="529"/>
    </row>
    <row r="487">
      <c r="G487" s="529"/>
      <c r="H487" s="529"/>
      <c r="I487" s="529"/>
      <c r="J487" s="529"/>
      <c r="K487" s="529"/>
      <c r="L487" s="529"/>
      <c r="M487" s="529"/>
      <c r="N487" s="529"/>
      <c r="O487" s="529"/>
      <c r="P487" s="529"/>
      <c r="Q487" s="529"/>
      <c r="R487" s="529"/>
      <c r="S487" s="529"/>
      <c r="T487" s="529"/>
      <c r="U487" s="529"/>
      <c r="V487" s="529"/>
      <c r="W487" s="529"/>
      <c r="X487" s="529"/>
      <c r="Y487" s="529"/>
      <c r="Z487" s="529"/>
      <c r="AA487" s="529"/>
      <c r="AB487" s="529"/>
      <c r="AC487" s="529"/>
      <c r="AD487" s="529"/>
      <c r="AE487" s="529"/>
      <c r="AF487" s="529"/>
      <c r="AG487" s="529"/>
      <c r="AH487" s="529"/>
      <c r="AI487" s="529"/>
      <c r="AJ487" s="529"/>
      <c r="AK487" s="529"/>
      <c r="AL487" s="529"/>
      <c r="AM487" s="529"/>
      <c r="AN487" s="529"/>
      <c r="AO487" s="529"/>
    </row>
    <row r="488">
      <c r="G488" s="529"/>
      <c r="H488" s="529"/>
      <c r="I488" s="529"/>
      <c r="J488" s="529"/>
      <c r="K488" s="529"/>
      <c r="L488" s="529"/>
      <c r="M488" s="529"/>
      <c r="N488" s="529"/>
      <c r="O488" s="529"/>
      <c r="P488" s="529"/>
      <c r="Q488" s="529"/>
      <c r="R488" s="529"/>
      <c r="S488" s="529"/>
      <c r="T488" s="529"/>
      <c r="U488" s="529"/>
      <c r="V488" s="529"/>
      <c r="W488" s="529"/>
      <c r="X488" s="529"/>
      <c r="Y488" s="529"/>
      <c r="Z488" s="529"/>
      <c r="AA488" s="529"/>
      <c r="AB488" s="529"/>
      <c r="AC488" s="529"/>
      <c r="AD488" s="529"/>
      <c r="AE488" s="529"/>
      <c r="AF488" s="529"/>
      <c r="AG488" s="529"/>
      <c r="AH488" s="529"/>
      <c r="AI488" s="529"/>
      <c r="AJ488" s="529"/>
      <c r="AK488" s="529"/>
      <c r="AL488" s="529"/>
      <c r="AM488" s="529"/>
      <c r="AN488" s="529"/>
      <c r="AO488" s="529"/>
    </row>
    <row r="489">
      <c r="G489" s="529"/>
      <c r="H489" s="529"/>
      <c r="I489" s="529"/>
      <c r="J489" s="529"/>
      <c r="K489" s="529"/>
      <c r="L489" s="529"/>
      <c r="M489" s="529"/>
      <c r="N489" s="529"/>
      <c r="O489" s="529"/>
      <c r="P489" s="529"/>
      <c r="Q489" s="529"/>
      <c r="R489" s="529"/>
      <c r="S489" s="529"/>
      <c r="T489" s="529"/>
      <c r="U489" s="529"/>
      <c r="V489" s="529"/>
      <c r="W489" s="529"/>
      <c r="X489" s="529"/>
      <c r="Y489" s="529"/>
      <c r="Z489" s="529"/>
      <c r="AA489" s="529"/>
      <c r="AB489" s="529"/>
      <c r="AC489" s="529"/>
      <c r="AD489" s="529"/>
      <c r="AE489" s="529"/>
      <c r="AF489" s="529"/>
      <c r="AG489" s="529"/>
      <c r="AH489" s="529"/>
      <c r="AI489" s="529"/>
      <c r="AJ489" s="529"/>
      <c r="AK489" s="529"/>
      <c r="AL489" s="529"/>
      <c r="AM489" s="529"/>
      <c r="AN489" s="529"/>
      <c r="AO489" s="529"/>
    </row>
    <row r="490">
      <c r="G490" s="529"/>
      <c r="H490" s="529"/>
      <c r="I490" s="529"/>
      <c r="J490" s="529"/>
      <c r="K490" s="529"/>
      <c r="L490" s="529"/>
      <c r="M490" s="529"/>
      <c r="N490" s="529"/>
      <c r="O490" s="529"/>
      <c r="P490" s="529"/>
      <c r="Q490" s="529"/>
      <c r="R490" s="529"/>
      <c r="S490" s="529"/>
      <c r="T490" s="529"/>
      <c r="U490" s="529"/>
      <c r="V490" s="529"/>
      <c r="W490" s="529"/>
      <c r="X490" s="529"/>
      <c r="Y490" s="529"/>
      <c r="Z490" s="529"/>
      <c r="AA490" s="529"/>
      <c r="AB490" s="529"/>
      <c r="AC490" s="529"/>
      <c r="AD490" s="529"/>
      <c r="AE490" s="529"/>
      <c r="AF490" s="529"/>
      <c r="AG490" s="529"/>
      <c r="AH490" s="529"/>
      <c r="AI490" s="529"/>
      <c r="AJ490" s="529"/>
      <c r="AK490" s="529"/>
      <c r="AL490" s="529"/>
      <c r="AM490" s="529"/>
      <c r="AN490" s="529"/>
      <c r="AO490" s="529"/>
    </row>
    <row r="491">
      <c r="G491" s="529"/>
      <c r="H491" s="529"/>
      <c r="I491" s="529"/>
      <c r="J491" s="529"/>
      <c r="K491" s="529"/>
      <c r="L491" s="529"/>
      <c r="M491" s="529"/>
      <c r="N491" s="529"/>
      <c r="O491" s="529"/>
      <c r="P491" s="529"/>
      <c r="Q491" s="529"/>
      <c r="R491" s="529"/>
      <c r="S491" s="529"/>
      <c r="T491" s="529"/>
      <c r="U491" s="529"/>
      <c r="V491" s="529"/>
      <c r="W491" s="529"/>
      <c r="X491" s="529"/>
      <c r="Y491" s="529"/>
      <c r="Z491" s="529"/>
      <c r="AA491" s="529"/>
      <c r="AB491" s="529"/>
      <c r="AC491" s="529"/>
      <c r="AD491" s="529"/>
      <c r="AE491" s="529"/>
      <c r="AF491" s="529"/>
      <c r="AG491" s="529"/>
      <c r="AH491" s="529"/>
      <c r="AI491" s="529"/>
      <c r="AJ491" s="529"/>
      <c r="AK491" s="529"/>
      <c r="AL491" s="529"/>
      <c r="AM491" s="529"/>
      <c r="AN491" s="529"/>
      <c r="AO491" s="529"/>
    </row>
    <row r="492">
      <c r="G492" s="529"/>
      <c r="H492" s="529"/>
      <c r="I492" s="529"/>
      <c r="J492" s="529"/>
      <c r="K492" s="529"/>
      <c r="L492" s="529"/>
      <c r="M492" s="529"/>
      <c r="N492" s="529"/>
      <c r="O492" s="529"/>
      <c r="P492" s="529"/>
      <c r="Q492" s="529"/>
      <c r="R492" s="529"/>
      <c r="S492" s="529"/>
      <c r="T492" s="529"/>
      <c r="U492" s="529"/>
      <c r="V492" s="529"/>
      <c r="W492" s="529"/>
      <c r="X492" s="529"/>
      <c r="Y492" s="529"/>
      <c r="Z492" s="529"/>
      <c r="AA492" s="529"/>
      <c r="AB492" s="529"/>
      <c r="AC492" s="529"/>
      <c r="AD492" s="529"/>
      <c r="AE492" s="529"/>
      <c r="AF492" s="529"/>
      <c r="AG492" s="529"/>
      <c r="AH492" s="529"/>
      <c r="AI492" s="529"/>
      <c r="AJ492" s="529"/>
      <c r="AK492" s="529"/>
      <c r="AL492" s="529"/>
      <c r="AM492" s="529"/>
      <c r="AN492" s="529"/>
      <c r="AO492" s="529"/>
    </row>
    <row r="493">
      <c r="G493" s="529"/>
      <c r="H493" s="529"/>
      <c r="I493" s="529"/>
      <c r="J493" s="529"/>
      <c r="K493" s="529"/>
      <c r="L493" s="529"/>
      <c r="M493" s="529"/>
      <c r="N493" s="529"/>
      <c r="O493" s="529"/>
      <c r="P493" s="529"/>
      <c r="Q493" s="529"/>
      <c r="R493" s="529"/>
      <c r="S493" s="529"/>
      <c r="T493" s="529"/>
      <c r="U493" s="529"/>
      <c r="V493" s="529"/>
      <c r="W493" s="529"/>
      <c r="X493" s="529"/>
      <c r="Y493" s="529"/>
      <c r="Z493" s="529"/>
      <c r="AA493" s="529"/>
      <c r="AB493" s="529"/>
      <c r="AC493" s="529"/>
      <c r="AD493" s="529"/>
      <c r="AE493" s="529"/>
      <c r="AF493" s="529"/>
      <c r="AG493" s="529"/>
      <c r="AH493" s="529"/>
      <c r="AI493" s="529"/>
      <c r="AJ493" s="529"/>
      <c r="AK493" s="529"/>
      <c r="AL493" s="529"/>
      <c r="AM493" s="529"/>
      <c r="AN493" s="529"/>
      <c r="AO493" s="529"/>
    </row>
    <row r="494">
      <c r="G494" s="529"/>
      <c r="H494" s="529"/>
      <c r="I494" s="529"/>
      <c r="J494" s="529"/>
      <c r="K494" s="529"/>
      <c r="L494" s="529"/>
      <c r="M494" s="529"/>
      <c r="N494" s="529"/>
      <c r="O494" s="529"/>
      <c r="P494" s="529"/>
      <c r="Q494" s="529"/>
      <c r="R494" s="529"/>
      <c r="S494" s="529"/>
      <c r="T494" s="529"/>
      <c r="U494" s="529"/>
      <c r="V494" s="529"/>
      <c r="W494" s="529"/>
      <c r="X494" s="529"/>
      <c r="Y494" s="529"/>
      <c r="Z494" s="529"/>
      <c r="AA494" s="529"/>
      <c r="AB494" s="529"/>
      <c r="AC494" s="529"/>
      <c r="AD494" s="529"/>
      <c r="AE494" s="529"/>
      <c r="AF494" s="529"/>
      <c r="AG494" s="529"/>
      <c r="AH494" s="529"/>
      <c r="AI494" s="529"/>
      <c r="AJ494" s="529"/>
      <c r="AK494" s="529"/>
      <c r="AL494" s="529"/>
      <c r="AM494" s="529"/>
      <c r="AN494" s="529"/>
      <c r="AO494" s="529"/>
    </row>
    <row r="495">
      <c r="G495" s="529"/>
      <c r="H495" s="529"/>
      <c r="I495" s="529"/>
      <c r="J495" s="529"/>
      <c r="K495" s="529"/>
      <c r="L495" s="529"/>
      <c r="M495" s="529"/>
      <c r="N495" s="529"/>
      <c r="O495" s="529"/>
      <c r="P495" s="529"/>
      <c r="Q495" s="529"/>
      <c r="R495" s="529"/>
      <c r="S495" s="529"/>
      <c r="T495" s="529"/>
      <c r="U495" s="529"/>
      <c r="V495" s="529"/>
      <c r="W495" s="529"/>
      <c r="X495" s="529"/>
      <c r="Y495" s="529"/>
      <c r="Z495" s="529"/>
      <c r="AA495" s="529"/>
      <c r="AB495" s="529"/>
      <c r="AC495" s="529"/>
      <c r="AD495" s="529"/>
      <c r="AE495" s="529"/>
      <c r="AF495" s="529"/>
      <c r="AG495" s="529"/>
      <c r="AH495" s="529"/>
      <c r="AI495" s="529"/>
      <c r="AJ495" s="529"/>
      <c r="AK495" s="529"/>
      <c r="AL495" s="529"/>
      <c r="AM495" s="529"/>
      <c r="AN495" s="529"/>
      <c r="AO495" s="529"/>
    </row>
    <row r="496">
      <c r="G496" s="529"/>
      <c r="H496" s="529"/>
      <c r="I496" s="529"/>
      <c r="J496" s="529"/>
      <c r="K496" s="529"/>
      <c r="L496" s="529"/>
      <c r="M496" s="529"/>
      <c r="N496" s="529"/>
      <c r="O496" s="529"/>
      <c r="P496" s="529"/>
      <c r="Q496" s="529"/>
      <c r="R496" s="529"/>
      <c r="S496" s="529"/>
      <c r="T496" s="529"/>
      <c r="U496" s="529"/>
      <c r="V496" s="529"/>
      <c r="W496" s="529"/>
      <c r="X496" s="529"/>
      <c r="Y496" s="529"/>
      <c r="Z496" s="529"/>
      <c r="AA496" s="529"/>
      <c r="AB496" s="529"/>
      <c r="AC496" s="529"/>
      <c r="AD496" s="529"/>
      <c r="AE496" s="529"/>
      <c r="AF496" s="529"/>
      <c r="AG496" s="529"/>
      <c r="AH496" s="529"/>
      <c r="AI496" s="529"/>
      <c r="AJ496" s="529"/>
      <c r="AK496" s="529"/>
      <c r="AL496" s="529"/>
      <c r="AM496" s="529"/>
      <c r="AN496" s="529"/>
      <c r="AO496" s="529"/>
    </row>
    <row r="497">
      <c r="G497" s="529"/>
      <c r="H497" s="529"/>
      <c r="I497" s="529"/>
      <c r="J497" s="529"/>
      <c r="K497" s="529"/>
      <c r="L497" s="529"/>
      <c r="M497" s="529"/>
      <c r="N497" s="529"/>
      <c r="O497" s="529"/>
      <c r="P497" s="529"/>
      <c r="Q497" s="529"/>
      <c r="R497" s="529"/>
      <c r="S497" s="529"/>
      <c r="T497" s="529"/>
      <c r="U497" s="529"/>
      <c r="V497" s="529"/>
      <c r="W497" s="529"/>
      <c r="X497" s="529"/>
      <c r="Y497" s="529"/>
      <c r="Z497" s="529"/>
      <c r="AA497" s="529"/>
      <c r="AB497" s="529"/>
      <c r="AC497" s="529"/>
      <c r="AD497" s="529"/>
      <c r="AE497" s="529"/>
      <c r="AF497" s="529"/>
      <c r="AG497" s="529"/>
      <c r="AH497" s="529"/>
      <c r="AI497" s="529"/>
      <c r="AJ497" s="529"/>
      <c r="AK497" s="529"/>
      <c r="AL497" s="529"/>
      <c r="AM497" s="529"/>
      <c r="AN497" s="529"/>
      <c r="AO497" s="529"/>
    </row>
    <row r="498">
      <c r="G498" s="529"/>
      <c r="H498" s="529"/>
      <c r="I498" s="529"/>
      <c r="J498" s="529"/>
      <c r="K498" s="529"/>
      <c r="L498" s="529"/>
      <c r="M498" s="529"/>
      <c r="N498" s="529"/>
      <c r="O498" s="529"/>
      <c r="P498" s="529"/>
      <c r="Q498" s="529"/>
      <c r="R498" s="529"/>
      <c r="S498" s="529"/>
      <c r="T498" s="529"/>
      <c r="U498" s="529"/>
      <c r="V498" s="529"/>
      <c r="W498" s="529"/>
      <c r="X498" s="529"/>
      <c r="Y498" s="529"/>
      <c r="Z498" s="529"/>
      <c r="AA498" s="529"/>
      <c r="AB498" s="529"/>
      <c r="AC498" s="529"/>
      <c r="AD498" s="529"/>
      <c r="AE498" s="529"/>
      <c r="AF498" s="529"/>
      <c r="AG498" s="529"/>
      <c r="AH498" s="529"/>
      <c r="AI498" s="529"/>
      <c r="AJ498" s="529"/>
      <c r="AK498" s="529"/>
      <c r="AL498" s="529"/>
      <c r="AM498" s="529"/>
      <c r="AN498" s="529"/>
      <c r="AO498" s="529"/>
    </row>
    <row r="499">
      <c r="G499" s="529"/>
      <c r="H499" s="529"/>
      <c r="I499" s="529"/>
      <c r="J499" s="529"/>
      <c r="K499" s="529"/>
      <c r="L499" s="529"/>
      <c r="M499" s="529"/>
      <c r="N499" s="529"/>
      <c r="O499" s="529"/>
      <c r="P499" s="529"/>
      <c r="Q499" s="529"/>
      <c r="R499" s="529"/>
      <c r="S499" s="529"/>
      <c r="T499" s="529"/>
      <c r="U499" s="529"/>
      <c r="V499" s="529"/>
      <c r="W499" s="529"/>
      <c r="X499" s="529"/>
      <c r="Y499" s="529"/>
      <c r="Z499" s="529"/>
      <c r="AA499" s="529"/>
      <c r="AB499" s="529"/>
      <c r="AC499" s="529"/>
      <c r="AD499" s="529"/>
      <c r="AE499" s="529"/>
      <c r="AF499" s="529"/>
      <c r="AG499" s="529"/>
      <c r="AH499" s="529"/>
      <c r="AI499" s="529"/>
      <c r="AJ499" s="529"/>
      <c r="AK499" s="529"/>
      <c r="AL499" s="529"/>
      <c r="AM499" s="529"/>
      <c r="AN499" s="529"/>
      <c r="AO499" s="529"/>
    </row>
    <row r="500">
      <c r="G500" s="529"/>
      <c r="H500" s="529"/>
      <c r="I500" s="529"/>
      <c r="J500" s="529"/>
      <c r="K500" s="529"/>
      <c r="L500" s="529"/>
      <c r="M500" s="529"/>
      <c r="N500" s="529"/>
      <c r="O500" s="529"/>
      <c r="P500" s="529"/>
      <c r="Q500" s="529"/>
      <c r="R500" s="529"/>
      <c r="S500" s="529"/>
      <c r="T500" s="529"/>
      <c r="U500" s="529"/>
      <c r="V500" s="529"/>
      <c r="W500" s="529"/>
      <c r="X500" s="529"/>
      <c r="Y500" s="529"/>
      <c r="Z500" s="529"/>
      <c r="AA500" s="529"/>
      <c r="AB500" s="529"/>
      <c r="AC500" s="529"/>
      <c r="AD500" s="529"/>
      <c r="AE500" s="529"/>
      <c r="AF500" s="529"/>
      <c r="AG500" s="529"/>
      <c r="AH500" s="529"/>
      <c r="AI500" s="529"/>
      <c r="AJ500" s="529"/>
      <c r="AK500" s="529"/>
      <c r="AL500" s="529"/>
      <c r="AM500" s="529"/>
      <c r="AN500" s="529"/>
      <c r="AO500" s="529"/>
    </row>
    <row r="501">
      <c r="G501" s="529"/>
      <c r="H501" s="529"/>
      <c r="I501" s="529"/>
      <c r="J501" s="529"/>
      <c r="K501" s="529"/>
      <c r="L501" s="529"/>
      <c r="M501" s="529"/>
      <c r="N501" s="529"/>
      <c r="O501" s="529"/>
      <c r="P501" s="529"/>
      <c r="Q501" s="529"/>
      <c r="R501" s="529"/>
      <c r="S501" s="529"/>
      <c r="T501" s="529"/>
      <c r="U501" s="529"/>
      <c r="V501" s="529"/>
      <c r="W501" s="529"/>
      <c r="X501" s="529"/>
      <c r="Y501" s="529"/>
      <c r="Z501" s="529"/>
      <c r="AA501" s="529"/>
      <c r="AB501" s="529"/>
      <c r="AC501" s="529"/>
      <c r="AD501" s="529"/>
      <c r="AE501" s="529"/>
      <c r="AF501" s="529"/>
      <c r="AG501" s="529"/>
      <c r="AH501" s="529"/>
      <c r="AI501" s="529"/>
      <c r="AJ501" s="529"/>
      <c r="AK501" s="529"/>
      <c r="AL501" s="529"/>
      <c r="AM501" s="529"/>
      <c r="AN501" s="529"/>
      <c r="AO501" s="529"/>
    </row>
    <row r="502">
      <c r="G502" s="529"/>
      <c r="H502" s="529"/>
      <c r="I502" s="529"/>
      <c r="J502" s="529"/>
      <c r="K502" s="529"/>
      <c r="L502" s="529"/>
      <c r="M502" s="529"/>
      <c r="N502" s="529"/>
      <c r="O502" s="529"/>
      <c r="P502" s="529"/>
      <c r="Q502" s="529"/>
      <c r="R502" s="529"/>
      <c r="S502" s="529"/>
      <c r="T502" s="529"/>
      <c r="U502" s="529"/>
      <c r="V502" s="529"/>
      <c r="W502" s="529"/>
      <c r="X502" s="529"/>
      <c r="Y502" s="529"/>
      <c r="Z502" s="529"/>
      <c r="AA502" s="529"/>
      <c r="AB502" s="529"/>
      <c r="AC502" s="529"/>
      <c r="AD502" s="529"/>
      <c r="AE502" s="529"/>
      <c r="AF502" s="529"/>
      <c r="AG502" s="529"/>
      <c r="AH502" s="529"/>
      <c r="AI502" s="529"/>
      <c r="AJ502" s="529"/>
      <c r="AK502" s="529"/>
      <c r="AL502" s="529"/>
      <c r="AM502" s="529"/>
      <c r="AN502" s="529"/>
      <c r="AO502" s="529"/>
    </row>
    <row r="503">
      <c r="G503" s="529"/>
      <c r="H503" s="529"/>
      <c r="I503" s="529"/>
      <c r="J503" s="529"/>
      <c r="K503" s="529"/>
      <c r="L503" s="529"/>
      <c r="M503" s="529"/>
      <c r="N503" s="529"/>
      <c r="O503" s="529"/>
      <c r="P503" s="529"/>
      <c r="Q503" s="529"/>
      <c r="R503" s="529"/>
      <c r="S503" s="529"/>
      <c r="T503" s="529"/>
      <c r="U503" s="529"/>
      <c r="V503" s="529"/>
      <c r="W503" s="529"/>
      <c r="X503" s="529"/>
      <c r="Y503" s="529"/>
      <c r="Z503" s="529"/>
      <c r="AA503" s="529"/>
      <c r="AB503" s="529"/>
      <c r="AC503" s="529"/>
      <c r="AD503" s="529"/>
      <c r="AE503" s="529"/>
      <c r="AF503" s="529"/>
      <c r="AG503" s="529"/>
      <c r="AH503" s="529"/>
      <c r="AI503" s="529"/>
      <c r="AJ503" s="529"/>
      <c r="AK503" s="529"/>
      <c r="AL503" s="529"/>
      <c r="AM503" s="529"/>
      <c r="AN503" s="529"/>
      <c r="AO503" s="529"/>
    </row>
    <row r="504">
      <c r="G504" s="529"/>
      <c r="H504" s="529"/>
      <c r="I504" s="529"/>
      <c r="J504" s="529"/>
      <c r="K504" s="529"/>
      <c r="L504" s="529"/>
      <c r="M504" s="529"/>
      <c r="N504" s="529"/>
      <c r="O504" s="529"/>
      <c r="P504" s="529"/>
      <c r="Q504" s="529"/>
      <c r="R504" s="529"/>
      <c r="S504" s="529"/>
      <c r="T504" s="529"/>
      <c r="U504" s="529"/>
      <c r="V504" s="529"/>
      <c r="W504" s="529"/>
      <c r="X504" s="529"/>
      <c r="Y504" s="529"/>
      <c r="Z504" s="529"/>
      <c r="AA504" s="529"/>
      <c r="AB504" s="529"/>
      <c r="AC504" s="529"/>
      <c r="AD504" s="529"/>
      <c r="AE504" s="529"/>
      <c r="AF504" s="529"/>
      <c r="AG504" s="529"/>
      <c r="AH504" s="529"/>
      <c r="AI504" s="529"/>
      <c r="AJ504" s="529"/>
      <c r="AK504" s="529"/>
      <c r="AL504" s="529"/>
      <c r="AM504" s="529"/>
      <c r="AN504" s="529"/>
      <c r="AO504" s="529"/>
    </row>
    <row r="505">
      <c r="G505" s="529"/>
      <c r="H505" s="529"/>
      <c r="I505" s="529"/>
      <c r="J505" s="529"/>
      <c r="K505" s="529"/>
      <c r="L505" s="529"/>
      <c r="M505" s="529"/>
      <c r="N505" s="529"/>
      <c r="O505" s="529"/>
      <c r="P505" s="529"/>
      <c r="Q505" s="529"/>
      <c r="R505" s="529"/>
      <c r="S505" s="529"/>
      <c r="T505" s="529"/>
      <c r="U505" s="529"/>
      <c r="V505" s="529"/>
      <c r="W505" s="529"/>
      <c r="X505" s="529"/>
      <c r="Y505" s="529"/>
      <c r="Z505" s="529"/>
      <c r="AA505" s="529"/>
      <c r="AB505" s="529"/>
      <c r="AC505" s="529"/>
      <c r="AD505" s="529"/>
      <c r="AE505" s="529"/>
      <c r="AF505" s="529"/>
      <c r="AG505" s="529"/>
      <c r="AH505" s="529"/>
      <c r="AI505" s="529"/>
      <c r="AJ505" s="529"/>
      <c r="AK505" s="529"/>
      <c r="AL505" s="529"/>
      <c r="AM505" s="529"/>
      <c r="AN505" s="529"/>
      <c r="AO505" s="529"/>
    </row>
    <row r="506">
      <c r="G506" s="529"/>
      <c r="H506" s="529"/>
      <c r="I506" s="529"/>
      <c r="J506" s="529"/>
      <c r="K506" s="529"/>
      <c r="L506" s="529"/>
      <c r="M506" s="529"/>
      <c r="N506" s="529"/>
      <c r="O506" s="529"/>
      <c r="P506" s="529"/>
      <c r="Q506" s="529"/>
      <c r="R506" s="529"/>
      <c r="S506" s="529"/>
      <c r="T506" s="529"/>
      <c r="U506" s="529"/>
      <c r="V506" s="529"/>
      <c r="W506" s="529"/>
      <c r="X506" s="529"/>
      <c r="Y506" s="529"/>
      <c r="Z506" s="529"/>
      <c r="AA506" s="529"/>
      <c r="AB506" s="529"/>
      <c r="AC506" s="529"/>
      <c r="AD506" s="529"/>
      <c r="AE506" s="529"/>
      <c r="AF506" s="529"/>
      <c r="AG506" s="529"/>
      <c r="AH506" s="529"/>
      <c r="AI506" s="529"/>
      <c r="AJ506" s="529"/>
      <c r="AK506" s="529"/>
      <c r="AL506" s="529"/>
      <c r="AM506" s="529"/>
      <c r="AN506" s="529"/>
      <c r="AO506" s="529"/>
    </row>
    <row r="507">
      <c r="G507" s="529"/>
      <c r="H507" s="529"/>
      <c r="I507" s="529"/>
      <c r="J507" s="529"/>
      <c r="K507" s="529"/>
      <c r="L507" s="529"/>
      <c r="M507" s="529"/>
      <c r="N507" s="529"/>
      <c r="O507" s="529"/>
      <c r="P507" s="529"/>
      <c r="Q507" s="529"/>
      <c r="R507" s="529"/>
      <c r="S507" s="529"/>
      <c r="T507" s="529"/>
      <c r="U507" s="529"/>
      <c r="V507" s="529"/>
      <c r="W507" s="529"/>
      <c r="X507" s="529"/>
      <c r="Y507" s="529"/>
      <c r="Z507" s="529"/>
      <c r="AA507" s="529"/>
      <c r="AB507" s="529"/>
      <c r="AC507" s="529"/>
      <c r="AD507" s="529"/>
      <c r="AE507" s="529"/>
      <c r="AF507" s="529"/>
      <c r="AG507" s="529"/>
      <c r="AH507" s="529"/>
      <c r="AI507" s="529"/>
      <c r="AJ507" s="529"/>
      <c r="AK507" s="529"/>
      <c r="AL507" s="529"/>
      <c r="AM507" s="529"/>
      <c r="AN507" s="529"/>
      <c r="AO507" s="529"/>
    </row>
    <row r="508">
      <c r="G508" s="529"/>
      <c r="H508" s="529"/>
      <c r="I508" s="529"/>
      <c r="J508" s="529"/>
      <c r="K508" s="529"/>
      <c r="L508" s="529"/>
      <c r="M508" s="529"/>
      <c r="N508" s="529"/>
      <c r="O508" s="529"/>
      <c r="P508" s="529"/>
      <c r="Q508" s="529"/>
      <c r="R508" s="529"/>
      <c r="S508" s="529"/>
      <c r="T508" s="529"/>
      <c r="U508" s="529"/>
      <c r="V508" s="529"/>
      <c r="W508" s="529"/>
      <c r="X508" s="529"/>
      <c r="Y508" s="529"/>
      <c r="Z508" s="529"/>
      <c r="AA508" s="529"/>
      <c r="AB508" s="529"/>
      <c r="AC508" s="529"/>
      <c r="AD508" s="529"/>
      <c r="AE508" s="529"/>
      <c r="AF508" s="529"/>
      <c r="AG508" s="529"/>
      <c r="AH508" s="529"/>
      <c r="AI508" s="529"/>
      <c r="AJ508" s="529"/>
      <c r="AK508" s="529"/>
      <c r="AL508" s="529"/>
      <c r="AM508" s="529"/>
      <c r="AN508" s="529"/>
      <c r="AO508" s="529"/>
    </row>
    <row r="509">
      <c r="G509" s="529"/>
      <c r="H509" s="529"/>
      <c r="I509" s="529"/>
      <c r="J509" s="529"/>
      <c r="K509" s="529"/>
      <c r="L509" s="529"/>
      <c r="M509" s="529"/>
      <c r="N509" s="529"/>
      <c r="O509" s="529"/>
      <c r="P509" s="529"/>
      <c r="Q509" s="529"/>
      <c r="R509" s="529"/>
      <c r="S509" s="529"/>
      <c r="T509" s="529"/>
      <c r="U509" s="529"/>
      <c r="V509" s="529"/>
      <c r="W509" s="529"/>
      <c r="X509" s="529"/>
      <c r="Y509" s="529"/>
      <c r="Z509" s="529"/>
      <c r="AA509" s="529"/>
      <c r="AB509" s="529"/>
      <c r="AC509" s="529"/>
      <c r="AD509" s="529"/>
      <c r="AE509" s="529"/>
      <c r="AF509" s="529"/>
      <c r="AG509" s="529"/>
      <c r="AH509" s="529"/>
      <c r="AI509" s="529"/>
      <c r="AJ509" s="529"/>
      <c r="AK509" s="529"/>
      <c r="AL509" s="529"/>
      <c r="AM509" s="529"/>
      <c r="AN509" s="529"/>
      <c r="AO509" s="529"/>
    </row>
    <row r="510">
      <c r="G510" s="529"/>
      <c r="H510" s="529"/>
      <c r="I510" s="529"/>
      <c r="J510" s="529"/>
      <c r="K510" s="529"/>
      <c r="L510" s="529"/>
      <c r="M510" s="529"/>
      <c r="N510" s="529"/>
      <c r="O510" s="529"/>
      <c r="P510" s="529"/>
      <c r="Q510" s="529"/>
      <c r="R510" s="529"/>
      <c r="S510" s="529"/>
      <c r="T510" s="529"/>
      <c r="U510" s="529"/>
      <c r="V510" s="529"/>
      <c r="W510" s="529"/>
      <c r="X510" s="529"/>
      <c r="Y510" s="529"/>
      <c r="Z510" s="529"/>
      <c r="AA510" s="529"/>
      <c r="AB510" s="529"/>
      <c r="AC510" s="529"/>
      <c r="AD510" s="529"/>
      <c r="AE510" s="529"/>
      <c r="AF510" s="529"/>
      <c r="AG510" s="529"/>
      <c r="AH510" s="529"/>
      <c r="AI510" s="529"/>
      <c r="AJ510" s="529"/>
      <c r="AK510" s="529"/>
      <c r="AL510" s="529"/>
      <c r="AM510" s="529"/>
      <c r="AN510" s="529"/>
      <c r="AO510" s="529"/>
    </row>
    <row r="511">
      <c r="G511" s="529"/>
      <c r="H511" s="529"/>
      <c r="I511" s="529"/>
      <c r="J511" s="529"/>
      <c r="K511" s="529"/>
      <c r="L511" s="529"/>
      <c r="M511" s="529"/>
      <c r="N511" s="529"/>
      <c r="O511" s="529"/>
      <c r="P511" s="529"/>
      <c r="Q511" s="529"/>
      <c r="R511" s="529"/>
      <c r="S511" s="529"/>
      <c r="T511" s="529"/>
      <c r="U511" s="529"/>
      <c r="V511" s="529"/>
      <c r="W511" s="529"/>
      <c r="X511" s="529"/>
      <c r="Y511" s="529"/>
      <c r="Z511" s="529"/>
      <c r="AA511" s="529"/>
      <c r="AB511" s="529"/>
      <c r="AC511" s="529"/>
      <c r="AD511" s="529"/>
      <c r="AE511" s="529"/>
      <c r="AF511" s="529"/>
      <c r="AG511" s="529"/>
      <c r="AH511" s="529"/>
      <c r="AI511" s="529"/>
      <c r="AJ511" s="529"/>
      <c r="AK511" s="529"/>
      <c r="AL511" s="529"/>
      <c r="AM511" s="529"/>
      <c r="AN511" s="529"/>
      <c r="AO511" s="529"/>
    </row>
    <row r="512">
      <c r="G512" s="529"/>
      <c r="H512" s="529"/>
      <c r="I512" s="529"/>
      <c r="J512" s="529"/>
      <c r="K512" s="529"/>
      <c r="L512" s="529"/>
      <c r="M512" s="529"/>
      <c r="N512" s="529"/>
      <c r="O512" s="529"/>
      <c r="P512" s="529"/>
      <c r="Q512" s="529"/>
      <c r="R512" s="529"/>
      <c r="S512" s="529"/>
      <c r="T512" s="529"/>
      <c r="U512" s="529"/>
      <c r="V512" s="529"/>
      <c r="W512" s="529"/>
      <c r="X512" s="529"/>
      <c r="Y512" s="529"/>
      <c r="Z512" s="529"/>
      <c r="AA512" s="529"/>
      <c r="AB512" s="529"/>
      <c r="AC512" s="529"/>
      <c r="AD512" s="529"/>
      <c r="AE512" s="529"/>
      <c r="AF512" s="529"/>
      <c r="AG512" s="529"/>
      <c r="AH512" s="529"/>
      <c r="AI512" s="529"/>
      <c r="AJ512" s="529"/>
      <c r="AK512" s="529"/>
      <c r="AL512" s="529"/>
      <c r="AM512" s="529"/>
      <c r="AN512" s="529"/>
      <c r="AO512" s="529"/>
    </row>
    <row r="513">
      <c r="G513" s="529"/>
      <c r="H513" s="529"/>
      <c r="I513" s="529"/>
      <c r="J513" s="529"/>
      <c r="K513" s="529"/>
      <c r="L513" s="529"/>
      <c r="M513" s="529"/>
      <c r="N513" s="529"/>
      <c r="O513" s="529"/>
      <c r="P513" s="529"/>
      <c r="Q513" s="529"/>
      <c r="R513" s="529"/>
      <c r="S513" s="529"/>
      <c r="T513" s="529"/>
      <c r="U513" s="529"/>
      <c r="V513" s="529"/>
      <c r="W513" s="529"/>
      <c r="X513" s="529"/>
      <c r="Y513" s="529"/>
      <c r="Z513" s="529"/>
      <c r="AA513" s="529"/>
      <c r="AB513" s="529"/>
      <c r="AC513" s="529"/>
      <c r="AD513" s="529"/>
      <c r="AE513" s="529"/>
      <c r="AF513" s="529"/>
      <c r="AG513" s="529"/>
      <c r="AH513" s="529"/>
      <c r="AI513" s="529"/>
      <c r="AJ513" s="529"/>
      <c r="AK513" s="529"/>
      <c r="AL513" s="529"/>
      <c r="AM513" s="529"/>
      <c r="AN513" s="529"/>
      <c r="AO513" s="529"/>
    </row>
    <row r="514">
      <c r="G514" s="529"/>
      <c r="H514" s="529"/>
      <c r="I514" s="529"/>
      <c r="J514" s="529"/>
      <c r="K514" s="529"/>
      <c r="L514" s="529"/>
      <c r="M514" s="529"/>
      <c r="N514" s="529"/>
      <c r="O514" s="529"/>
      <c r="P514" s="529"/>
      <c r="Q514" s="529"/>
      <c r="R514" s="529"/>
      <c r="S514" s="529"/>
      <c r="T514" s="529"/>
      <c r="U514" s="529"/>
      <c r="V514" s="529"/>
      <c r="W514" s="529"/>
      <c r="X514" s="529"/>
      <c r="Y514" s="529"/>
      <c r="Z514" s="529"/>
      <c r="AA514" s="529"/>
      <c r="AB514" s="529"/>
      <c r="AC514" s="529"/>
      <c r="AD514" s="529"/>
      <c r="AE514" s="529"/>
      <c r="AF514" s="529"/>
      <c r="AG514" s="529"/>
      <c r="AH514" s="529"/>
      <c r="AI514" s="529"/>
      <c r="AJ514" s="529"/>
      <c r="AK514" s="529"/>
      <c r="AL514" s="529"/>
      <c r="AM514" s="529"/>
      <c r="AN514" s="529"/>
      <c r="AO514" s="529"/>
    </row>
    <row r="515">
      <c r="G515" s="529"/>
      <c r="H515" s="529"/>
      <c r="I515" s="529"/>
      <c r="J515" s="529"/>
      <c r="K515" s="529"/>
      <c r="L515" s="529"/>
      <c r="M515" s="529"/>
      <c r="N515" s="529"/>
      <c r="O515" s="529"/>
      <c r="P515" s="529"/>
      <c r="Q515" s="529"/>
      <c r="R515" s="529"/>
      <c r="S515" s="529"/>
      <c r="T515" s="529"/>
      <c r="U515" s="529"/>
      <c r="V515" s="529"/>
      <c r="W515" s="529"/>
      <c r="X515" s="529"/>
      <c r="Y515" s="529"/>
      <c r="Z515" s="529"/>
      <c r="AA515" s="529"/>
      <c r="AB515" s="529"/>
      <c r="AC515" s="529"/>
      <c r="AD515" s="529"/>
      <c r="AE515" s="529"/>
      <c r="AF515" s="529"/>
      <c r="AG515" s="529"/>
      <c r="AH515" s="529"/>
      <c r="AI515" s="529"/>
      <c r="AJ515" s="529"/>
      <c r="AK515" s="529"/>
      <c r="AL515" s="529"/>
      <c r="AM515" s="529"/>
      <c r="AN515" s="529"/>
      <c r="AO515" s="529"/>
    </row>
    <row r="516">
      <c r="G516" s="529"/>
      <c r="H516" s="529"/>
      <c r="I516" s="529"/>
      <c r="J516" s="529"/>
      <c r="K516" s="529"/>
      <c r="L516" s="529"/>
      <c r="M516" s="529"/>
      <c r="N516" s="529"/>
      <c r="O516" s="529"/>
      <c r="P516" s="529"/>
      <c r="Q516" s="529"/>
      <c r="R516" s="529"/>
      <c r="S516" s="529"/>
      <c r="T516" s="529"/>
      <c r="U516" s="529"/>
      <c r="V516" s="529"/>
      <c r="W516" s="529"/>
      <c r="X516" s="529"/>
      <c r="Y516" s="529"/>
      <c r="Z516" s="529"/>
      <c r="AA516" s="529"/>
      <c r="AB516" s="529"/>
      <c r="AC516" s="529"/>
      <c r="AD516" s="529"/>
      <c r="AE516" s="529"/>
      <c r="AF516" s="529"/>
      <c r="AG516" s="529"/>
      <c r="AH516" s="529"/>
      <c r="AI516" s="529"/>
      <c r="AJ516" s="529"/>
      <c r="AK516" s="529"/>
      <c r="AL516" s="529"/>
      <c r="AM516" s="529"/>
      <c r="AN516" s="529"/>
      <c r="AO516" s="529"/>
    </row>
    <row r="517">
      <c r="G517" s="529"/>
      <c r="H517" s="529"/>
      <c r="I517" s="529"/>
      <c r="J517" s="529"/>
      <c r="K517" s="529"/>
      <c r="L517" s="529"/>
      <c r="M517" s="529"/>
      <c r="N517" s="529"/>
      <c r="O517" s="529"/>
      <c r="P517" s="529"/>
      <c r="Q517" s="529"/>
      <c r="R517" s="529"/>
      <c r="S517" s="529"/>
      <c r="T517" s="529"/>
      <c r="U517" s="529"/>
      <c r="V517" s="529"/>
      <c r="W517" s="529"/>
      <c r="X517" s="529"/>
      <c r="Y517" s="529"/>
      <c r="Z517" s="529"/>
      <c r="AA517" s="529"/>
      <c r="AB517" s="529"/>
      <c r="AC517" s="529"/>
      <c r="AD517" s="529"/>
      <c r="AE517" s="529"/>
      <c r="AF517" s="529"/>
      <c r="AG517" s="529"/>
      <c r="AH517" s="529"/>
      <c r="AI517" s="529"/>
      <c r="AJ517" s="529"/>
      <c r="AK517" s="529"/>
      <c r="AL517" s="529"/>
      <c r="AM517" s="529"/>
      <c r="AN517" s="529"/>
      <c r="AO517" s="529"/>
    </row>
    <row r="518">
      <c r="G518" s="529"/>
      <c r="H518" s="529"/>
      <c r="I518" s="529"/>
      <c r="J518" s="529"/>
      <c r="K518" s="529"/>
      <c r="L518" s="529"/>
      <c r="M518" s="529"/>
      <c r="N518" s="529"/>
      <c r="O518" s="529"/>
      <c r="P518" s="529"/>
      <c r="Q518" s="529"/>
      <c r="R518" s="529"/>
      <c r="S518" s="529"/>
      <c r="T518" s="529"/>
      <c r="U518" s="529"/>
      <c r="V518" s="529"/>
      <c r="W518" s="529"/>
      <c r="X518" s="529"/>
      <c r="Y518" s="529"/>
      <c r="Z518" s="529"/>
      <c r="AA518" s="529"/>
      <c r="AB518" s="529"/>
      <c r="AC518" s="529"/>
      <c r="AD518" s="529"/>
      <c r="AE518" s="529"/>
      <c r="AF518" s="529"/>
      <c r="AG518" s="529"/>
      <c r="AH518" s="529"/>
      <c r="AI518" s="529"/>
      <c r="AJ518" s="529"/>
      <c r="AK518" s="529"/>
      <c r="AL518" s="529"/>
      <c r="AM518" s="529"/>
      <c r="AN518" s="529"/>
      <c r="AO518" s="529"/>
    </row>
    <row r="519">
      <c r="G519" s="529"/>
      <c r="H519" s="529"/>
      <c r="I519" s="529"/>
      <c r="J519" s="529"/>
      <c r="K519" s="529"/>
      <c r="L519" s="529"/>
      <c r="M519" s="529"/>
      <c r="N519" s="529"/>
      <c r="O519" s="529"/>
      <c r="P519" s="529"/>
      <c r="Q519" s="529"/>
      <c r="R519" s="529"/>
      <c r="S519" s="529"/>
      <c r="T519" s="529"/>
      <c r="U519" s="529"/>
      <c r="V519" s="529"/>
      <c r="W519" s="529"/>
      <c r="X519" s="529"/>
      <c r="Y519" s="529"/>
      <c r="Z519" s="529"/>
      <c r="AA519" s="529"/>
      <c r="AB519" s="529"/>
      <c r="AC519" s="529"/>
      <c r="AD519" s="529"/>
      <c r="AE519" s="529"/>
      <c r="AF519" s="529"/>
      <c r="AG519" s="529"/>
      <c r="AH519" s="529"/>
      <c r="AI519" s="529"/>
      <c r="AJ519" s="529"/>
      <c r="AK519" s="529"/>
      <c r="AL519" s="529"/>
      <c r="AM519" s="529"/>
      <c r="AN519" s="529"/>
      <c r="AO519" s="529"/>
    </row>
    <row r="520">
      <c r="G520" s="529"/>
      <c r="H520" s="529"/>
      <c r="I520" s="529"/>
      <c r="J520" s="529"/>
      <c r="K520" s="529"/>
      <c r="L520" s="529"/>
      <c r="M520" s="529"/>
      <c r="N520" s="529"/>
      <c r="O520" s="529"/>
      <c r="P520" s="529"/>
      <c r="Q520" s="529"/>
      <c r="R520" s="529"/>
      <c r="S520" s="529"/>
      <c r="T520" s="529"/>
      <c r="U520" s="529"/>
      <c r="V520" s="529"/>
      <c r="W520" s="529"/>
      <c r="X520" s="529"/>
      <c r="Y520" s="529"/>
      <c r="Z520" s="529"/>
      <c r="AA520" s="529"/>
      <c r="AB520" s="529"/>
      <c r="AC520" s="529"/>
      <c r="AD520" s="529"/>
      <c r="AE520" s="529"/>
      <c r="AF520" s="529"/>
      <c r="AG520" s="529"/>
      <c r="AH520" s="529"/>
      <c r="AI520" s="529"/>
      <c r="AJ520" s="529"/>
      <c r="AK520" s="529"/>
      <c r="AL520" s="529"/>
      <c r="AM520" s="529"/>
      <c r="AN520" s="529"/>
      <c r="AO520" s="529"/>
    </row>
    <row r="521">
      <c r="G521" s="529"/>
      <c r="H521" s="529"/>
      <c r="I521" s="529"/>
      <c r="J521" s="529"/>
      <c r="K521" s="529"/>
      <c r="L521" s="529"/>
      <c r="M521" s="529"/>
      <c r="N521" s="529"/>
      <c r="O521" s="529"/>
      <c r="P521" s="529"/>
      <c r="Q521" s="529"/>
      <c r="R521" s="529"/>
      <c r="S521" s="529"/>
      <c r="T521" s="529"/>
      <c r="U521" s="529"/>
      <c r="V521" s="529"/>
      <c r="W521" s="529"/>
      <c r="X521" s="529"/>
      <c r="Y521" s="529"/>
      <c r="Z521" s="529"/>
      <c r="AA521" s="529"/>
      <c r="AB521" s="529"/>
      <c r="AC521" s="529"/>
      <c r="AD521" s="529"/>
      <c r="AE521" s="529"/>
      <c r="AF521" s="529"/>
      <c r="AG521" s="529"/>
      <c r="AH521" s="529"/>
      <c r="AI521" s="529"/>
      <c r="AJ521" s="529"/>
      <c r="AK521" s="529"/>
      <c r="AL521" s="529"/>
      <c r="AM521" s="529"/>
      <c r="AN521" s="529"/>
      <c r="AO521" s="529"/>
    </row>
    <row r="522">
      <c r="G522" s="529"/>
      <c r="H522" s="529"/>
      <c r="I522" s="529"/>
      <c r="J522" s="529"/>
      <c r="K522" s="529"/>
      <c r="L522" s="529"/>
      <c r="M522" s="529"/>
      <c r="N522" s="529"/>
      <c r="O522" s="529"/>
      <c r="P522" s="529"/>
      <c r="Q522" s="529"/>
      <c r="R522" s="529"/>
      <c r="S522" s="529"/>
      <c r="T522" s="529"/>
      <c r="U522" s="529"/>
      <c r="V522" s="529"/>
      <c r="W522" s="529"/>
      <c r="X522" s="529"/>
      <c r="Y522" s="529"/>
      <c r="Z522" s="529"/>
      <c r="AA522" s="529"/>
      <c r="AB522" s="529"/>
      <c r="AC522" s="529"/>
      <c r="AD522" s="529"/>
      <c r="AE522" s="529"/>
      <c r="AF522" s="529"/>
      <c r="AG522" s="529"/>
      <c r="AH522" s="529"/>
      <c r="AI522" s="529"/>
      <c r="AJ522" s="529"/>
      <c r="AK522" s="529"/>
      <c r="AL522" s="529"/>
      <c r="AM522" s="529"/>
      <c r="AN522" s="529"/>
      <c r="AO522" s="529"/>
    </row>
    <row r="523">
      <c r="G523" s="529"/>
      <c r="H523" s="529"/>
      <c r="I523" s="529"/>
      <c r="J523" s="529"/>
      <c r="K523" s="529"/>
      <c r="L523" s="529"/>
      <c r="M523" s="529"/>
      <c r="N523" s="529"/>
      <c r="O523" s="529"/>
      <c r="P523" s="529"/>
      <c r="Q523" s="529"/>
      <c r="R523" s="529"/>
      <c r="S523" s="529"/>
      <c r="T523" s="529"/>
      <c r="U523" s="529"/>
      <c r="V523" s="529"/>
      <c r="W523" s="529"/>
      <c r="X523" s="529"/>
      <c r="Y523" s="529"/>
      <c r="Z523" s="529"/>
      <c r="AA523" s="529"/>
      <c r="AB523" s="529"/>
      <c r="AC523" s="529"/>
      <c r="AD523" s="529"/>
      <c r="AE523" s="529"/>
      <c r="AF523" s="529"/>
      <c r="AG523" s="529"/>
      <c r="AH523" s="529"/>
      <c r="AI523" s="529"/>
      <c r="AJ523" s="529"/>
      <c r="AK523" s="529"/>
      <c r="AL523" s="529"/>
      <c r="AM523" s="529"/>
      <c r="AN523" s="529"/>
      <c r="AO523" s="529"/>
    </row>
    <row r="524">
      <c r="G524" s="529"/>
      <c r="H524" s="529"/>
      <c r="I524" s="529"/>
      <c r="J524" s="529"/>
      <c r="K524" s="529"/>
      <c r="L524" s="529"/>
      <c r="M524" s="529"/>
      <c r="N524" s="529"/>
      <c r="O524" s="529"/>
      <c r="P524" s="529"/>
      <c r="Q524" s="529"/>
      <c r="R524" s="529"/>
      <c r="S524" s="529"/>
      <c r="T524" s="529"/>
      <c r="U524" s="529"/>
      <c r="V524" s="529"/>
      <c r="W524" s="529"/>
      <c r="X524" s="529"/>
      <c r="Y524" s="529"/>
      <c r="Z524" s="529"/>
      <c r="AA524" s="529"/>
      <c r="AB524" s="529"/>
      <c r="AC524" s="529"/>
      <c r="AD524" s="529"/>
      <c r="AE524" s="529"/>
      <c r="AF524" s="529"/>
      <c r="AG524" s="529"/>
      <c r="AH524" s="529"/>
      <c r="AI524" s="529"/>
      <c r="AJ524" s="529"/>
      <c r="AK524" s="529"/>
      <c r="AL524" s="529"/>
      <c r="AM524" s="529"/>
      <c r="AN524" s="529"/>
      <c r="AO524" s="529"/>
    </row>
    <row r="525">
      <c r="G525" s="529"/>
      <c r="H525" s="529"/>
      <c r="I525" s="529"/>
      <c r="J525" s="529"/>
      <c r="K525" s="529"/>
      <c r="L525" s="529"/>
      <c r="M525" s="529"/>
      <c r="N525" s="529"/>
      <c r="O525" s="529"/>
      <c r="P525" s="529"/>
      <c r="Q525" s="529"/>
      <c r="R525" s="529"/>
      <c r="S525" s="529"/>
      <c r="T525" s="529"/>
      <c r="U525" s="529"/>
      <c r="V525" s="529"/>
      <c r="W525" s="529"/>
      <c r="X525" s="529"/>
      <c r="Y525" s="529"/>
      <c r="Z525" s="529"/>
      <c r="AA525" s="529"/>
      <c r="AB525" s="529"/>
      <c r="AC525" s="529"/>
      <c r="AD525" s="529"/>
      <c r="AE525" s="529"/>
      <c r="AF525" s="529"/>
      <c r="AG525" s="529"/>
      <c r="AH525" s="529"/>
      <c r="AI525" s="529"/>
      <c r="AJ525" s="529"/>
      <c r="AK525" s="529"/>
      <c r="AL525" s="529"/>
      <c r="AM525" s="529"/>
      <c r="AN525" s="529"/>
      <c r="AO525" s="529"/>
    </row>
    <row r="526">
      <c r="G526" s="529"/>
      <c r="H526" s="529"/>
      <c r="I526" s="529"/>
      <c r="J526" s="529"/>
      <c r="K526" s="529"/>
      <c r="L526" s="529"/>
      <c r="M526" s="529"/>
      <c r="N526" s="529"/>
      <c r="O526" s="529"/>
      <c r="P526" s="529"/>
      <c r="Q526" s="529"/>
      <c r="R526" s="529"/>
      <c r="S526" s="529"/>
      <c r="T526" s="529"/>
      <c r="U526" s="529"/>
      <c r="V526" s="529"/>
      <c r="W526" s="529"/>
      <c r="X526" s="529"/>
      <c r="Y526" s="529"/>
      <c r="Z526" s="529"/>
      <c r="AA526" s="529"/>
      <c r="AB526" s="529"/>
      <c r="AC526" s="529"/>
      <c r="AD526" s="529"/>
      <c r="AE526" s="529"/>
      <c r="AF526" s="529"/>
      <c r="AG526" s="529"/>
      <c r="AH526" s="529"/>
      <c r="AI526" s="529"/>
      <c r="AJ526" s="529"/>
      <c r="AK526" s="529"/>
      <c r="AL526" s="529"/>
      <c r="AM526" s="529"/>
      <c r="AN526" s="529"/>
      <c r="AO526" s="529"/>
    </row>
    <row r="527">
      <c r="G527" s="529"/>
      <c r="H527" s="529"/>
      <c r="I527" s="529"/>
      <c r="J527" s="529"/>
      <c r="K527" s="529"/>
      <c r="L527" s="529"/>
      <c r="M527" s="529"/>
      <c r="N527" s="529"/>
      <c r="O527" s="529"/>
      <c r="P527" s="529"/>
      <c r="Q527" s="529"/>
      <c r="R527" s="529"/>
      <c r="S527" s="529"/>
      <c r="T527" s="529"/>
      <c r="U527" s="529"/>
      <c r="V527" s="529"/>
      <c r="W527" s="529"/>
      <c r="X527" s="529"/>
      <c r="Y527" s="529"/>
      <c r="Z527" s="529"/>
      <c r="AA527" s="529"/>
      <c r="AB527" s="529"/>
      <c r="AC527" s="529"/>
      <c r="AD527" s="529"/>
      <c r="AE527" s="529"/>
      <c r="AF527" s="529"/>
      <c r="AG527" s="529"/>
      <c r="AH527" s="529"/>
      <c r="AI527" s="529"/>
      <c r="AJ527" s="529"/>
      <c r="AK527" s="529"/>
      <c r="AL527" s="529"/>
      <c r="AM527" s="529"/>
      <c r="AN527" s="529"/>
      <c r="AO527" s="529"/>
    </row>
    <row r="528">
      <c r="G528" s="529"/>
      <c r="H528" s="529"/>
      <c r="I528" s="529"/>
      <c r="J528" s="529"/>
      <c r="K528" s="529"/>
      <c r="L528" s="529"/>
      <c r="M528" s="529"/>
      <c r="N528" s="529"/>
      <c r="O528" s="529"/>
      <c r="P528" s="529"/>
      <c r="Q528" s="529"/>
      <c r="R528" s="529"/>
      <c r="S528" s="529"/>
      <c r="T528" s="529"/>
      <c r="U528" s="529"/>
      <c r="V528" s="529"/>
      <c r="W528" s="529"/>
      <c r="X528" s="529"/>
      <c r="Y528" s="529"/>
      <c r="Z528" s="529"/>
      <c r="AA528" s="529"/>
      <c r="AB528" s="529"/>
      <c r="AC528" s="529"/>
      <c r="AD528" s="529"/>
      <c r="AE528" s="529"/>
      <c r="AF528" s="529"/>
      <c r="AG528" s="529"/>
      <c r="AH528" s="529"/>
      <c r="AI528" s="529"/>
      <c r="AJ528" s="529"/>
      <c r="AK528" s="529"/>
      <c r="AL528" s="529"/>
      <c r="AM528" s="529"/>
      <c r="AN528" s="529"/>
      <c r="AO528" s="529"/>
    </row>
    <row r="529">
      <c r="G529" s="529"/>
      <c r="H529" s="529"/>
      <c r="I529" s="529"/>
      <c r="J529" s="529"/>
      <c r="K529" s="529"/>
      <c r="L529" s="529"/>
      <c r="M529" s="529"/>
      <c r="N529" s="529"/>
      <c r="O529" s="529"/>
      <c r="P529" s="529"/>
      <c r="Q529" s="529"/>
      <c r="R529" s="529"/>
      <c r="S529" s="529"/>
      <c r="T529" s="529"/>
      <c r="U529" s="529"/>
      <c r="V529" s="529"/>
      <c r="W529" s="529"/>
      <c r="X529" s="529"/>
      <c r="Y529" s="529"/>
      <c r="Z529" s="529"/>
      <c r="AA529" s="529"/>
      <c r="AB529" s="529"/>
      <c r="AC529" s="529"/>
      <c r="AD529" s="529"/>
      <c r="AE529" s="529"/>
      <c r="AF529" s="529"/>
      <c r="AG529" s="529"/>
      <c r="AH529" s="529"/>
      <c r="AI529" s="529"/>
      <c r="AJ529" s="529"/>
      <c r="AK529" s="529"/>
      <c r="AL529" s="529"/>
      <c r="AM529" s="529"/>
      <c r="AN529" s="529"/>
      <c r="AO529" s="529"/>
    </row>
    <row r="530">
      <c r="G530" s="529"/>
      <c r="H530" s="529"/>
      <c r="I530" s="529"/>
      <c r="J530" s="529"/>
      <c r="K530" s="529"/>
      <c r="L530" s="529"/>
      <c r="M530" s="529"/>
      <c r="N530" s="529"/>
      <c r="O530" s="529"/>
      <c r="P530" s="529"/>
      <c r="Q530" s="529"/>
      <c r="R530" s="529"/>
      <c r="S530" s="529"/>
      <c r="T530" s="529"/>
      <c r="U530" s="529"/>
      <c r="V530" s="529"/>
      <c r="W530" s="529"/>
      <c r="X530" s="529"/>
      <c r="Y530" s="529"/>
      <c r="Z530" s="529"/>
      <c r="AA530" s="529"/>
      <c r="AB530" s="529"/>
      <c r="AC530" s="529"/>
      <c r="AD530" s="529"/>
      <c r="AE530" s="529"/>
      <c r="AF530" s="529"/>
      <c r="AG530" s="529"/>
      <c r="AH530" s="529"/>
      <c r="AI530" s="529"/>
      <c r="AJ530" s="529"/>
      <c r="AK530" s="529"/>
      <c r="AL530" s="529"/>
      <c r="AM530" s="529"/>
      <c r="AN530" s="529"/>
      <c r="AO530" s="529"/>
    </row>
    <row r="531">
      <c r="G531" s="529"/>
      <c r="H531" s="529"/>
      <c r="I531" s="529"/>
      <c r="J531" s="529"/>
      <c r="K531" s="529"/>
      <c r="L531" s="529"/>
      <c r="M531" s="529"/>
      <c r="N531" s="529"/>
      <c r="O531" s="529"/>
      <c r="P531" s="529"/>
      <c r="Q531" s="529"/>
      <c r="R531" s="529"/>
      <c r="S531" s="529"/>
      <c r="T531" s="529"/>
      <c r="U531" s="529"/>
      <c r="V531" s="529"/>
      <c r="W531" s="529"/>
      <c r="X531" s="529"/>
      <c r="Y531" s="529"/>
      <c r="Z531" s="529"/>
      <c r="AA531" s="529"/>
      <c r="AB531" s="529"/>
      <c r="AC531" s="529"/>
      <c r="AD531" s="529"/>
      <c r="AE531" s="529"/>
      <c r="AF531" s="529"/>
      <c r="AG531" s="529"/>
      <c r="AH531" s="529"/>
      <c r="AI531" s="529"/>
      <c r="AJ531" s="529"/>
      <c r="AK531" s="529"/>
      <c r="AL531" s="529"/>
      <c r="AM531" s="529"/>
      <c r="AN531" s="529"/>
      <c r="AO531" s="529"/>
    </row>
    <row r="532">
      <c r="G532" s="529"/>
      <c r="H532" s="529"/>
      <c r="I532" s="529"/>
      <c r="J532" s="529"/>
      <c r="K532" s="529"/>
      <c r="L532" s="529"/>
      <c r="M532" s="529"/>
      <c r="N532" s="529"/>
      <c r="O532" s="529"/>
      <c r="P532" s="529"/>
      <c r="Q532" s="529"/>
      <c r="R532" s="529"/>
      <c r="S532" s="529"/>
      <c r="T532" s="529"/>
      <c r="U532" s="529"/>
      <c r="V532" s="529"/>
      <c r="W532" s="529"/>
      <c r="X532" s="529"/>
      <c r="Y532" s="529"/>
      <c r="Z532" s="529"/>
      <c r="AA532" s="529"/>
      <c r="AB532" s="529"/>
      <c r="AC532" s="529"/>
      <c r="AD532" s="529"/>
      <c r="AE532" s="529"/>
      <c r="AF532" s="529"/>
      <c r="AG532" s="529"/>
      <c r="AH532" s="529"/>
      <c r="AI532" s="529"/>
      <c r="AJ532" s="529"/>
      <c r="AK532" s="529"/>
      <c r="AL532" s="529"/>
      <c r="AM532" s="529"/>
      <c r="AN532" s="529"/>
      <c r="AO532" s="529"/>
    </row>
    <row r="533">
      <c r="G533" s="529"/>
      <c r="H533" s="529"/>
      <c r="I533" s="529"/>
      <c r="J533" s="529"/>
      <c r="K533" s="529"/>
      <c r="L533" s="529"/>
      <c r="M533" s="529"/>
      <c r="N533" s="529"/>
      <c r="O533" s="529"/>
      <c r="P533" s="529"/>
      <c r="Q533" s="529"/>
      <c r="R533" s="529"/>
      <c r="S533" s="529"/>
      <c r="T533" s="529"/>
      <c r="U533" s="529"/>
      <c r="V533" s="529"/>
      <c r="W533" s="529"/>
      <c r="X533" s="529"/>
      <c r="Y533" s="529"/>
      <c r="Z533" s="529"/>
      <c r="AA533" s="529"/>
      <c r="AB533" s="529"/>
      <c r="AC533" s="529"/>
      <c r="AD533" s="529"/>
      <c r="AE533" s="529"/>
      <c r="AF533" s="529"/>
      <c r="AG533" s="529"/>
      <c r="AH533" s="529"/>
      <c r="AI533" s="529"/>
      <c r="AJ533" s="529"/>
      <c r="AK533" s="529"/>
      <c r="AL533" s="529"/>
      <c r="AM533" s="529"/>
      <c r="AN533" s="529"/>
      <c r="AO533" s="529"/>
    </row>
    <row r="534">
      <c r="G534" s="529"/>
      <c r="H534" s="529"/>
      <c r="I534" s="529"/>
      <c r="J534" s="529"/>
      <c r="K534" s="529"/>
      <c r="L534" s="529"/>
      <c r="M534" s="529"/>
      <c r="N534" s="529"/>
      <c r="O534" s="529"/>
      <c r="P534" s="529"/>
      <c r="Q534" s="529"/>
      <c r="R534" s="529"/>
      <c r="S534" s="529"/>
      <c r="T534" s="529"/>
      <c r="U534" s="529"/>
      <c r="V534" s="529"/>
      <c r="W534" s="529"/>
      <c r="X534" s="529"/>
      <c r="Y534" s="529"/>
      <c r="Z534" s="529"/>
      <c r="AA534" s="529"/>
      <c r="AB534" s="529"/>
      <c r="AC534" s="529"/>
      <c r="AD534" s="529"/>
      <c r="AE534" s="529"/>
      <c r="AF534" s="529"/>
      <c r="AG534" s="529"/>
      <c r="AH534" s="529"/>
      <c r="AI534" s="529"/>
      <c r="AJ534" s="529"/>
      <c r="AK534" s="529"/>
      <c r="AL534" s="529"/>
      <c r="AM534" s="529"/>
      <c r="AN534" s="529"/>
      <c r="AO534" s="529"/>
    </row>
    <row r="535">
      <c r="G535" s="529"/>
      <c r="H535" s="529"/>
      <c r="I535" s="529"/>
      <c r="J535" s="529"/>
      <c r="K535" s="529"/>
      <c r="L535" s="529"/>
      <c r="M535" s="529"/>
      <c r="N535" s="529"/>
      <c r="O535" s="529"/>
      <c r="P535" s="529"/>
      <c r="Q535" s="529"/>
      <c r="R535" s="529"/>
      <c r="S535" s="529"/>
      <c r="T535" s="529"/>
      <c r="U535" s="529"/>
      <c r="V535" s="529"/>
      <c r="W535" s="529"/>
      <c r="X535" s="529"/>
      <c r="Y535" s="529"/>
      <c r="Z535" s="529"/>
      <c r="AA535" s="529"/>
      <c r="AB535" s="529"/>
      <c r="AC535" s="529"/>
      <c r="AD535" s="529"/>
      <c r="AE535" s="529"/>
      <c r="AF535" s="529"/>
      <c r="AG535" s="529"/>
      <c r="AH535" s="529"/>
      <c r="AI535" s="529"/>
      <c r="AJ535" s="529"/>
      <c r="AK535" s="529"/>
      <c r="AL535" s="529"/>
      <c r="AM535" s="529"/>
      <c r="AN535" s="529"/>
      <c r="AO535" s="529"/>
    </row>
    <row r="536">
      <c r="G536" s="529"/>
      <c r="H536" s="529"/>
      <c r="I536" s="529"/>
      <c r="J536" s="529"/>
      <c r="K536" s="529"/>
      <c r="L536" s="529"/>
      <c r="M536" s="529"/>
      <c r="N536" s="529"/>
      <c r="O536" s="529"/>
      <c r="P536" s="529"/>
      <c r="Q536" s="529"/>
      <c r="R536" s="529"/>
      <c r="S536" s="529"/>
      <c r="T536" s="529"/>
      <c r="U536" s="529"/>
      <c r="V536" s="529"/>
      <c r="W536" s="529"/>
      <c r="X536" s="529"/>
      <c r="Y536" s="529"/>
      <c r="Z536" s="529"/>
      <c r="AA536" s="529"/>
      <c r="AB536" s="529"/>
      <c r="AC536" s="529"/>
      <c r="AD536" s="529"/>
      <c r="AE536" s="529"/>
      <c r="AF536" s="529"/>
      <c r="AG536" s="529"/>
      <c r="AH536" s="529"/>
      <c r="AI536" s="529"/>
      <c r="AJ536" s="529"/>
      <c r="AK536" s="529"/>
      <c r="AL536" s="529"/>
      <c r="AM536" s="529"/>
      <c r="AN536" s="529"/>
      <c r="AO536" s="529"/>
    </row>
    <row r="537">
      <c r="G537" s="529"/>
      <c r="H537" s="529"/>
      <c r="I537" s="529"/>
      <c r="J537" s="529"/>
      <c r="K537" s="529"/>
      <c r="L537" s="529"/>
      <c r="M537" s="529"/>
      <c r="N537" s="529"/>
      <c r="O537" s="529"/>
      <c r="P537" s="529"/>
      <c r="Q537" s="529"/>
      <c r="R537" s="529"/>
      <c r="S537" s="529"/>
      <c r="T537" s="529"/>
      <c r="U537" s="529"/>
      <c r="V537" s="529"/>
      <c r="W537" s="529"/>
      <c r="X537" s="529"/>
      <c r="Y537" s="529"/>
      <c r="Z537" s="529"/>
      <c r="AA537" s="529"/>
      <c r="AB537" s="529"/>
      <c r="AC537" s="529"/>
      <c r="AD537" s="529"/>
      <c r="AE537" s="529"/>
      <c r="AF537" s="529"/>
      <c r="AG537" s="529"/>
      <c r="AH537" s="529"/>
      <c r="AI537" s="529"/>
      <c r="AJ537" s="529"/>
      <c r="AK537" s="529"/>
      <c r="AL537" s="529"/>
      <c r="AM537" s="529"/>
      <c r="AN537" s="529"/>
      <c r="AO537" s="529"/>
    </row>
    <row r="538">
      <c r="G538" s="529"/>
      <c r="H538" s="529"/>
      <c r="I538" s="529"/>
      <c r="J538" s="529"/>
      <c r="K538" s="529"/>
      <c r="L538" s="529"/>
      <c r="M538" s="529"/>
      <c r="N538" s="529"/>
      <c r="O538" s="529"/>
      <c r="P538" s="529"/>
      <c r="Q538" s="529"/>
      <c r="R538" s="529"/>
      <c r="S538" s="529"/>
      <c r="T538" s="529"/>
      <c r="U538" s="529"/>
      <c r="V538" s="529"/>
      <c r="W538" s="529"/>
      <c r="X538" s="529"/>
      <c r="Y538" s="529"/>
      <c r="Z538" s="529"/>
      <c r="AA538" s="529"/>
      <c r="AB538" s="529"/>
      <c r="AC538" s="529"/>
      <c r="AD538" s="529"/>
      <c r="AE538" s="529"/>
      <c r="AF538" s="529"/>
      <c r="AG538" s="529"/>
      <c r="AH538" s="529"/>
      <c r="AI538" s="529"/>
      <c r="AJ538" s="529"/>
      <c r="AK538" s="529"/>
      <c r="AL538" s="529"/>
      <c r="AM538" s="529"/>
      <c r="AN538" s="529"/>
      <c r="AO538" s="529"/>
    </row>
    <row r="539">
      <c r="G539" s="529"/>
      <c r="H539" s="529"/>
      <c r="I539" s="529"/>
      <c r="J539" s="529"/>
      <c r="K539" s="529"/>
      <c r="L539" s="529"/>
      <c r="M539" s="529"/>
      <c r="N539" s="529"/>
      <c r="O539" s="529"/>
      <c r="P539" s="529"/>
      <c r="Q539" s="529"/>
      <c r="R539" s="529"/>
      <c r="S539" s="529"/>
      <c r="T539" s="529"/>
      <c r="U539" s="529"/>
      <c r="V539" s="529"/>
      <c r="W539" s="529"/>
      <c r="X539" s="529"/>
      <c r="Y539" s="529"/>
      <c r="Z539" s="529"/>
      <c r="AA539" s="529"/>
      <c r="AB539" s="529"/>
      <c r="AC539" s="529"/>
      <c r="AD539" s="529"/>
      <c r="AE539" s="529"/>
      <c r="AF539" s="529"/>
      <c r="AG539" s="529"/>
      <c r="AH539" s="529"/>
      <c r="AI539" s="529"/>
      <c r="AJ539" s="529"/>
      <c r="AK539" s="529"/>
      <c r="AL539" s="529"/>
      <c r="AM539" s="529"/>
      <c r="AN539" s="529"/>
      <c r="AO539" s="529"/>
    </row>
    <row r="540">
      <c r="G540" s="529"/>
      <c r="H540" s="529"/>
      <c r="I540" s="529"/>
      <c r="J540" s="529"/>
      <c r="K540" s="529"/>
      <c r="L540" s="529"/>
      <c r="M540" s="529"/>
      <c r="N540" s="529"/>
      <c r="O540" s="529"/>
      <c r="P540" s="529"/>
      <c r="Q540" s="529"/>
      <c r="R540" s="529"/>
      <c r="S540" s="529"/>
      <c r="T540" s="529"/>
      <c r="U540" s="529"/>
      <c r="V540" s="529"/>
      <c r="W540" s="529"/>
      <c r="X540" s="529"/>
      <c r="Y540" s="529"/>
      <c r="Z540" s="529"/>
      <c r="AA540" s="529"/>
      <c r="AB540" s="529"/>
      <c r="AC540" s="529"/>
      <c r="AD540" s="529"/>
      <c r="AE540" s="529"/>
      <c r="AF540" s="529"/>
      <c r="AG540" s="529"/>
      <c r="AH540" s="529"/>
      <c r="AI540" s="529"/>
      <c r="AJ540" s="529"/>
      <c r="AK540" s="529"/>
      <c r="AL540" s="529"/>
      <c r="AM540" s="529"/>
      <c r="AN540" s="529"/>
      <c r="AO540" s="529"/>
    </row>
    <row r="541">
      <c r="G541" s="529"/>
      <c r="H541" s="529"/>
      <c r="I541" s="529"/>
      <c r="J541" s="529"/>
      <c r="K541" s="529"/>
      <c r="L541" s="529"/>
      <c r="M541" s="529"/>
      <c r="N541" s="529"/>
      <c r="O541" s="529"/>
      <c r="P541" s="529"/>
      <c r="Q541" s="529"/>
      <c r="R541" s="529"/>
      <c r="S541" s="529"/>
      <c r="T541" s="529"/>
      <c r="U541" s="529"/>
      <c r="V541" s="529"/>
      <c r="W541" s="529"/>
      <c r="X541" s="529"/>
      <c r="Y541" s="529"/>
      <c r="Z541" s="529"/>
      <c r="AA541" s="529"/>
      <c r="AB541" s="529"/>
      <c r="AC541" s="529"/>
      <c r="AD541" s="529"/>
      <c r="AE541" s="529"/>
      <c r="AF541" s="529"/>
      <c r="AG541" s="529"/>
      <c r="AH541" s="529"/>
      <c r="AI541" s="529"/>
      <c r="AJ541" s="529"/>
      <c r="AK541" s="529"/>
      <c r="AL541" s="529"/>
      <c r="AM541" s="529"/>
      <c r="AN541" s="529"/>
      <c r="AO541" s="529"/>
    </row>
    <row r="542">
      <c r="G542" s="529"/>
      <c r="H542" s="529"/>
      <c r="I542" s="529"/>
      <c r="J542" s="529"/>
      <c r="K542" s="529"/>
      <c r="L542" s="529"/>
      <c r="M542" s="529"/>
      <c r="N542" s="529"/>
      <c r="O542" s="529"/>
      <c r="P542" s="529"/>
      <c r="Q542" s="529"/>
      <c r="R542" s="529"/>
      <c r="S542" s="529"/>
      <c r="T542" s="529"/>
      <c r="U542" s="529"/>
      <c r="V542" s="529"/>
      <c r="W542" s="529"/>
      <c r="X542" s="529"/>
      <c r="Y542" s="529"/>
      <c r="Z542" s="529"/>
      <c r="AA542" s="529"/>
      <c r="AB542" s="529"/>
      <c r="AC542" s="529"/>
      <c r="AD542" s="529"/>
      <c r="AE542" s="529"/>
      <c r="AF542" s="529"/>
      <c r="AG542" s="529"/>
      <c r="AH542" s="529"/>
      <c r="AI542" s="529"/>
      <c r="AJ542" s="529"/>
      <c r="AK542" s="529"/>
      <c r="AL542" s="529"/>
      <c r="AM542" s="529"/>
      <c r="AN542" s="529"/>
      <c r="AO542" s="529"/>
    </row>
    <row r="543">
      <c r="G543" s="529"/>
      <c r="H543" s="529"/>
      <c r="I543" s="529"/>
      <c r="J543" s="529"/>
      <c r="K543" s="529"/>
      <c r="L543" s="529"/>
      <c r="M543" s="529"/>
      <c r="N543" s="529"/>
      <c r="O543" s="529"/>
      <c r="P543" s="529"/>
      <c r="Q543" s="529"/>
      <c r="R543" s="529"/>
      <c r="S543" s="529"/>
      <c r="T543" s="529"/>
      <c r="U543" s="529"/>
      <c r="V543" s="529"/>
      <c r="W543" s="529"/>
      <c r="X543" s="529"/>
      <c r="Y543" s="529"/>
      <c r="Z543" s="529"/>
      <c r="AA543" s="529"/>
      <c r="AB543" s="529"/>
      <c r="AC543" s="529"/>
      <c r="AD543" s="529"/>
      <c r="AE543" s="529"/>
      <c r="AF543" s="529"/>
      <c r="AG543" s="529"/>
      <c r="AH543" s="529"/>
      <c r="AI543" s="529"/>
      <c r="AJ543" s="529"/>
      <c r="AK543" s="529"/>
      <c r="AL543" s="529"/>
      <c r="AM543" s="529"/>
      <c r="AN543" s="529"/>
      <c r="AO543" s="529"/>
    </row>
    <row r="544">
      <c r="G544" s="529"/>
      <c r="H544" s="529"/>
      <c r="I544" s="529"/>
      <c r="J544" s="529"/>
      <c r="K544" s="529"/>
      <c r="L544" s="529"/>
      <c r="M544" s="529"/>
      <c r="N544" s="529"/>
      <c r="O544" s="529"/>
      <c r="P544" s="529"/>
      <c r="Q544" s="529"/>
      <c r="R544" s="529"/>
      <c r="S544" s="529"/>
      <c r="T544" s="529"/>
      <c r="U544" s="529"/>
      <c r="V544" s="529"/>
      <c r="W544" s="529"/>
      <c r="X544" s="529"/>
      <c r="Y544" s="529"/>
      <c r="Z544" s="529"/>
      <c r="AA544" s="529"/>
      <c r="AB544" s="529"/>
      <c r="AC544" s="529"/>
      <c r="AD544" s="529"/>
      <c r="AE544" s="529"/>
      <c r="AF544" s="529"/>
      <c r="AG544" s="529"/>
      <c r="AH544" s="529"/>
      <c r="AI544" s="529"/>
      <c r="AJ544" s="529"/>
      <c r="AK544" s="529"/>
      <c r="AL544" s="529"/>
      <c r="AM544" s="529"/>
      <c r="AN544" s="529"/>
      <c r="AO544" s="529"/>
    </row>
    <row r="545">
      <c r="G545" s="529"/>
      <c r="H545" s="529"/>
      <c r="I545" s="529"/>
      <c r="J545" s="529"/>
      <c r="K545" s="529"/>
      <c r="L545" s="529"/>
      <c r="M545" s="529"/>
      <c r="N545" s="529"/>
      <c r="O545" s="529"/>
      <c r="P545" s="529"/>
      <c r="Q545" s="529"/>
      <c r="R545" s="529"/>
      <c r="S545" s="529"/>
      <c r="T545" s="529"/>
      <c r="U545" s="529"/>
      <c r="V545" s="529"/>
      <c r="W545" s="529"/>
      <c r="X545" s="529"/>
      <c r="Y545" s="529"/>
      <c r="Z545" s="529"/>
      <c r="AA545" s="529"/>
      <c r="AB545" s="529"/>
      <c r="AC545" s="529"/>
      <c r="AD545" s="529"/>
      <c r="AE545" s="529"/>
      <c r="AF545" s="529"/>
      <c r="AG545" s="529"/>
      <c r="AH545" s="529"/>
      <c r="AI545" s="529"/>
      <c r="AJ545" s="529"/>
      <c r="AK545" s="529"/>
      <c r="AL545" s="529"/>
      <c r="AM545" s="529"/>
      <c r="AN545" s="529"/>
      <c r="AO545" s="529"/>
    </row>
    <row r="546">
      <c r="G546" s="529"/>
      <c r="H546" s="529"/>
      <c r="I546" s="529"/>
      <c r="J546" s="529"/>
      <c r="K546" s="529"/>
      <c r="L546" s="529"/>
      <c r="M546" s="529"/>
      <c r="N546" s="529"/>
      <c r="O546" s="529"/>
      <c r="P546" s="529"/>
      <c r="Q546" s="529"/>
      <c r="R546" s="529"/>
      <c r="S546" s="529"/>
      <c r="T546" s="529"/>
      <c r="U546" s="529"/>
      <c r="V546" s="529"/>
      <c r="W546" s="529"/>
      <c r="X546" s="529"/>
      <c r="Y546" s="529"/>
      <c r="Z546" s="529"/>
      <c r="AA546" s="529"/>
      <c r="AB546" s="529"/>
      <c r="AC546" s="529"/>
      <c r="AD546" s="529"/>
      <c r="AE546" s="529"/>
      <c r="AF546" s="529"/>
      <c r="AG546" s="529"/>
      <c r="AH546" s="529"/>
      <c r="AI546" s="529"/>
      <c r="AJ546" s="529"/>
      <c r="AK546" s="529"/>
      <c r="AL546" s="529"/>
      <c r="AM546" s="529"/>
      <c r="AN546" s="529"/>
      <c r="AO546" s="529"/>
    </row>
    <row r="547">
      <c r="G547" s="529"/>
      <c r="H547" s="529"/>
      <c r="I547" s="529"/>
      <c r="J547" s="529"/>
      <c r="K547" s="529"/>
      <c r="L547" s="529"/>
      <c r="M547" s="529"/>
      <c r="N547" s="529"/>
      <c r="O547" s="529"/>
      <c r="P547" s="529"/>
      <c r="Q547" s="529"/>
      <c r="R547" s="529"/>
      <c r="S547" s="529"/>
      <c r="T547" s="529"/>
      <c r="U547" s="529"/>
      <c r="V547" s="529"/>
      <c r="W547" s="529"/>
      <c r="X547" s="529"/>
      <c r="Y547" s="529"/>
      <c r="Z547" s="529"/>
      <c r="AA547" s="529"/>
      <c r="AB547" s="529"/>
      <c r="AC547" s="529"/>
      <c r="AD547" s="529"/>
      <c r="AE547" s="529"/>
      <c r="AF547" s="529"/>
      <c r="AG547" s="529"/>
      <c r="AH547" s="529"/>
      <c r="AI547" s="529"/>
      <c r="AJ547" s="529"/>
      <c r="AK547" s="529"/>
      <c r="AL547" s="529"/>
      <c r="AM547" s="529"/>
      <c r="AN547" s="529"/>
      <c r="AO547" s="529"/>
    </row>
    <row r="548">
      <c r="G548" s="529"/>
      <c r="H548" s="529"/>
      <c r="I548" s="529"/>
      <c r="J548" s="529"/>
      <c r="K548" s="529"/>
      <c r="L548" s="529"/>
      <c r="M548" s="529"/>
      <c r="N548" s="529"/>
      <c r="O548" s="529"/>
      <c r="P548" s="529"/>
      <c r="Q548" s="529"/>
      <c r="R548" s="529"/>
      <c r="S548" s="529"/>
      <c r="T548" s="529"/>
      <c r="U548" s="529"/>
      <c r="V548" s="529"/>
      <c r="W548" s="529"/>
      <c r="X548" s="529"/>
      <c r="Y548" s="529"/>
      <c r="Z548" s="529"/>
      <c r="AA548" s="529"/>
      <c r="AB548" s="529"/>
      <c r="AC548" s="529"/>
      <c r="AD548" s="529"/>
      <c r="AE548" s="529"/>
      <c r="AF548" s="529"/>
      <c r="AG548" s="529"/>
      <c r="AH548" s="529"/>
      <c r="AI548" s="529"/>
      <c r="AJ548" s="529"/>
      <c r="AK548" s="529"/>
      <c r="AL548" s="529"/>
      <c r="AM548" s="529"/>
      <c r="AN548" s="529"/>
      <c r="AO548" s="529"/>
    </row>
    <row r="549">
      <c r="G549" s="529"/>
      <c r="H549" s="529"/>
      <c r="I549" s="529"/>
      <c r="J549" s="529"/>
      <c r="K549" s="529"/>
      <c r="L549" s="529"/>
      <c r="M549" s="529"/>
      <c r="N549" s="529"/>
      <c r="O549" s="529"/>
      <c r="P549" s="529"/>
      <c r="Q549" s="529"/>
      <c r="R549" s="529"/>
      <c r="S549" s="529"/>
      <c r="T549" s="529"/>
      <c r="U549" s="529"/>
      <c r="V549" s="529"/>
      <c r="W549" s="529"/>
      <c r="X549" s="529"/>
      <c r="Y549" s="529"/>
      <c r="Z549" s="529"/>
      <c r="AA549" s="529"/>
      <c r="AB549" s="529"/>
      <c r="AC549" s="529"/>
      <c r="AD549" s="529"/>
      <c r="AE549" s="529"/>
      <c r="AF549" s="529"/>
      <c r="AG549" s="529"/>
      <c r="AH549" s="529"/>
      <c r="AI549" s="529"/>
      <c r="AJ549" s="529"/>
      <c r="AK549" s="529"/>
      <c r="AL549" s="529"/>
      <c r="AM549" s="529"/>
      <c r="AN549" s="529"/>
      <c r="AO549" s="529"/>
    </row>
    <row r="550">
      <c r="G550" s="529"/>
      <c r="H550" s="529"/>
      <c r="I550" s="529"/>
      <c r="J550" s="529"/>
      <c r="K550" s="529"/>
      <c r="L550" s="529"/>
      <c r="M550" s="529"/>
      <c r="N550" s="529"/>
      <c r="O550" s="529"/>
      <c r="P550" s="529"/>
      <c r="Q550" s="529"/>
      <c r="R550" s="529"/>
      <c r="S550" s="529"/>
      <c r="T550" s="529"/>
      <c r="U550" s="529"/>
      <c r="V550" s="529"/>
      <c r="W550" s="529"/>
      <c r="X550" s="529"/>
      <c r="Y550" s="529"/>
      <c r="Z550" s="529"/>
      <c r="AA550" s="529"/>
      <c r="AB550" s="529"/>
      <c r="AC550" s="529"/>
      <c r="AD550" s="529"/>
      <c r="AE550" s="529"/>
      <c r="AF550" s="529"/>
      <c r="AG550" s="529"/>
      <c r="AH550" s="529"/>
      <c r="AI550" s="529"/>
      <c r="AJ550" s="529"/>
      <c r="AK550" s="529"/>
      <c r="AL550" s="529"/>
      <c r="AM550" s="529"/>
      <c r="AN550" s="529"/>
      <c r="AO550" s="529"/>
    </row>
    <row r="551">
      <c r="G551" s="529"/>
      <c r="H551" s="529"/>
      <c r="I551" s="529"/>
      <c r="J551" s="529"/>
      <c r="K551" s="529"/>
      <c r="L551" s="529"/>
      <c r="M551" s="529"/>
      <c r="N551" s="529"/>
      <c r="O551" s="529"/>
      <c r="P551" s="529"/>
      <c r="Q551" s="529"/>
      <c r="R551" s="529"/>
      <c r="S551" s="529"/>
      <c r="T551" s="529"/>
      <c r="U551" s="529"/>
      <c r="V551" s="529"/>
      <c r="W551" s="529"/>
      <c r="X551" s="529"/>
      <c r="Y551" s="529"/>
      <c r="Z551" s="529"/>
      <c r="AA551" s="529"/>
      <c r="AB551" s="529"/>
      <c r="AC551" s="529"/>
      <c r="AD551" s="529"/>
      <c r="AE551" s="529"/>
      <c r="AF551" s="529"/>
      <c r="AG551" s="529"/>
      <c r="AH551" s="529"/>
      <c r="AI551" s="529"/>
      <c r="AJ551" s="529"/>
      <c r="AK551" s="529"/>
      <c r="AL551" s="529"/>
      <c r="AM551" s="529"/>
      <c r="AN551" s="529"/>
      <c r="AO551" s="529"/>
    </row>
    <row r="552">
      <c r="G552" s="529"/>
      <c r="H552" s="529"/>
      <c r="I552" s="529"/>
      <c r="J552" s="529"/>
      <c r="K552" s="529"/>
      <c r="L552" s="529"/>
      <c r="M552" s="529"/>
      <c r="N552" s="529"/>
      <c r="O552" s="529"/>
      <c r="P552" s="529"/>
      <c r="Q552" s="529"/>
      <c r="R552" s="529"/>
      <c r="S552" s="529"/>
      <c r="T552" s="529"/>
      <c r="U552" s="529"/>
      <c r="V552" s="529"/>
      <c r="W552" s="529"/>
      <c r="X552" s="529"/>
      <c r="Y552" s="529"/>
      <c r="Z552" s="529"/>
      <c r="AA552" s="529"/>
      <c r="AB552" s="529"/>
      <c r="AC552" s="529"/>
      <c r="AD552" s="529"/>
      <c r="AE552" s="529"/>
      <c r="AF552" s="529"/>
      <c r="AG552" s="529"/>
      <c r="AH552" s="529"/>
      <c r="AI552" s="529"/>
      <c r="AJ552" s="529"/>
      <c r="AK552" s="529"/>
      <c r="AL552" s="529"/>
      <c r="AM552" s="529"/>
      <c r="AN552" s="529"/>
      <c r="AO552" s="529"/>
    </row>
    <row r="553">
      <c r="G553" s="529"/>
      <c r="H553" s="529"/>
      <c r="I553" s="529"/>
      <c r="J553" s="529"/>
      <c r="K553" s="529"/>
      <c r="L553" s="529"/>
      <c r="M553" s="529"/>
      <c r="N553" s="529"/>
      <c r="O553" s="529"/>
      <c r="P553" s="529"/>
      <c r="Q553" s="529"/>
      <c r="R553" s="529"/>
      <c r="S553" s="529"/>
      <c r="T553" s="529"/>
      <c r="U553" s="529"/>
      <c r="V553" s="529"/>
      <c r="W553" s="529"/>
      <c r="X553" s="529"/>
      <c r="Y553" s="529"/>
      <c r="Z553" s="529"/>
      <c r="AA553" s="529"/>
      <c r="AB553" s="529"/>
      <c r="AC553" s="529"/>
      <c r="AD553" s="529"/>
      <c r="AE553" s="529"/>
      <c r="AF553" s="529"/>
      <c r="AG553" s="529"/>
      <c r="AH553" s="529"/>
      <c r="AI553" s="529"/>
      <c r="AJ553" s="529"/>
      <c r="AK553" s="529"/>
      <c r="AL553" s="529"/>
      <c r="AM553" s="529"/>
      <c r="AN553" s="529"/>
      <c r="AO553" s="529"/>
    </row>
    <row r="554">
      <c r="G554" s="529"/>
      <c r="H554" s="529"/>
      <c r="I554" s="529"/>
      <c r="J554" s="529"/>
      <c r="K554" s="529"/>
      <c r="L554" s="529"/>
      <c r="M554" s="529"/>
      <c r="N554" s="529"/>
      <c r="O554" s="529"/>
      <c r="P554" s="529"/>
      <c r="Q554" s="529"/>
      <c r="R554" s="529"/>
      <c r="S554" s="529"/>
      <c r="T554" s="529"/>
      <c r="U554" s="529"/>
      <c r="V554" s="529"/>
      <c r="W554" s="529"/>
      <c r="X554" s="529"/>
      <c r="Y554" s="529"/>
      <c r="Z554" s="529"/>
      <c r="AA554" s="529"/>
      <c r="AB554" s="529"/>
      <c r="AC554" s="529"/>
      <c r="AD554" s="529"/>
      <c r="AE554" s="529"/>
      <c r="AF554" s="529"/>
      <c r="AG554" s="529"/>
      <c r="AH554" s="529"/>
      <c r="AI554" s="529"/>
      <c r="AJ554" s="529"/>
      <c r="AK554" s="529"/>
      <c r="AL554" s="529"/>
      <c r="AM554" s="529"/>
      <c r="AN554" s="529"/>
      <c r="AO554" s="529"/>
    </row>
    <row r="555">
      <c r="G555" s="529"/>
      <c r="H555" s="529"/>
      <c r="I555" s="529"/>
      <c r="J555" s="529"/>
      <c r="K555" s="529"/>
      <c r="L555" s="529"/>
      <c r="M555" s="529"/>
      <c r="N555" s="529"/>
      <c r="O555" s="529"/>
      <c r="P555" s="529"/>
      <c r="Q555" s="529"/>
      <c r="R555" s="529"/>
      <c r="S555" s="529"/>
      <c r="T555" s="529"/>
      <c r="U555" s="529"/>
      <c r="V555" s="529"/>
      <c r="W555" s="529"/>
      <c r="X555" s="529"/>
      <c r="Y555" s="529"/>
      <c r="Z555" s="529"/>
      <c r="AA555" s="529"/>
      <c r="AB555" s="529"/>
      <c r="AC555" s="529"/>
      <c r="AD555" s="529"/>
      <c r="AE555" s="529"/>
      <c r="AF555" s="529"/>
      <c r="AG555" s="529"/>
      <c r="AH555" s="529"/>
      <c r="AI555" s="529"/>
      <c r="AJ555" s="529"/>
      <c r="AK555" s="529"/>
      <c r="AL555" s="529"/>
      <c r="AM555" s="529"/>
      <c r="AN555" s="529"/>
      <c r="AO555" s="529"/>
    </row>
    <row r="556">
      <c r="G556" s="529"/>
      <c r="H556" s="529"/>
      <c r="I556" s="529"/>
      <c r="J556" s="529"/>
      <c r="K556" s="529"/>
      <c r="L556" s="529"/>
      <c r="M556" s="529"/>
      <c r="N556" s="529"/>
      <c r="O556" s="529"/>
      <c r="P556" s="529"/>
      <c r="Q556" s="529"/>
      <c r="R556" s="529"/>
      <c r="S556" s="529"/>
      <c r="T556" s="529"/>
      <c r="U556" s="529"/>
      <c r="V556" s="529"/>
      <c r="W556" s="529"/>
      <c r="X556" s="529"/>
      <c r="Y556" s="529"/>
      <c r="Z556" s="529"/>
      <c r="AA556" s="529"/>
      <c r="AB556" s="529"/>
      <c r="AC556" s="529"/>
      <c r="AD556" s="529"/>
      <c r="AE556" s="529"/>
      <c r="AF556" s="529"/>
      <c r="AG556" s="529"/>
      <c r="AH556" s="529"/>
      <c r="AI556" s="529"/>
      <c r="AJ556" s="529"/>
      <c r="AK556" s="529"/>
      <c r="AL556" s="529"/>
      <c r="AM556" s="529"/>
      <c r="AN556" s="529"/>
      <c r="AO556" s="529"/>
    </row>
    <row r="557">
      <c r="G557" s="529"/>
      <c r="H557" s="529"/>
      <c r="I557" s="529"/>
      <c r="J557" s="529"/>
      <c r="K557" s="529"/>
      <c r="L557" s="529"/>
      <c r="M557" s="529"/>
      <c r="N557" s="529"/>
      <c r="O557" s="529"/>
      <c r="P557" s="529"/>
      <c r="Q557" s="529"/>
      <c r="R557" s="529"/>
      <c r="S557" s="529"/>
      <c r="T557" s="529"/>
      <c r="U557" s="529"/>
      <c r="V557" s="529"/>
      <c r="W557" s="529"/>
      <c r="X557" s="529"/>
      <c r="Y557" s="529"/>
      <c r="Z557" s="529"/>
      <c r="AA557" s="529"/>
      <c r="AB557" s="529"/>
      <c r="AC557" s="529"/>
      <c r="AD557" s="529"/>
      <c r="AE557" s="529"/>
      <c r="AF557" s="529"/>
      <c r="AG557" s="529"/>
      <c r="AH557" s="529"/>
      <c r="AI557" s="529"/>
      <c r="AJ557" s="529"/>
      <c r="AK557" s="529"/>
      <c r="AL557" s="529"/>
      <c r="AM557" s="529"/>
      <c r="AN557" s="529"/>
      <c r="AO557" s="529"/>
    </row>
    <row r="558">
      <c r="G558" s="529"/>
      <c r="H558" s="529"/>
      <c r="I558" s="529"/>
      <c r="J558" s="529"/>
      <c r="K558" s="529"/>
      <c r="L558" s="529"/>
      <c r="M558" s="529"/>
      <c r="N558" s="529"/>
      <c r="O558" s="529"/>
      <c r="P558" s="529"/>
      <c r="Q558" s="529"/>
      <c r="R558" s="529"/>
      <c r="S558" s="529"/>
      <c r="T558" s="529"/>
      <c r="U558" s="529"/>
      <c r="V558" s="529"/>
      <c r="W558" s="529"/>
      <c r="X558" s="529"/>
      <c r="Y558" s="529"/>
      <c r="Z558" s="529"/>
      <c r="AA558" s="529"/>
      <c r="AB558" s="529"/>
      <c r="AC558" s="529"/>
      <c r="AD558" s="529"/>
      <c r="AE558" s="529"/>
      <c r="AF558" s="529"/>
      <c r="AG558" s="529"/>
      <c r="AH558" s="529"/>
      <c r="AI558" s="529"/>
      <c r="AJ558" s="529"/>
      <c r="AK558" s="529"/>
      <c r="AL558" s="529"/>
      <c r="AM558" s="529"/>
      <c r="AN558" s="529"/>
      <c r="AO558" s="529"/>
    </row>
    <row r="559">
      <c r="G559" s="529"/>
      <c r="H559" s="529"/>
      <c r="I559" s="529"/>
      <c r="J559" s="529"/>
      <c r="K559" s="529"/>
      <c r="L559" s="529"/>
      <c r="M559" s="529"/>
      <c r="N559" s="529"/>
      <c r="O559" s="529"/>
      <c r="P559" s="529"/>
      <c r="Q559" s="529"/>
      <c r="R559" s="529"/>
      <c r="S559" s="529"/>
      <c r="T559" s="529"/>
      <c r="U559" s="529"/>
      <c r="V559" s="529"/>
      <c r="W559" s="529"/>
      <c r="X559" s="529"/>
      <c r="Y559" s="529"/>
      <c r="Z559" s="529"/>
      <c r="AA559" s="529"/>
      <c r="AB559" s="529"/>
      <c r="AC559" s="529"/>
      <c r="AD559" s="529"/>
      <c r="AE559" s="529"/>
      <c r="AF559" s="529"/>
      <c r="AG559" s="529"/>
      <c r="AH559" s="529"/>
      <c r="AI559" s="529"/>
      <c r="AJ559" s="529"/>
      <c r="AK559" s="529"/>
      <c r="AL559" s="529"/>
      <c r="AM559" s="529"/>
      <c r="AN559" s="529"/>
      <c r="AO559" s="529"/>
    </row>
    <row r="560">
      <c r="G560" s="529"/>
      <c r="H560" s="529"/>
      <c r="I560" s="529"/>
      <c r="J560" s="529"/>
      <c r="K560" s="529"/>
      <c r="L560" s="529"/>
      <c r="M560" s="529"/>
      <c r="N560" s="529"/>
      <c r="O560" s="529"/>
      <c r="P560" s="529"/>
      <c r="Q560" s="529"/>
      <c r="R560" s="529"/>
      <c r="S560" s="529"/>
      <c r="T560" s="529"/>
      <c r="U560" s="529"/>
      <c r="V560" s="529"/>
      <c r="W560" s="529"/>
      <c r="X560" s="529"/>
      <c r="Y560" s="529"/>
      <c r="Z560" s="529"/>
      <c r="AA560" s="529"/>
      <c r="AB560" s="529"/>
      <c r="AC560" s="529"/>
      <c r="AD560" s="529"/>
      <c r="AE560" s="529"/>
      <c r="AF560" s="529"/>
      <c r="AG560" s="529"/>
      <c r="AH560" s="529"/>
      <c r="AI560" s="529"/>
      <c r="AJ560" s="529"/>
      <c r="AK560" s="529"/>
      <c r="AL560" s="529"/>
      <c r="AM560" s="529"/>
      <c r="AN560" s="529"/>
      <c r="AO560" s="529"/>
    </row>
    <row r="561">
      <c r="G561" s="529"/>
      <c r="H561" s="529"/>
      <c r="I561" s="529"/>
      <c r="J561" s="529"/>
      <c r="K561" s="529"/>
      <c r="L561" s="529"/>
      <c r="M561" s="529"/>
      <c r="N561" s="529"/>
      <c r="O561" s="529"/>
      <c r="P561" s="529"/>
      <c r="Q561" s="529"/>
      <c r="R561" s="529"/>
      <c r="S561" s="529"/>
      <c r="T561" s="529"/>
      <c r="U561" s="529"/>
      <c r="V561" s="529"/>
      <c r="W561" s="529"/>
      <c r="X561" s="529"/>
      <c r="Y561" s="529"/>
      <c r="Z561" s="529"/>
      <c r="AA561" s="529"/>
      <c r="AB561" s="529"/>
      <c r="AC561" s="529"/>
      <c r="AD561" s="529"/>
      <c r="AE561" s="529"/>
      <c r="AF561" s="529"/>
      <c r="AG561" s="529"/>
      <c r="AH561" s="529"/>
      <c r="AI561" s="529"/>
      <c r="AJ561" s="529"/>
      <c r="AK561" s="529"/>
      <c r="AL561" s="529"/>
      <c r="AM561" s="529"/>
      <c r="AN561" s="529"/>
      <c r="AO561" s="529"/>
    </row>
    <row r="562">
      <c r="G562" s="529"/>
      <c r="H562" s="529"/>
      <c r="I562" s="529"/>
      <c r="J562" s="529"/>
      <c r="K562" s="529"/>
      <c r="L562" s="529"/>
      <c r="M562" s="529"/>
      <c r="N562" s="529"/>
      <c r="O562" s="529"/>
      <c r="P562" s="529"/>
      <c r="Q562" s="529"/>
      <c r="R562" s="529"/>
      <c r="S562" s="529"/>
      <c r="T562" s="529"/>
      <c r="U562" s="529"/>
      <c r="V562" s="529"/>
      <c r="W562" s="529"/>
      <c r="X562" s="529"/>
      <c r="Y562" s="529"/>
      <c r="Z562" s="529"/>
      <c r="AA562" s="529"/>
      <c r="AB562" s="529"/>
      <c r="AC562" s="529"/>
      <c r="AD562" s="529"/>
      <c r="AE562" s="529"/>
      <c r="AF562" s="529"/>
      <c r="AG562" s="529"/>
      <c r="AH562" s="529"/>
      <c r="AI562" s="529"/>
      <c r="AJ562" s="529"/>
      <c r="AK562" s="529"/>
      <c r="AL562" s="529"/>
      <c r="AM562" s="529"/>
      <c r="AN562" s="529"/>
      <c r="AO562" s="529"/>
    </row>
    <row r="563">
      <c r="G563" s="529"/>
      <c r="H563" s="529"/>
      <c r="I563" s="529"/>
      <c r="J563" s="529"/>
      <c r="K563" s="529"/>
      <c r="L563" s="529"/>
      <c r="M563" s="529"/>
      <c r="N563" s="529"/>
      <c r="O563" s="529"/>
      <c r="P563" s="529"/>
      <c r="Q563" s="529"/>
      <c r="R563" s="529"/>
      <c r="S563" s="529"/>
      <c r="T563" s="529"/>
      <c r="U563" s="529"/>
      <c r="V563" s="529"/>
      <c r="W563" s="529"/>
      <c r="X563" s="529"/>
      <c r="Y563" s="529"/>
      <c r="Z563" s="529"/>
      <c r="AA563" s="529"/>
      <c r="AB563" s="529"/>
      <c r="AC563" s="529"/>
      <c r="AD563" s="529"/>
      <c r="AE563" s="529"/>
      <c r="AF563" s="529"/>
      <c r="AG563" s="529"/>
      <c r="AH563" s="529"/>
      <c r="AI563" s="529"/>
      <c r="AJ563" s="529"/>
      <c r="AK563" s="529"/>
      <c r="AL563" s="529"/>
      <c r="AM563" s="529"/>
      <c r="AN563" s="529"/>
      <c r="AO563" s="529"/>
    </row>
    <row r="564">
      <c r="G564" s="529"/>
      <c r="H564" s="529"/>
      <c r="I564" s="529"/>
      <c r="J564" s="529"/>
      <c r="K564" s="529"/>
      <c r="L564" s="529"/>
      <c r="M564" s="529"/>
      <c r="N564" s="529"/>
      <c r="O564" s="529"/>
      <c r="P564" s="529"/>
      <c r="Q564" s="529"/>
      <c r="R564" s="529"/>
      <c r="S564" s="529"/>
      <c r="T564" s="529"/>
      <c r="U564" s="529"/>
      <c r="V564" s="529"/>
      <c r="W564" s="529"/>
      <c r="X564" s="529"/>
      <c r="Y564" s="529"/>
      <c r="Z564" s="529"/>
      <c r="AA564" s="529"/>
      <c r="AB564" s="529"/>
      <c r="AC564" s="529"/>
      <c r="AD564" s="529"/>
      <c r="AE564" s="529"/>
      <c r="AF564" s="529"/>
      <c r="AG564" s="529"/>
      <c r="AH564" s="529"/>
      <c r="AI564" s="529"/>
      <c r="AJ564" s="529"/>
      <c r="AK564" s="529"/>
      <c r="AL564" s="529"/>
      <c r="AM564" s="529"/>
      <c r="AN564" s="529"/>
      <c r="AO564" s="529"/>
    </row>
    <row r="565">
      <c r="G565" s="529"/>
      <c r="H565" s="529"/>
      <c r="I565" s="529"/>
      <c r="J565" s="529"/>
      <c r="K565" s="529"/>
      <c r="L565" s="529"/>
      <c r="M565" s="529"/>
      <c r="N565" s="529"/>
      <c r="O565" s="529"/>
      <c r="P565" s="529"/>
      <c r="Q565" s="529"/>
      <c r="R565" s="529"/>
      <c r="S565" s="529"/>
      <c r="T565" s="529"/>
      <c r="U565" s="529"/>
      <c r="V565" s="529"/>
      <c r="W565" s="529"/>
      <c r="X565" s="529"/>
      <c r="Y565" s="529"/>
      <c r="Z565" s="529"/>
      <c r="AA565" s="529"/>
      <c r="AB565" s="529"/>
      <c r="AC565" s="529"/>
      <c r="AD565" s="529"/>
      <c r="AE565" s="529"/>
      <c r="AF565" s="529"/>
      <c r="AG565" s="529"/>
      <c r="AH565" s="529"/>
      <c r="AI565" s="529"/>
      <c r="AJ565" s="529"/>
      <c r="AK565" s="529"/>
      <c r="AL565" s="529"/>
      <c r="AM565" s="529"/>
      <c r="AN565" s="529"/>
      <c r="AO565" s="529"/>
    </row>
    <row r="566">
      <c r="G566" s="529"/>
      <c r="H566" s="529"/>
      <c r="I566" s="529"/>
      <c r="J566" s="529"/>
      <c r="K566" s="529"/>
      <c r="L566" s="529"/>
      <c r="M566" s="529"/>
      <c r="N566" s="529"/>
      <c r="O566" s="529"/>
      <c r="P566" s="529"/>
      <c r="Q566" s="529"/>
      <c r="R566" s="529"/>
      <c r="S566" s="529"/>
      <c r="T566" s="529"/>
      <c r="U566" s="529"/>
      <c r="V566" s="529"/>
      <c r="W566" s="529"/>
      <c r="X566" s="529"/>
      <c r="Y566" s="529"/>
      <c r="Z566" s="529"/>
      <c r="AA566" s="529"/>
      <c r="AB566" s="529"/>
      <c r="AC566" s="529"/>
      <c r="AD566" s="529"/>
      <c r="AE566" s="529"/>
      <c r="AF566" s="529"/>
      <c r="AG566" s="529"/>
      <c r="AH566" s="529"/>
      <c r="AI566" s="529"/>
      <c r="AJ566" s="529"/>
      <c r="AK566" s="529"/>
      <c r="AL566" s="529"/>
      <c r="AM566" s="529"/>
      <c r="AN566" s="529"/>
      <c r="AO566" s="529"/>
    </row>
    <row r="567">
      <c r="G567" s="529"/>
      <c r="H567" s="529"/>
      <c r="I567" s="529"/>
      <c r="J567" s="529"/>
      <c r="K567" s="529"/>
      <c r="L567" s="529"/>
      <c r="M567" s="529"/>
      <c r="N567" s="529"/>
      <c r="O567" s="529"/>
      <c r="P567" s="529"/>
      <c r="Q567" s="529"/>
      <c r="R567" s="529"/>
      <c r="S567" s="529"/>
      <c r="T567" s="529"/>
      <c r="U567" s="529"/>
      <c r="V567" s="529"/>
      <c r="W567" s="529"/>
      <c r="X567" s="529"/>
      <c r="Y567" s="529"/>
      <c r="Z567" s="529"/>
      <c r="AA567" s="529"/>
      <c r="AB567" s="529"/>
      <c r="AC567" s="529"/>
      <c r="AD567" s="529"/>
      <c r="AE567" s="529"/>
      <c r="AF567" s="529"/>
      <c r="AG567" s="529"/>
      <c r="AH567" s="529"/>
      <c r="AI567" s="529"/>
      <c r="AJ567" s="529"/>
      <c r="AK567" s="529"/>
      <c r="AL567" s="529"/>
      <c r="AM567" s="529"/>
      <c r="AN567" s="529"/>
      <c r="AO567" s="529"/>
    </row>
    <row r="568">
      <c r="G568" s="529"/>
      <c r="H568" s="529"/>
      <c r="I568" s="529"/>
      <c r="J568" s="529"/>
      <c r="K568" s="529"/>
      <c r="L568" s="529"/>
      <c r="M568" s="529"/>
      <c r="N568" s="529"/>
      <c r="O568" s="529"/>
      <c r="P568" s="529"/>
      <c r="Q568" s="529"/>
      <c r="R568" s="529"/>
      <c r="S568" s="529"/>
      <c r="T568" s="529"/>
      <c r="U568" s="529"/>
      <c r="V568" s="529"/>
      <c r="W568" s="529"/>
      <c r="X568" s="529"/>
      <c r="Y568" s="529"/>
      <c r="Z568" s="529"/>
      <c r="AA568" s="529"/>
      <c r="AB568" s="529"/>
      <c r="AC568" s="529"/>
      <c r="AD568" s="529"/>
      <c r="AE568" s="529"/>
      <c r="AF568" s="529"/>
      <c r="AG568" s="529"/>
      <c r="AH568" s="529"/>
      <c r="AI568" s="529"/>
      <c r="AJ568" s="529"/>
      <c r="AK568" s="529"/>
      <c r="AL568" s="529"/>
      <c r="AM568" s="529"/>
      <c r="AN568" s="529"/>
      <c r="AO568" s="529"/>
    </row>
    <row r="569">
      <c r="G569" s="529"/>
      <c r="H569" s="529"/>
      <c r="I569" s="529"/>
      <c r="J569" s="529"/>
      <c r="K569" s="529"/>
      <c r="L569" s="529"/>
      <c r="M569" s="529"/>
      <c r="N569" s="529"/>
      <c r="O569" s="529"/>
      <c r="P569" s="529"/>
      <c r="Q569" s="529"/>
      <c r="R569" s="529"/>
      <c r="S569" s="529"/>
      <c r="T569" s="529"/>
      <c r="U569" s="529"/>
      <c r="V569" s="529"/>
      <c r="W569" s="529"/>
      <c r="X569" s="529"/>
      <c r="Y569" s="529"/>
      <c r="Z569" s="529"/>
      <c r="AA569" s="529"/>
      <c r="AB569" s="529"/>
      <c r="AC569" s="529"/>
      <c r="AD569" s="529"/>
      <c r="AE569" s="529"/>
      <c r="AF569" s="529"/>
      <c r="AG569" s="529"/>
      <c r="AH569" s="529"/>
      <c r="AI569" s="529"/>
      <c r="AJ569" s="529"/>
      <c r="AK569" s="529"/>
      <c r="AL569" s="529"/>
      <c r="AM569" s="529"/>
      <c r="AN569" s="529"/>
      <c r="AO569" s="529"/>
    </row>
    <row r="570">
      <c r="G570" s="529"/>
      <c r="H570" s="529"/>
      <c r="I570" s="529"/>
      <c r="J570" s="529"/>
      <c r="K570" s="529"/>
      <c r="L570" s="529"/>
      <c r="M570" s="529"/>
      <c r="N570" s="529"/>
      <c r="O570" s="529"/>
      <c r="P570" s="529"/>
      <c r="Q570" s="529"/>
      <c r="R570" s="529"/>
      <c r="S570" s="529"/>
      <c r="T570" s="529"/>
      <c r="U570" s="529"/>
      <c r="V570" s="529"/>
      <c r="W570" s="529"/>
      <c r="X570" s="529"/>
      <c r="Y570" s="529"/>
      <c r="Z570" s="529"/>
      <c r="AA570" s="529"/>
      <c r="AB570" s="529"/>
      <c r="AC570" s="529"/>
      <c r="AD570" s="529"/>
      <c r="AE570" s="529"/>
      <c r="AF570" s="529"/>
      <c r="AG570" s="529"/>
      <c r="AH570" s="529"/>
      <c r="AI570" s="529"/>
      <c r="AJ570" s="529"/>
      <c r="AK570" s="529"/>
      <c r="AL570" s="529"/>
      <c r="AM570" s="529"/>
      <c r="AN570" s="529"/>
      <c r="AO570" s="529"/>
    </row>
    <row r="571">
      <c r="G571" s="529"/>
      <c r="H571" s="529"/>
      <c r="I571" s="529"/>
      <c r="J571" s="529"/>
      <c r="K571" s="529"/>
      <c r="L571" s="529"/>
      <c r="M571" s="529"/>
      <c r="N571" s="529"/>
      <c r="O571" s="529"/>
      <c r="P571" s="529"/>
      <c r="Q571" s="529"/>
      <c r="R571" s="529"/>
      <c r="S571" s="529"/>
      <c r="T571" s="529"/>
      <c r="U571" s="529"/>
      <c r="V571" s="529"/>
      <c r="W571" s="529"/>
      <c r="X571" s="529"/>
      <c r="Y571" s="529"/>
      <c r="Z571" s="529"/>
      <c r="AA571" s="529"/>
      <c r="AB571" s="529"/>
      <c r="AC571" s="529"/>
      <c r="AD571" s="529"/>
      <c r="AE571" s="529"/>
      <c r="AF571" s="529"/>
      <c r="AG571" s="529"/>
      <c r="AH571" s="529"/>
      <c r="AI571" s="529"/>
      <c r="AJ571" s="529"/>
      <c r="AK571" s="529"/>
      <c r="AL571" s="529"/>
      <c r="AM571" s="529"/>
      <c r="AN571" s="529"/>
      <c r="AO571" s="529"/>
    </row>
    <row r="572">
      <c r="G572" s="529"/>
      <c r="H572" s="529"/>
      <c r="I572" s="529"/>
      <c r="J572" s="529"/>
      <c r="K572" s="529"/>
      <c r="L572" s="529"/>
      <c r="M572" s="529"/>
      <c r="N572" s="529"/>
      <c r="O572" s="529"/>
      <c r="P572" s="529"/>
      <c r="Q572" s="529"/>
      <c r="R572" s="529"/>
      <c r="S572" s="529"/>
      <c r="T572" s="529"/>
      <c r="U572" s="529"/>
      <c r="V572" s="529"/>
      <c r="W572" s="529"/>
      <c r="X572" s="529"/>
      <c r="Y572" s="529"/>
      <c r="Z572" s="529"/>
      <c r="AA572" s="529"/>
      <c r="AB572" s="529"/>
      <c r="AC572" s="529"/>
      <c r="AD572" s="529"/>
      <c r="AE572" s="529"/>
      <c r="AF572" s="529"/>
      <c r="AG572" s="529"/>
      <c r="AH572" s="529"/>
      <c r="AI572" s="529"/>
      <c r="AJ572" s="529"/>
      <c r="AK572" s="529"/>
      <c r="AL572" s="529"/>
      <c r="AM572" s="529"/>
      <c r="AN572" s="529"/>
      <c r="AO572" s="529"/>
    </row>
    <row r="573">
      <c r="G573" s="529"/>
      <c r="H573" s="529"/>
      <c r="I573" s="529"/>
      <c r="J573" s="529"/>
      <c r="K573" s="529"/>
      <c r="L573" s="529"/>
      <c r="M573" s="529"/>
      <c r="N573" s="529"/>
      <c r="O573" s="529"/>
      <c r="P573" s="529"/>
      <c r="Q573" s="529"/>
      <c r="R573" s="529"/>
      <c r="S573" s="529"/>
      <c r="T573" s="529"/>
      <c r="U573" s="529"/>
      <c r="V573" s="529"/>
      <c r="W573" s="529"/>
      <c r="X573" s="529"/>
      <c r="Y573" s="529"/>
      <c r="Z573" s="529"/>
      <c r="AA573" s="529"/>
      <c r="AB573" s="529"/>
      <c r="AC573" s="529"/>
      <c r="AD573" s="529"/>
      <c r="AE573" s="529"/>
      <c r="AF573" s="529"/>
      <c r="AG573" s="529"/>
      <c r="AH573" s="529"/>
      <c r="AI573" s="529"/>
      <c r="AJ573" s="529"/>
      <c r="AK573" s="529"/>
      <c r="AL573" s="529"/>
      <c r="AM573" s="529"/>
      <c r="AN573" s="529"/>
      <c r="AO573" s="529"/>
    </row>
    <row r="574">
      <c r="G574" s="529"/>
      <c r="H574" s="529"/>
      <c r="I574" s="529"/>
      <c r="J574" s="529"/>
      <c r="K574" s="529"/>
      <c r="L574" s="529"/>
      <c r="M574" s="529"/>
      <c r="N574" s="529"/>
      <c r="O574" s="529"/>
      <c r="P574" s="529"/>
      <c r="Q574" s="529"/>
      <c r="R574" s="529"/>
      <c r="S574" s="529"/>
      <c r="T574" s="529"/>
      <c r="U574" s="529"/>
      <c r="V574" s="529"/>
      <c r="W574" s="529"/>
      <c r="X574" s="529"/>
      <c r="Y574" s="529"/>
      <c r="Z574" s="529"/>
      <c r="AA574" s="529"/>
      <c r="AB574" s="529"/>
      <c r="AC574" s="529"/>
      <c r="AD574" s="529"/>
      <c r="AE574" s="529"/>
      <c r="AF574" s="529"/>
      <c r="AG574" s="529"/>
      <c r="AH574" s="529"/>
      <c r="AI574" s="529"/>
      <c r="AJ574" s="529"/>
      <c r="AK574" s="529"/>
      <c r="AL574" s="529"/>
      <c r="AM574" s="529"/>
      <c r="AN574" s="529"/>
      <c r="AO574" s="529"/>
    </row>
    <row r="575">
      <c r="G575" s="529"/>
      <c r="H575" s="529"/>
      <c r="I575" s="529"/>
      <c r="J575" s="529"/>
      <c r="K575" s="529"/>
      <c r="L575" s="529"/>
      <c r="M575" s="529"/>
      <c r="N575" s="529"/>
      <c r="O575" s="529"/>
      <c r="P575" s="529"/>
      <c r="Q575" s="529"/>
      <c r="R575" s="529"/>
      <c r="S575" s="529"/>
      <c r="T575" s="529"/>
      <c r="U575" s="529"/>
      <c r="V575" s="529"/>
      <c r="W575" s="529"/>
      <c r="X575" s="529"/>
      <c r="Y575" s="529"/>
      <c r="Z575" s="529"/>
      <c r="AA575" s="529"/>
      <c r="AB575" s="529"/>
      <c r="AC575" s="529"/>
      <c r="AD575" s="529"/>
      <c r="AE575" s="529"/>
      <c r="AF575" s="529"/>
      <c r="AG575" s="529"/>
      <c r="AH575" s="529"/>
      <c r="AI575" s="529"/>
      <c r="AJ575" s="529"/>
      <c r="AK575" s="529"/>
      <c r="AL575" s="529"/>
      <c r="AM575" s="529"/>
      <c r="AN575" s="529"/>
      <c r="AO575" s="529"/>
    </row>
    <row r="576">
      <c r="G576" s="529"/>
      <c r="H576" s="529"/>
      <c r="I576" s="529"/>
      <c r="J576" s="529"/>
      <c r="K576" s="529"/>
      <c r="L576" s="529"/>
      <c r="M576" s="529"/>
      <c r="N576" s="529"/>
      <c r="O576" s="529"/>
      <c r="P576" s="529"/>
      <c r="Q576" s="529"/>
      <c r="R576" s="529"/>
      <c r="S576" s="529"/>
      <c r="T576" s="529"/>
      <c r="U576" s="529"/>
      <c r="V576" s="529"/>
      <c r="W576" s="529"/>
      <c r="X576" s="529"/>
      <c r="Y576" s="529"/>
      <c r="Z576" s="529"/>
      <c r="AA576" s="529"/>
      <c r="AB576" s="529"/>
      <c r="AC576" s="529"/>
      <c r="AD576" s="529"/>
      <c r="AE576" s="529"/>
      <c r="AF576" s="529"/>
      <c r="AG576" s="529"/>
      <c r="AH576" s="529"/>
      <c r="AI576" s="529"/>
      <c r="AJ576" s="529"/>
      <c r="AK576" s="529"/>
      <c r="AL576" s="529"/>
      <c r="AM576" s="529"/>
      <c r="AN576" s="529"/>
      <c r="AO576" s="529"/>
    </row>
    <row r="577">
      <c r="G577" s="529"/>
      <c r="H577" s="529"/>
      <c r="I577" s="529"/>
      <c r="J577" s="529"/>
      <c r="K577" s="529"/>
      <c r="L577" s="529"/>
      <c r="M577" s="529"/>
      <c r="N577" s="529"/>
      <c r="O577" s="529"/>
      <c r="P577" s="529"/>
      <c r="Q577" s="529"/>
      <c r="R577" s="529"/>
      <c r="S577" s="529"/>
      <c r="T577" s="529"/>
      <c r="U577" s="529"/>
      <c r="V577" s="529"/>
      <c r="W577" s="529"/>
      <c r="X577" s="529"/>
      <c r="Y577" s="529"/>
      <c r="Z577" s="529"/>
      <c r="AA577" s="529"/>
      <c r="AB577" s="529"/>
      <c r="AC577" s="529"/>
      <c r="AD577" s="529"/>
      <c r="AE577" s="529"/>
      <c r="AF577" s="529"/>
      <c r="AG577" s="529"/>
      <c r="AH577" s="529"/>
      <c r="AI577" s="529"/>
      <c r="AJ577" s="529"/>
      <c r="AK577" s="529"/>
      <c r="AL577" s="529"/>
      <c r="AM577" s="529"/>
      <c r="AN577" s="529"/>
      <c r="AO577" s="529"/>
    </row>
    <row r="578">
      <c r="G578" s="529"/>
      <c r="H578" s="529"/>
      <c r="I578" s="529"/>
      <c r="J578" s="529"/>
      <c r="K578" s="529"/>
      <c r="L578" s="529"/>
      <c r="M578" s="529"/>
      <c r="N578" s="529"/>
      <c r="O578" s="529"/>
      <c r="P578" s="529"/>
      <c r="Q578" s="529"/>
      <c r="R578" s="529"/>
      <c r="S578" s="529"/>
      <c r="T578" s="529"/>
      <c r="U578" s="529"/>
      <c r="V578" s="529"/>
      <c r="W578" s="529"/>
      <c r="X578" s="529"/>
      <c r="Y578" s="529"/>
      <c r="Z578" s="529"/>
      <c r="AA578" s="529"/>
      <c r="AB578" s="529"/>
      <c r="AC578" s="529"/>
      <c r="AD578" s="529"/>
      <c r="AE578" s="529"/>
      <c r="AF578" s="529"/>
      <c r="AG578" s="529"/>
      <c r="AH578" s="529"/>
      <c r="AI578" s="529"/>
      <c r="AJ578" s="529"/>
      <c r="AK578" s="529"/>
      <c r="AL578" s="529"/>
      <c r="AM578" s="529"/>
      <c r="AN578" s="529"/>
      <c r="AO578" s="529"/>
    </row>
    <row r="579">
      <c r="G579" s="529"/>
      <c r="H579" s="529"/>
      <c r="I579" s="529"/>
      <c r="J579" s="529"/>
      <c r="K579" s="529"/>
      <c r="L579" s="529"/>
      <c r="M579" s="529"/>
      <c r="N579" s="529"/>
      <c r="O579" s="529"/>
      <c r="P579" s="529"/>
      <c r="Q579" s="529"/>
      <c r="R579" s="529"/>
      <c r="S579" s="529"/>
      <c r="T579" s="529"/>
      <c r="U579" s="529"/>
      <c r="V579" s="529"/>
      <c r="W579" s="529"/>
      <c r="X579" s="529"/>
      <c r="Y579" s="529"/>
      <c r="Z579" s="529"/>
      <c r="AA579" s="529"/>
      <c r="AB579" s="529"/>
      <c r="AC579" s="529"/>
      <c r="AD579" s="529"/>
      <c r="AE579" s="529"/>
      <c r="AF579" s="529"/>
      <c r="AG579" s="529"/>
      <c r="AH579" s="529"/>
      <c r="AI579" s="529"/>
      <c r="AJ579" s="529"/>
      <c r="AK579" s="529"/>
      <c r="AL579" s="529"/>
      <c r="AM579" s="529"/>
      <c r="AN579" s="529"/>
      <c r="AO579" s="529"/>
    </row>
    <row r="580">
      <c r="G580" s="529"/>
      <c r="H580" s="529"/>
      <c r="I580" s="529"/>
      <c r="J580" s="529"/>
      <c r="K580" s="529"/>
      <c r="L580" s="529"/>
      <c r="M580" s="529"/>
      <c r="N580" s="529"/>
      <c r="O580" s="529"/>
      <c r="P580" s="529"/>
      <c r="Q580" s="529"/>
      <c r="R580" s="529"/>
      <c r="S580" s="529"/>
      <c r="T580" s="529"/>
      <c r="U580" s="529"/>
      <c r="V580" s="529"/>
      <c r="W580" s="529"/>
      <c r="X580" s="529"/>
      <c r="Y580" s="529"/>
      <c r="Z580" s="529"/>
      <c r="AA580" s="529"/>
      <c r="AB580" s="529"/>
      <c r="AC580" s="529"/>
      <c r="AD580" s="529"/>
      <c r="AE580" s="529"/>
      <c r="AF580" s="529"/>
      <c r="AG580" s="529"/>
      <c r="AH580" s="529"/>
      <c r="AI580" s="529"/>
      <c r="AJ580" s="529"/>
      <c r="AK580" s="529"/>
      <c r="AL580" s="529"/>
      <c r="AM580" s="529"/>
      <c r="AN580" s="529"/>
      <c r="AO580" s="529"/>
    </row>
    <row r="581">
      <c r="G581" s="529"/>
      <c r="H581" s="529"/>
      <c r="I581" s="529"/>
      <c r="J581" s="529"/>
      <c r="K581" s="529"/>
      <c r="L581" s="529"/>
      <c r="M581" s="529"/>
      <c r="N581" s="529"/>
      <c r="O581" s="529"/>
      <c r="P581" s="529"/>
      <c r="Q581" s="529"/>
      <c r="R581" s="529"/>
      <c r="S581" s="529"/>
      <c r="T581" s="529"/>
      <c r="U581" s="529"/>
      <c r="V581" s="529"/>
      <c r="W581" s="529"/>
      <c r="X581" s="529"/>
      <c r="Y581" s="529"/>
      <c r="Z581" s="529"/>
      <c r="AA581" s="529"/>
      <c r="AB581" s="529"/>
      <c r="AC581" s="529"/>
      <c r="AD581" s="529"/>
      <c r="AE581" s="529"/>
      <c r="AF581" s="529"/>
      <c r="AG581" s="529"/>
      <c r="AH581" s="529"/>
      <c r="AI581" s="529"/>
      <c r="AJ581" s="529"/>
      <c r="AK581" s="529"/>
      <c r="AL581" s="529"/>
      <c r="AM581" s="529"/>
      <c r="AN581" s="529"/>
      <c r="AO581" s="529"/>
    </row>
    <row r="582">
      <c r="G582" s="529"/>
      <c r="H582" s="529"/>
      <c r="I582" s="529"/>
      <c r="J582" s="529"/>
      <c r="K582" s="529"/>
      <c r="L582" s="529"/>
      <c r="M582" s="529"/>
      <c r="N582" s="529"/>
      <c r="O582" s="529"/>
      <c r="P582" s="529"/>
      <c r="Q582" s="529"/>
      <c r="R582" s="529"/>
      <c r="S582" s="529"/>
      <c r="T582" s="529"/>
      <c r="U582" s="529"/>
      <c r="V582" s="529"/>
      <c r="W582" s="529"/>
      <c r="X582" s="529"/>
      <c r="Y582" s="529"/>
      <c r="Z582" s="529"/>
      <c r="AA582" s="529"/>
      <c r="AB582" s="529"/>
      <c r="AC582" s="529"/>
      <c r="AD582" s="529"/>
      <c r="AE582" s="529"/>
      <c r="AF582" s="529"/>
      <c r="AG582" s="529"/>
      <c r="AH582" s="529"/>
      <c r="AI582" s="529"/>
      <c r="AJ582" s="529"/>
      <c r="AK582" s="529"/>
      <c r="AL582" s="529"/>
      <c r="AM582" s="529"/>
      <c r="AN582" s="529"/>
      <c r="AO582" s="529"/>
    </row>
    <row r="583">
      <c r="G583" s="529"/>
      <c r="H583" s="529"/>
      <c r="I583" s="529"/>
      <c r="J583" s="529"/>
      <c r="K583" s="529"/>
      <c r="L583" s="529"/>
      <c r="M583" s="529"/>
      <c r="N583" s="529"/>
      <c r="O583" s="529"/>
      <c r="P583" s="529"/>
      <c r="Q583" s="529"/>
      <c r="R583" s="529"/>
      <c r="S583" s="529"/>
      <c r="T583" s="529"/>
      <c r="U583" s="529"/>
      <c r="V583" s="529"/>
      <c r="W583" s="529"/>
      <c r="X583" s="529"/>
      <c r="Y583" s="529"/>
      <c r="Z583" s="529"/>
      <c r="AA583" s="529"/>
      <c r="AB583" s="529"/>
      <c r="AC583" s="529"/>
      <c r="AD583" s="529"/>
      <c r="AE583" s="529"/>
      <c r="AF583" s="529"/>
      <c r="AG583" s="529"/>
      <c r="AH583" s="529"/>
      <c r="AI583" s="529"/>
      <c r="AJ583" s="529"/>
      <c r="AK583" s="529"/>
      <c r="AL583" s="529"/>
      <c r="AM583" s="529"/>
      <c r="AN583" s="529"/>
      <c r="AO583" s="529"/>
    </row>
    <row r="584">
      <c r="G584" s="529"/>
      <c r="H584" s="529"/>
      <c r="I584" s="529"/>
      <c r="J584" s="529"/>
      <c r="K584" s="529"/>
      <c r="L584" s="529"/>
      <c r="M584" s="529"/>
      <c r="N584" s="529"/>
      <c r="O584" s="529"/>
      <c r="P584" s="529"/>
      <c r="Q584" s="529"/>
      <c r="R584" s="529"/>
      <c r="S584" s="529"/>
      <c r="T584" s="529"/>
      <c r="U584" s="529"/>
      <c r="V584" s="529"/>
      <c r="W584" s="529"/>
      <c r="X584" s="529"/>
      <c r="Y584" s="529"/>
      <c r="Z584" s="529"/>
      <c r="AA584" s="529"/>
      <c r="AB584" s="529"/>
      <c r="AC584" s="529"/>
      <c r="AD584" s="529"/>
      <c r="AE584" s="529"/>
      <c r="AF584" s="529"/>
      <c r="AG584" s="529"/>
      <c r="AH584" s="529"/>
      <c r="AI584" s="529"/>
      <c r="AJ584" s="529"/>
      <c r="AK584" s="529"/>
      <c r="AL584" s="529"/>
      <c r="AM584" s="529"/>
      <c r="AN584" s="529"/>
      <c r="AO584" s="529"/>
    </row>
    <row r="585">
      <c r="G585" s="529"/>
      <c r="H585" s="529"/>
      <c r="I585" s="529"/>
      <c r="J585" s="529"/>
      <c r="K585" s="529"/>
      <c r="L585" s="529"/>
      <c r="M585" s="529"/>
      <c r="N585" s="529"/>
      <c r="O585" s="529"/>
      <c r="P585" s="529"/>
      <c r="Q585" s="529"/>
      <c r="R585" s="529"/>
      <c r="S585" s="529"/>
      <c r="T585" s="529"/>
      <c r="U585" s="529"/>
      <c r="V585" s="529"/>
      <c r="W585" s="529"/>
      <c r="X585" s="529"/>
      <c r="Y585" s="529"/>
      <c r="Z585" s="529"/>
      <c r="AA585" s="529"/>
      <c r="AB585" s="529"/>
      <c r="AC585" s="529"/>
      <c r="AD585" s="529"/>
      <c r="AE585" s="529"/>
      <c r="AF585" s="529"/>
      <c r="AG585" s="529"/>
      <c r="AH585" s="529"/>
      <c r="AI585" s="529"/>
      <c r="AJ585" s="529"/>
      <c r="AK585" s="529"/>
      <c r="AL585" s="529"/>
      <c r="AM585" s="529"/>
      <c r="AN585" s="529"/>
      <c r="AO585" s="529"/>
    </row>
    <row r="586">
      <c r="G586" s="529"/>
      <c r="H586" s="529"/>
      <c r="I586" s="529"/>
      <c r="J586" s="529"/>
      <c r="K586" s="529"/>
      <c r="L586" s="529"/>
      <c r="M586" s="529"/>
      <c r="N586" s="529"/>
      <c r="O586" s="529"/>
      <c r="P586" s="529"/>
      <c r="Q586" s="529"/>
      <c r="R586" s="529"/>
      <c r="S586" s="529"/>
      <c r="T586" s="529"/>
      <c r="U586" s="529"/>
      <c r="V586" s="529"/>
      <c r="W586" s="529"/>
      <c r="X586" s="529"/>
      <c r="Y586" s="529"/>
      <c r="Z586" s="529"/>
      <c r="AA586" s="529"/>
      <c r="AB586" s="529"/>
      <c r="AC586" s="529"/>
      <c r="AD586" s="529"/>
      <c r="AE586" s="529"/>
      <c r="AF586" s="529"/>
      <c r="AG586" s="529"/>
      <c r="AH586" s="529"/>
      <c r="AI586" s="529"/>
      <c r="AJ586" s="529"/>
      <c r="AK586" s="529"/>
      <c r="AL586" s="529"/>
      <c r="AM586" s="529"/>
      <c r="AN586" s="529"/>
      <c r="AO586" s="529"/>
    </row>
    <row r="587">
      <c r="G587" s="529"/>
      <c r="H587" s="529"/>
      <c r="I587" s="529"/>
      <c r="J587" s="529"/>
      <c r="K587" s="529"/>
      <c r="L587" s="529"/>
      <c r="M587" s="529"/>
      <c r="N587" s="529"/>
      <c r="O587" s="529"/>
      <c r="P587" s="529"/>
      <c r="Q587" s="529"/>
      <c r="R587" s="529"/>
      <c r="S587" s="529"/>
      <c r="T587" s="529"/>
      <c r="U587" s="529"/>
      <c r="V587" s="529"/>
      <c r="W587" s="529"/>
      <c r="X587" s="529"/>
      <c r="Y587" s="529"/>
      <c r="Z587" s="529"/>
      <c r="AA587" s="529"/>
      <c r="AB587" s="529"/>
      <c r="AC587" s="529"/>
      <c r="AD587" s="529"/>
      <c r="AE587" s="529"/>
      <c r="AF587" s="529"/>
      <c r="AG587" s="529"/>
      <c r="AH587" s="529"/>
      <c r="AI587" s="529"/>
      <c r="AJ587" s="529"/>
      <c r="AK587" s="529"/>
      <c r="AL587" s="529"/>
      <c r="AM587" s="529"/>
      <c r="AN587" s="529"/>
      <c r="AO587" s="529"/>
    </row>
    <row r="588">
      <c r="G588" s="529"/>
      <c r="H588" s="529"/>
      <c r="I588" s="529"/>
      <c r="J588" s="529"/>
      <c r="K588" s="529"/>
      <c r="L588" s="529"/>
      <c r="M588" s="529"/>
      <c r="N588" s="529"/>
      <c r="O588" s="529"/>
      <c r="P588" s="529"/>
      <c r="Q588" s="529"/>
      <c r="R588" s="529"/>
      <c r="S588" s="529"/>
      <c r="T588" s="529"/>
      <c r="U588" s="529"/>
      <c r="V588" s="529"/>
      <c r="W588" s="529"/>
      <c r="X588" s="529"/>
      <c r="Y588" s="529"/>
      <c r="Z588" s="529"/>
      <c r="AA588" s="529"/>
      <c r="AB588" s="529"/>
      <c r="AC588" s="529"/>
      <c r="AD588" s="529"/>
      <c r="AE588" s="529"/>
      <c r="AF588" s="529"/>
      <c r="AG588" s="529"/>
      <c r="AH588" s="529"/>
      <c r="AI588" s="529"/>
      <c r="AJ588" s="529"/>
      <c r="AK588" s="529"/>
      <c r="AL588" s="529"/>
      <c r="AM588" s="529"/>
      <c r="AN588" s="529"/>
      <c r="AO588" s="529"/>
    </row>
    <row r="589">
      <c r="G589" s="529"/>
      <c r="H589" s="529"/>
      <c r="I589" s="529"/>
      <c r="J589" s="529"/>
      <c r="K589" s="529"/>
      <c r="L589" s="529"/>
      <c r="M589" s="529"/>
      <c r="N589" s="529"/>
      <c r="O589" s="529"/>
      <c r="P589" s="529"/>
      <c r="Q589" s="529"/>
      <c r="R589" s="529"/>
      <c r="S589" s="529"/>
      <c r="T589" s="529"/>
      <c r="U589" s="529"/>
      <c r="V589" s="529"/>
      <c r="W589" s="529"/>
      <c r="X589" s="529"/>
      <c r="Y589" s="529"/>
      <c r="Z589" s="529"/>
      <c r="AA589" s="529"/>
      <c r="AB589" s="529"/>
      <c r="AC589" s="529"/>
      <c r="AD589" s="529"/>
      <c r="AE589" s="529"/>
      <c r="AF589" s="529"/>
      <c r="AG589" s="529"/>
      <c r="AH589" s="529"/>
      <c r="AI589" s="529"/>
      <c r="AJ589" s="529"/>
      <c r="AK589" s="529"/>
      <c r="AL589" s="529"/>
      <c r="AM589" s="529"/>
      <c r="AN589" s="529"/>
      <c r="AO589" s="529"/>
    </row>
    <row r="590">
      <c r="G590" s="529"/>
      <c r="H590" s="529"/>
      <c r="I590" s="529"/>
      <c r="J590" s="529"/>
      <c r="K590" s="529"/>
      <c r="L590" s="529"/>
      <c r="M590" s="529"/>
      <c r="N590" s="529"/>
      <c r="O590" s="529"/>
      <c r="P590" s="529"/>
      <c r="Q590" s="529"/>
      <c r="R590" s="529"/>
      <c r="S590" s="529"/>
      <c r="T590" s="529"/>
      <c r="U590" s="529"/>
      <c r="V590" s="529"/>
      <c r="W590" s="529"/>
      <c r="X590" s="529"/>
      <c r="Y590" s="529"/>
      <c r="Z590" s="529"/>
      <c r="AA590" s="529"/>
      <c r="AB590" s="529"/>
      <c r="AC590" s="529"/>
      <c r="AD590" s="529"/>
      <c r="AE590" s="529"/>
      <c r="AF590" s="529"/>
      <c r="AG590" s="529"/>
      <c r="AH590" s="529"/>
      <c r="AI590" s="529"/>
      <c r="AJ590" s="529"/>
      <c r="AK590" s="529"/>
      <c r="AL590" s="529"/>
      <c r="AM590" s="529"/>
      <c r="AN590" s="529"/>
      <c r="AO590" s="529"/>
    </row>
    <row r="591">
      <c r="G591" s="529"/>
      <c r="H591" s="529"/>
      <c r="I591" s="529"/>
      <c r="J591" s="529"/>
      <c r="K591" s="529"/>
      <c r="L591" s="529"/>
      <c r="M591" s="529"/>
      <c r="N591" s="529"/>
      <c r="O591" s="529"/>
      <c r="P591" s="529"/>
      <c r="Q591" s="529"/>
      <c r="R591" s="529"/>
      <c r="S591" s="529"/>
      <c r="T591" s="529"/>
      <c r="U591" s="529"/>
      <c r="V591" s="529"/>
      <c r="W591" s="529"/>
      <c r="X591" s="529"/>
      <c r="Y591" s="529"/>
      <c r="Z591" s="529"/>
      <c r="AA591" s="529"/>
      <c r="AB591" s="529"/>
      <c r="AC591" s="529"/>
      <c r="AD591" s="529"/>
      <c r="AE591" s="529"/>
      <c r="AF591" s="529"/>
      <c r="AG591" s="529"/>
      <c r="AH591" s="529"/>
      <c r="AI591" s="529"/>
      <c r="AJ591" s="529"/>
      <c r="AK591" s="529"/>
      <c r="AL591" s="529"/>
      <c r="AM591" s="529"/>
      <c r="AN591" s="529"/>
      <c r="AO591" s="529"/>
    </row>
    <row r="592">
      <c r="G592" s="529"/>
      <c r="H592" s="529"/>
      <c r="I592" s="529"/>
      <c r="J592" s="529"/>
      <c r="K592" s="529"/>
      <c r="L592" s="529"/>
      <c r="M592" s="529"/>
      <c r="N592" s="529"/>
      <c r="O592" s="529"/>
      <c r="P592" s="529"/>
      <c r="Q592" s="529"/>
      <c r="R592" s="529"/>
      <c r="S592" s="529"/>
      <c r="T592" s="529"/>
      <c r="U592" s="529"/>
      <c r="V592" s="529"/>
      <c r="W592" s="529"/>
      <c r="X592" s="529"/>
      <c r="Y592" s="529"/>
      <c r="Z592" s="529"/>
      <c r="AA592" s="529"/>
      <c r="AB592" s="529"/>
      <c r="AC592" s="529"/>
      <c r="AD592" s="529"/>
      <c r="AE592" s="529"/>
      <c r="AF592" s="529"/>
      <c r="AG592" s="529"/>
      <c r="AH592" s="529"/>
      <c r="AI592" s="529"/>
      <c r="AJ592" s="529"/>
      <c r="AK592" s="529"/>
      <c r="AL592" s="529"/>
      <c r="AM592" s="529"/>
      <c r="AN592" s="529"/>
      <c r="AO592" s="529"/>
    </row>
    <row r="593">
      <c r="G593" s="529"/>
      <c r="H593" s="529"/>
      <c r="I593" s="529"/>
      <c r="J593" s="529"/>
      <c r="K593" s="529"/>
      <c r="L593" s="529"/>
      <c r="M593" s="529"/>
      <c r="N593" s="529"/>
      <c r="O593" s="529"/>
      <c r="P593" s="529"/>
      <c r="Q593" s="529"/>
      <c r="R593" s="529"/>
      <c r="S593" s="529"/>
      <c r="T593" s="529"/>
      <c r="U593" s="529"/>
      <c r="V593" s="529"/>
      <c r="W593" s="529"/>
      <c r="X593" s="529"/>
      <c r="Y593" s="529"/>
      <c r="Z593" s="529"/>
      <c r="AA593" s="529"/>
      <c r="AB593" s="529"/>
      <c r="AC593" s="529"/>
      <c r="AD593" s="529"/>
      <c r="AE593" s="529"/>
      <c r="AF593" s="529"/>
      <c r="AG593" s="529"/>
      <c r="AH593" s="529"/>
      <c r="AI593" s="529"/>
      <c r="AJ593" s="529"/>
      <c r="AK593" s="529"/>
      <c r="AL593" s="529"/>
      <c r="AM593" s="529"/>
      <c r="AN593" s="529"/>
      <c r="AO593" s="529"/>
    </row>
    <row r="594">
      <c r="G594" s="529"/>
      <c r="H594" s="529"/>
      <c r="I594" s="529"/>
      <c r="J594" s="529"/>
      <c r="K594" s="529"/>
      <c r="L594" s="529"/>
      <c r="M594" s="529"/>
      <c r="N594" s="529"/>
      <c r="O594" s="529"/>
      <c r="P594" s="529"/>
      <c r="Q594" s="529"/>
      <c r="R594" s="529"/>
      <c r="S594" s="529"/>
      <c r="T594" s="529"/>
      <c r="U594" s="529"/>
      <c r="V594" s="529"/>
      <c r="W594" s="529"/>
      <c r="X594" s="529"/>
      <c r="Y594" s="529"/>
      <c r="Z594" s="529"/>
      <c r="AA594" s="529"/>
      <c r="AB594" s="529"/>
      <c r="AC594" s="529"/>
      <c r="AD594" s="529"/>
      <c r="AE594" s="529"/>
      <c r="AF594" s="529"/>
      <c r="AG594" s="529"/>
      <c r="AH594" s="529"/>
      <c r="AI594" s="529"/>
      <c r="AJ594" s="529"/>
      <c r="AK594" s="529"/>
      <c r="AL594" s="529"/>
      <c r="AM594" s="529"/>
      <c r="AN594" s="529"/>
      <c r="AO594" s="529"/>
    </row>
    <row r="595">
      <c r="G595" s="529"/>
      <c r="H595" s="529"/>
      <c r="I595" s="529"/>
      <c r="J595" s="529"/>
      <c r="K595" s="529"/>
      <c r="L595" s="529"/>
      <c r="M595" s="529"/>
      <c r="N595" s="529"/>
      <c r="O595" s="529"/>
      <c r="P595" s="529"/>
      <c r="Q595" s="529"/>
      <c r="R595" s="529"/>
      <c r="S595" s="529"/>
      <c r="T595" s="529"/>
      <c r="U595" s="529"/>
      <c r="V595" s="529"/>
      <c r="W595" s="529"/>
      <c r="X595" s="529"/>
      <c r="Y595" s="529"/>
      <c r="Z595" s="529"/>
      <c r="AA595" s="529"/>
      <c r="AB595" s="529"/>
      <c r="AC595" s="529"/>
      <c r="AD595" s="529"/>
      <c r="AE595" s="529"/>
      <c r="AF595" s="529"/>
      <c r="AG595" s="529"/>
      <c r="AH595" s="529"/>
      <c r="AI595" s="529"/>
      <c r="AJ595" s="529"/>
      <c r="AK595" s="529"/>
      <c r="AL595" s="529"/>
      <c r="AM595" s="529"/>
      <c r="AN595" s="529"/>
      <c r="AO595" s="529"/>
    </row>
    <row r="596">
      <c r="G596" s="529"/>
      <c r="H596" s="529"/>
      <c r="I596" s="529"/>
      <c r="J596" s="529"/>
      <c r="K596" s="529"/>
      <c r="L596" s="529"/>
      <c r="M596" s="529"/>
      <c r="N596" s="529"/>
      <c r="O596" s="529"/>
      <c r="P596" s="529"/>
      <c r="Q596" s="529"/>
      <c r="R596" s="529"/>
      <c r="S596" s="529"/>
      <c r="T596" s="529"/>
      <c r="U596" s="529"/>
      <c r="V596" s="529"/>
      <c r="W596" s="529"/>
      <c r="X596" s="529"/>
      <c r="Y596" s="529"/>
      <c r="Z596" s="529"/>
      <c r="AA596" s="529"/>
      <c r="AB596" s="529"/>
      <c r="AC596" s="529"/>
      <c r="AD596" s="529"/>
      <c r="AE596" s="529"/>
      <c r="AF596" s="529"/>
      <c r="AG596" s="529"/>
      <c r="AH596" s="529"/>
      <c r="AI596" s="529"/>
      <c r="AJ596" s="529"/>
      <c r="AK596" s="529"/>
      <c r="AL596" s="529"/>
      <c r="AM596" s="529"/>
      <c r="AN596" s="529"/>
      <c r="AO596" s="529"/>
    </row>
    <row r="597">
      <c r="G597" s="529"/>
      <c r="H597" s="529"/>
      <c r="I597" s="529"/>
      <c r="J597" s="529"/>
      <c r="K597" s="529"/>
      <c r="L597" s="529"/>
      <c r="M597" s="529"/>
      <c r="N597" s="529"/>
      <c r="O597" s="529"/>
      <c r="P597" s="529"/>
      <c r="Q597" s="529"/>
      <c r="R597" s="529"/>
      <c r="S597" s="529"/>
      <c r="T597" s="529"/>
      <c r="U597" s="529"/>
      <c r="V597" s="529"/>
      <c r="W597" s="529"/>
      <c r="X597" s="529"/>
      <c r="Y597" s="529"/>
      <c r="Z597" s="529"/>
      <c r="AA597" s="529"/>
      <c r="AB597" s="529"/>
      <c r="AC597" s="529"/>
      <c r="AD597" s="529"/>
      <c r="AE597" s="529"/>
      <c r="AF597" s="529"/>
      <c r="AG597" s="529"/>
      <c r="AH597" s="529"/>
      <c r="AI597" s="529"/>
      <c r="AJ597" s="529"/>
      <c r="AK597" s="529"/>
      <c r="AL597" s="529"/>
      <c r="AM597" s="529"/>
      <c r="AN597" s="529"/>
      <c r="AO597" s="529"/>
    </row>
    <row r="598">
      <c r="G598" s="529"/>
      <c r="H598" s="529"/>
      <c r="I598" s="529"/>
      <c r="J598" s="529"/>
      <c r="K598" s="529"/>
      <c r="L598" s="529"/>
      <c r="M598" s="529"/>
      <c r="N598" s="529"/>
      <c r="O598" s="529"/>
      <c r="P598" s="529"/>
      <c r="Q598" s="529"/>
      <c r="R598" s="529"/>
      <c r="S598" s="529"/>
      <c r="T598" s="529"/>
      <c r="U598" s="529"/>
      <c r="V598" s="529"/>
      <c r="W598" s="529"/>
      <c r="X598" s="529"/>
      <c r="Y598" s="529"/>
      <c r="Z598" s="529"/>
      <c r="AA598" s="529"/>
      <c r="AB598" s="529"/>
      <c r="AC598" s="529"/>
      <c r="AD598" s="529"/>
      <c r="AE598" s="529"/>
      <c r="AF598" s="529"/>
      <c r="AG598" s="529"/>
      <c r="AH598" s="529"/>
      <c r="AI598" s="529"/>
      <c r="AJ598" s="529"/>
      <c r="AK598" s="529"/>
      <c r="AL598" s="529"/>
      <c r="AM598" s="529"/>
      <c r="AN598" s="529"/>
      <c r="AO598" s="529"/>
    </row>
    <row r="599">
      <c r="G599" s="529"/>
      <c r="H599" s="529"/>
      <c r="I599" s="529"/>
      <c r="J599" s="529"/>
      <c r="K599" s="529"/>
      <c r="L599" s="529"/>
      <c r="M599" s="529"/>
      <c r="N599" s="529"/>
      <c r="O599" s="529"/>
      <c r="P599" s="529"/>
      <c r="Q599" s="529"/>
      <c r="R599" s="529"/>
      <c r="S599" s="529"/>
      <c r="T599" s="529"/>
      <c r="U599" s="529"/>
      <c r="V599" s="529"/>
      <c r="W599" s="529"/>
      <c r="X599" s="529"/>
      <c r="Y599" s="529"/>
      <c r="Z599" s="529"/>
      <c r="AA599" s="529"/>
      <c r="AB599" s="529"/>
      <c r="AC599" s="529"/>
      <c r="AD599" s="529"/>
      <c r="AE599" s="529"/>
      <c r="AF599" s="529"/>
      <c r="AG599" s="529"/>
      <c r="AH599" s="529"/>
      <c r="AI599" s="529"/>
      <c r="AJ599" s="529"/>
      <c r="AK599" s="529"/>
      <c r="AL599" s="529"/>
      <c r="AM599" s="529"/>
      <c r="AN599" s="529"/>
      <c r="AO599" s="529"/>
    </row>
    <row r="600">
      <c r="G600" s="529"/>
      <c r="H600" s="529"/>
      <c r="I600" s="529"/>
      <c r="J600" s="529"/>
      <c r="K600" s="529"/>
      <c r="L600" s="529"/>
      <c r="M600" s="529"/>
      <c r="N600" s="529"/>
      <c r="O600" s="529"/>
      <c r="P600" s="529"/>
      <c r="Q600" s="529"/>
      <c r="R600" s="529"/>
      <c r="S600" s="529"/>
      <c r="T600" s="529"/>
      <c r="U600" s="529"/>
      <c r="V600" s="529"/>
      <c r="W600" s="529"/>
      <c r="X600" s="529"/>
      <c r="Y600" s="529"/>
      <c r="Z600" s="529"/>
      <c r="AA600" s="529"/>
      <c r="AB600" s="529"/>
      <c r="AC600" s="529"/>
      <c r="AD600" s="529"/>
      <c r="AE600" s="529"/>
      <c r="AF600" s="529"/>
      <c r="AG600" s="529"/>
      <c r="AH600" s="529"/>
      <c r="AI600" s="529"/>
      <c r="AJ600" s="529"/>
      <c r="AK600" s="529"/>
      <c r="AL600" s="529"/>
      <c r="AM600" s="529"/>
      <c r="AN600" s="529"/>
      <c r="AO600" s="529"/>
    </row>
    <row r="601">
      <c r="G601" s="529"/>
      <c r="H601" s="529"/>
      <c r="I601" s="529"/>
      <c r="J601" s="529"/>
      <c r="K601" s="529"/>
      <c r="L601" s="529"/>
      <c r="M601" s="529"/>
      <c r="N601" s="529"/>
      <c r="O601" s="529"/>
      <c r="P601" s="529"/>
      <c r="Q601" s="529"/>
      <c r="R601" s="529"/>
      <c r="S601" s="529"/>
      <c r="T601" s="529"/>
      <c r="U601" s="529"/>
      <c r="V601" s="529"/>
      <c r="W601" s="529"/>
      <c r="X601" s="529"/>
      <c r="Y601" s="529"/>
      <c r="Z601" s="529"/>
      <c r="AA601" s="529"/>
      <c r="AB601" s="529"/>
      <c r="AC601" s="529"/>
      <c r="AD601" s="529"/>
      <c r="AE601" s="529"/>
      <c r="AF601" s="529"/>
      <c r="AG601" s="529"/>
      <c r="AH601" s="529"/>
      <c r="AI601" s="529"/>
      <c r="AJ601" s="529"/>
      <c r="AK601" s="529"/>
      <c r="AL601" s="529"/>
      <c r="AM601" s="529"/>
      <c r="AN601" s="529"/>
      <c r="AO601" s="529"/>
    </row>
    <row r="602">
      <c r="G602" s="529"/>
      <c r="H602" s="529"/>
      <c r="I602" s="529"/>
      <c r="J602" s="529"/>
      <c r="K602" s="529"/>
      <c r="L602" s="529"/>
      <c r="M602" s="529"/>
      <c r="N602" s="529"/>
      <c r="O602" s="529"/>
      <c r="P602" s="529"/>
      <c r="Q602" s="529"/>
      <c r="R602" s="529"/>
      <c r="S602" s="529"/>
      <c r="T602" s="529"/>
      <c r="U602" s="529"/>
      <c r="V602" s="529"/>
      <c r="W602" s="529"/>
      <c r="X602" s="529"/>
      <c r="Y602" s="529"/>
      <c r="Z602" s="529"/>
      <c r="AA602" s="529"/>
      <c r="AB602" s="529"/>
      <c r="AC602" s="529"/>
      <c r="AD602" s="529"/>
      <c r="AE602" s="529"/>
      <c r="AF602" s="529"/>
      <c r="AG602" s="529"/>
      <c r="AH602" s="529"/>
      <c r="AI602" s="529"/>
      <c r="AJ602" s="529"/>
      <c r="AK602" s="529"/>
      <c r="AL602" s="529"/>
      <c r="AM602" s="529"/>
      <c r="AN602" s="529"/>
      <c r="AO602" s="529"/>
    </row>
    <row r="603">
      <c r="G603" s="529"/>
      <c r="H603" s="529"/>
      <c r="I603" s="529"/>
      <c r="J603" s="529"/>
      <c r="K603" s="529"/>
      <c r="L603" s="529"/>
      <c r="M603" s="529"/>
      <c r="N603" s="529"/>
      <c r="O603" s="529"/>
      <c r="P603" s="529"/>
      <c r="Q603" s="529"/>
      <c r="R603" s="529"/>
      <c r="S603" s="529"/>
      <c r="T603" s="529"/>
      <c r="U603" s="529"/>
      <c r="V603" s="529"/>
      <c r="W603" s="529"/>
      <c r="X603" s="529"/>
      <c r="Y603" s="529"/>
      <c r="Z603" s="529"/>
      <c r="AA603" s="529"/>
      <c r="AB603" s="529"/>
      <c r="AC603" s="529"/>
      <c r="AD603" s="529"/>
      <c r="AE603" s="529"/>
      <c r="AF603" s="529"/>
      <c r="AG603" s="529"/>
      <c r="AH603" s="529"/>
      <c r="AI603" s="529"/>
      <c r="AJ603" s="529"/>
      <c r="AK603" s="529"/>
      <c r="AL603" s="529"/>
      <c r="AM603" s="529"/>
      <c r="AN603" s="529"/>
      <c r="AO603" s="529"/>
    </row>
    <row r="604">
      <c r="G604" s="529"/>
      <c r="H604" s="529"/>
      <c r="I604" s="529"/>
      <c r="J604" s="529"/>
      <c r="K604" s="529"/>
      <c r="L604" s="529"/>
      <c r="M604" s="529"/>
      <c r="N604" s="529"/>
      <c r="O604" s="529"/>
      <c r="P604" s="529"/>
      <c r="Q604" s="529"/>
      <c r="R604" s="529"/>
      <c r="S604" s="529"/>
      <c r="T604" s="529"/>
      <c r="U604" s="529"/>
      <c r="V604" s="529"/>
      <c r="W604" s="529"/>
      <c r="X604" s="529"/>
      <c r="Y604" s="529"/>
      <c r="Z604" s="529"/>
      <c r="AA604" s="529"/>
      <c r="AB604" s="529"/>
      <c r="AC604" s="529"/>
      <c r="AD604" s="529"/>
      <c r="AE604" s="529"/>
      <c r="AF604" s="529"/>
      <c r="AG604" s="529"/>
      <c r="AH604" s="529"/>
      <c r="AI604" s="529"/>
      <c r="AJ604" s="529"/>
      <c r="AK604" s="529"/>
      <c r="AL604" s="529"/>
      <c r="AM604" s="529"/>
      <c r="AN604" s="529"/>
      <c r="AO604" s="529"/>
    </row>
    <row r="605">
      <c r="G605" s="529"/>
      <c r="H605" s="529"/>
      <c r="I605" s="529"/>
      <c r="J605" s="529"/>
      <c r="K605" s="529"/>
      <c r="L605" s="529"/>
      <c r="M605" s="529"/>
      <c r="N605" s="529"/>
      <c r="O605" s="529"/>
      <c r="P605" s="529"/>
      <c r="Q605" s="529"/>
      <c r="R605" s="529"/>
      <c r="S605" s="529"/>
      <c r="T605" s="529"/>
      <c r="U605" s="529"/>
      <c r="V605" s="529"/>
      <c r="W605" s="529"/>
      <c r="X605" s="529"/>
      <c r="Y605" s="529"/>
      <c r="Z605" s="529"/>
      <c r="AA605" s="529"/>
      <c r="AB605" s="529"/>
      <c r="AC605" s="529"/>
      <c r="AD605" s="529"/>
      <c r="AE605" s="529"/>
      <c r="AF605" s="529"/>
      <c r="AG605" s="529"/>
      <c r="AH605" s="529"/>
      <c r="AI605" s="529"/>
      <c r="AJ605" s="529"/>
      <c r="AK605" s="529"/>
      <c r="AL605" s="529"/>
      <c r="AM605" s="529"/>
      <c r="AN605" s="529"/>
      <c r="AO605" s="529"/>
    </row>
    <row r="606">
      <c r="G606" s="529"/>
      <c r="H606" s="529"/>
      <c r="I606" s="529"/>
      <c r="J606" s="529"/>
      <c r="K606" s="529"/>
      <c r="L606" s="529"/>
      <c r="M606" s="529"/>
      <c r="N606" s="529"/>
      <c r="O606" s="529"/>
      <c r="P606" s="529"/>
      <c r="Q606" s="529"/>
      <c r="R606" s="529"/>
      <c r="S606" s="529"/>
      <c r="T606" s="529"/>
      <c r="U606" s="529"/>
      <c r="V606" s="529"/>
      <c r="W606" s="529"/>
      <c r="X606" s="529"/>
      <c r="Y606" s="529"/>
      <c r="Z606" s="529"/>
      <c r="AA606" s="529"/>
      <c r="AB606" s="529"/>
      <c r="AC606" s="529"/>
      <c r="AD606" s="529"/>
      <c r="AE606" s="529"/>
      <c r="AF606" s="529"/>
      <c r="AG606" s="529"/>
      <c r="AH606" s="529"/>
      <c r="AI606" s="529"/>
      <c r="AJ606" s="529"/>
      <c r="AK606" s="529"/>
      <c r="AL606" s="529"/>
      <c r="AM606" s="529"/>
      <c r="AN606" s="529"/>
      <c r="AO606" s="529"/>
    </row>
    <row r="607">
      <c r="G607" s="529"/>
      <c r="H607" s="529"/>
      <c r="I607" s="529"/>
      <c r="J607" s="529"/>
      <c r="K607" s="529"/>
      <c r="L607" s="529"/>
      <c r="M607" s="529"/>
      <c r="N607" s="529"/>
      <c r="O607" s="529"/>
      <c r="P607" s="529"/>
      <c r="Q607" s="529"/>
      <c r="R607" s="529"/>
      <c r="S607" s="529"/>
      <c r="T607" s="529"/>
      <c r="U607" s="529"/>
      <c r="V607" s="529"/>
      <c r="W607" s="529"/>
      <c r="X607" s="529"/>
      <c r="Y607" s="529"/>
      <c r="Z607" s="529"/>
      <c r="AA607" s="529"/>
      <c r="AB607" s="529"/>
      <c r="AC607" s="529"/>
      <c r="AD607" s="529"/>
      <c r="AE607" s="529"/>
      <c r="AF607" s="529"/>
      <c r="AG607" s="529"/>
      <c r="AH607" s="529"/>
      <c r="AI607" s="529"/>
      <c r="AJ607" s="529"/>
      <c r="AK607" s="529"/>
      <c r="AL607" s="529"/>
      <c r="AM607" s="529"/>
      <c r="AN607" s="529"/>
      <c r="AO607" s="529"/>
    </row>
    <row r="608">
      <c r="G608" s="529"/>
      <c r="H608" s="529"/>
      <c r="I608" s="529"/>
      <c r="J608" s="529"/>
      <c r="K608" s="529"/>
      <c r="L608" s="529"/>
      <c r="M608" s="529"/>
      <c r="N608" s="529"/>
      <c r="O608" s="529"/>
      <c r="P608" s="529"/>
      <c r="Q608" s="529"/>
      <c r="R608" s="529"/>
      <c r="S608" s="529"/>
      <c r="T608" s="529"/>
      <c r="U608" s="529"/>
      <c r="V608" s="529"/>
      <c r="W608" s="529"/>
      <c r="X608" s="529"/>
      <c r="Y608" s="529"/>
      <c r="Z608" s="529"/>
      <c r="AA608" s="529"/>
      <c r="AB608" s="529"/>
      <c r="AC608" s="529"/>
      <c r="AD608" s="529"/>
      <c r="AE608" s="529"/>
      <c r="AF608" s="529"/>
      <c r="AG608" s="529"/>
      <c r="AH608" s="529"/>
      <c r="AI608" s="529"/>
      <c r="AJ608" s="529"/>
      <c r="AK608" s="529"/>
      <c r="AL608" s="529"/>
      <c r="AM608" s="529"/>
      <c r="AN608" s="529"/>
      <c r="AO608" s="529"/>
    </row>
    <row r="609">
      <c r="G609" s="529"/>
      <c r="H609" s="529"/>
      <c r="I609" s="529"/>
      <c r="J609" s="529"/>
      <c r="K609" s="529"/>
      <c r="L609" s="529"/>
      <c r="M609" s="529"/>
      <c r="N609" s="529"/>
      <c r="O609" s="529"/>
      <c r="P609" s="529"/>
      <c r="Q609" s="529"/>
      <c r="R609" s="529"/>
      <c r="S609" s="529"/>
      <c r="T609" s="529"/>
      <c r="U609" s="529"/>
      <c r="V609" s="529"/>
      <c r="W609" s="529"/>
      <c r="X609" s="529"/>
      <c r="Y609" s="529"/>
      <c r="Z609" s="529"/>
      <c r="AA609" s="529"/>
      <c r="AB609" s="529"/>
      <c r="AC609" s="529"/>
      <c r="AD609" s="529"/>
      <c r="AE609" s="529"/>
      <c r="AF609" s="529"/>
      <c r="AG609" s="529"/>
      <c r="AH609" s="529"/>
      <c r="AI609" s="529"/>
      <c r="AJ609" s="529"/>
      <c r="AK609" s="529"/>
      <c r="AL609" s="529"/>
      <c r="AM609" s="529"/>
      <c r="AN609" s="529"/>
      <c r="AO609" s="529"/>
    </row>
    <row r="610">
      <c r="G610" s="529"/>
      <c r="H610" s="529"/>
      <c r="I610" s="529"/>
      <c r="J610" s="529"/>
      <c r="K610" s="529"/>
      <c r="L610" s="529"/>
      <c r="M610" s="529"/>
      <c r="N610" s="529"/>
      <c r="O610" s="529"/>
      <c r="P610" s="529"/>
      <c r="Q610" s="529"/>
      <c r="R610" s="529"/>
      <c r="S610" s="529"/>
      <c r="T610" s="529"/>
      <c r="U610" s="529"/>
      <c r="V610" s="529"/>
      <c r="W610" s="529"/>
      <c r="X610" s="529"/>
      <c r="Y610" s="529"/>
      <c r="Z610" s="529"/>
      <c r="AA610" s="529"/>
      <c r="AB610" s="529"/>
      <c r="AC610" s="529"/>
      <c r="AD610" s="529"/>
      <c r="AE610" s="529"/>
      <c r="AF610" s="529"/>
      <c r="AG610" s="529"/>
      <c r="AH610" s="529"/>
      <c r="AI610" s="529"/>
      <c r="AJ610" s="529"/>
      <c r="AK610" s="529"/>
      <c r="AL610" s="529"/>
      <c r="AM610" s="529"/>
      <c r="AN610" s="529"/>
      <c r="AO610" s="529"/>
    </row>
    <row r="611">
      <c r="G611" s="529"/>
      <c r="H611" s="529"/>
      <c r="I611" s="529"/>
      <c r="J611" s="529"/>
      <c r="K611" s="529"/>
      <c r="L611" s="529"/>
      <c r="M611" s="529"/>
      <c r="N611" s="529"/>
      <c r="O611" s="529"/>
      <c r="P611" s="529"/>
      <c r="Q611" s="529"/>
      <c r="R611" s="529"/>
      <c r="S611" s="529"/>
      <c r="T611" s="529"/>
      <c r="U611" s="529"/>
      <c r="V611" s="529"/>
      <c r="W611" s="529"/>
      <c r="X611" s="529"/>
      <c r="Y611" s="529"/>
      <c r="Z611" s="529"/>
      <c r="AA611" s="529"/>
      <c r="AB611" s="529"/>
      <c r="AC611" s="529"/>
      <c r="AD611" s="529"/>
      <c r="AE611" s="529"/>
      <c r="AF611" s="529"/>
      <c r="AG611" s="529"/>
      <c r="AH611" s="529"/>
      <c r="AI611" s="529"/>
      <c r="AJ611" s="529"/>
      <c r="AK611" s="529"/>
      <c r="AL611" s="529"/>
      <c r="AM611" s="529"/>
      <c r="AN611" s="529"/>
      <c r="AO611" s="529"/>
    </row>
    <row r="612">
      <c r="G612" s="529"/>
      <c r="H612" s="529"/>
      <c r="I612" s="529"/>
      <c r="J612" s="529"/>
      <c r="K612" s="529"/>
      <c r="L612" s="529"/>
      <c r="M612" s="529"/>
      <c r="N612" s="529"/>
      <c r="O612" s="529"/>
      <c r="P612" s="529"/>
      <c r="Q612" s="529"/>
      <c r="R612" s="529"/>
      <c r="S612" s="529"/>
      <c r="T612" s="529"/>
      <c r="U612" s="529"/>
      <c r="V612" s="529"/>
      <c r="W612" s="529"/>
      <c r="X612" s="529"/>
      <c r="Y612" s="529"/>
      <c r="Z612" s="529"/>
      <c r="AA612" s="529"/>
      <c r="AB612" s="529"/>
      <c r="AC612" s="529"/>
      <c r="AD612" s="529"/>
      <c r="AE612" s="529"/>
      <c r="AF612" s="529"/>
      <c r="AG612" s="529"/>
      <c r="AH612" s="529"/>
      <c r="AI612" s="529"/>
      <c r="AJ612" s="529"/>
      <c r="AK612" s="529"/>
      <c r="AL612" s="529"/>
      <c r="AM612" s="529"/>
      <c r="AN612" s="529"/>
      <c r="AO612" s="529"/>
    </row>
    <row r="613">
      <c r="G613" s="529"/>
      <c r="H613" s="529"/>
      <c r="I613" s="529"/>
      <c r="J613" s="529"/>
      <c r="K613" s="529"/>
      <c r="L613" s="529"/>
      <c r="M613" s="529"/>
      <c r="N613" s="529"/>
      <c r="O613" s="529"/>
      <c r="P613" s="529"/>
      <c r="Q613" s="529"/>
      <c r="R613" s="529"/>
      <c r="S613" s="529"/>
      <c r="T613" s="529"/>
      <c r="U613" s="529"/>
      <c r="V613" s="529"/>
      <c r="W613" s="529"/>
      <c r="X613" s="529"/>
      <c r="Y613" s="529"/>
      <c r="Z613" s="529"/>
      <c r="AA613" s="529"/>
      <c r="AB613" s="529"/>
      <c r="AC613" s="529"/>
      <c r="AD613" s="529"/>
      <c r="AE613" s="529"/>
      <c r="AF613" s="529"/>
      <c r="AG613" s="529"/>
      <c r="AH613" s="529"/>
      <c r="AI613" s="529"/>
      <c r="AJ613" s="529"/>
      <c r="AK613" s="529"/>
      <c r="AL613" s="529"/>
      <c r="AM613" s="529"/>
      <c r="AN613" s="529"/>
      <c r="AO613" s="529"/>
    </row>
    <row r="614">
      <c r="G614" s="529"/>
      <c r="H614" s="529"/>
      <c r="I614" s="529"/>
      <c r="J614" s="529"/>
      <c r="K614" s="529"/>
      <c r="L614" s="529"/>
      <c r="M614" s="529"/>
      <c r="N614" s="529"/>
      <c r="O614" s="529"/>
      <c r="P614" s="529"/>
      <c r="Q614" s="529"/>
      <c r="R614" s="529"/>
      <c r="S614" s="529"/>
      <c r="T614" s="529"/>
      <c r="U614" s="529"/>
      <c r="V614" s="529"/>
      <c r="W614" s="529"/>
      <c r="X614" s="529"/>
      <c r="Y614" s="529"/>
      <c r="Z614" s="529"/>
      <c r="AA614" s="529"/>
      <c r="AB614" s="529"/>
      <c r="AC614" s="529"/>
      <c r="AD614" s="529"/>
      <c r="AE614" s="529"/>
      <c r="AF614" s="529"/>
      <c r="AG614" s="529"/>
      <c r="AH614" s="529"/>
      <c r="AI614" s="529"/>
      <c r="AJ614" s="529"/>
      <c r="AK614" s="529"/>
      <c r="AL614" s="529"/>
      <c r="AM614" s="529"/>
      <c r="AN614" s="529"/>
      <c r="AO614" s="529"/>
    </row>
    <row r="615">
      <c r="G615" s="529"/>
      <c r="H615" s="529"/>
      <c r="I615" s="529"/>
      <c r="J615" s="529"/>
      <c r="K615" s="529"/>
      <c r="L615" s="529"/>
      <c r="M615" s="529"/>
      <c r="N615" s="529"/>
      <c r="O615" s="529"/>
      <c r="P615" s="529"/>
      <c r="Q615" s="529"/>
      <c r="R615" s="529"/>
      <c r="S615" s="529"/>
      <c r="T615" s="529"/>
      <c r="U615" s="529"/>
      <c r="V615" s="529"/>
      <c r="W615" s="529"/>
      <c r="X615" s="529"/>
      <c r="Y615" s="529"/>
      <c r="Z615" s="529"/>
      <c r="AA615" s="529"/>
      <c r="AB615" s="529"/>
      <c r="AC615" s="529"/>
      <c r="AD615" s="529"/>
      <c r="AE615" s="529"/>
      <c r="AF615" s="529"/>
      <c r="AG615" s="529"/>
      <c r="AH615" s="529"/>
      <c r="AI615" s="529"/>
      <c r="AJ615" s="529"/>
      <c r="AK615" s="529"/>
      <c r="AL615" s="529"/>
      <c r="AM615" s="529"/>
      <c r="AN615" s="529"/>
      <c r="AO615" s="529"/>
    </row>
    <row r="616">
      <c r="G616" s="529"/>
      <c r="H616" s="529"/>
      <c r="I616" s="529"/>
      <c r="J616" s="529"/>
      <c r="K616" s="529"/>
      <c r="L616" s="529"/>
      <c r="M616" s="529"/>
      <c r="N616" s="529"/>
      <c r="O616" s="529"/>
      <c r="P616" s="529"/>
      <c r="Q616" s="529"/>
      <c r="R616" s="529"/>
      <c r="S616" s="529"/>
      <c r="T616" s="529"/>
      <c r="U616" s="529"/>
      <c r="V616" s="529"/>
      <c r="W616" s="529"/>
      <c r="X616" s="529"/>
      <c r="Y616" s="529"/>
      <c r="Z616" s="529"/>
      <c r="AA616" s="529"/>
      <c r="AB616" s="529"/>
      <c r="AC616" s="529"/>
      <c r="AD616" s="529"/>
      <c r="AE616" s="529"/>
      <c r="AF616" s="529"/>
      <c r="AG616" s="529"/>
      <c r="AH616" s="529"/>
      <c r="AI616" s="529"/>
      <c r="AJ616" s="529"/>
      <c r="AK616" s="529"/>
      <c r="AL616" s="529"/>
      <c r="AM616" s="529"/>
      <c r="AN616" s="529"/>
      <c r="AO616" s="529"/>
    </row>
    <row r="617">
      <c r="G617" s="529"/>
      <c r="H617" s="529"/>
      <c r="I617" s="529"/>
      <c r="J617" s="529"/>
      <c r="K617" s="529"/>
      <c r="L617" s="529"/>
      <c r="M617" s="529"/>
      <c r="N617" s="529"/>
      <c r="O617" s="529"/>
      <c r="P617" s="529"/>
      <c r="Q617" s="529"/>
      <c r="R617" s="529"/>
      <c r="S617" s="529"/>
      <c r="T617" s="529"/>
      <c r="U617" s="529"/>
      <c r="V617" s="529"/>
      <c r="W617" s="529"/>
      <c r="X617" s="529"/>
      <c r="Y617" s="529"/>
      <c r="Z617" s="529"/>
      <c r="AA617" s="529"/>
      <c r="AB617" s="529"/>
      <c r="AC617" s="529"/>
      <c r="AD617" s="529"/>
      <c r="AE617" s="529"/>
      <c r="AF617" s="529"/>
      <c r="AG617" s="529"/>
      <c r="AH617" s="529"/>
      <c r="AI617" s="529"/>
      <c r="AJ617" s="529"/>
      <c r="AK617" s="529"/>
      <c r="AL617" s="529"/>
      <c r="AM617" s="529"/>
      <c r="AN617" s="529"/>
      <c r="AO617" s="529"/>
    </row>
    <row r="618">
      <c r="G618" s="529"/>
      <c r="H618" s="529"/>
      <c r="I618" s="529"/>
      <c r="J618" s="529"/>
      <c r="K618" s="529"/>
      <c r="L618" s="529"/>
      <c r="M618" s="529"/>
      <c r="N618" s="529"/>
      <c r="O618" s="529"/>
      <c r="P618" s="529"/>
      <c r="Q618" s="529"/>
      <c r="R618" s="529"/>
      <c r="S618" s="529"/>
      <c r="T618" s="529"/>
      <c r="U618" s="529"/>
      <c r="V618" s="529"/>
      <c r="W618" s="529"/>
      <c r="X618" s="529"/>
      <c r="Y618" s="529"/>
      <c r="Z618" s="529"/>
      <c r="AA618" s="529"/>
      <c r="AB618" s="529"/>
      <c r="AC618" s="529"/>
      <c r="AD618" s="529"/>
      <c r="AE618" s="529"/>
      <c r="AF618" s="529"/>
      <c r="AG618" s="529"/>
      <c r="AH618" s="529"/>
      <c r="AI618" s="529"/>
      <c r="AJ618" s="529"/>
      <c r="AK618" s="529"/>
      <c r="AL618" s="529"/>
      <c r="AM618" s="529"/>
      <c r="AN618" s="529"/>
      <c r="AO618" s="529"/>
    </row>
    <row r="619">
      <c r="G619" s="529"/>
      <c r="H619" s="529"/>
      <c r="I619" s="529"/>
      <c r="J619" s="529"/>
      <c r="K619" s="529"/>
      <c r="L619" s="529"/>
      <c r="M619" s="529"/>
      <c r="N619" s="529"/>
      <c r="O619" s="529"/>
      <c r="P619" s="529"/>
      <c r="Q619" s="529"/>
      <c r="R619" s="529"/>
      <c r="S619" s="529"/>
      <c r="T619" s="529"/>
      <c r="U619" s="529"/>
      <c r="V619" s="529"/>
      <c r="W619" s="529"/>
      <c r="X619" s="529"/>
      <c r="Y619" s="529"/>
      <c r="Z619" s="529"/>
      <c r="AA619" s="529"/>
      <c r="AB619" s="529"/>
      <c r="AC619" s="529"/>
      <c r="AD619" s="529"/>
      <c r="AE619" s="529"/>
      <c r="AF619" s="529"/>
      <c r="AG619" s="529"/>
      <c r="AH619" s="529"/>
      <c r="AI619" s="529"/>
      <c r="AJ619" s="529"/>
      <c r="AK619" s="529"/>
      <c r="AL619" s="529"/>
      <c r="AM619" s="529"/>
      <c r="AN619" s="529"/>
      <c r="AO619" s="529"/>
    </row>
    <row r="620">
      <c r="G620" s="529"/>
      <c r="H620" s="529"/>
      <c r="I620" s="529"/>
      <c r="J620" s="529"/>
      <c r="K620" s="529"/>
      <c r="L620" s="529"/>
      <c r="M620" s="529"/>
      <c r="N620" s="529"/>
      <c r="O620" s="529"/>
      <c r="P620" s="529"/>
      <c r="Q620" s="529"/>
      <c r="R620" s="529"/>
      <c r="S620" s="529"/>
      <c r="T620" s="529"/>
      <c r="U620" s="529"/>
      <c r="V620" s="529"/>
      <c r="W620" s="529"/>
      <c r="X620" s="529"/>
      <c r="Y620" s="529"/>
      <c r="Z620" s="529"/>
      <c r="AA620" s="529"/>
      <c r="AB620" s="529"/>
      <c r="AC620" s="529"/>
      <c r="AD620" s="529"/>
      <c r="AE620" s="529"/>
      <c r="AF620" s="529"/>
      <c r="AG620" s="529"/>
      <c r="AH620" s="529"/>
      <c r="AI620" s="529"/>
      <c r="AJ620" s="529"/>
      <c r="AK620" s="529"/>
      <c r="AL620" s="529"/>
      <c r="AM620" s="529"/>
      <c r="AN620" s="529"/>
      <c r="AO620" s="529"/>
    </row>
    <row r="621">
      <c r="G621" s="529"/>
      <c r="H621" s="529"/>
      <c r="I621" s="529"/>
      <c r="J621" s="529"/>
      <c r="K621" s="529"/>
      <c r="L621" s="529"/>
      <c r="M621" s="529"/>
      <c r="N621" s="529"/>
      <c r="O621" s="529"/>
      <c r="P621" s="529"/>
      <c r="Q621" s="529"/>
      <c r="R621" s="529"/>
      <c r="S621" s="529"/>
      <c r="T621" s="529"/>
      <c r="U621" s="529"/>
      <c r="V621" s="529"/>
      <c r="W621" s="529"/>
      <c r="X621" s="529"/>
      <c r="Y621" s="529"/>
      <c r="Z621" s="529"/>
      <c r="AA621" s="529"/>
      <c r="AB621" s="529"/>
      <c r="AC621" s="529"/>
      <c r="AD621" s="529"/>
      <c r="AE621" s="529"/>
      <c r="AF621" s="529"/>
      <c r="AG621" s="529"/>
      <c r="AH621" s="529"/>
      <c r="AI621" s="529"/>
      <c r="AJ621" s="529"/>
      <c r="AK621" s="529"/>
      <c r="AL621" s="529"/>
      <c r="AM621" s="529"/>
      <c r="AN621" s="529"/>
      <c r="AO621" s="529"/>
    </row>
    <row r="622">
      <c r="G622" s="529"/>
      <c r="H622" s="529"/>
      <c r="I622" s="529"/>
      <c r="J622" s="529"/>
      <c r="K622" s="529"/>
      <c r="L622" s="529"/>
      <c r="M622" s="529"/>
      <c r="N622" s="529"/>
      <c r="O622" s="529"/>
      <c r="P622" s="529"/>
      <c r="Q622" s="529"/>
      <c r="R622" s="529"/>
      <c r="S622" s="529"/>
      <c r="T622" s="529"/>
      <c r="U622" s="529"/>
      <c r="V622" s="529"/>
      <c r="W622" s="529"/>
      <c r="X622" s="529"/>
      <c r="Y622" s="529"/>
      <c r="Z622" s="529"/>
      <c r="AA622" s="529"/>
      <c r="AB622" s="529"/>
      <c r="AC622" s="529"/>
      <c r="AD622" s="529"/>
      <c r="AE622" s="529"/>
      <c r="AF622" s="529"/>
      <c r="AG622" s="529"/>
      <c r="AH622" s="529"/>
      <c r="AI622" s="529"/>
      <c r="AJ622" s="529"/>
      <c r="AK622" s="529"/>
      <c r="AL622" s="529"/>
      <c r="AM622" s="529"/>
      <c r="AN622" s="529"/>
      <c r="AO622" s="529"/>
    </row>
    <row r="623">
      <c r="G623" s="529"/>
      <c r="H623" s="529"/>
      <c r="I623" s="529"/>
      <c r="J623" s="529"/>
      <c r="K623" s="529"/>
      <c r="L623" s="529"/>
      <c r="M623" s="529"/>
      <c r="N623" s="529"/>
      <c r="O623" s="529"/>
      <c r="P623" s="529"/>
      <c r="Q623" s="529"/>
      <c r="R623" s="529"/>
      <c r="S623" s="529"/>
      <c r="T623" s="529"/>
      <c r="U623" s="529"/>
      <c r="V623" s="529"/>
      <c r="W623" s="529"/>
      <c r="X623" s="529"/>
      <c r="Y623" s="529"/>
      <c r="Z623" s="529"/>
      <c r="AA623" s="529"/>
      <c r="AB623" s="529"/>
      <c r="AC623" s="529"/>
      <c r="AD623" s="529"/>
      <c r="AE623" s="529"/>
      <c r="AF623" s="529"/>
      <c r="AG623" s="529"/>
      <c r="AH623" s="529"/>
      <c r="AI623" s="529"/>
      <c r="AJ623" s="529"/>
      <c r="AK623" s="529"/>
      <c r="AL623" s="529"/>
      <c r="AM623" s="529"/>
      <c r="AN623" s="529"/>
      <c r="AO623" s="529"/>
    </row>
    <row r="624">
      <c r="G624" s="529"/>
      <c r="H624" s="529"/>
      <c r="I624" s="529"/>
      <c r="J624" s="529"/>
      <c r="K624" s="529"/>
      <c r="L624" s="529"/>
      <c r="M624" s="529"/>
      <c r="N624" s="529"/>
      <c r="O624" s="529"/>
      <c r="P624" s="529"/>
      <c r="Q624" s="529"/>
      <c r="R624" s="529"/>
      <c r="S624" s="529"/>
      <c r="T624" s="529"/>
      <c r="U624" s="529"/>
      <c r="V624" s="529"/>
      <c r="W624" s="529"/>
      <c r="X624" s="529"/>
      <c r="Y624" s="529"/>
      <c r="Z624" s="529"/>
      <c r="AA624" s="529"/>
      <c r="AB624" s="529"/>
      <c r="AC624" s="529"/>
      <c r="AD624" s="529"/>
      <c r="AE624" s="529"/>
      <c r="AF624" s="529"/>
      <c r="AG624" s="529"/>
      <c r="AH624" s="529"/>
      <c r="AI624" s="529"/>
      <c r="AJ624" s="529"/>
      <c r="AK624" s="529"/>
      <c r="AL624" s="529"/>
      <c r="AM624" s="529"/>
      <c r="AN624" s="529"/>
      <c r="AO624" s="529"/>
    </row>
    <row r="625">
      <c r="G625" s="529"/>
      <c r="H625" s="529"/>
      <c r="I625" s="529"/>
      <c r="J625" s="529"/>
      <c r="K625" s="529"/>
      <c r="L625" s="529"/>
      <c r="M625" s="529"/>
      <c r="N625" s="529"/>
      <c r="O625" s="529"/>
      <c r="P625" s="529"/>
      <c r="Q625" s="529"/>
      <c r="R625" s="529"/>
      <c r="S625" s="529"/>
      <c r="T625" s="529"/>
      <c r="U625" s="529"/>
      <c r="V625" s="529"/>
      <c r="W625" s="529"/>
      <c r="X625" s="529"/>
      <c r="Y625" s="529"/>
      <c r="Z625" s="529"/>
      <c r="AA625" s="529"/>
      <c r="AB625" s="529"/>
      <c r="AC625" s="529"/>
      <c r="AD625" s="529"/>
      <c r="AE625" s="529"/>
      <c r="AF625" s="529"/>
      <c r="AG625" s="529"/>
      <c r="AH625" s="529"/>
      <c r="AI625" s="529"/>
      <c r="AJ625" s="529"/>
      <c r="AK625" s="529"/>
      <c r="AL625" s="529"/>
      <c r="AM625" s="529"/>
      <c r="AN625" s="529"/>
      <c r="AO625" s="529"/>
    </row>
    <row r="626">
      <c r="G626" s="529"/>
      <c r="H626" s="529"/>
      <c r="I626" s="529"/>
      <c r="J626" s="529"/>
      <c r="K626" s="529"/>
      <c r="L626" s="529"/>
      <c r="M626" s="529"/>
      <c r="N626" s="529"/>
      <c r="O626" s="529"/>
      <c r="P626" s="529"/>
      <c r="Q626" s="529"/>
      <c r="R626" s="529"/>
      <c r="S626" s="529"/>
      <c r="T626" s="529"/>
      <c r="U626" s="529"/>
      <c r="V626" s="529"/>
      <c r="W626" s="529"/>
      <c r="X626" s="529"/>
      <c r="Y626" s="529"/>
      <c r="Z626" s="529"/>
      <c r="AA626" s="529"/>
      <c r="AB626" s="529"/>
      <c r="AC626" s="529"/>
      <c r="AD626" s="529"/>
      <c r="AE626" s="529"/>
      <c r="AF626" s="529"/>
      <c r="AG626" s="529"/>
      <c r="AH626" s="529"/>
      <c r="AI626" s="529"/>
      <c r="AJ626" s="529"/>
      <c r="AK626" s="529"/>
      <c r="AL626" s="529"/>
      <c r="AM626" s="529"/>
      <c r="AN626" s="529"/>
      <c r="AO626" s="529"/>
    </row>
    <row r="627">
      <c r="G627" s="529"/>
      <c r="H627" s="529"/>
      <c r="I627" s="529"/>
      <c r="J627" s="529"/>
      <c r="K627" s="529"/>
      <c r="L627" s="529"/>
      <c r="M627" s="529"/>
      <c r="N627" s="529"/>
      <c r="O627" s="529"/>
      <c r="P627" s="529"/>
      <c r="Q627" s="529"/>
      <c r="R627" s="529"/>
      <c r="S627" s="529"/>
      <c r="T627" s="529"/>
      <c r="U627" s="529"/>
      <c r="V627" s="529"/>
      <c r="W627" s="529"/>
      <c r="X627" s="529"/>
      <c r="Y627" s="529"/>
      <c r="Z627" s="529"/>
      <c r="AA627" s="529"/>
      <c r="AB627" s="529"/>
      <c r="AC627" s="529"/>
      <c r="AD627" s="529"/>
      <c r="AE627" s="529"/>
      <c r="AF627" s="529"/>
      <c r="AG627" s="529"/>
      <c r="AH627" s="529"/>
      <c r="AI627" s="529"/>
      <c r="AJ627" s="529"/>
      <c r="AK627" s="529"/>
      <c r="AL627" s="529"/>
      <c r="AM627" s="529"/>
      <c r="AN627" s="529"/>
      <c r="AO627" s="529"/>
    </row>
    <row r="628">
      <c r="G628" s="529"/>
      <c r="H628" s="529"/>
      <c r="I628" s="529"/>
      <c r="J628" s="529"/>
      <c r="K628" s="529"/>
      <c r="L628" s="529"/>
      <c r="M628" s="529"/>
      <c r="N628" s="529"/>
      <c r="O628" s="529"/>
      <c r="P628" s="529"/>
      <c r="Q628" s="529"/>
      <c r="R628" s="529"/>
      <c r="S628" s="529"/>
      <c r="T628" s="529"/>
      <c r="U628" s="529"/>
      <c r="V628" s="529"/>
      <c r="W628" s="529"/>
      <c r="X628" s="529"/>
      <c r="Y628" s="529"/>
      <c r="Z628" s="529"/>
      <c r="AA628" s="529"/>
      <c r="AB628" s="529"/>
      <c r="AC628" s="529"/>
      <c r="AD628" s="529"/>
      <c r="AE628" s="529"/>
      <c r="AF628" s="529"/>
      <c r="AG628" s="529"/>
      <c r="AH628" s="529"/>
      <c r="AI628" s="529"/>
      <c r="AJ628" s="529"/>
      <c r="AK628" s="529"/>
      <c r="AL628" s="529"/>
      <c r="AM628" s="529"/>
      <c r="AN628" s="529"/>
      <c r="AO628" s="529"/>
    </row>
    <row r="629">
      <c r="G629" s="529"/>
      <c r="H629" s="529"/>
      <c r="I629" s="529"/>
      <c r="J629" s="529"/>
      <c r="K629" s="529"/>
      <c r="L629" s="529"/>
      <c r="M629" s="529"/>
      <c r="N629" s="529"/>
      <c r="O629" s="529"/>
      <c r="P629" s="529"/>
      <c r="Q629" s="529"/>
      <c r="R629" s="529"/>
      <c r="S629" s="529"/>
      <c r="T629" s="529"/>
      <c r="U629" s="529"/>
      <c r="V629" s="529"/>
      <c r="W629" s="529"/>
      <c r="X629" s="529"/>
      <c r="Y629" s="529"/>
      <c r="Z629" s="529"/>
      <c r="AA629" s="529"/>
      <c r="AB629" s="529"/>
      <c r="AC629" s="529"/>
      <c r="AD629" s="529"/>
      <c r="AE629" s="529"/>
      <c r="AF629" s="529"/>
      <c r="AG629" s="529"/>
      <c r="AH629" s="529"/>
      <c r="AI629" s="529"/>
      <c r="AJ629" s="529"/>
      <c r="AK629" s="529"/>
      <c r="AL629" s="529"/>
      <c r="AM629" s="529"/>
      <c r="AN629" s="529"/>
      <c r="AO629" s="529"/>
    </row>
    <row r="630">
      <c r="G630" s="529"/>
      <c r="H630" s="529"/>
      <c r="I630" s="529"/>
      <c r="J630" s="529"/>
      <c r="K630" s="529"/>
      <c r="L630" s="529"/>
      <c r="M630" s="529"/>
      <c r="N630" s="529"/>
      <c r="O630" s="529"/>
      <c r="P630" s="529"/>
      <c r="Q630" s="529"/>
      <c r="R630" s="529"/>
      <c r="S630" s="529"/>
      <c r="T630" s="529"/>
      <c r="U630" s="529"/>
      <c r="V630" s="529"/>
      <c r="W630" s="529"/>
      <c r="X630" s="529"/>
      <c r="Y630" s="529"/>
      <c r="Z630" s="529"/>
      <c r="AA630" s="529"/>
      <c r="AB630" s="529"/>
      <c r="AC630" s="529"/>
      <c r="AD630" s="529"/>
      <c r="AE630" s="529"/>
      <c r="AF630" s="529"/>
      <c r="AG630" s="529"/>
      <c r="AH630" s="529"/>
      <c r="AI630" s="529"/>
      <c r="AJ630" s="529"/>
      <c r="AK630" s="529"/>
      <c r="AL630" s="529"/>
      <c r="AM630" s="529"/>
      <c r="AN630" s="529"/>
      <c r="AO630" s="529"/>
    </row>
    <row r="631">
      <c r="G631" s="529"/>
      <c r="H631" s="529"/>
      <c r="I631" s="529"/>
      <c r="J631" s="529"/>
      <c r="K631" s="529"/>
      <c r="L631" s="529"/>
      <c r="M631" s="529"/>
      <c r="N631" s="529"/>
      <c r="O631" s="529"/>
      <c r="P631" s="529"/>
      <c r="Q631" s="529"/>
      <c r="R631" s="529"/>
      <c r="S631" s="529"/>
      <c r="T631" s="529"/>
      <c r="U631" s="529"/>
      <c r="V631" s="529"/>
      <c r="W631" s="529"/>
      <c r="X631" s="529"/>
      <c r="Y631" s="529"/>
      <c r="Z631" s="529"/>
      <c r="AA631" s="529"/>
      <c r="AB631" s="529"/>
      <c r="AC631" s="529"/>
      <c r="AD631" s="529"/>
      <c r="AE631" s="529"/>
      <c r="AF631" s="529"/>
      <c r="AG631" s="529"/>
      <c r="AH631" s="529"/>
      <c r="AI631" s="529"/>
      <c r="AJ631" s="529"/>
      <c r="AK631" s="529"/>
      <c r="AL631" s="529"/>
      <c r="AM631" s="529"/>
      <c r="AN631" s="529"/>
      <c r="AO631" s="529"/>
    </row>
    <row r="632">
      <c r="G632" s="529"/>
      <c r="H632" s="529"/>
      <c r="I632" s="529"/>
      <c r="J632" s="529"/>
      <c r="K632" s="529"/>
      <c r="L632" s="529"/>
      <c r="M632" s="529"/>
      <c r="N632" s="529"/>
      <c r="O632" s="529"/>
      <c r="P632" s="529"/>
      <c r="Q632" s="529"/>
      <c r="R632" s="529"/>
      <c r="S632" s="529"/>
      <c r="T632" s="529"/>
      <c r="U632" s="529"/>
      <c r="V632" s="529"/>
      <c r="W632" s="529"/>
      <c r="X632" s="529"/>
      <c r="Y632" s="529"/>
      <c r="Z632" s="529"/>
      <c r="AA632" s="529"/>
      <c r="AB632" s="529"/>
      <c r="AC632" s="529"/>
      <c r="AD632" s="529"/>
      <c r="AE632" s="529"/>
      <c r="AF632" s="529"/>
      <c r="AG632" s="529"/>
      <c r="AH632" s="529"/>
      <c r="AI632" s="529"/>
      <c r="AJ632" s="529"/>
      <c r="AK632" s="529"/>
      <c r="AL632" s="529"/>
      <c r="AM632" s="529"/>
      <c r="AN632" s="529"/>
      <c r="AO632" s="529"/>
    </row>
    <row r="633">
      <c r="G633" s="529"/>
      <c r="H633" s="529"/>
      <c r="I633" s="529"/>
      <c r="J633" s="529"/>
      <c r="K633" s="529"/>
      <c r="L633" s="529"/>
      <c r="M633" s="529"/>
      <c r="N633" s="529"/>
      <c r="O633" s="529"/>
      <c r="P633" s="529"/>
      <c r="Q633" s="529"/>
      <c r="R633" s="529"/>
      <c r="S633" s="529"/>
      <c r="T633" s="529"/>
      <c r="U633" s="529"/>
      <c r="V633" s="529"/>
      <c r="W633" s="529"/>
      <c r="X633" s="529"/>
      <c r="Y633" s="529"/>
      <c r="Z633" s="529"/>
      <c r="AA633" s="529"/>
      <c r="AB633" s="529"/>
      <c r="AC633" s="529"/>
      <c r="AD633" s="529"/>
      <c r="AE633" s="529"/>
      <c r="AF633" s="529"/>
      <c r="AG633" s="529"/>
      <c r="AH633" s="529"/>
      <c r="AI633" s="529"/>
      <c r="AJ633" s="529"/>
      <c r="AK633" s="529"/>
      <c r="AL633" s="529"/>
      <c r="AM633" s="529"/>
      <c r="AN633" s="529"/>
      <c r="AO633" s="529"/>
    </row>
    <row r="634">
      <c r="G634" s="529"/>
      <c r="H634" s="529"/>
      <c r="I634" s="529"/>
      <c r="J634" s="529"/>
      <c r="K634" s="529"/>
      <c r="L634" s="529"/>
      <c r="M634" s="529"/>
      <c r="N634" s="529"/>
      <c r="O634" s="529"/>
      <c r="P634" s="529"/>
      <c r="Q634" s="529"/>
      <c r="R634" s="529"/>
      <c r="S634" s="529"/>
      <c r="T634" s="529"/>
      <c r="U634" s="529"/>
      <c r="V634" s="529"/>
      <c r="W634" s="529"/>
      <c r="X634" s="529"/>
      <c r="Y634" s="529"/>
      <c r="Z634" s="529"/>
      <c r="AA634" s="529"/>
      <c r="AB634" s="529"/>
      <c r="AC634" s="529"/>
      <c r="AD634" s="529"/>
      <c r="AE634" s="529"/>
      <c r="AF634" s="529"/>
      <c r="AG634" s="529"/>
      <c r="AH634" s="529"/>
      <c r="AI634" s="529"/>
      <c r="AJ634" s="529"/>
      <c r="AK634" s="529"/>
      <c r="AL634" s="529"/>
      <c r="AM634" s="529"/>
      <c r="AN634" s="529"/>
      <c r="AO634" s="529"/>
    </row>
    <row r="635">
      <c r="G635" s="529"/>
      <c r="H635" s="529"/>
      <c r="I635" s="529"/>
      <c r="J635" s="529"/>
      <c r="K635" s="529"/>
      <c r="L635" s="529"/>
      <c r="M635" s="529"/>
      <c r="N635" s="529"/>
      <c r="O635" s="529"/>
      <c r="P635" s="529"/>
      <c r="Q635" s="529"/>
      <c r="R635" s="529"/>
      <c r="S635" s="529"/>
      <c r="T635" s="529"/>
      <c r="U635" s="529"/>
      <c r="V635" s="529"/>
      <c r="W635" s="529"/>
      <c r="X635" s="529"/>
      <c r="Y635" s="529"/>
      <c r="Z635" s="529"/>
      <c r="AA635" s="529"/>
      <c r="AB635" s="529"/>
      <c r="AC635" s="529"/>
      <c r="AD635" s="529"/>
      <c r="AE635" s="529"/>
      <c r="AF635" s="529"/>
      <c r="AG635" s="529"/>
      <c r="AH635" s="529"/>
      <c r="AI635" s="529"/>
      <c r="AJ635" s="529"/>
      <c r="AK635" s="529"/>
      <c r="AL635" s="529"/>
      <c r="AM635" s="529"/>
      <c r="AN635" s="529"/>
      <c r="AO635" s="529"/>
    </row>
    <row r="636">
      <c r="G636" s="529"/>
      <c r="H636" s="529"/>
      <c r="I636" s="529"/>
      <c r="J636" s="529"/>
      <c r="K636" s="529"/>
      <c r="L636" s="529"/>
      <c r="M636" s="529"/>
      <c r="N636" s="529"/>
      <c r="O636" s="529"/>
      <c r="P636" s="529"/>
      <c r="Q636" s="529"/>
      <c r="R636" s="529"/>
      <c r="S636" s="529"/>
      <c r="T636" s="529"/>
      <c r="U636" s="529"/>
      <c r="V636" s="529"/>
      <c r="W636" s="529"/>
      <c r="X636" s="529"/>
      <c r="Y636" s="529"/>
      <c r="Z636" s="529"/>
      <c r="AA636" s="529"/>
      <c r="AB636" s="529"/>
      <c r="AC636" s="529"/>
      <c r="AD636" s="529"/>
      <c r="AE636" s="529"/>
      <c r="AF636" s="529"/>
      <c r="AG636" s="529"/>
      <c r="AH636" s="529"/>
      <c r="AI636" s="529"/>
      <c r="AJ636" s="529"/>
      <c r="AK636" s="529"/>
      <c r="AL636" s="529"/>
      <c r="AM636" s="529"/>
      <c r="AN636" s="529"/>
      <c r="AO636" s="529"/>
    </row>
    <row r="637">
      <c r="G637" s="529"/>
      <c r="H637" s="529"/>
      <c r="I637" s="529"/>
      <c r="J637" s="529"/>
      <c r="K637" s="529"/>
      <c r="L637" s="529"/>
      <c r="M637" s="529"/>
      <c r="N637" s="529"/>
      <c r="O637" s="529"/>
      <c r="P637" s="529"/>
      <c r="Q637" s="529"/>
      <c r="R637" s="529"/>
      <c r="S637" s="529"/>
      <c r="T637" s="529"/>
      <c r="U637" s="529"/>
      <c r="V637" s="529"/>
      <c r="W637" s="529"/>
      <c r="X637" s="529"/>
      <c r="Y637" s="529"/>
      <c r="Z637" s="529"/>
      <c r="AA637" s="529"/>
      <c r="AB637" s="529"/>
      <c r="AC637" s="529"/>
      <c r="AD637" s="529"/>
      <c r="AE637" s="529"/>
      <c r="AF637" s="529"/>
      <c r="AG637" s="529"/>
      <c r="AH637" s="529"/>
      <c r="AI637" s="529"/>
      <c r="AJ637" s="529"/>
      <c r="AK637" s="529"/>
      <c r="AL637" s="529"/>
      <c r="AM637" s="529"/>
      <c r="AN637" s="529"/>
      <c r="AO637" s="529"/>
    </row>
    <row r="638">
      <c r="G638" s="529"/>
      <c r="H638" s="529"/>
      <c r="I638" s="529"/>
      <c r="J638" s="529"/>
      <c r="K638" s="529"/>
      <c r="L638" s="529"/>
      <c r="M638" s="529"/>
      <c r="N638" s="529"/>
      <c r="O638" s="529"/>
      <c r="P638" s="529"/>
      <c r="Q638" s="529"/>
      <c r="R638" s="529"/>
      <c r="S638" s="529"/>
      <c r="T638" s="529"/>
      <c r="U638" s="529"/>
      <c r="V638" s="529"/>
      <c r="W638" s="529"/>
      <c r="X638" s="529"/>
      <c r="Y638" s="529"/>
      <c r="Z638" s="529"/>
      <c r="AA638" s="529"/>
      <c r="AB638" s="529"/>
      <c r="AC638" s="529"/>
      <c r="AD638" s="529"/>
      <c r="AE638" s="529"/>
      <c r="AF638" s="529"/>
      <c r="AG638" s="529"/>
      <c r="AH638" s="529"/>
      <c r="AI638" s="529"/>
      <c r="AJ638" s="529"/>
      <c r="AK638" s="529"/>
      <c r="AL638" s="529"/>
      <c r="AM638" s="529"/>
      <c r="AN638" s="529"/>
      <c r="AO638" s="529"/>
    </row>
    <row r="639">
      <c r="G639" s="529"/>
      <c r="H639" s="529"/>
      <c r="I639" s="529"/>
      <c r="J639" s="529"/>
      <c r="K639" s="529"/>
      <c r="L639" s="529"/>
      <c r="M639" s="529"/>
      <c r="N639" s="529"/>
      <c r="O639" s="529"/>
      <c r="P639" s="529"/>
      <c r="Q639" s="529"/>
      <c r="R639" s="529"/>
      <c r="S639" s="529"/>
      <c r="T639" s="529"/>
      <c r="U639" s="529"/>
      <c r="V639" s="529"/>
      <c r="W639" s="529"/>
      <c r="X639" s="529"/>
      <c r="Y639" s="529"/>
      <c r="Z639" s="529"/>
      <c r="AA639" s="529"/>
      <c r="AB639" s="529"/>
      <c r="AC639" s="529"/>
      <c r="AD639" s="529"/>
      <c r="AE639" s="529"/>
      <c r="AF639" s="529"/>
      <c r="AG639" s="529"/>
      <c r="AH639" s="529"/>
      <c r="AI639" s="529"/>
      <c r="AJ639" s="529"/>
      <c r="AK639" s="529"/>
      <c r="AL639" s="529"/>
      <c r="AM639" s="529"/>
      <c r="AN639" s="529"/>
      <c r="AO639" s="529"/>
    </row>
    <row r="640">
      <c r="G640" s="529"/>
      <c r="H640" s="529"/>
      <c r="I640" s="529"/>
      <c r="J640" s="529"/>
      <c r="K640" s="529"/>
      <c r="L640" s="529"/>
      <c r="M640" s="529"/>
      <c r="N640" s="529"/>
      <c r="O640" s="529"/>
      <c r="P640" s="529"/>
      <c r="Q640" s="529"/>
      <c r="R640" s="529"/>
      <c r="S640" s="529"/>
      <c r="T640" s="529"/>
      <c r="U640" s="529"/>
      <c r="V640" s="529"/>
      <c r="W640" s="529"/>
      <c r="X640" s="529"/>
      <c r="Y640" s="529"/>
      <c r="Z640" s="529"/>
      <c r="AA640" s="529"/>
      <c r="AB640" s="529"/>
      <c r="AC640" s="529"/>
      <c r="AD640" s="529"/>
      <c r="AE640" s="529"/>
      <c r="AF640" s="529"/>
      <c r="AG640" s="529"/>
      <c r="AH640" s="529"/>
      <c r="AI640" s="529"/>
      <c r="AJ640" s="529"/>
      <c r="AK640" s="529"/>
      <c r="AL640" s="529"/>
      <c r="AM640" s="529"/>
      <c r="AN640" s="529"/>
      <c r="AO640" s="529"/>
    </row>
    <row r="641">
      <c r="G641" s="529"/>
      <c r="H641" s="529"/>
      <c r="I641" s="529"/>
      <c r="J641" s="529"/>
      <c r="K641" s="529"/>
      <c r="L641" s="529"/>
      <c r="M641" s="529"/>
      <c r="N641" s="529"/>
      <c r="O641" s="529"/>
      <c r="P641" s="529"/>
      <c r="Q641" s="529"/>
      <c r="R641" s="529"/>
      <c r="S641" s="529"/>
      <c r="T641" s="529"/>
      <c r="U641" s="529"/>
      <c r="V641" s="529"/>
      <c r="W641" s="529"/>
      <c r="X641" s="529"/>
      <c r="Y641" s="529"/>
      <c r="Z641" s="529"/>
      <c r="AA641" s="529"/>
      <c r="AB641" s="529"/>
      <c r="AC641" s="529"/>
      <c r="AD641" s="529"/>
      <c r="AE641" s="529"/>
      <c r="AF641" s="529"/>
      <c r="AG641" s="529"/>
      <c r="AH641" s="529"/>
      <c r="AI641" s="529"/>
      <c r="AJ641" s="529"/>
      <c r="AK641" s="529"/>
      <c r="AL641" s="529"/>
      <c r="AM641" s="529"/>
      <c r="AN641" s="529"/>
      <c r="AO641" s="529"/>
    </row>
    <row r="642">
      <c r="G642" s="529"/>
      <c r="H642" s="529"/>
      <c r="I642" s="529"/>
      <c r="J642" s="529"/>
      <c r="K642" s="529"/>
      <c r="L642" s="529"/>
      <c r="M642" s="529"/>
      <c r="N642" s="529"/>
      <c r="O642" s="529"/>
      <c r="P642" s="529"/>
      <c r="Q642" s="529"/>
      <c r="R642" s="529"/>
      <c r="S642" s="529"/>
      <c r="T642" s="529"/>
      <c r="U642" s="529"/>
      <c r="V642" s="529"/>
      <c r="W642" s="529"/>
      <c r="X642" s="529"/>
      <c r="Y642" s="529"/>
      <c r="Z642" s="529"/>
      <c r="AA642" s="529"/>
      <c r="AB642" s="529"/>
      <c r="AC642" s="529"/>
      <c r="AD642" s="529"/>
      <c r="AE642" s="529"/>
      <c r="AF642" s="529"/>
      <c r="AG642" s="529"/>
      <c r="AH642" s="529"/>
      <c r="AI642" s="529"/>
      <c r="AJ642" s="529"/>
      <c r="AK642" s="529"/>
      <c r="AL642" s="529"/>
      <c r="AM642" s="529"/>
      <c r="AN642" s="529"/>
      <c r="AO642" s="529"/>
    </row>
    <row r="643">
      <c r="G643" s="529"/>
      <c r="H643" s="529"/>
      <c r="I643" s="529"/>
      <c r="J643" s="529"/>
      <c r="K643" s="529"/>
      <c r="L643" s="529"/>
      <c r="M643" s="529"/>
      <c r="N643" s="529"/>
      <c r="O643" s="529"/>
      <c r="P643" s="529"/>
      <c r="Q643" s="529"/>
      <c r="R643" s="529"/>
      <c r="S643" s="529"/>
      <c r="T643" s="529"/>
      <c r="U643" s="529"/>
      <c r="V643" s="529"/>
      <c r="W643" s="529"/>
      <c r="X643" s="529"/>
      <c r="Y643" s="529"/>
      <c r="Z643" s="529"/>
      <c r="AA643" s="529"/>
      <c r="AB643" s="529"/>
      <c r="AC643" s="529"/>
      <c r="AD643" s="529"/>
      <c r="AE643" s="529"/>
      <c r="AF643" s="529"/>
      <c r="AG643" s="529"/>
      <c r="AH643" s="529"/>
      <c r="AI643" s="529"/>
      <c r="AJ643" s="529"/>
      <c r="AK643" s="529"/>
      <c r="AL643" s="529"/>
      <c r="AM643" s="529"/>
      <c r="AN643" s="529"/>
      <c r="AO643" s="529"/>
    </row>
    <row r="644">
      <c r="G644" s="529"/>
      <c r="H644" s="529"/>
      <c r="I644" s="529"/>
      <c r="J644" s="529"/>
      <c r="K644" s="529"/>
      <c r="L644" s="529"/>
      <c r="M644" s="529"/>
      <c r="N644" s="529"/>
      <c r="O644" s="529"/>
      <c r="P644" s="529"/>
      <c r="Q644" s="529"/>
      <c r="R644" s="529"/>
      <c r="S644" s="529"/>
      <c r="T644" s="529"/>
      <c r="U644" s="529"/>
      <c r="V644" s="529"/>
      <c r="W644" s="529"/>
      <c r="X644" s="529"/>
      <c r="Y644" s="529"/>
      <c r="Z644" s="529"/>
      <c r="AA644" s="529"/>
      <c r="AB644" s="529"/>
      <c r="AC644" s="529"/>
      <c r="AD644" s="529"/>
      <c r="AE644" s="529"/>
      <c r="AF644" s="529"/>
      <c r="AG644" s="529"/>
      <c r="AH644" s="529"/>
      <c r="AI644" s="529"/>
      <c r="AJ644" s="529"/>
      <c r="AK644" s="529"/>
      <c r="AL644" s="529"/>
      <c r="AM644" s="529"/>
      <c r="AN644" s="529"/>
      <c r="AO644" s="529"/>
    </row>
    <row r="645">
      <c r="G645" s="529"/>
      <c r="H645" s="529"/>
      <c r="I645" s="529"/>
      <c r="J645" s="529"/>
      <c r="K645" s="529"/>
      <c r="L645" s="529"/>
      <c r="M645" s="529"/>
      <c r="N645" s="529"/>
      <c r="O645" s="529"/>
      <c r="P645" s="529"/>
      <c r="Q645" s="529"/>
      <c r="R645" s="529"/>
      <c r="S645" s="529"/>
      <c r="T645" s="529"/>
      <c r="U645" s="529"/>
      <c r="V645" s="529"/>
      <c r="W645" s="529"/>
      <c r="X645" s="529"/>
      <c r="Y645" s="529"/>
      <c r="Z645" s="529"/>
      <c r="AA645" s="529"/>
      <c r="AB645" s="529"/>
      <c r="AC645" s="529"/>
      <c r="AD645" s="529"/>
      <c r="AE645" s="529"/>
      <c r="AF645" s="529"/>
      <c r="AG645" s="529"/>
      <c r="AH645" s="529"/>
      <c r="AI645" s="529"/>
      <c r="AJ645" s="529"/>
      <c r="AK645" s="529"/>
      <c r="AL645" s="529"/>
      <c r="AM645" s="529"/>
      <c r="AN645" s="529"/>
      <c r="AO645" s="529"/>
    </row>
    <row r="646">
      <c r="G646" s="529"/>
      <c r="H646" s="529"/>
      <c r="I646" s="529"/>
      <c r="J646" s="529"/>
      <c r="K646" s="529"/>
      <c r="L646" s="529"/>
      <c r="M646" s="529"/>
      <c r="N646" s="529"/>
      <c r="O646" s="529"/>
      <c r="P646" s="529"/>
      <c r="Q646" s="529"/>
      <c r="R646" s="529"/>
      <c r="S646" s="529"/>
      <c r="T646" s="529"/>
      <c r="U646" s="529"/>
      <c r="V646" s="529"/>
      <c r="W646" s="529"/>
      <c r="X646" s="529"/>
      <c r="Y646" s="529"/>
      <c r="Z646" s="529"/>
      <c r="AA646" s="529"/>
      <c r="AB646" s="529"/>
      <c r="AC646" s="529"/>
      <c r="AD646" s="529"/>
      <c r="AE646" s="529"/>
      <c r="AF646" s="529"/>
      <c r="AG646" s="529"/>
      <c r="AH646" s="529"/>
      <c r="AI646" s="529"/>
      <c r="AJ646" s="529"/>
      <c r="AK646" s="529"/>
      <c r="AL646" s="529"/>
      <c r="AM646" s="529"/>
      <c r="AN646" s="529"/>
      <c r="AO646" s="529"/>
    </row>
    <row r="647">
      <c r="G647" s="529"/>
      <c r="H647" s="529"/>
      <c r="I647" s="529"/>
      <c r="J647" s="529"/>
      <c r="K647" s="529"/>
      <c r="L647" s="529"/>
      <c r="M647" s="529"/>
      <c r="N647" s="529"/>
      <c r="O647" s="529"/>
      <c r="P647" s="529"/>
      <c r="Q647" s="529"/>
      <c r="R647" s="529"/>
      <c r="S647" s="529"/>
      <c r="T647" s="529"/>
      <c r="U647" s="529"/>
      <c r="V647" s="529"/>
      <c r="W647" s="529"/>
      <c r="X647" s="529"/>
      <c r="Y647" s="529"/>
      <c r="Z647" s="529"/>
      <c r="AA647" s="529"/>
      <c r="AB647" s="529"/>
      <c r="AC647" s="529"/>
      <c r="AD647" s="529"/>
      <c r="AE647" s="529"/>
      <c r="AF647" s="529"/>
      <c r="AG647" s="529"/>
      <c r="AH647" s="529"/>
      <c r="AI647" s="529"/>
      <c r="AJ647" s="529"/>
      <c r="AK647" s="529"/>
      <c r="AL647" s="529"/>
      <c r="AM647" s="529"/>
      <c r="AN647" s="529"/>
      <c r="AO647" s="529"/>
    </row>
    <row r="648">
      <c r="G648" s="529"/>
      <c r="H648" s="529"/>
      <c r="I648" s="529"/>
      <c r="J648" s="529"/>
      <c r="K648" s="529"/>
      <c r="L648" s="529"/>
      <c r="M648" s="529"/>
      <c r="N648" s="529"/>
      <c r="O648" s="529"/>
      <c r="P648" s="529"/>
      <c r="Q648" s="529"/>
      <c r="R648" s="529"/>
      <c r="S648" s="529"/>
      <c r="T648" s="529"/>
      <c r="U648" s="529"/>
      <c r="V648" s="529"/>
      <c r="W648" s="529"/>
      <c r="X648" s="529"/>
      <c r="Y648" s="529"/>
      <c r="Z648" s="529"/>
      <c r="AA648" s="529"/>
      <c r="AB648" s="529"/>
      <c r="AC648" s="529"/>
      <c r="AD648" s="529"/>
      <c r="AE648" s="529"/>
      <c r="AF648" s="529"/>
      <c r="AG648" s="529"/>
      <c r="AH648" s="529"/>
      <c r="AI648" s="529"/>
      <c r="AJ648" s="529"/>
      <c r="AK648" s="529"/>
      <c r="AL648" s="529"/>
      <c r="AM648" s="529"/>
      <c r="AN648" s="529"/>
      <c r="AO648" s="529"/>
    </row>
    <row r="649">
      <c r="G649" s="529"/>
      <c r="H649" s="529"/>
      <c r="I649" s="529"/>
      <c r="J649" s="529"/>
      <c r="K649" s="529"/>
      <c r="L649" s="529"/>
      <c r="M649" s="529"/>
      <c r="N649" s="529"/>
      <c r="O649" s="529"/>
      <c r="P649" s="529"/>
      <c r="Q649" s="529"/>
      <c r="R649" s="529"/>
      <c r="S649" s="529"/>
      <c r="T649" s="529"/>
      <c r="U649" s="529"/>
      <c r="V649" s="529"/>
      <c r="W649" s="529"/>
      <c r="X649" s="529"/>
      <c r="Y649" s="529"/>
      <c r="Z649" s="529"/>
      <c r="AA649" s="529"/>
      <c r="AB649" s="529"/>
      <c r="AC649" s="529"/>
      <c r="AD649" s="529"/>
      <c r="AE649" s="529"/>
      <c r="AF649" s="529"/>
      <c r="AG649" s="529"/>
      <c r="AH649" s="529"/>
      <c r="AI649" s="529"/>
      <c r="AJ649" s="529"/>
      <c r="AK649" s="529"/>
      <c r="AL649" s="529"/>
      <c r="AM649" s="529"/>
      <c r="AN649" s="529"/>
      <c r="AO649" s="529"/>
    </row>
    <row r="650">
      <c r="G650" s="529"/>
      <c r="H650" s="529"/>
      <c r="I650" s="529"/>
      <c r="J650" s="529"/>
      <c r="K650" s="529"/>
      <c r="L650" s="529"/>
      <c r="M650" s="529"/>
      <c r="N650" s="529"/>
      <c r="O650" s="529"/>
      <c r="P650" s="529"/>
      <c r="Q650" s="529"/>
      <c r="R650" s="529"/>
      <c r="S650" s="529"/>
      <c r="T650" s="529"/>
      <c r="U650" s="529"/>
      <c r="V650" s="529"/>
      <c r="W650" s="529"/>
      <c r="X650" s="529"/>
      <c r="Y650" s="529"/>
      <c r="Z650" s="529"/>
      <c r="AA650" s="529"/>
      <c r="AB650" s="529"/>
      <c r="AC650" s="529"/>
      <c r="AD650" s="529"/>
      <c r="AE650" s="529"/>
      <c r="AF650" s="529"/>
      <c r="AG650" s="529"/>
      <c r="AH650" s="529"/>
      <c r="AI650" s="529"/>
      <c r="AJ650" s="529"/>
      <c r="AK650" s="529"/>
      <c r="AL650" s="529"/>
      <c r="AM650" s="529"/>
      <c r="AN650" s="529"/>
      <c r="AO650" s="529"/>
    </row>
    <row r="651">
      <c r="G651" s="529"/>
      <c r="H651" s="529"/>
      <c r="I651" s="529"/>
      <c r="J651" s="529"/>
      <c r="K651" s="529"/>
      <c r="L651" s="529"/>
      <c r="M651" s="529"/>
      <c r="N651" s="529"/>
      <c r="O651" s="529"/>
      <c r="P651" s="529"/>
      <c r="Q651" s="529"/>
      <c r="R651" s="529"/>
      <c r="S651" s="529"/>
      <c r="T651" s="529"/>
      <c r="U651" s="529"/>
      <c r="V651" s="529"/>
      <c r="W651" s="529"/>
      <c r="X651" s="529"/>
      <c r="Y651" s="529"/>
      <c r="Z651" s="529"/>
      <c r="AA651" s="529"/>
      <c r="AB651" s="529"/>
      <c r="AC651" s="529"/>
      <c r="AD651" s="529"/>
      <c r="AE651" s="529"/>
      <c r="AF651" s="529"/>
      <c r="AG651" s="529"/>
      <c r="AH651" s="529"/>
      <c r="AI651" s="529"/>
      <c r="AJ651" s="529"/>
      <c r="AK651" s="529"/>
      <c r="AL651" s="529"/>
      <c r="AM651" s="529"/>
      <c r="AN651" s="529"/>
      <c r="AO651" s="529"/>
    </row>
    <row r="652">
      <c r="G652" s="529"/>
      <c r="H652" s="529"/>
      <c r="I652" s="529"/>
      <c r="J652" s="529"/>
      <c r="K652" s="529"/>
      <c r="L652" s="529"/>
      <c r="M652" s="529"/>
      <c r="N652" s="529"/>
      <c r="O652" s="529"/>
      <c r="P652" s="529"/>
      <c r="Q652" s="529"/>
      <c r="R652" s="529"/>
      <c r="S652" s="529"/>
      <c r="T652" s="529"/>
      <c r="U652" s="529"/>
      <c r="V652" s="529"/>
      <c r="W652" s="529"/>
      <c r="X652" s="529"/>
      <c r="Y652" s="529"/>
      <c r="Z652" s="529"/>
      <c r="AA652" s="529"/>
      <c r="AB652" s="529"/>
      <c r="AC652" s="529"/>
      <c r="AD652" s="529"/>
      <c r="AE652" s="529"/>
      <c r="AF652" s="529"/>
      <c r="AG652" s="529"/>
      <c r="AH652" s="529"/>
      <c r="AI652" s="529"/>
      <c r="AJ652" s="529"/>
      <c r="AK652" s="529"/>
      <c r="AL652" s="529"/>
      <c r="AM652" s="529"/>
      <c r="AN652" s="529"/>
      <c r="AO652" s="529"/>
    </row>
    <row r="653">
      <c r="G653" s="529"/>
      <c r="H653" s="529"/>
      <c r="I653" s="529"/>
      <c r="J653" s="529"/>
      <c r="K653" s="529"/>
      <c r="L653" s="529"/>
      <c r="M653" s="529"/>
      <c r="N653" s="529"/>
      <c r="O653" s="529"/>
      <c r="P653" s="529"/>
      <c r="Q653" s="529"/>
      <c r="R653" s="529"/>
      <c r="S653" s="529"/>
      <c r="T653" s="529"/>
      <c r="U653" s="529"/>
      <c r="V653" s="529"/>
      <c r="W653" s="529"/>
      <c r="X653" s="529"/>
      <c r="Y653" s="529"/>
      <c r="Z653" s="529"/>
      <c r="AA653" s="529"/>
      <c r="AB653" s="529"/>
      <c r="AC653" s="529"/>
      <c r="AD653" s="529"/>
      <c r="AE653" s="529"/>
      <c r="AF653" s="529"/>
      <c r="AG653" s="529"/>
      <c r="AH653" s="529"/>
      <c r="AI653" s="529"/>
      <c r="AJ653" s="529"/>
      <c r="AK653" s="529"/>
      <c r="AL653" s="529"/>
      <c r="AM653" s="529"/>
      <c r="AN653" s="529"/>
      <c r="AO653" s="529"/>
    </row>
    <row r="654">
      <c r="G654" s="529"/>
      <c r="H654" s="529"/>
      <c r="I654" s="529"/>
      <c r="J654" s="529"/>
      <c r="K654" s="529"/>
      <c r="L654" s="529"/>
      <c r="M654" s="529"/>
      <c r="N654" s="529"/>
      <c r="O654" s="529"/>
      <c r="P654" s="529"/>
      <c r="Q654" s="529"/>
      <c r="R654" s="529"/>
      <c r="S654" s="529"/>
      <c r="T654" s="529"/>
      <c r="U654" s="529"/>
      <c r="V654" s="529"/>
      <c r="W654" s="529"/>
      <c r="X654" s="529"/>
      <c r="Y654" s="529"/>
      <c r="Z654" s="529"/>
      <c r="AA654" s="529"/>
      <c r="AB654" s="529"/>
      <c r="AC654" s="529"/>
      <c r="AD654" s="529"/>
      <c r="AE654" s="529"/>
      <c r="AF654" s="529"/>
      <c r="AG654" s="529"/>
      <c r="AH654" s="529"/>
      <c r="AI654" s="529"/>
      <c r="AJ654" s="529"/>
      <c r="AK654" s="529"/>
      <c r="AL654" s="529"/>
      <c r="AM654" s="529"/>
      <c r="AN654" s="529"/>
      <c r="AO654" s="529"/>
    </row>
    <row r="655">
      <c r="G655" s="529"/>
      <c r="H655" s="529"/>
      <c r="I655" s="529"/>
      <c r="J655" s="529"/>
      <c r="K655" s="529"/>
      <c r="L655" s="529"/>
      <c r="M655" s="529"/>
      <c r="N655" s="529"/>
      <c r="O655" s="529"/>
      <c r="P655" s="529"/>
      <c r="Q655" s="529"/>
      <c r="R655" s="529"/>
      <c r="S655" s="529"/>
      <c r="T655" s="529"/>
      <c r="U655" s="529"/>
      <c r="V655" s="529"/>
      <c r="W655" s="529"/>
      <c r="X655" s="529"/>
      <c r="Y655" s="529"/>
      <c r="Z655" s="529"/>
      <c r="AA655" s="529"/>
      <c r="AB655" s="529"/>
      <c r="AC655" s="529"/>
      <c r="AD655" s="529"/>
      <c r="AE655" s="529"/>
      <c r="AF655" s="529"/>
      <c r="AG655" s="529"/>
      <c r="AH655" s="529"/>
      <c r="AI655" s="529"/>
      <c r="AJ655" s="529"/>
      <c r="AK655" s="529"/>
      <c r="AL655" s="529"/>
      <c r="AM655" s="529"/>
      <c r="AN655" s="529"/>
      <c r="AO655" s="529"/>
    </row>
    <row r="656">
      <c r="G656" s="529"/>
      <c r="H656" s="529"/>
      <c r="I656" s="529"/>
      <c r="J656" s="529"/>
      <c r="K656" s="529"/>
      <c r="L656" s="529"/>
      <c r="M656" s="529"/>
      <c r="N656" s="529"/>
      <c r="O656" s="529"/>
      <c r="P656" s="529"/>
      <c r="Q656" s="529"/>
      <c r="R656" s="529"/>
      <c r="S656" s="529"/>
      <c r="T656" s="529"/>
      <c r="U656" s="529"/>
      <c r="V656" s="529"/>
      <c r="W656" s="529"/>
      <c r="X656" s="529"/>
      <c r="Y656" s="529"/>
      <c r="Z656" s="529"/>
      <c r="AA656" s="529"/>
      <c r="AB656" s="529"/>
      <c r="AC656" s="529"/>
      <c r="AD656" s="529"/>
      <c r="AE656" s="529"/>
      <c r="AF656" s="529"/>
      <c r="AG656" s="529"/>
      <c r="AH656" s="529"/>
      <c r="AI656" s="529"/>
      <c r="AJ656" s="529"/>
      <c r="AK656" s="529"/>
      <c r="AL656" s="529"/>
      <c r="AM656" s="529"/>
      <c r="AN656" s="529"/>
      <c r="AO656" s="529"/>
    </row>
    <row r="657">
      <c r="G657" s="529"/>
      <c r="H657" s="529"/>
      <c r="I657" s="529"/>
      <c r="J657" s="529"/>
      <c r="K657" s="529"/>
      <c r="L657" s="529"/>
      <c r="M657" s="529"/>
      <c r="N657" s="529"/>
      <c r="O657" s="529"/>
      <c r="P657" s="529"/>
      <c r="Q657" s="529"/>
      <c r="R657" s="529"/>
      <c r="S657" s="529"/>
      <c r="T657" s="529"/>
      <c r="U657" s="529"/>
      <c r="V657" s="529"/>
      <c r="W657" s="529"/>
      <c r="X657" s="529"/>
      <c r="Y657" s="529"/>
      <c r="Z657" s="529"/>
      <c r="AA657" s="529"/>
      <c r="AB657" s="529"/>
      <c r="AC657" s="529"/>
      <c r="AD657" s="529"/>
      <c r="AE657" s="529"/>
      <c r="AF657" s="529"/>
      <c r="AG657" s="529"/>
      <c r="AH657" s="529"/>
      <c r="AI657" s="529"/>
      <c r="AJ657" s="529"/>
      <c r="AK657" s="529"/>
      <c r="AL657" s="529"/>
      <c r="AM657" s="529"/>
      <c r="AN657" s="529"/>
      <c r="AO657" s="529"/>
    </row>
    <row r="658">
      <c r="G658" s="529"/>
      <c r="H658" s="529"/>
      <c r="I658" s="529"/>
      <c r="J658" s="529"/>
      <c r="K658" s="529"/>
      <c r="L658" s="529"/>
      <c r="M658" s="529"/>
      <c r="N658" s="529"/>
      <c r="O658" s="529"/>
      <c r="P658" s="529"/>
      <c r="Q658" s="529"/>
      <c r="R658" s="529"/>
      <c r="S658" s="529"/>
      <c r="T658" s="529"/>
      <c r="U658" s="529"/>
      <c r="V658" s="529"/>
      <c r="W658" s="529"/>
      <c r="X658" s="529"/>
      <c r="Y658" s="529"/>
      <c r="Z658" s="529"/>
      <c r="AA658" s="529"/>
      <c r="AB658" s="529"/>
      <c r="AC658" s="529"/>
      <c r="AD658" s="529"/>
      <c r="AE658" s="529"/>
      <c r="AF658" s="529"/>
      <c r="AG658" s="529"/>
      <c r="AH658" s="529"/>
      <c r="AI658" s="529"/>
      <c r="AJ658" s="529"/>
      <c r="AK658" s="529"/>
      <c r="AL658" s="529"/>
      <c r="AM658" s="529"/>
      <c r="AN658" s="529"/>
      <c r="AO658" s="529"/>
    </row>
    <row r="659">
      <c r="G659" s="529"/>
      <c r="H659" s="529"/>
      <c r="I659" s="529"/>
      <c r="J659" s="529"/>
      <c r="K659" s="529"/>
      <c r="L659" s="529"/>
      <c r="M659" s="529"/>
      <c r="N659" s="529"/>
      <c r="O659" s="529"/>
      <c r="P659" s="529"/>
      <c r="Q659" s="529"/>
      <c r="R659" s="529"/>
      <c r="S659" s="529"/>
      <c r="T659" s="529"/>
      <c r="U659" s="529"/>
      <c r="V659" s="529"/>
      <c r="W659" s="529"/>
      <c r="X659" s="529"/>
      <c r="Y659" s="529"/>
      <c r="Z659" s="529"/>
      <c r="AA659" s="529"/>
      <c r="AB659" s="529"/>
      <c r="AC659" s="529"/>
      <c r="AD659" s="529"/>
      <c r="AE659" s="529"/>
      <c r="AF659" s="529"/>
      <c r="AG659" s="529"/>
      <c r="AH659" s="529"/>
      <c r="AI659" s="529"/>
      <c r="AJ659" s="529"/>
      <c r="AK659" s="529"/>
      <c r="AL659" s="529"/>
      <c r="AM659" s="529"/>
      <c r="AN659" s="529"/>
      <c r="AO659" s="529"/>
    </row>
    <row r="660">
      <c r="G660" s="529"/>
      <c r="H660" s="529"/>
      <c r="I660" s="529"/>
      <c r="J660" s="529"/>
      <c r="K660" s="529"/>
      <c r="L660" s="529"/>
      <c r="M660" s="529"/>
      <c r="N660" s="529"/>
      <c r="O660" s="529"/>
      <c r="P660" s="529"/>
      <c r="Q660" s="529"/>
      <c r="R660" s="529"/>
      <c r="S660" s="529"/>
      <c r="T660" s="529"/>
      <c r="U660" s="529"/>
      <c r="V660" s="529"/>
      <c r="W660" s="529"/>
      <c r="X660" s="529"/>
      <c r="Y660" s="529"/>
      <c r="Z660" s="529"/>
      <c r="AA660" s="529"/>
      <c r="AB660" s="529"/>
      <c r="AC660" s="529"/>
      <c r="AD660" s="529"/>
      <c r="AE660" s="529"/>
      <c r="AF660" s="529"/>
      <c r="AG660" s="529"/>
      <c r="AH660" s="529"/>
      <c r="AI660" s="529"/>
      <c r="AJ660" s="529"/>
      <c r="AK660" s="529"/>
      <c r="AL660" s="529"/>
      <c r="AM660" s="529"/>
      <c r="AN660" s="529"/>
      <c r="AO660" s="529"/>
    </row>
    <row r="661">
      <c r="G661" s="529"/>
      <c r="H661" s="529"/>
      <c r="I661" s="529"/>
      <c r="J661" s="529"/>
      <c r="K661" s="529"/>
      <c r="L661" s="529"/>
      <c r="M661" s="529"/>
      <c r="N661" s="529"/>
      <c r="O661" s="529"/>
      <c r="P661" s="529"/>
      <c r="Q661" s="529"/>
      <c r="R661" s="529"/>
      <c r="S661" s="529"/>
      <c r="T661" s="529"/>
      <c r="U661" s="529"/>
      <c r="V661" s="529"/>
      <c r="W661" s="529"/>
      <c r="X661" s="529"/>
      <c r="Y661" s="529"/>
      <c r="Z661" s="529"/>
      <c r="AA661" s="529"/>
      <c r="AB661" s="529"/>
      <c r="AC661" s="529"/>
      <c r="AD661" s="529"/>
      <c r="AE661" s="529"/>
      <c r="AF661" s="529"/>
      <c r="AG661" s="529"/>
      <c r="AH661" s="529"/>
      <c r="AI661" s="529"/>
      <c r="AJ661" s="529"/>
      <c r="AK661" s="529"/>
      <c r="AL661" s="529"/>
      <c r="AM661" s="529"/>
      <c r="AN661" s="529"/>
      <c r="AO661" s="529"/>
    </row>
    <row r="662">
      <c r="G662" s="529"/>
      <c r="H662" s="529"/>
      <c r="I662" s="529"/>
      <c r="J662" s="529"/>
      <c r="K662" s="529"/>
      <c r="L662" s="529"/>
      <c r="M662" s="529"/>
      <c r="N662" s="529"/>
      <c r="O662" s="529"/>
      <c r="P662" s="529"/>
      <c r="Q662" s="529"/>
      <c r="R662" s="529"/>
      <c r="S662" s="529"/>
      <c r="T662" s="529"/>
      <c r="U662" s="529"/>
      <c r="V662" s="529"/>
      <c r="W662" s="529"/>
      <c r="X662" s="529"/>
      <c r="Y662" s="529"/>
      <c r="Z662" s="529"/>
      <c r="AA662" s="529"/>
      <c r="AB662" s="529"/>
      <c r="AC662" s="529"/>
      <c r="AD662" s="529"/>
      <c r="AE662" s="529"/>
      <c r="AF662" s="529"/>
      <c r="AG662" s="529"/>
      <c r="AH662" s="529"/>
      <c r="AI662" s="529"/>
      <c r="AJ662" s="529"/>
      <c r="AK662" s="529"/>
      <c r="AL662" s="529"/>
      <c r="AM662" s="529"/>
      <c r="AN662" s="529"/>
      <c r="AO662" s="529"/>
    </row>
    <row r="663">
      <c r="G663" s="529"/>
      <c r="H663" s="529"/>
      <c r="I663" s="529"/>
      <c r="J663" s="529"/>
      <c r="K663" s="529"/>
      <c r="L663" s="529"/>
      <c r="M663" s="529"/>
      <c r="N663" s="529"/>
      <c r="O663" s="529"/>
      <c r="P663" s="529"/>
      <c r="Q663" s="529"/>
      <c r="R663" s="529"/>
      <c r="S663" s="529"/>
      <c r="T663" s="529"/>
      <c r="U663" s="529"/>
      <c r="V663" s="529"/>
      <c r="W663" s="529"/>
      <c r="X663" s="529"/>
      <c r="Y663" s="529"/>
      <c r="Z663" s="529"/>
      <c r="AA663" s="529"/>
      <c r="AB663" s="529"/>
      <c r="AC663" s="529"/>
      <c r="AD663" s="529"/>
      <c r="AE663" s="529"/>
      <c r="AF663" s="529"/>
      <c r="AG663" s="529"/>
      <c r="AH663" s="529"/>
      <c r="AI663" s="529"/>
      <c r="AJ663" s="529"/>
      <c r="AK663" s="529"/>
      <c r="AL663" s="529"/>
      <c r="AM663" s="529"/>
      <c r="AN663" s="529"/>
      <c r="AO663" s="529"/>
    </row>
    <row r="664">
      <c r="G664" s="529"/>
      <c r="H664" s="529"/>
      <c r="I664" s="529"/>
      <c r="J664" s="529"/>
      <c r="K664" s="529"/>
      <c r="L664" s="529"/>
      <c r="M664" s="529"/>
      <c r="N664" s="529"/>
      <c r="O664" s="529"/>
      <c r="P664" s="529"/>
      <c r="Q664" s="529"/>
      <c r="R664" s="529"/>
      <c r="S664" s="529"/>
      <c r="T664" s="529"/>
      <c r="U664" s="529"/>
      <c r="V664" s="529"/>
      <c r="W664" s="529"/>
      <c r="X664" s="529"/>
      <c r="Y664" s="529"/>
      <c r="Z664" s="529"/>
      <c r="AA664" s="529"/>
      <c r="AB664" s="529"/>
      <c r="AC664" s="529"/>
      <c r="AD664" s="529"/>
      <c r="AE664" s="529"/>
      <c r="AF664" s="529"/>
      <c r="AG664" s="529"/>
      <c r="AH664" s="529"/>
      <c r="AI664" s="529"/>
      <c r="AJ664" s="529"/>
      <c r="AK664" s="529"/>
      <c r="AL664" s="529"/>
      <c r="AM664" s="529"/>
      <c r="AN664" s="529"/>
      <c r="AO664" s="529"/>
    </row>
    <row r="665">
      <c r="G665" s="529"/>
      <c r="H665" s="529"/>
      <c r="I665" s="529"/>
      <c r="J665" s="529"/>
      <c r="K665" s="529"/>
      <c r="L665" s="529"/>
      <c r="M665" s="529"/>
      <c r="N665" s="529"/>
      <c r="O665" s="529"/>
      <c r="P665" s="529"/>
      <c r="Q665" s="529"/>
      <c r="R665" s="529"/>
      <c r="S665" s="529"/>
      <c r="T665" s="529"/>
      <c r="U665" s="529"/>
      <c r="V665" s="529"/>
      <c r="W665" s="529"/>
      <c r="X665" s="529"/>
      <c r="Y665" s="529"/>
      <c r="Z665" s="529"/>
      <c r="AA665" s="529"/>
      <c r="AB665" s="529"/>
      <c r="AC665" s="529"/>
      <c r="AD665" s="529"/>
      <c r="AE665" s="529"/>
      <c r="AF665" s="529"/>
      <c r="AG665" s="529"/>
      <c r="AH665" s="529"/>
      <c r="AI665" s="529"/>
      <c r="AJ665" s="529"/>
      <c r="AK665" s="529"/>
      <c r="AL665" s="529"/>
      <c r="AM665" s="529"/>
      <c r="AN665" s="529"/>
      <c r="AO665" s="529"/>
    </row>
    <row r="666">
      <c r="G666" s="529"/>
      <c r="H666" s="529"/>
      <c r="I666" s="529"/>
      <c r="J666" s="529"/>
      <c r="K666" s="529"/>
      <c r="L666" s="529"/>
      <c r="M666" s="529"/>
      <c r="N666" s="529"/>
      <c r="O666" s="529"/>
      <c r="P666" s="529"/>
      <c r="Q666" s="529"/>
      <c r="R666" s="529"/>
      <c r="S666" s="529"/>
      <c r="T666" s="529"/>
      <c r="U666" s="529"/>
      <c r="V666" s="529"/>
      <c r="W666" s="529"/>
      <c r="X666" s="529"/>
      <c r="Y666" s="529"/>
      <c r="Z666" s="529"/>
      <c r="AA666" s="529"/>
      <c r="AB666" s="529"/>
      <c r="AC666" s="529"/>
      <c r="AD666" s="529"/>
      <c r="AE666" s="529"/>
      <c r="AF666" s="529"/>
      <c r="AG666" s="529"/>
      <c r="AH666" s="529"/>
      <c r="AI666" s="529"/>
      <c r="AJ666" s="529"/>
      <c r="AK666" s="529"/>
      <c r="AL666" s="529"/>
      <c r="AM666" s="529"/>
      <c r="AN666" s="529"/>
      <c r="AO666" s="529"/>
    </row>
    <row r="667">
      <c r="G667" s="529"/>
      <c r="H667" s="529"/>
      <c r="I667" s="529"/>
      <c r="J667" s="529"/>
      <c r="K667" s="529"/>
      <c r="L667" s="529"/>
      <c r="M667" s="529"/>
      <c r="N667" s="529"/>
      <c r="O667" s="529"/>
      <c r="P667" s="529"/>
      <c r="Q667" s="529"/>
      <c r="R667" s="529"/>
      <c r="S667" s="529"/>
      <c r="T667" s="529"/>
      <c r="U667" s="529"/>
      <c r="V667" s="529"/>
      <c r="W667" s="529"/>
      <c r="X667" s="529"/>
      <c r="Y667" s="529"/>
      <c r="Z667" s="529"/>
      <c r="AA667" s="529"/>
      <c r="AB667" s="529"/>
      <c r="AC667" s="529"/>
      <c r="AD667" s="529"/>
      <c r="AE667" s="529"/>
      <c r="AF667" s="529"/>
      <c r="AG667" s="529"/>
      <c r="AH667" s="529"/>
      <c r="AI667" s="529"/>
      <c r="AJ667" s="529"/>
      <c r="AK667" s="529"/>
      <c r="AL667" s="529"/>
      <c r="AM667" s="529"/>
      <c r="AN667" s="529"/>
      <c r="AO667" s="529"/>
    </row>
    <row r="668">
      <c r="G668" s="529"/>
      <c r="H668" s="529"/>
      <c r="I668" s="529"/>
      <c r="J668" s="529"/>
      <c r="K668" s="529"/>
      <c r="L668" s="529"/>
      <c r="M668" s="529"/>
      <c r="N668" s="529"/>
      <c r="O668" s="529"/>
      <c r="P668" s="529"/>
      <c r="Q668" s="529"/>
      <c r="R668" s="529"/>
      <c r="S668" s="529"/>
      <c r="T668" s="529"/>
      <c r="U668" s="529"/>
      <c r="V668" s="529"/>
      <c r="W668" s="529"/>
      <c r="X668" s="529"/>
      <c r="Y668" s="529"/>
      <c r="Z668" s="529"/>
      <c r="AA668" s="529"/>
      <c r="AB668" s="529"/>
      <c r="AC668" s="529"/>
      <c r="AD668" s="529"/>
      <c r="AE668" s="529"/>
      <c r="AF668" s="529"/>
      <c r="AG668" s="529"/>
      <c r="AH668" s="529"/>
      <c r="AI668" s="529"/>
      <c r="AJ668" s="529"/>
      <c r="AK668" s="529"/>
      <c r="AL668" s="529"/>
      <c r="AM668" s="529"/>
      <c r="AN668" s="529"/>
      <c r="AO668" s="529"/>
    </row>
    <row r="669">
      <c r="G669" s="529"/>
      <c r="H669" s="529"/>
      <c r="I669" s="529"/>
      <c r="J669" s="529"/>
      <c r="K669" s="529"/>
      <c r="L669" s="529"/>
      <c r="M669" s="529"/>
      <c r="N669" s="529"/>
      <c r="O669" s="529"/>
      <c r="P669" s="529"/>
      <c r="Q669" s="529"/>
      <c r="R669" s="529"/>
      <c r="S669" s="529"/>
      <c r="T669" s="529"/>
      <c r="U669" s="529"/>
      <c r="V669" s="529"/>
      <c r="W669" s="529"/>
      <c r="X669" s="529"/>
      <c r="Y669" s="529"/>
      <c r="Z669" s="529"/>
      <c r="AA669" s="529"/>
      <c r="AB669" s="529"/>
      <c r="AC669" s="529"/>
      <c r="AD669" s="529"/>
      <c r="AE669" s="529"/>
      <c r="AF669" s="529"/>
      <c r="AG669" s="529"/>
      <c r="AH669" s="529"/>
      <c r="AI669" s="529"/>
      <c r="AJ669" s="529"/>
      <c r="AK669" s="529"/>
      <c r="AL669" s="529"/>
      <c r="AM669" s="529"/>
      <c r="AN669" s="529"/>
      <c r="AO669" s="529"/>
    </row>
    <row r="670">
      <c r="G670" s="529"/>
      <c r="H670" s="529"/>
      <c r="I670" s="529"/>
      <c r="J670" s="529"/>
      <c r="K670" s="529"/>
      <c r="L670" s="529"/>
      <c r="M670" s="529"/>
      <c r="N670" s="529"/>
      <c r="O670" s="529"/>
      <c r="P670" s="529"/>
      <c r="Q670" s="529"/>
      <c r="R670" s="529"/>
      <c r="S670" s="529"/>
      <c r="T670" s="529"/>
      <c r="U670" s="529"/>
      <c r="V670" s="529"/>
      <c r="W670" s="529"/>
      <c r="X670" s="529"/>
      <c r="Y670" s="529"/>
      <c r="Z670" s="529"/>
      <c r="AA670" s="529"/>
      <c r="AB670" s="529"/>
      <c r="AC670" s="529"/>
      <c r="AD670" s="529"/>
      <c r="AE670" s="529"/>
      <c r="AF670" s="529"/>
      <c r="AG670" s="529"/>
      <c r="AH670" s="529"/>
      <c r="AI670" s="529"/>
      <c r="AJ670" s="529"/>
      <c r="AK670" s="529"/>
      <c r="AL670" s="529"/>
      <c r="AM670" s="529"/>
      <c r="AN670" s="529"/>
      <c r="AO670" s="529"/>
    </row>
    <row r="671">
      <c r="G671" s="529"/>
      <c r="H671" s="529"/>
      <c r="I671" s="529"/>
      <c r="J671" s="529"/>
      <c r="K671" s="529"/>
      <c r="L671" s="529"/>
      <c r="M671" s="529"/>
      <c r="N671" s="529"/>
      <c r="O671" s="529"/>
      <c r="P671" s="529"/>
      <c r="Q671" s="529"/>
      <c r="R671" s="529"/>
      <c r="S671" s="529"/>
      <c r="T671" s="529"/>
      <c r="U671" s="529"/>
      <c r="V671" s="529"/>
      <c r="W671" s="529"/>
      <c r="X671" s="529"/>
      <c r="Y671" s="529"/>
      <c r="Z671" s="529"/>
      <c r="AA671" s="529"/>
      <c r="AB671" s="529"/>
      <c r="AC671" s="529"/>
      <c r="AD671" s="529"/>
      <c r="AE671" s="529"/>
      <c r="AF671" s="529"/>
      <c r="AG671" s="529"/>
      <c r="AH671" s="529"/>
      <c r="AI671" s="529"/>
      <c r="AJ671" s="529"/>
      <c r="AK671" s="529"/>
      <c r="AL671" s="529"/>
      <c r="AM671" s="529"/>
      <c r="AN671" s="529"/>
      <c r="AO671" s="529"/>
    </row>
    <row r="672">
      <c r="G672" s="529"/>
      <c r="H672" s="529"/>
      <c r="I672" s="529"/>
      <c r="J672" s="529"/>
      <c r="K672" s="529"/>
      <c r="L672" s="529"/>
      <c r="M672" s="529"/>
      <c r="N672" s="529"/>
      <c r="O672" s="529"/>
      <c r="P672" s="529"/>
      <c r="Q672" s="529"/>
      <c r="R672" s="529"/>
      <c r="S672" s="529"/>
      <c r="T672" s="529"/>
      <c r="U672" s="529"/>
      <c r="V672" s="529"/>
      <c r="W672" s="529"/>
      <c r="X672" s="529"/>
      <c r="Y672" s="529"/>
      <c r="Z672" s="529"/>
      <c r="AA672" s="529"/>
      <c r="AB672" s="529"/>
      <c r="AC672" s="529"/>
      <c r="AD672" s="529"/>
      <c r="AE672" s="529"/>
      <c r="AF672" s="529"/>
      <c r="AG672" s="529"/>
      <c r="AH672" s="529"/>
      <c r="AI672" s="529"/>
      <c r="AJ672" s="529"/>
      <c r="AK672" s="529"/>
      <c r="AL672" s="529"/>
      <c r="AM672" s="529"/>
      <c r="AN672" s="529"/>
      <c r="AO672" s="529"/>
    </row>
    <row r="673">
      <c r="G673" s="529"/>
      <c r="H673" s="529"/>
      <c r="I673" s="529"/>
      <c r="J673" s="529"/>
      <c r="K673" s="529"/>
      <c r="L673" s="529"/>
      <c r="M673" s="529"/>
      <c r="N673" s="529"/>
      <c r="O673" s="529"/>
      <c r="P673" s="529"/>
      <c r="Q673" s="529"/>
      <c r="R673" s="529"/>
      <c r="S673" s="529"/>
      <c r="T673" s="529"/>
      <c r="U673" s="529"/>
      <c r="V673" s="529"/>
      <c r="W673" s="529"/>
      <c r="X673" s="529"/>
      <c r="Y673" s="529"/>
      <c r="Z673" s="529"/>
      <c r="AA673" s="529"/>
      <c r="AB673" s="529"/>
      <c r="AC673" s="529"/>
      <c r="AD673" s="529"/>
      <c r="AE673" s="529"/>
      <c r="AF673" s="529"/>
      <c r="AG673" s="529"/>
      <c r="AH673" s="529"/>
      <c r="AI673" s="529"/>
      <c r="AJ673" s="529"/>
      <c r="AK673" s="529"/>
      <c r="AL673" s="529"/>
      <c r="AM673" s="529"/>
      <c r="AN673" s="529"/>
      <c r="AO673" s="529"/>
    </row>
    <row r="674">
      <c r="G674" s="529"/>
      <c r="H674" s="529"/>
      <c r="I674" s="529"/>
      <c r="J674" s="529"/>
      <c r="K674" s="529"/>
      <c r="L674" s="529"/>
      <c r="M674" s="529"/>
      <c r="N674" s="529"/>
      <c r="O674" s="529"/>
      <c r="P674" s="529"/>
      <c r="Q674" s="529"/>
      <c r="R674" s="529"/>
      <c r="S674" s="529"/>
      <c r="T674" s="529"/>
      <c r="U674" s="529"/>
      <c r="V674" s="529"/>
      <c r="W674" s="529"/>
      <c r="X674" s="529"/>
      <c r="Y674" s="529"/>
      <c r="Z674" s="529"/>
      <c r="AA674" s="529"/>
      <c r="AB674" s="529"/>
      <c r="AC674" s="529"/>
      <c r="AD674" s="529"/>
      <c r="AE674" s="529"/>
      <c r="AF674" s="529"/>
      <c r="AG674" s="529"/>
      <c r="AH674" s="529"/>
      <c r="AI674" s="529"/>
      <c r="AJ674" s="529"/>
      <c r="AK674" s="529"/>
      <c r="AL674" s="529"/>
      <c r="AM674" s="529"/>
      <c r="AN674" s="529"/>
      <c r="AO674" s="529"/>
    </row>
    <row r="675">
      <c r="G675" s="529"/>
      <c r="H675" s="529"/>
      <c r="I675" s="529"/>
      <c r="J675" s="529"/>
      <c r="K675" s="529"/>
      <c r="L675" s="529"/>
      <c r="M675" s="529"/>
      <c r="N675" s="529"/>
      <c r="O675" s="529"/>
      <c r="P675" s="529"/>
      <c r="Q675" s="529"/>
      <c r="R675" s="529"/>
      <c r="S675" s="529"/>
      <c r="T675" s="529"/>
      <c r="U675" s="529"/>
      <c r="V675" s="529"/>
      <c r="W675" s="529"/>
      <c r="X675" s="529"/>
      <c r="Y675" s="529"/>
      <c r="Z675" s="529"/>
      <c r="AA675" s="529"/>
      <c r="AB675" s="529"/>
      <c r="AC675" s="529"/>
      <c r="AD675" s="529"/>
      <c r="AE675" s="529"/>
      <c r="AF675" s="529"/>
      <c r="AG675" s="529"/>
      <c r="AH675" s="529"/>
      <c r="AI675" s="529"/>
      <c r="AJ675" s="529"/>
      <c r="AK675" s="529"/>
      <c r="AL675" s="529"/>
      <c r="AM675" s="529"/>
      <c r="AN675" s="529"/>
      <c r="AO675" s="529"/>
    </row>
    <row r="676">
      <c r="G676" s="529"/>
      <c r="H676" s="529"/>
      <c r="I676" s="529"/>
      <c r="J676" s="529"/>
      <c r="K676" s="529"/>
      <c r="L676" s="529"/>
      <c r="M676" s="529"/>
      <c r="N676" s="529"/>
      <c r="O676" s="529"/>
      <c r="P676" s="529"/>
      <c r="Q676" s="529"/>
      <c r="R676" s="529"/>
      <c r="S676" s="529"/>
      <c r="T676" s="529"/>
      <c r="U676" s="529"/>
      <c r="V676" s="529"/>
      <c r="W676" s="529"/>
      <c r="X676" s="529"/>
      <c r="Y676" s="529"/>
      <c r="Z676" s="529"/>
      <c r="AA676" s="529"/>
      <c r="AB676" s="529"/>
      <c r="AC676" s="529"/>
      <c r="AD676" s="529"/>
      <c r="AE676" s="529"/>
      <c r="AF676" s="529"/>
      <c r="AG676" s="529"/>
      <c r="AH676" s="529"/>
      <c r="AI676" s="529"/>
      <c r="AJ676" s="529"/>
      <c r="AK676" s="529"/>
      <c r="AL676" s="529"/>
      <c r="AM676" s="529"/>
      <c r="AN676" s="529"/>
      <c r="AO676" s="529"/>
    </row>
    <row r="677">
      <c r="G677" s="529"/>
      <c r="H677" s="529"/>
      <c r="I677" s="529"/>
      <c r="J677" s="529"/>
      <c r="K677" s="529"/>
      <c r="L677" s="529"/>
      <c r="M677" s="529"/>
      <c r="N677" s="529"/>
      <c r="O677" s="529"/>
      <c r="P677" s="529"/>
      <c r="Q677" s="529"/>
      <c r="R677" s="529"/>
      <c r="S677" s="529"/>
      <c r="T677" s="529"/>
      <c r="U677" s="529"/>
      <c r="V677" s="529"/>
      <c r="W677" s="529"/>
      <c r="X677" s="529"/>
      <c r="Y677" s="529"/>
      <c r="Z677" s="529"/>
      <c r="AA677" s="529"/>
      <c r="AB677" s="529"/>
      <c r="AC677" s="529"/>
      <c r="AD677" s="529"/>
      <c r="AE677" s="529"/>
      <c r="AF677" s="529"/>
      <c r="AG677" s="529"/>
      <c r="AH677" s="529"/>
      <c r="AI677" s="529"/>
      <c r="AJ677" s="529"/>
      <c r="AK677" s="529"/>
      <c r="AL677" s="529"/>
      <c r="AM677" s="529"/>
      <c r="AN677" s="529"/>
      <c r="AO677" s="529"/>
    </row>
    <row r="678">
      <c r="G678" s="529"/>
      <c r="H678" s="529"/>
      <c r="I678" s="529"/>
      <c r="J678" s="529"/>
      <c r="K678" s="529"/>
      <c r="L678" s="529"/>
      <c r="M678" s="529"/>
      <c r="N678" s="529"/>
      <c r="O678" s="529"/>
      <c r="P678" s="529"/>
      <c r="Q678" s="529"/>
      <c r="R678" s="529"/>
      <c r="S678" s="529"/>
      <c r="T678" s="529"/>
      <c r="U678" s="529"/>
      <c r="V678" s="529"/>
      <c r="W678" s="529"/>
      <c r="X678" s="529"/>
      <c r="Y678" s="529"/>
      <c r="Z678" s="529"/>
      <c r="AA678" s="529"/>
      <c r="AB678" s="529"/>
      <c r="AC678" s="529"/>
      <c r="AD678" s="529"/>
      <c r="AE678" s="529"/>
      <c r="AF678" s="529"/>
      <c r="AG678" s="529"/>
      <c r="AH678" s="529"/>
      <c r="AI678" s="529"/>
      <c r="AJ678" s="529"/>
      <c r="AK678" s="529"/>
      <c r="AL678" s="529"/>
      <c r="AM678" s="529"/>
      <c r="AN678" s="529"/>
      <c r="AO678" s="529"/>
    </row>
    <row r="679">
      <c r="G679" s="529"/>
      <c r="H679" s="529"/>
      <c r="I679" s="529"/>
      <c r="J679" s="529"/>
      <c r="K679" s="529"/>
      <c r="L679" s="529"/>
      <c r="M679" s="529"/>
      <c r="N679" s="529"/>
      <c r="O679" s="529"/>
      <c r="P679" s="529"/>
      <c r="Q679" s="529"/>
      <c r="R679" s="529"/>
      <c r="S679" s="529"/>
      <c r="T679" s="529"/>
      <c r="U679" s="529"/>
      <c r="V679" s="529"/>
      <c r="W679" s="529"/>
      <c r="X679" s="529"/>
      <c r="Y679" s="529"/>
      <c r="Z679" s="529"/>
      <c r="AA679" s="529"/>
      <c r="AB679" s="529"/>
      <c r="AC679" s="529"/>
      <c r="AD679" s="529"/>
      <c r="AE679" s="529"/>
      <c r="AF679" s="529"/>
      <c r="AG679" s="529"/>
      <c r="AH679" s="529"/>
      <c r="AI679" s="529"/>
      <c r="AJ679" s="529"/>
      <c r="AK679" s="529"/>
      <c r="AL679" s="529"/>
      <c r="AM679" s="529"/>
      <c r="AN679" s="529"/>
      <c r="AO679" s="529"/>
    </row>
    <row r="680">
      <c r="G680" s="529"/>
      <c r="H680" s="529"/>
      <c r="I680" s="529"/>
      <c r="J680" s="529"/>
      <c r="K680" s="529"/>
      <c r="L680" s="529"/>
      <c r="M680" s="529"/>
      <c r="N680" s="529"/>
      <c r="O680" s="529"/>
      <c r="P680" s="529"/>
      <c r="Q680" s="529"/>
      <c r="R680" s="529"/>
      <c r="S680" s="529"/>
      <c r="T680" s="529"/>
      <c r="U680" s="529"/>
      <c r="V680" s="529"/>
      <c r="W680" s="529"/>
      <c r="X680" s="529"/>
      <c r="Y680" s="529"/>
      <c r="Z680" s="529"/>
      <c r="AA680" s="529"/>
      <c r="AB680" s="529"/>
      <c r="AC680" s="529"/>
      <c r="AD680" s="529"/>
      <c r="AE680" s="529"/>
      <c r="AF680" s="529"/>
      <c r="AG680" s="529"/>
      <c r="AH680" s="529"/>
      <c r="AI680" s="529"/>
      <c r="AJ680" s="529"/>
      <c r="AK680" s="529"/>
      <c r="AL680" s="529"/>
      <c r="AM680" s="529"/>
      <c r="AN680" s="529"/>
      <c r="AO680" s="529"/>
    </row>
    <row r="681">
      <c r="G681" s="529"/>
      <c r="H681" s="529"/>
      <c r="I681" s="529"/>
      <c r="J681" s="529"/>
      <c r="K681" s="529"/>
      <c r="L681" s="529"/>
      <c r="M681" s="529"/>
      <c r="N681" s="529"/>
      <c r="O681" s="529"/>
      <c r="P681" s="529"/>
      <c r="Q681" s="529"/>
      <c r="R681" s="529"/>
      <c r="S681" s="529"/>
      <c r="T681" s="529"/>
      <c r="U681" s="529"/>
      <c r="V681" s="529"/>
      <c r="W681" s="529"/>
      <c r="X681" s="529"/>
      <c r="Y681" s="529"/>
      <c r="Z681" s="529"/>
      <c r="AA681" s="529"/>
      <c r="AB681" s="529"/>
      <c r="AC681" s="529"/>
      <c r="AD681" s="529"/>
      <c r="AE681" s="529"/>
      <c r="AF681" s="529"/>
      <c r="AG681" s="529"/>
      <c r="AH681" s="529"/>
      <c r="AI681" s="529"/>
      <c r="AJ681" s="529"/>
      <c r="AK681" s="529"/>
      <c r="AL681" s="529"/>
      <c r="AM681" s="529"/>
      <c r="AN681" s="529"/>
      <c r="AO681" s="529"/>
    </row>
    <row r="682">
      <c r="G682" s="529"/>
      <c r="H682" s="529"/>
      <c r="I682" s="529"/>
      <c r="J682" s="529"/>
      <c r="K682" s="529"/>
      <c r="L682" s="529"/>
      <c r="M682" s="529"/>
      <c r="N682" s="529"/>
      <c r="O682" s="529"/>
      <c r="P682" s="529"/>
      <c r="Q682" s="529"/>
      <c r="R682" s="529"/>
      <c r="S682" s="529"/>
      <c r="T682" s="529"/>
      <c r="U682" s="529"/>
      <c r="V682" s="529"/>
      <c r="W682" s="529"/>
      <c r="X682" s="529"/>
      <c r="Y682" s="529"/>
      <c r="Z682" s="529"/>
      <c r="AA682" s="529"/>
      <c r="AB682" s="529"/>
      <c r="AC682" s="529"/>
      <c r="AD682" s="529"/>
      <c r="AE682" s="529"/>
      <c r="AF682" s="529"/>
      <c r="AG682" s="529"/>
      <c r="AH682" s="529"/>
      <c r="AI682" s="529"/>
      <c r="AJ682" s="529"/>
      <c r="AK682" s="529"/>
      <c r="AL682" s="529"/>
      <c r="AM682" s="529"/>
      <c r="AN682" s="529"/>
      <c r="AO682" s="529"/>
    </row>
    <row r="683">
      <c r="G683" s="529"/>
      <c r="H683" s="529"/>
      <c r="I683" s="529"/>
      <c r="J683" s="529"/>
      <c r="K683" s="529"/>
      <c r="L683" s="529"/>
      <c r="M683" s="529"/>
      <c r="N683" s="529"/>
      <c r="O683" s="529"/>
      <c r="P683" s="529"/>
      <c r="Q683" s="529"/>
      <c r="R683" s="529"/>
      <c r="S683" s="529"/>
      <c r="T683" s="529"/>
      <c r="U683" s="529"/>
      <c r="V683" s="529"/>
      <c r="W683" s="529"/>
      <c r="X683" s="529"/>
      <c r="Y683" s="529"/>
      <c r="Z683" s="529"/>
      <c r="AA683" s="529"/>
      <c r="AB683" s="529"/>
      <c r="AC683" s="529"/>
      <c r="AD683" s="529"/>
      <c r="AE683" s="529"/>
      <c r="AF683" s="529"/>
      <c r="AG683" s="529"/>
      <c r="AH683" s="529"/>
      <c r="AI683" s="529"/>
      <c r="AJ683" s="529"/>
      <c r="AK683" s="529"/>
      <c r="AL683" s="529"/>
      <c r="AM683" s="529"/>
      <c r="AN683" s="529"/>
      <c r="AO683" s="529"/>
    </row>
    <row r="684">
      <c r="G684" s="529"/>
      <c r="H684" s="529"/>
      <c r="I684" s="529"/>
      <c r="J684" s="529"/>
      <c r="K684" s="529"/>
      <c r="L684" s="529"/>
      <c r="M684" s="529"/>
      <c r="N684" s="529"/>
      <c r="O684" s="529"/>
      <c r="P684" s="529"/>
      <c r="Q684" s="529"/>
      <c r="R684" s="529"/>
      <c r="S684" s="529"/>
      <c r="T684" s="529"/>
      <c r="U684" s="529"/>
      <c r="V684" s="529"/>
      <c r="W684" s="529"/>
      <c r="X684" s="529"/>
      <c r="Y684" s="529"/>
      <c r="Z684" s="529"/>
      <c r="AA684" s="529"/>
      <c r="AB684" s="529"/>
      <c r="AC684" s="529"/>
      <c r="AD684" s="529"/>
      <c r="AE684" s="529"/>
      <c r="AF684" s="529"/>
      <c r="AG684" s="529"/>
      <c r="AH684" s="529"/>
      <c r="AI684" s="529"/>
      <c r="AJ684" s="529"/>
      <c r="AK684" s="529"/>
      <c r="AL684" s="529"/>
      <c r="AM684" s="529"/>
      <c r="AN684" s="529"/>
      <c r="AO684" s="529"/>
    </row>
    <row r="685">
      <c r="G685" s="529"/>
      <c r="H685" s="529"/>
      <c r="I685" s="529"/>
      <c r="J685" s="529"/>
      <c r="K685" s="529"/>
      <c r="L685" s="529"/>
      <c r="M685" s="529"/>
      <c r="N685" s="529"/>
      <c r="O685" s="529"/>
      <c r="P685" s="529"/>
      <c r="Q685" s="529"/>
      <c r="R685" s="529"/>
      <c r="S685" s="529"/>
      <c r="T685" s="529"/>
      <c r="U685" s="529"/>
      <c r="V685" s="529"/>
      <c r="W685" s="529"/>
      <c r="X685" s="529"/>
      <c r="Y685" s="529"/>
      <c r="Z685" s="529"/>
      <c r="AA685" s="529"/>
      <c r="AB685" s="529"/>
      <c r="AC685" s="529"/>
      <c r="AD685" s="529"/>
      <c r="AE685" s="529"/>
      <c r="AF685" s="529"/>
      <c r="AG685" s="529"/>
      <c r="AH685" s="529"/>
      <c r="AI685" s="529"/>
      <c r="AJ685" s="529"/>
      <c r="AK685" s="529"/>
      <c r="AL685" s="529"/>
      <c r="AM685" s="529"/>
      <c r="AN685" s="529"/>
      <c r="AO685" s="529"/>
    </row>
    <row r="686">
      <c r="G686" s="529"/>
      <c r="H686" s="529"/>
      <c r="I686" s="529"/>
      <c r="J686" s="529"/>
      <c r="K686" s="529"/>
      <c r="L686" s="529"/>
      <c r="M686" s="529"/>
      <c r="N686" s="529"/>
      <c r="O686" s="529"/>
      <c r="P686" s="529"/>
      <c r="Q686" s="529"/>
      <c r="R686" s="529"/>
      <c r="S686" s="529"/>
      <c r="T686" s="529"/>
      <c r="U686" s="529"/>
      <c r="V686" s="529"/>
      <c r="W686" s="529"/>
      <c r="X686" s="529"/>
      <c r="Y686" s="529"/>
      <c r="Z686" s="529"/>
      <c r="AA686" s="529"/>
      <c r="AB686" s="529"/>
      <c r="AC686" s="529"/>
      <c r="AD686" s="529"/>
      <c r="AE686" s="529"/>
      <c r="AF686" s="529"/>
      <c r="AG686" s="529"/>
      <c r="AH686" s="529"/>
      <c r="AI686" s="529"/>
      <c r="AJ686" s="529"/>
      <c r="AK686" s="529"/>
      <c r="AL686" s="529"/>
      <c r="AM686" s="529"/>
      <c r="AN686" s="529"/>
      <c r="AO686" s="529"/>
    </row>
    <row r="687">
      <c r="G687" s="529"/>
      <c r="H687" s="529"/>
      <c r="I687" s="529"/>
      <c r="J687" s="529"/>
      <c r="K687" s="529"/>
      <c r="L687" s="529"/>
      <c r="M687" s="529"/>
      <c r="N687" s="529"/>
      <c r="O687" s="529"/>
      <c r="P687" s="529"/>
      <c r="Q687" s="529"/>
      <c r="R687" s="529"/>
      <c r="S687" s="529"/>
      <c r="T687" s="529"/>
      <c r="U687" s="529"/>
      <c r="V687" s="529"/>
      <c r="W687" s="529"/>
      <c r="X687" s="529"/>
      <c r="Y687" s="529"/>
      <c r="Z687" s="529"/>
      <c r="AA687" s="529"/>
      <c r="AB687" s="529"/>
      <c r="AC687" s="529"/>
      <c r="AD687" s="529"/>
      <c r="AE687" s="529"/>
      <c r="AF687" s="529"/>
      <c r="AG687" s="529"/>
      <c r="AH687" s="529"/>
      <c r="AI687" s="529"/>
      <c r="AJ687" s="529"/>
      <c r="AK687" s="529"/>
      <c r="AL687" s="529"/>
      <c r="AM687" s="529"/>
      <c r="AN687" s="529"/>
      <c r="AO687" s="529"/>
    </row>
    <row r="688">
      <c r="G688" s="529"/>
      <c r="H688" s="529"/>
      <c r="I688" s="529"/>
      <c r="J688" s="529"/>
      <c r="K688" s="529"/>
      <c r="L688" s="529"/>
      <c r="M688" s="529"/>
      <c r="N688" s="529"/>
      <c r="O688" s="529"/>
      <c r="P688" s="529"/>
      <c r="Q688" s="529"/>
      <c r="R688" s="529"/>
      <c r="S688" s="529"/>
      <c r="T688" s="529"/>
      <c r="U688" s="529"/>
      <c r="V688" s="529"/>
      <c r="W688" s="529"/>
      <c r="X688" s="529"/>
      <c r="Y688" s="529"/>
      <c r="Z688" s="529"/>
      <c r="AA688" s="529"/>
      <c r="AB688" s="529"/>
      <c r="AC688" s="529"/>
      <c r="AD688" s="529"/>
      <c r="AE688" s="529"/>
      <c r="AF688" s="529"/>
      <c r="AG688" s="529"/>
      <c r="AH688" s="529"/>
      <c r="AI688" s="529"/>
      <c r="AJ688" s="529"/>
      <c r="AK688" s="529"/>
      <c r="AL688" s="529"/>
      <c r="AM688" s="529"/>
      <c r="AN688" s="529"/>
      <c r="AO688" s="529"/>
    </row>
    <row r="689">
      <c r="G689" s="529"/>
      <c r="H689" s="529"/>
      <c r="I689" s="529"/>
      <c r="J689" s="529"/>
      <c r="K689" s="529"/>
      <c r="L689" s="529"/>
      <c r="M689" s="529"/>
      <c r="N689" s="529"/>
      <c r="O689" s="529"/>
      <c r="P689" s="529"/>
      <c r="Q689" s="529"/>
      <c r="R689" s="529"/>
      <c r="S689" s="529"/>
      <c r="T689" s="529"/>
      <c r="U689" s="529"/>
      <c r="V689" s="529"/>
      <c r="W689" s="529"/>
      <c r="X689" s="529"/>
      <c r="Y689" s="529"/>
      <c r="Z689" s="529"/>
      <c r="AA689" s="529"/>
      <c r="AB689" s="529"/>
      <c r="AC689" s="529"/>
      <c r="AD689" s="529"/>
      <c r="AE689" s="529"/>
      <c r="AF689" s="529"/>
      <c r="AG689" s="529"/>
      <c r="AH689" s="529"/>
      <c r="AI689" s="529"/>
      <c r="AJ689" s="529"/>
      <c r="AK689" s="529"/>
      <c r="AL689" s="529"/>
      <c r="AM689" s="529"/>
      <c r="AN689" s="529"/>
      <c r="AO689" s="529"/>
    </row>
    <row r="690">
      <c r="G690" s="529"/>
      <c r="H690" s="529"/>
      <c r="I690" s="529"/>
      <c r="J690" s="529"/>
      <c r="K690" s="529"/>
      <c r="L690" s="529"/>
      <c r="M690" s="529"/>
      <c r="N690" s="529"/>
      <c r="O690" s="529"/>
      <c r="P690" s="529"/>
      <c r="Q690" s="529"/>
      <c r="R690" s="529"/>
      <c r="S690" s="529"/>
      <c r="T690" s="529"/>
      <c r="U690" s="529"/>
      <c r="V690" s="529"/>
      <c r="W690" s="529"/>
      <c r="X690" s="529"/>
      <c r="Y690" s="529"/>
      <c r="Z690" s="529"/>
      <c r="AA690" s="529"/>
      <c r="AB690" s="529"/>
      <c r="AC690" s="529"/>
      <c r="AD690" s="529"/>
      <c r="AE690" s="529"/>
      <c r="AF690" s="529"/>
      <c r="AG690" s="529"/>
      <c r="AH690" s="529"/>
      <c r="AI690" s="529"/>
      <c r="AJ690" s="529"/>
      <c r="AK690" s="529"/>
      <c r="AL690" s="529"/>
      <c r="AM690" s="529"/>
      <c r="AN690" s="529"/>
      <c r="AO690" s="529"/>
    </row>
    <row r="691">
      <c r="G691" s="529"/>
      <c r="H691" s="529"/>
      <c r="I691" s="529"/>
      <c r="J691" s="529"/>
      <c r="K691" s="529"/>
      <c r="L691" s="529"/>
      <c r="M691" s="529"/>
      <c r="N691" s="529"/>
      <c r="O691" s="529"/>
      <c r="P691" s="529"/>
      <c r="Q691" s="529"/>
      <c r="R691" s="529"/>
      <c r="S691" s="529"/>
      <c r="T691" s="529"/>
      <c r="U691" s="529"/>
      <c r="V691" s="529"/>
      <c r="W691" s="529"/>
      <c r="X691" s="529"/>
      <c r="Y691" s="529"/>
      <c r="Z691" s="529"/>
      <c r="AA691" s="529"/>
      <c r="AB691" s="529"/>
      <c r="AC691" s="529"/>
      <c r="AD691" s="529"/>
      <c r="AE691" s="529"/>
      <c r="AF691" s="529"/>
      <c r="AG691" s="529"/>
      <c r="AH691" s="529"/>
      <c r="AI691" s="529"/>
      <c r="AJ691" s="529"/>
      <c r="AK691" s="529"/>
      <c r="AL691" s="529"/>
      <c r="AM691" s="529"/>
      <c r="AN691" s="529"/>
      <c r="AO691" s="529"/>
    </row>
    <row r="692">
      <c r="G692" s="529"/>
      <c r="H692" s="529"/>
      <c r="I692" s="529"/>
      <c r="J692" s="529"/>
      <c r="K692" s="529"/>
      <c r="L692" s="529"/>
      <c r="M692" s="529"/>
      <c r="N692" s="529"/>
      <c r="O692" s="529"/>
      <c r="P692" s="529"/>
      <c r="Q692" s="529"/>
      <c r="R692" s="529"/>
      <c r="S692" s="529"/>
      <c r="T692" s="529"/>
      <c r="U692" s="529"/>
      <c r="V692" s="529"/>
      <c r="W692" s="529"/>
      <c r="X692" s="529"/>
      <c r="Y692" s="529"/>
      <c r="Z692" s="529"/>
      <c r="AA692" s="529"/>
      <c r="AB692" s="529"/>
      <c r="AC692" s="529"/>
      <c r="AD692" s="529"/>
      <c r="AE692" s="529"/>
      <c r="AF692" s="529"/>
      <c r="AG692" s="529"/>
      <c r="AH692" s="529"/>
      <c r="AI692" s="529"/>
      <c r="AJ692" s="529"/>
      <c r="AK692" s="529"/>
      <c r="AL692" s="529"/>
      <c r="AM692" s="529"/>
      <c r="AN692" s="529"/>
      <c r="AO692" s="529"/>
    </row>
    <row r="693">
      <c r="G693" s="529"/>
      <c r="H693" s="529"/>
      <c r="I693" s="529"/>
      <c r="J693" s="529"/>
      <c r="K693" s="529"/>
      <c r="L693" s="529"/>
      <c r="M693" s="529"/>
      <c r="N693" s="529"/>
      <c r="O693" s="529"/>
      <c r="P693" s="529"/>
      <c r="Q693" s="529"/>
      <c r="R693" s="529"/>
      <c r="S693" s="529"/>
      <c r="T693" s="529"/>
      <c r="U693" s="529"/>
      <c r="V693" s="529"/>
      <c r="W693" s="529"/>
      <c r="X693" s="529"/>
      <c r="Y693" s="529"/>
      <c r="Z693" s="529"/>
      <c r="AA693" s="529"/>
      <c r="AB693" s="529"/>
      <c r="AC693" s="529"/>
      <c r="AD693" s="529"/>
      <c r="AE693" s="529"/>
      <c r="AF693" s="529"/>
      <c r="AG693" s="529"/>
      <c r="AH693" s="529"/>
      <c r="AI693" s="529"/>
      <c r="AJ693" s="529"/>
      <c r="AK693" s="529"/>
      <c r="AL693" s="529"/>
      <c r="AM693" s="529"/>
      <c r="AN693" s="529"/>
      <c r="AO693" s="529"/>
    </row>
    <row r="694">
      <c r="G694" s="529"/>
      <c r="H694" s="529"/>
      <c r="I694" s="529"/>
      <c r="J694" s="529"/>
      <c r="K694" s="529"/>
      <c r="L694" s="529"/>
      <c r="M694" s="529"/>
      <c r="N694" s="529"/>
      <c r="O694" s="529"/>
      <c r="P694" s="529"/>
      <c r="Q694" s="529"/>
      <c r="R694" s="529"/>
      <c r="S694" s="529"/>
      <c r="T694" s="529"/>
      <c r="U694" s="529"/>
      <c r="V694" s="529"/>
      <c r="W694" s="529"/>
      <c r="X694" s="529"/>
      <c r="Y694" s="529"/>
      <c r="Z694" s="529"/>
      <c r="AA694" s="529"/>
      <c r="AB694" s="529"/>
      <c r="AC694" s="529"/>
      <c r="AD694" s="529"/>
      <c r="AE694" s="529"/>
      <c r="AF694" s="529"/>
      <c r="AG694" s="529"/>
      <c r="AH694" s="529"/>
      <c r="AI694" s="529"/>
      <c r="AJ694" s="529"/>
      <c r="AK694" s="529"/>
      <c r="AL694" s="529"/>
      <c r="AM694" s="529"/>
      <c r="AN694" s="529"/>
      <c r="AO694" s="529"/>
    </row>
    <row r="695">
      <c r="G695" s="529"/>
      <c r="H695" s="529"/>
      <c r="I695" s="529"/>
      <c r="J695" s="529"/>
      <c r="K695" s="529"/>
      <c r="L695" s="529"/>
      <c r="M695" s="529"/>
      <c r="N695" s="529"/>
      <c r="O695" s="529"/>
      <c r="P695" s="529"/>
      <c r="Q695" s="529"/>
      <c r="R695" s="529"/>
      <c r="S695" s="529"/>
      <c r="T695" s="529"/>
      <c r="U695" s="529"/>
      <c r="V695" s="529"/>
      <c r="W695" s="529"/>
      <c r="X695" s="529"/>
      <c r="Y695" s="529"/>
      <c r="Z695" s="529"/>
      <c r="AA695" s="529"/>
      <c r="AB695" s="529"/>
      <c r="AC695" s="529"/>
      <c r="AD695" s="529"/>
      <c r="AE695" s="529"/>
      <c r="AF695" s="529"/>
      <c r="AG695" s="529"/>
      <c r="AH695" s="529"/>
      <c r="AI695" s="529"/>
      <c r="AJ695" s="529"/>
      <c r="AK695" s="529"/>
      <c r="AL695" s="529"/>
      <c r="AM695" s="529"/>
      <c r="AN695" s="529"/>
      <c r="AO695" s="529"/>
    </row>
    <row r="696">
      <c r="G696" s="529"/>
      <c r="H696" s="529"/>
      <c r="I696" s="529"/>
      <c r="J696" s="529"/>
      <c r="K696" s="529"/>
      <c r="L696" s="529"/>
      <c r="M696" s="529"/>
      <c r="N696" s="529"/>
      <c r="O696" s="529"/>
      <c r="P696" s="529"/>
      <c r="Q696" s="529"/>
      <c r="R696" s="529"/>
      <c r="S696" s="529"/>
      <c r="T696" s="529"/>
      <c r="U696" s="529"/>
      <c r="V696" s="529"/>
      <c r="W696" s="529"/>
      <c r="X696" s="529"/>
      <c r="Y696" s="529"/>
      <c r="Z696" s="529"/>
      <c r="AA696" s="529"/>
      <c r="AB696" s="529"/>
      <c r="AC696" s="529"/>
      <c r="AD696" s="529"/>
      <c r="AE696" s="529"/>
      <c r="AF696" s="529"/>
      <c r="AG696" s="529"/>
      <c r="AH696" s="529"/>
      <c r="AI696" s="529"/>
      <c r="AJ696" s="529"/>
      <c r="AK696" s="529"/>
      <c r="AL696" s="529"/>
      <c r="AM696" s="529"/>
      <c r="AN696" s="529"/>
      <c r="AO696" s="529"/>
    </row>
    <row r="697">
      <c r="G697" s="529"/>
      <c r="H697" s="529"/>
      <c r="I697" s="529"/>
      <c r="J697" s="529"/>
      <c r="K697" s="529"/>
      <c r="L697" s="529"/>
      <c r="M697" s="529"/>
      <c r="N697" s="529"/>
      <c r="O697" s="529"/>
      <c r="P697" s="529"/>
      <c r="Q697" s="529"/>
      <c r="R697" s="529"/>
      <c r="S697" s="529"/>
      <c r="T697" s="529"/>
      <c r="U697" s="529"/>
      <c r="V697" s="529"/>
      <c r="W697" s="529"/>
      <c r="X697" s="529"/>
      <c r="Y697" s="529"/>
      <c r="Z697" s="529"/>
      <c r="AA697" s="529"/>
      <c r="AB697" s="529"/>
      <c r="AC697" s="529"/>
      <c r="AD697" s="529"/>
      <c r="AE697" s="529"/>
      <c r="AF697" s="529"/>
      <c r="AG697" s="529"/>
      <c r="AH697" s="529"/>
      <c r="AI697" s="529"/>
      <c r="AJ697" s="529"/>
      <c r="AK697" s="529"/>
      <c r="AL697" s="529"/>
      <c r="AM697" s="529"/>
      <c r="AN697" s="529"/>
      <c r="AO697" s="529"/>
    </row>
    <row r="698">
      <c r="G698" s="529"/>
      <c r="H698" s="529"/>
      <c r="I698" s="529"/>
      <c r="J698" s="529"/>
      <c r="K698" s="529"/>
      <c r="L698" s="529"/>
      <c r="M698" s="529"/>
      <c r="N698" s="529"/>
      <c r="O698" s="529"/>
      <c r="P698" s="529"/>
      <c r="Q698" s="529"/>
      <c r="R698" s="529"/>
      <c r="S698" s="529"/>
      <c r="T698" s="529"/>
      <c r="U698" s="529"/>
      <c r="V698" s="529"/>
      <c r="W698" s="529"/>
      <c r="X698" s="529"/>
      <c r="Y698" s="529"/>
      <c r="Z698" s="529"/>
      <c r="AA698" s="529"/>
      <c r="AB698" s="529"/>
      <c r="AC698" s="529"/>
      <c r="AD698" s="529"/>
      <c r="AE698" s="529"/>
      <c r="AF698" s="529"/>
      <c r="AG698" s="529"/>
      <c r="AH698" s="529"/>
      <c r="AI698" s="529"/>
      <c r="AJ698" s="529"/>
      <c r="AK698" s="529"/>
      <c r="AL698" s="529"/>
      <c r="AM698" s="529"/>
      <c r="AN698" s="529"/>
      <c r="AO698" s="529"/>
    </row>
    <row r="699">
      <c r="G699" s="529"/>
      <c r="H699" s="529"/>
      <c r="I699" s="529"/>
      <c r="J699" s="529"/>
      <c r="K699" s="529"/>
      <c r="L699" s="529"/>
      <c r="M699" s="529"/>
      <c r="N699" s="529"/>
      <c r="O699" s="529"/>
      <c r="P699" s="529"/>
      <c r="Q699" s="529"/>
      <c r="R699" s="529"/>
      <c r="S699" s="529"/>
      <c r="T699" s="529"/>
      <c r="U699" s="529"/>
      <c r="V699" s="529"/>
      <c r="W699" s="529"/>
      <c r="X699" s="529"/>
      <c r="Y699" s="529"/>
      <c r="Z699" s="529"/>
      <c r="AA699" s="529"/>
      <c r="AB699" s="529"/>
      <c r="AC699" s="529"/>
      <c r="AD699" s="529"/>
      <c r="AE699" s="529"/>
      <c r="AF699" s="529"/>
      <c r="AG699" s="529"/>
      <c r="AH699" s="529"/>
      <c r="AI699" s="529"/>
      <c r="AJ699" s="529"/>
      <c r="AK699" s="529"/>
      <c r="AL699" s="529"/>
      <c r="AM699" s="529"/>
      <c r="AN699" s="529"/>
      <c r="AO699" s="529"/>
    </row>
    <row r="700">
      <c r="G700" s="529"/>
      <c r="H700" s="529"/>
      <c r="I700" s="529"/>
      <c r="J700" s="529"/>
      <c r="K700" s="529"/>
      <c r="L700" s="529"/>
      <c r="M700" s="529"/>
      <c r="N700" s="529"/>
      <c r="O700" s="529"/>
      <c r="P700" s="529"/>
      <c r="Q700" s="529"/>
      <c r="R700" s="529"/>
      <c r="S700" s="529"/>
      <c r="T700" s="529"/>
      <c r="U700" s="529"/>
      <c r="V700" s="529"/>
      <c r="W700" s="529"/>
      <c r="X700" s="529"/>
      <c r="Y700" s="529"/>
      <c r="Z700" s="529"/>
      <c r="AA700" s="529"/>
      <c r="AB700" s="529"/>
      <c r="AC700" s="529"/>
      <c r="AD700" s="529"/>
      <c r="AE700" s="529"/>
      <c r="AF700" s="529"/>
      <c r="AG700" s="529"/>
      <c r="AH700" s="529"/>
      <c r="AI700" s="529"/>
      <c r="AJ700" s="529"/>
      <c r="AK700" s="529"/>
      <c r="AL700" s="529"/>
      <c r="AM700" s="529"/>
      <c r="AN700" s="529"/>
      <c r="AO700" s="529"/>
    </row>
    <row r="701">
      <c r="G701" s="529"/>
      <c r="H701" s="529"/>
      <c r="I701" s="529"/>
      <c r="J701" s="529"/>
      <c r="K701" s="529"/>
      <c r="L701" s="529"/>
      <c r="M701" s="529"/>
      <c r="N701" s="529"/>
      <c r="O701" s="529"/>
      <c r="P701" s="529"/>
      <c r="Q701" s="529"/>
      <c r="R701" s="529"/>
      <c r="S701" s="529"/>
      <c r="T701" s="529"/>
      <c r="U701" s="529"/>
      <c r="V701" s="529"/>
      <c r="W701" s="529"/>
      <c r="X701" s="529"/>
      <c r="Y701" s="529"/>
      <c r="Z701" s="529"/>
      <c r="AA701" s="529"/>
      <c r="AB701" s="529"/>
      <c r="AC701" s="529"/>
      <c r="AD701" s="529"/>
      <c r="AE701" s="529"/>
      <c r="AF701" s="529"/>
      <c r="AG701" s="529"/>
      <c r="AH701" s="529"/>
      <c r="AI701" s="529"/>
      <c r="AJ701" s="529"/>
      <c r="AK701" s="529"/>
      <c r="AL701" s="529"/>
      <c r="AM701" s="529"/>
      <c r="AN701" s="529"/>
      <c r="AO701" s="529"/>
    </row>
    <row r="702">
      <c r="G702" s="529"/>
      <c r="H702" s="529"/>
      <c r="I702" s="529"/>
      <c r="J702" s="529"/>
      <c r="K702" s="529"/>
      <c r="L702" s="529"/>
      <c r="M702" s="529"/>
      <c r="N702" s="529"/>
      <c r="O702" s="529"/>
      <c r="P702" s="529"/>
      <c r="Q702" s="529"/>
      <c r="R702" s="529"/>
      <c r="S702" s="529"/>
      <c r="T702" s="529"/>
      <c r="U702" s="529"/>
      <c r="V702" s="529"/>
      <c r="W702" s="529"/>
      <c r="X702" s="529"/>
      <c r="Y702" s="529"/>
      <c r="Z702" s="529"/>
      <c r="AA702" s="529"/>
      <c r="AB702" s="529"/>
      <c r="AC702" s="529"/>
      <c r="AD702" s="529"/>
      <c r="AE702" s="529"/>
      <c r="AF702" s="529"/>
      <c r="AG702" s="529"/>
      <c r="AH702" s="529"/>
      <c r="AI702" s="529"/>
      <c r="AJ702" s="529"/>
      <c r="AK702" s="529"/>
      <c r="AL702" s="529"/>
      <c r="AM702" s="529"/>
      <c r="AN702" s="529"/>
      <c r="AO702" s="529"/>
    </row>
    <row r="703">
      <c r="G703" s="529"/>
      <c r="H703" s="529"/>
      <c r="I703" s="529"/>
      <c r="J703" s="529"/>
      <c r="K703" s="529"/>
      <c r="L703" s="529"/>
      <c r="M703" s="529"/>
      <c r="N703" s="529"/>
      <c r="O703" s="529"/>
      <c r="P703" s="529"/>
      <c r="Q703" s="529"/>
      <c r="R703" s="529"/>
      <c r="S703" s="529"/>
      <c r="T703" s="529"/>
      <c r="U703" s="529"/>
      <c r="V703" s="529"/>
      <c r="W703" s="529"/>
      <c r="X703" s="529"/>
      <c r="Y703" s="529"/>
      <c r="Z703" s="529"/>
      <c r="AA703" s="529"/>
      <c r="AB703" s="529"/>
      <c r="AC703" s="529"/>
      <c r="AD703" s="529"/>
      <c r="AE703" s="529"/>
      <c r="AF703" s="529"/>
      <c r="AG703" s="529"/>
      <c r="AH703" s="529"/>
      <c r="AI703" s="529"/>
      <c r="AJ703" s="529"/>
      <c r="AK703" s="529"/>
      <c r="AL703" s="529"/>
      <c r="AM703" s="529"/>
      <c r="AN703" s="529"/>
      <c r="AO703" s="529"/>
    </row>
    <row r="704">
      <c r="G704" s="529"/>
      <c r="H704" s="529"/>
      <c r="I704" s="529"/>
      <c r="J704" s="529"/>
      <c r="K704" s="529"/>
      <c r="L704" s="529"/>
      <c r="M704" s="529"/>
      <c r="N704" s="529"/>
      <c r="O704" s="529"/>
      <c r="P704" s="529"/>
      <c r="Q704" s="529"/>
      <c r="R704" s="529"/>
      <c r="S704" s="529"/>
      <c r="T704" s="529"/>
      <c r="U704" s="529"/>
      <c r="V704" s="529"/>
      <c r="W704" s="529"/>
      <c r="X704" s="529"/>
      <c r="Y704" s="529"/>
      <c r="Z704" s="529"/>
      <c r="AA704" s="529"/>
      <c r="AB704" s="529"/>
      <c r="AC704" s="529"/>
      <c r="AD704" s="529"/>
      <c r="AE704" s="529"/>
      <c r="AF704" s="529"/>
      <c r="AG704" s="529"/>
      <c r="AH704" s="529"/>
      <c r="AI704" s="529"/>
      <c r="AJ704" s="529"/>
      <c r="AK704" s="529"/>
      <c r="AL704" s="529"/>
      <c r="AM704" s="529"/>
      <c r="AN704" s="529"/>
      <c r="AO704" s="529"/>
    </row>
    <row r="705">
      <c r="G705" s="529"/>
      <c r="H705" s="529"/>
      <c r="I705" s="529"/>
      <c r="J705" s="529"/>
      <c r="K705" s="529"/>
      <c r="L705" s="529"/>
      <c r="M705" s="529"/>
      <c r="N705" s="529"/>
      <c r="O705" s="529"/>
      <c r="P705" s="529"/>
      <c r="Q705" s="529"/>
      <c r="R705" s="529"/>
      <c r="S705" s="529"/>
      <c r="T705" s="529"/>
      <c r="U705" s="529"/>
      <c r="V705" s="529"/>
      <c r="W705" s="529"/>
      <c r="X705" s="529"/>
      <c r="Y705" s="529"/>
      <c r="Z705" s="529"/>
      <c r="AA705" s="529"/>
      <c r="AB705" s="529"/>
      <c r="AC705" s="529"/>
      <c r="AD705" s="529"/>
      <c r="AE705" s="529"/>
      <c r="AF705" s="529"/>
      <c r="AG705" s="529"/>
      <c r="AH705" s="529"/>
      <c r="AI705" s="529"/>
      <c r="AJ705" s="529"/>
      <c r="AK705" s="529"/>
      <c r="AL705" s="529"/>
      <c r="AM705" s="529"/>
      <c r="AN705" s="529"/>
      <c r="AO705" s="529"/>
    </row>
    <row r="706">
      <c r="G706" s="529"/>
      <c r="H706" s="529"/>
      <c r="I706" s="529"/>
      <c r="J706" s="529"/>
      <c r="K706" s="529"/>
      <c r="L706" s="529"/>
      <c r="M706" s="529"/>
      <c r="N706" s="529"/>
      <c r="O706" s="529"/>
      <c r="P706" s="529"/>
      <c r="Q706" s="529"/>
      <c r="R706" s="529"/>
      <c r="S706" s="529"/>
      <c r="T706" s="529"/>
      <c r="U706" s="529"/>
      <c r="V706" s="529"/>
      <c r="W706" s="529"/>
      <c r="X706" s="529"/>
      <c r="Y706" s="529"/>
      <c r="Z706" s="529"/>
      <c r="AA706" s="529"/>
      <c r="AB706" s="529"/>
      <c r="AC706" s="529"/>
      <c r="AD706" s="529"/>
      <c r="AE706" s="529"/>
      <c r="AF706" s="529"/>
      <c r="AG706" s="529"/>
      <c r="AH706" s="529"/>
      <c r="AI706" s="529"/>
      <c r="AJ706" s="529"/>
      <c r="AK706" s="529"/>
      <c r="AL706" s="529"/>
      <c r="AM706" s="529"/>
      <c r="AN706" s="529"/>
      <c r="AO706" s="529"/>
    </row>
    <row r="707">
      <c r="G707" s="529"/>
      <c r="H707" s="529"/>
      <c r="I707" s="529"/>
      <c r="J707" s="529"/>
      <c r="K707" s="529"/>
      <c r="L707" s="529"/>
      <c r="M707" s="529"/>
      <c r="N707" s="529"/>
      <c r="O707" s="529"/>
      <c r="P707" s="529"/>
      <c r="Q707" s="529"/>
      <c r="R707" s="529"/>
      <c r="S707" s="529"/>
      <c r="T707" s="529"/>
      <c r="U707" s="529"/>
      <c r="V707" s="529"/>
      <c r="W707" s="529"/>
      <c r="X707" s="529"/>
      <c r="Y707" s="529"/>
      <c r="Z707" s="529"/>
      <c r="AA707" s="529"/>
      <c r="AB707" s="529"/>
      <c r="AC707" s="529"/>
      <c r="AD707" s="529"/>
      <c r="AE707" s="529"/>
      <c r="AF707" s="529"/>
      <c r="AG707" s="529"/>
      <c r="AH707" s="529"/>
      <c r="AI707" s="529"/>
      <c r="AJ707" s="529"/>
      <c r="AK707" s="529"/>
      <c r="AL707" s="529"/>
      <c r="AM707" s="529"/>
      <c r="AN707" s="529"/>
      <c r="AO707" s="529"/>
    </row>
    <row r="708">
      <c r="G708" s="529"/>
      <c r="H708" s="529"/>
      <c r="I708" s="529"/>
      <c r="J708" s="529"/>
      <c r="K708" s="529"/>
      <c r="L708" s="529"/>
      <c r="M708" s="529"/>
      <c r="N708" s="529"/>
      <c r="O708" s="529"/>
      <c r="P708" s="529"/>
      <c r="Q708" s="529"/>
      <c r="R708" s="529"/>
      <c r="S708" s="529"/>
      <c r="T708" s="529"/>
      <c r="U708" s="529"/>
      <c r="V708" s="529"/>
      <c r="W708" s="529"/>
      <c r="X708" s="529"/>
      <c r="Y708" s="529"/>
      <c r="Z708" s="529"/>
      <c r="AA708" s="529"/>
      <c r="AB708" s="529"/>
      <c r="AC708" s="529"/>
      <c r="AD708" s="529"/>
      <c r="AE708" s="529"/>
      <c r="AF708" s="529"/>
      <c r="AG708" s="529"/>
      <c r="AH708" s="529"/>
      <c r="AI708" s="529"/>
      <c r="AJ708" s="529"/>
      <c r="AK708" s="529"/>
      <c r="AL708" s="529"/>
      <c r="AM708" s="529"/>
      <c r="AN708" s="529"/>
      <c r="AO708" s="529"/>
    </row>
    <row r="709">
      <c r="G709" s="529"/>
      <c r="H709" s="529"/>
      <c r="I709" s="529"/>
      <c r="J709" s="529"/>
      <c r="K709" s="529"/>
      <c r="L709" s="529"/>
      <c r="M709" s="529"/>
      <c r="N709" s="529"/>
      <c r="O709" s="529"/>
      <c r="P709" s="529"/>
      <c r="Q709" s="529"/>
      <c r="R709" s="529"/>
      <c r="S709" s="529"/>
      <c r="T709" s="529"/>
      <c r="U709" s="529"/>
      <c r="V709" s="529"/>
      <c r="W709" s="529"/>
      <c r="X709" s="529"/>
      <c r="Y709" s="529"/>
      <c r="Z709" s="529"/>
      <c r="AA709" s="529"/>
      <c r="AB709" s="529"/>
      <c r="AC709" s="529"/>
      <c r="AD709" s="529"/>
      <c r="AE709" s="529"/>
      <c r="AF709" s="529"/>
      <c r="AG709" s="529"/>
      <c r="AH709" s="529"/>
      <c r="AI709" s="529"/>
      <c r="AJ709" s="529"/>
      <c r="AK709" s="529"/>
      <c r="AL709" s="529"/>
      <c r="AM709" s="529"/>
      <c r="AN709" s="529"/>
      <c r="AO709" s="529"/>
    </row>
    <row r="710">
      <c r="G710" s="529"/>
      <c r="H710" s="529"/>
      <c r="I710" s="529"/>
      <c r="J710" s="529"/>
      <c r="K710" s="529"/>
      <c r="L710" s="529"/>
      <c r="M710" s="529"/>
      <c r="N710" s="529"/>
      <c r="O710" s="529"/>
      <c r="P710" s="529"/>
      <c r="Q710" s="529"/>
      <c r="R710" s="529"/>
      <c r="S710" s="529"/>
      <c r="T710" s="529"/>
      <c r="U710" s="529"/>
      <c r="V710" s="529"/>
      <c r="W710" s="529"/>
      <c r="X710" s="529"/>
      <c r="Y710" s="529"/>
      <c r="Z710" s="529"/>
      <c r="AA710" s="529"/>
      <c r="AB710" s="529"/>
      <c r="AC710" s="529"/>
      <c r="AD710" s="529"/>
      <c r="AE710" s="529"/>
      <c r="AF710" s="529"/>
      <c r="AG710" s="529"/>
      <c r="AH710" s="529"/>
      <c r="AI710" s="529"/>
      <c r="AJ710" s="529"/>
      <c r="AK710" s="529"/>
      <c r="AL710" s="529"/>
      <c r="AM710" s="529"/>
      <c r="AN710" s="529"/>
      <c r="AO710" s="529"/>
    </row>
    <row r="711">
      <c r="G711" s="529"/>
      <c r="H711" s="529"/>
      <c r="I711" s="529"/>
      <c r="J711" s="529"/>
      <c r="K711" s="529"/>
      <c r="L711" s="529"/>
      <c r="M711" s="529"/>
      <c r="N711" s="529"/>
      <c r="O711" s="529"/>
      <c r="P711" s="529"/>
      <c r="Q711" s="529"/>
      <c r="R711" s="529"/>
      <c r="S711" s="529"/>
      <c r="T711" s="529"/>
      <c r="U711" s="529"/>
      <c r="V711" s="529"/>
      <c r="W711" s="529"/>
      <c r="X711" s="529"/>
      <c r="Y711" s="529"/>
      <c r="Z711" s="529"/>
      <c r="AA711" s="529"/>
      <c r="AB711" s="529"/>
      <c r="AC711" s="529"/>
      <c r="AD711" s="529"/>
      <c r="AE711" s="529"/>
      <c r="AF711" s="529"/>
      <c r="AG711" s="529"/>
      <c r="AH711" s="529"/>
      <c r="AI711" s="529"/>
      <c r="AJ711" s="529"/>
      <c r="AK711" s="529"/>
      <c r="AL711" s="529"/>
      <c r="AM711" s="529"/>
      <c r="AN711" s="529"/>
      <c r="AO711" s="529"/>
    </row>
    <row r="712">
      <c r="G712" s="529"/>
      <c r="H712" s="529"/>
      <c r="I712" s="529"/>
      <c r="J712" s="529"/>
      <c r="K712" s="529"/>
      <c r="L712" s="529"/>
      <c r="M712" s="529"/>
      <c r="N712" s="529"/>
      <c r="O712" s="529"/>
      <c r="P712" s="529"/>
      <c r="Q712" s="529"/>
      <c r="R712" s="529"/>
      <c r="S712" s="529"/>
      <c r="T712" s="529"/>
      <c r="U712" s="529"/>
      <c r="V712" s="529"/>
      <c r="W712" s="529"/>
      <c r="X712" s="529"/>
      <c r="Y712" s="529"/>
      <c r="Z712" s="529"/>
      <c r="AA712" s="529"/>
      <c r="AB712" s="529"/>
      <c r="AC712" s="529"/>
      <c r="AD712" s="529"/>
      <c r="AE712" s="529"/>
      <c r="AF712" s="529"/>
      <c r="AG712" s="529"/>
      <c r="AH712" s="529"/>
      <c r="AI712" s="529"/>
      <c r="AJ712" s="529"/>
      <c r="AK712" s="529"/>
      <c r="AL712" s="529"/>
      <c r="AM712" s="529"/>
      <c r="AN712" s="529"/>
      <c r="AO712" s="529"/>
    </row>
    <row r="713">
      <c r="G713" s="529"/>
      <c r="H713" s="529"/>
      <c r="I713" s="529"/>
      <c r="J713" s="529"/>
      <c r="K713" s="529"/>
      <c r="L713" s="529"/>
      <c r="M713" s="529"/>
      <c r="N713" s="529"/>
      <c r="O713" s="529"/>
      <c r="P713" s="529"/>
      <c r="Q713" s="529"/>
      <c r="R713" s="529"/>
      <c r="S713" s="529"/>
      <c r="T713" s="529"/>
      <c r="U713" s="529"/>
      <c r="V713" s="529"/>
      <c r="W713" s="529"/>
      <c r="X713" s="529"/>
      <c r="Y713" s="529"/>
      <c r="Z713" s="529"/>
      <c r="AA713" s="529"/>
      <c r="AB713" s="529"/>
      <c r="AC713" s="529"/>
      <c r="AD713" s="529"/>
      <c r="AE713" s="529"/>
      <c r="AF713" s="529"/>
      <c r="AG713" s="529"/>
      <c r="AH713" s="529"/>
      <c r="AI713" s="529"/>
      <c r="AJ713" s="529"/>
      <c r="AK713" s="529"/>
      <c r="AL713" s="529"/>
      <c r="AM713" s="529"/>
      <c r="AN713" s="529"/>
      <c r="AO713" s="529"/>
    </row>
    <row r="714">
      <c r="G714" s="529"/>
      <c r="H714" s="529"/>
      <c r="I714" s="529"/>
      <c r="J714" s="529"/>
      <c r="K714" s="529"/>
      <c r="L714" s="529"/>
      <c r="M714" s="529"/>
      <c r="N714" s="529"/>
      <c r="O714" s="529"/>
      <c r="P714" s="529"/>
      <c r="Q714" s="529"/>
      <c r="R714" s="529"/>
      <c r="S714" s="529"/>
      <c r="T714" s="529"/>
      <c r="U714" s="529"/>
      <c r="V714" s="529"/>
      <c r="W714" s="529"/>
      <c r="X714" s="529"/>
      <c r="Y714" s="529"/>
      <c r="Z714" s="529"/>
      <c r="AA714" s="529"/>
      <c r="AB714" s="529"/>
      <c r="AC714" s="529"/>
      <c r="AD714" s="529"/>
      <c r="AE714" s="529"/>
      <c r="AF714" s="529"/>
      <c r="AG714" s="529"/>
      <c r="AH714" s="529"/>
      <c r="AI714" s="529"/>
      <c r="AJ714" s="529"/>
      <c r="AK714" s="529"/>
      <c r="AL714" s="529"/>
      <c r="AM714" s="529"/>
      <c r="AN714" s="529"/>
      <c r="AO714" s="529"/>
    </row>
    <row r="715">
      <c r="G715" s="529"/>
      <c r="H715" s="529"/>
      <c r="I715" s="529"/>
      <c r="J715" s="529"/>
      <c r="K715" s="529"/>
      <c r="L715" s="529"/>
      <c r="M715" s="529"/>
      <c r="N715" s="529"/>
      <c r="O715" s="529"/>
      <c r="P715" s="529"/>
      <c r="Q715" s="529"/>
      <c r="R715" s="529"/>
      <c r="S715" s="529"/>
      <c r="T715" s="529"/>
      <c r="U715" s="529"/>
      <c r="V715" s="529"/>
      <c r="W715" s="529"/>
      <c r="X715" s="529"/>
      <c r="Y715" s="529"/>
      <c r="Z715" s="529"/>
      <c r="AA715" s="529"/>
      <c r="AB715" s="529"/>
      <c r="AC715" s="529"/>
      <c r="AD715" s="529"/>
      <c r="AE715" s="529"/>
      <c r="AF715" s="529"/>
      <c r="AG715" s="529"/>
      <c r="AH715" s="529"/>
      <c r="AI715" s="529"/>
      <c r="AJ715" s="529"/>
      <c r="AK715" s="529"/>
      <c r="AL715" s="529"/>
      <c r="AM715" s="529"/>
      <c r="AN715" s="529"/>
      <c r="AO715" s="529"/>
    </row>
    <row r="716">
      <c r="G716" s="529"/>
      <c r="H716" s="529"/>
      <c r="I716" s="529"/>
      <c r="J716" s="529"/>
      <c r="K716" s="529"/>
      <c r="L716" s="529"/>
      <c r="M716" s="529"/>
      <c r="N716" s="529"/>
      <c r="O716" s="529"/>
      <c r="P716" s="529"/>
      <c r="Q716" s="529"/>
      <c r="R716" s="529"/>
      <c r="S716" s="529"/>
      <c r="T716" s="529"/>
      <c r="U716" s="529"/>
      <c r="V716" s="529"/>
      <c r="W716" s="529"/>
      <c r="X716" s="529"/>
      <c r="Y716" s="529"/>
      <c r="Z716" s="529"/>
      <c r="AA716" s="529"/>
      <c r="AB716" s="529"/>
      <c r="AC716" s="529"/>
      <c r="AD716" s="529"/>
      <c r="AE716" s="529"/>
      <c r="AF716" s="529"/>
      <c r="AG716" s="529"/>
      <c r="AH716" s="529"/>
      <c r="AI716" s="529"/>
      <c r="AJ716" s="529"/>
      <c r="AK716" s="529"/>
      <c r="AL716" s="529"/>
      <c r="AM716" s="529"/>
      <c r="AN716" s="529"/>
      <c r="AO716" s="529"/>
    </row>
    <row r="717">
      <c r="G717" s="529"/>
      <c r="H717" s="529"/>
      <c r="I717" s="529"/>
      <c r="J717" s="529"/>
      <c r="K717" s="529"/>
      <c r="L717" s="529"/>
      <c r="M717" s="529"/>
      <c r="N717" s="529"/>
      <c r="O717" s="529"/>
      <c r="P717" s="529"/>
      <c r="Q717" s="529"/>
      <c r="R717" s="529"/>
      <c r="S717" s="529"/>
      <c r="T717" s="529"/>
      <c r="U717" s="529"/>
      <c r="V717" s="529"/>
      <c r="W717" s="529"/>
      <c r="X717" s="529"/>
      <c r="Y717" s="529"/>
      <c r="Z717" s="529"/>
      <c r="AA717" s="529"/>
      <c r="AB717" s="529"/>
      <c r="AC717" s="529"/>
      <c r="AD717" s="529"/>
      <c r="AE717" s="529"/>
      <c r="AF717" s="529"/>
      <c r="AG717" s="529"/>
      <c r="AH717" s="529"/>
      <c r="AI717" s="529"/>
      <c r="AJ717" s="529"/>
      <c r="AK717" s="529"/>
      <c r="AL717" s="529"/>
      <c r="AM717" s="529"/>
      <c r="AN717" s="529"/>
      <c r="AO717" s="529"/>
    </row>
    <row r="718">
      <c r="G718" s="529"/>
      <c r="H718" s="529"/>
      <c r="I718" s="529"/>
      <c r="J718" s="529"/>
      <c r="K718" s="529"/>
      <c r="L718" s="529"/>
      <c r="M718" s="529"/>
      <c r="N718" s="529"/>
      <c r="O718" s="529"/>
      <c r="P718" s="529"/>
      <c r="Q718" s="529"/>
      <c r="R718" s="529"/>
      <c r="S718" s="529"/>
      <c r="T718" s="529"/>
      <c r="U718" s="529"/>
      <c r="V718" s="529"/>
      <c r="W718" s="529"/>
      <c r="X718" s="529"/>
      <c r="Y718" s="529"/>
      <c r="Z718" s="529"/>
      <c r="AA718" s="529"/>
      <c r="AB718" s="529"/>
      <c r="AC718" s="529"/>
      <c r="AD718" s="529"/>
      <c r="AE718" s="529"/>
      <c r="AF718" s="529"/>
      <c r="AG718" s="529"/>
      <c r="AH718" s="529"/>
      <c r="AI718" s="529"/>
      <c r="AJ718" s="529"/>
      <c r="AK718" s="529"/>
      <c r="AL718" s="529"/>
      <c r="AM718" s="529"/>
      <c r="AN718" s="529"/>
      <c r="AO718" s="529"/>
    </row>
    <row r="719">
      <c r="G719" s="529"/>
      <c r="H719" s="529"/>
      <c r="I719" s="529"/>
      <c r="J719" s="529"/>
      <c r="K719" s="529"/>
      <c r="L719" s="529"/>
      <c r="M719" s="529"/>
      <c r="N719" s="529"/>
      <c r="O719" s="529"/>
      <c r="P719" s="529"/>
      <c r="Q719" s="529"/>
      <c r="R719" s="529"/>
      <c r="S719" s="529"/>
      <c r="T719" s="529"/>
      <c r="U719" s="529"/>
      <c r="V719" s="529"/>
      <c r="W719" s="529"/>
      <c r="X719" s="529"/>
      <c r="Y719" s="529"/>
      <c r="Z719" s="529"/>
      <c r="AA719" s="529"/>
      <c r="AB719" s="529"/>
      <c r="AC719" s="529"/>
      <c r="AD719" s="529"/>
      <c r="AE719" s="529"/>
      <c r="AF719" s="529"/>
      <c r="AG719" s="529"/>
      <c r="AH719" s="529"/>
      <c r="AI719" s="529"/>
      <c r="AJ719" s="529"/>
      <c r="AK719" s="529"/>
      <c r="AL719" s="529"/>
      <c r="AM719" s="529"/>
      <c r="AN719" s="529"/>
      <c r="AO719" s="529"/>
    </row>
    <row r="720">
      <c r="G720" s="529"/>
      <c r="H720" s="529"/>
      <c r="I720" s="529"/>
      <c r="J720" s="529"/>
      <c r="K720" s="529"/>
      <c r="L720" s="529"/>
      <c r="M720" s="529"/>
      <c r="N720" s="529"/>
      <c r="O720" s="529"/>
      <c r="P720" s="529"/>
      <c r="Q720" s="529"/>
      <c r="R720" s="529"/>
      <c r="S720" s="529"/>
      <c r="T720" s="529"/>
      <c r="U720" s="529"/>
      <c r="V720" s="529"/>
      <c r="W720" s="529"/>
      <c r="X720" s="529"/>
      <c r="Y720" s="529"/>
      <c r="Z720" s="529"/>
      <c r="AA720" s="529"/>
      <c r="AB720" s="529"/>
      <c r="AC720" s="529"/>
      <c r="AD720" s="529"/>
      <c r="AE720" s="529"/>
      <c r="AF720" s="529"/>
      <c r="AG720" s="529"/>
      <c r="AH720" s="529"/>
      <c r="AI720" s="529"/>
      <c r="AJ720" s="529"/>
      <c r="AK720" s="529"/>
      <c r="AL720" s="529"/>
      <c r="AM720" s="529"/>
      <c r="AN720" s="529"/>
      <c r="AO720" s="529"/>
    </row>
    <row r="721">
      <c r="G721" s="529"/>
      <c r="H721" s="529"/>
      <c r="I721" s="529"/>
      <c r="J721" s="529"/>
      <c r="K721" s="529"/>
      <c r="L721" s="529"/>
      <c r="M721" s="529"/>
      <c r="N721" s="529"/>
      <c r="O721" s="529"/>
      <c r="P721" s="529"/>
      <c r="Q721" s="529"/>
      <c r="R721" s="529"/>
      <c r="S721" s="529"/>
      <c r="T721" s="529"/>
      <c r="U721" s="529"/>
      <c r="V721" s="529"/>
      <c r="W721" s="529"/>
      <c r="X721" s="529"/>
      <c r="Y721" s="529"/>
      <c r="Z721" s="529"/>
      <c r="AA721" s="529"/>
      <c r="AB721" s="529"/>
      <c r="AC721" s="529"/>
      <c r="AD721" s="529"/>
      <c r="AE721" s="529"/>
      <c r="AF721" s="529"/>
      <c r="AG721" s="529"/>
      <c r="AH721" s="529"/>
      <c r="AI721" s="529"/>
      <c r="AJ721" s="529"/>
      <c r="AK721" s="529"/>
      <c r="AL721" s="529"/>
      <c r="AM721" s="529"/>
      <c r="AN721" s="529"/>
      <c r="AO721" s="529"/>
    </row>
    <row r="722">
      <c r="G722" s="529"/>
      <c r="H722" s="529"/>
      <c r="I722" s="529"/>
      <c r="J722" s="529"/>
      <c r="K722" s="529"/>
      <c r="L722" s="529"/>
      <c r="M722" s="529"/>
      <c r="N722" s="529"/>
      <c r="O722" s="529"/>
      <c r="P722" s="529"/>
      <c r="Q722" s="529"/>
      <c r="R722" s="529"/>
      <c r="S722" s="529"/>
      <c r="T722" s="529"/>
      <c r="U722" s="529"/>
      <c r="V722" s="529"/>
      <c r="W722" s="529"/>
      <c r="X722" s="529"/>
      <c r="Y722" s="529"/>
      <c r="Z722" s="529"/>
      <c r="AA722" s="529"/>
      <c r="AB722" s="529"/>
      <c r="AC722" s="529"/>
      <c r="AD722" s="529"/>
      <c r="AE722" s="529"/>
      <c r="AF722" s="529"/>
      <c r="AG722" s="529"/>
      <c r="AH722" s="529"/>
      <c r="AI722" s="529"/>
      <c r="AJ722" s="529"/>
      <c r="AK722" s="529"/>
      <c r="AL722" s="529"/>
      <c r="AM722" s="529"/>
      <c r="AN722" s="529"/>
      <c r="AO722" s="529"/>
    </row>
    <row r="723">
      <c r="G723" s="529"/>
      <c r="H723" s="529"/>
      <c r="I723" s="529"/>
      <c r="J723" s="529"/>
      <c r="K723" s="529"/>
      <c r="L723" s="529"/>
      <c r="M723" s="529"/>
      <c r="N723" s="529"/>
      <c r="O723" s="529"/>
      <c r="P723" s="529"/>
      <c r="Q723" s="529"/>
      <c r="R723" s="529"/>
      <c r="S723" s="529"/>
      <c r="T723" s="529"/>
      <c r="U723" s="529"/>
      <c r="V723" s="529"/>
      <c r="W723" s="529"/>
      <c r="X723" s="529"/>
      <c r="Y723" s="529"/>
      <c r="Z723" s="529"/>
      <c r="AA723" s="529"/>
      <c r="AB723" s="529"/>
      <c r="AC723" s="529"/>
      <c r="AD723" s="529"/>
      <c r="AE723" s="529"/>
      <c r="AF723" s="529"/>
      <c r="AG723" s="529"/>
      <c r="AH723" s="529"/>
      <c r="AI723" s="529"/>
      <c r="AJ723" s="529"/>
      <c r="AK723" s="529"/>
      <c r="AL723" s="529"/>
      <c r="AM723" s="529"/>
      <c r="AN723" s="529"/>
      <c r="AO723" s="529"/>
    </row>
    <row r="724">
      <c r="G724" s="529"/>
      <c r="H724" s="529"/>
      <c r="I724" s="529"/>
      <c r="J724" s="529"/>
      <c r="K724" s="529"/>
      <c r="L724" s="529"/>
      <c r="M724" s="529"/>
      <c r="N724" s="529"/>
      <c r="O724" s="529"/>
      <c r="P724" s="529"/>
      <c r="Q724" s="529"/>
      <c r="R724" s="529"/>
      <c r="S724" s="529"/>
      <c r="T724" s="529"/>
      <c r="U724" s="529"/>
      <c r="V724" s="529"/>
      <c r="W724" s="529"/>
      <c r="X724" s="529"/>
      <c r="Y724" s="529"/>
      <c r="Z724" s="529"/>
      <c r="AA724" s="529"/>
      <c r="AB724" s="529"/>
      <c r="AC724" s="529"/>
      <c r="AD724" s="529"/>
      <c r="AE724" s="529"/>
      <c r="AF724" s="529"/>
      <c r="AG724" s="529"/>
      <c r="AH724" s="529"/>
      <c r="AI724" s="529"/>
      <c r="AJ724" s="529"/>
      <c r="AK724" s="529"/>
      <c r="AL724" s="529"/>
      <c r="AM724" s="529"/>
      <c r="AN724" s="529"/>
      <c r="AO724" s="529"/>
    </row>
    <row r="725">
      <c r="G725" s="529"/>
      <c r="H725" s="529"/>
      <c r="I725" s="529"/>
      <c r="J725" s="529"/>
      <c r="K725" s="529"/>
      <c r="L725" s="529"/>
      <c r="M725" s="529"/>
      <c r="N725" s="529"/>
      <c r="O725" s="529"/>
      <c r="P725" s="529"/>
      <c r="Q725" s="529"/>
      <c r="R725" s="529"/>
      <c r="S725" s="529"/>
      <c r="T725" s="529"/>
      <c r="U725" s="529"/>
      <c r="V725" s="529"/>
      <c r="W725" s="529"/>
      <c r="X725" s="529"/>
      <c r="Y725" s="529"/>
      <c r="Z725" s="529"/>
      <c r="AA725" s="529"/>
      <c r="AB725" s="529"/>
      <c r="AC725" s="529"/>
      <c r="AD725" s="529"/>
      <c r="AE725" s="529"/>
      <c r="AF725" s="529"/>
      <c r="AG725" s="529"/>
      <c r="AH725" s="529"/>
      <c r="AI725" s="529"/>
      <c r="AJ725" s="529"/>
      <c r="AK725" s="529"/>
      <c r="AL725" s="529"/>
      <c r="AM725" s="529"/>
      <c r="AN725" s="529"/>
      <c r="AO725" s="529"/>
    </row>
    <row r="726">
      <c r="G726" s="529"/>
      <c r="H726" s="529"/>
      <c r="I726" s="529"/>
      <c r="J726" s="529"/>
      <c r="K726" s="529"/>
      <c r="L726" s="529"/>
      <c r="M726" s="529"/>
      <c r="N726" s="529"/>
      <c r="O726" s="529"/>
      <c r="P726" s="529"/>
      <c r="Q726" s="529"/>
      <c r="R726" s="529"/>
      <c r="S726" s="529"/>
      <c r="T726" s="529"/>
      <c r="U726" s="529"/>
      <c r="V726" s="529"/>
      <c r="W726" s="529"/>
      <c r="X726" s="529"/>
      <c r="Y726" s="529"/>
      <c r="Z726" s="529"/>
      <c r="AA726" s="529"/>
      <c r="AB726" s="529"/>
      <c r="AC726" s="529"/>
      <c r="AD726" s="529"/>
      <c r="AE726" s="529"/>
      <c r="AF726" s="529"/>
      <c r="AG726" s="529"/>
      <c r="AH726" s="529"/>
      <c r="AI726" s="529"/>
      <c r="AJ726" s="529"/>
      <c r="AK726" s="529"/>
      <c r="AL726" s="529"/>
      <c r="AM726" s="529"/>
      <c r="AN726" s="529"/>
      <c r="AO726" s="529"/>
    </row>
    <row r="727">
      <c r="G727" s="529"/>
      <c r="H727" s="529"/>
      <c r="I727" s="529"/>
      <c r="J727" s="529"/>
      <c r="K727" s="529"/>
      <c r="L727" s="529"/>
      <c r="M727" s="529"/>
      <c r="N727" s="529"/>
      <c r="O727" s="529"/>
      <c r="P727" s="529"/>
      <c r="Q727" s="529"/>
      <c r="R727" s="529"/>
      <c r="S727" s="529"/>
      <c r="T727" s="529"/>
      <c r="U727" s="529"/>
      <c r="V727" s="529"/>
      <c r="W727" s="529"/>
      <c r="X727" s="529"/>
      <c r="Y727" s="529"/>
      <c r="Z727" s="529"/>
      <c r="AA727" s="529"/>
      <c r="AB727" s="529"/>
      <c r="AC727" s="529"/>
      <c r="AD727" s="529"/>
      <c r="AE727" s="529"/>
      <c r="AF727" s="529"/>
      <c r="AG727" s="529"/>
      <c r="AH727" s="529"/>
      <c r="AI727" s="529"/>
      <c r="AJ727" s="529"/>
      <c r="AK727" s="529"/>
      <c r="AL727" s="529"/>
      <c r="AM727" s="529"/>
      <c r="AN727" s="529"/>
      <c r="AO727" s="529"/>
    </row>
    <row r="728">
      <c r="G728" s="529"/>
      <c r="H728" s="529"/>
      <c r="I728" s="529"/>
      <c r="J728" s="529"/>
      <c r="K728" s="529"/>
      <c r="L728" s="529"/>
      <c r="M728" s="529"/>
      <c r="N728" s="529"/>
      <c r="O728" s="529"/>
      <c r="P728" s="529"/>
      <c r="Q728" s="529"/>
      <c r="R728" s="529"/>
      <c r="S728" s="529"/>
      <c r="T728" s="529"/>
      <c r="U728" s="529"/>
      <c r="V728" s="529"/>
      <c r="W728" s="529"/>
      <c r="X728" s="529"/>
      <c r="Y728" s="529"/>
      <c r="Z728" s="529"/>
      <c r="AA728" s="529"/>
      <c r="AB728" s="529"/>
      <c r="AC728" s="529"/>
      <c r="AD728" s="529"/>
      <c r="AE728" s="529"/>
      <c r="AF728" s="529"/>
      <c r="AG728" s="529"/>
      <c r="AH728" s="529"/>
      <c r="AI728" s="529"/>
      <c r="AJ728" s="529"/>
      <c r="AK728" s="529"/>
      <c r="AL728" s="529"/>
      <c r="AM728" s="529"/>
      <c r="AN728" s="529"/>
      <c r="AO728" s="529"/>
    </row>
    <row r="729">
      <c r="G729" s="529"/>
      <c r="H729" s="529"/>
      <c r="I729" s="529"/>
      <c r="J729" s="529"/>
      <c r="K729" s="529"/>
      <c r="L729" s="529"/>
      <c r="M729" s="529"/>
      <c r="N729" s="529"/>
      <c r="O729" s="529"/>
      <c r="P729" s="529"/>
      <c r="Q729" s="529"/>
      <c r="R729" s="529"/>
      <c r="S729" s="529"/>
      <c r="T729" s="529"/>
      <c r="U729" s="529"/>
      <c r="V729" s="529"/>
      <c r="W729" s="529"/>
      <c r="X729" s="529"/>
      <c r="Y729" s="529"/>
      <c r="Z729" s="529"/>
      <c r="AA729" s="529"/>
      <c r="AB729" s="529"/>
      <c r="AC729" s="529"/>
      <c r="AD729" s="529"/>
      <c r="AE729" s="529"/>
      <c r="AF729" s="529"/>
      <c r="AG729" s="529"/>
      <c r="AH729" s="529"/>
      <c r="AI729" s="529"/>
      <c r="AJ729" s="529"/>
      <c r="AK729" s="529"/>
      <c r="AL729" s="529"/>
      <c r="AM729" s="529"/>
      <c r="AN729" s="529"/>
      <c r="AO729" s="529"/>
    </row>
    <row r="730">
      <c r="G730" s="529"/>
      <c r="H730" s="529"/>
      <c r="I730" s="529"/>
      <c r="J730" s="529"/>
      <c r="K730" s="529"/>
      <c r="L730" s="529"/>
      <c r="M730" s="529"/>
      <c r="N730" s="529"/>
      <c r="O730" s="529"/>
      <c r="P730" s="529"/>
      <c r="Q730" s="529"/>
      <c r="R730" s="529"/>
      <c r="S730" s="529"/>
      <c r="T730" s="529"/>
      <c r="U730" s="529"/>
      <c r="V730" s="529"/>
      <c r="W730" s="529"/>
      <c r="X730" s="529"/>
      <c r="Y730" s="529"/>
      <c r="Z730" s="529"/>
      <c r="AA730" s="529"/>
      <c r="AB730" s="529"/>
      <c r="AC730" s="529"/>
      <c r="AD730" s="529"/>
      <c r="AE730" s="529"/>
      <c r="AF730" s="529"/>
      <c r="AG730" s="529"/>
      <c r="AH730" s="529"/>
      <c r="AI730" s="529"/>
      <c r="AJ730" s="529"/>
      <c r="AK730" s="529"/>
      <c r="AL730" s="529"/>
      <c r="AM730" s="529"/>
      <c r="AN730" s="529"/>
      <c r="AO730" s="529"/>
    </row>
    <row r="731">
      <c r="G731" s="529"/>
      <c r="H731" s="529"/>
      <c r="I731" s="529"/>
      <c r="J731" s="529"/>
      <c r="K731" s="529"/>
      <c r="L731" s="529"/>
      <c r="M731" s="529"/>
      <c r="N731" s="529"/>
      <c r="O731" s="529"/>
      <c r="P731" s="529"/>
      <c r="Q731" s="529"/>
      <c r="R731" s="529"/>
      <c r="S731" s="529"/>
      <c r="T731" s="529"/>
      <c r="U731" s="529"/>
      <c r="V731" s="529"/>
      <c r="W731" s="529"/>
      <c r="X731" s="529"/>
      <c r="Y731" s="529"/>
      <c r="Z731" s="529"/>
      <c r="AA731" s="529"/>
      <c r="AB731" s="529"/>
      <c r="AC731" s="529"/>
      <c r="AD731" s="529"/>
      <c r="AE731" s="529"/>
      <c r="AF731" s="529"/>
      <c r="AG731" s="529"/>
      <c r="AH731" s="529"/>
      <c r="AI731" s="529"/>
      <c r="AJ731" s="529"/>
      <c r="AK731" s="529"/>
      <c r="AL731" s="529"/>
      <c r="AM731" s="529"/>
      <c r="AN731" s="529"/>
      <c r="AO731" s="529"/>
    </row>
    <row r="732">
      <c r="G732" s="529"/>
      <c r="H732" s="529"/>
      <c r="I732" s="529"/>
      <c r="J732" s="529"/>
      <c r="K732" s="529"/>
      <c r="L732" s="529"/>
      <c r="M732" s="529"/>
      <c r="N732" s="529"/>
      <c r="O732" s="529"/>
      <c r="P732" s="529"/>
      <c r="Q732" s="529"/>
      <c r="R732" s="529"/>
      <c r="S732" s="529"/>
      <c r="T732" s="529"/>
      <c r="U732" s="529"/>
      <c r="V732" s="529"/>
      <c r="W732" s="529"/>
      <c r="X732" s="529"/>
      <c r="Y732" s="529"/>
      <c r="Z732" s="529"/>
      <c r="AA732" s="529"/>
      <c r="AB732" s="529"/>
      <c r="AC732" s="529"/>
      <c r="AD732" s="529"/>
      <c r="AE732" s="529"/>
      <c r="AF732" s="529"/>
      <c r="AG732" s="529"/>
      <c r="AH732" s="529"/>
      <c r="AI732" s="529"/>
      <c r="AJ732" s="529"/>
      <c r="AK732" s="529"/>
      <c r="AL732" s="529"/>
      <c r="AM732" s="529"/>
      <c r="AN732" s="529"/>
      <c r="AO732" s="529"/>
    </row>
    <row r="733">
      <c r="G733" s="529"/>
      <c r="H733" s="529"/>
      <c r="I733" s="529"/>
      <c r="J733" s="529"/>
      <c r="K733" s="529"/>
      <c r="L733" s="529"/>
      <c r="M733" s="529"/>
      <c r="N733" s="529"/>
      <c r="O733" s="529"/>
      <c r="P733" s="529"/>
      <c r="Q733" s="529"/>
      <c r="R733" s="529"/>
      <c r="S733" s="529"/>
      <c r="T733" s="529"/>
      <c r="U733" s="529"/>
      <c r="V733" s="529"/>
      <c r="W733" s="529"/>
      <c r="X733" s="529"/>
      <c r="Y733" s="529"/>
      <c r="Z733" s="529"/>
      <c r="AA733" s="529"/>
      <c r="AB733" s="529"/>
      <c r="AC733" s="529"/>
      <c r="AD733" s="529"/>
      <c r="AE733" s="529"/>
      <c r="AF733" s="529"/>
      <c r="AG733" s="529"/>
      <c r="AH733" s="529"/>
      <c r="AI733" s="529"/>
      <c r="AJ733" s="529"/>
      <c r="AK733" s="529"/>
      <c r="AL733" s="529"/>
      <c r="AM733" s="529"/>
      <c r="AN733" s="529"/>
      <c r="AO733" s="529"/>
    </row>
    <row r="734">
      <c r="G734" s="529"/>
      <c r="H734" s="529"/>
      <c r="I734" s="529"/>
      <c r="J734" s="529"/>
      <c r="K734" s="529"/>
      <c r="L734" s="529"/>
      <c r="M734" s="529"/>
      <c r="N734" s="529"/>
      <c r="O734" s="529"/>
      <c r="P734" s="529"/>
      <c r="Q734" s="529"/>
      <c r="R734" s="529"/>
      <c r="S734" s="529"/>
      <c r="T734" s="529"/>
      <c r="U734" s="529"/>
      <c r="V734" s="529"/>
      <c r="W734" s="529"/>
      <c r="X734" s="529"/>
      <c r="Y734" s="529"/>
      <c r="Z734" s="529"/>
      <c r="AA734" s="529"/>
      <c r="AB734" s="529"/>
      <c r="AC734" s="529"/>
      <c r="AD734" s="529"/>
      <c r="AE734" s="529"/>
      <c r="AF734" s="529"/>
      <c r="AG734" s="529"/>
      <c r="AH734" s="529"/>
      <c r="AI734" s="529"/>
      <c r="AJ734" s="529"/>
      <c r="AK734" s="529"/>
      <c r="AL734" s="529"/>
      <c r="AM734" s="529"/>
      <c r="AN734" s="529"/>
      <c r="AO734" s="529"/>
    </row>
    <row r="735">
      <c r="G735" s="529"/>
      <c r="H735" s="529"/>
      <c r="I735" s="529"/>
      <c r="J735" s="529"/>
      <c r="K735" s="529"/>
      <c r="L735" s="529"/>
      <c r="M735" s="529"/>
      <c r="N735" s="529"/>
      <c r="O735" s="529"/>
      <c r="P735" s="529"/>
      <c r="Q735" s="529"/>
      <c r="R735" s="529"/>
      <c r="S735" s="529"/>
      <c r="T735" s="529"/>
      <c r="U735" s="529"/>
      <c r="V735" s="529"/>
      <c r="W735" s="529"/>
      <c r="X735" s="529"/>
      <c r="Y735" s="529"/>
      <c r="Z735" s="529"/>
      <c r="AA735" s="529"/>
      <c r="AB735" s="529"/>
      <c r="AC735" s="529"/>
      <c r="AD735" s="529"/>
      <c r="AE735" s="529"/>
      <c r="AF735" s="529"/>
      <c r="AG735" s="529"/>
      <c r="AH735" s="529"/>
      <c r="AI735" s="529"/>
      <c r="AJ735" s="529"/>
      <c r="AK735" s="529"/>
      <c r="AL735" s="529"/>
      <c r="AM735" s="529"/>
      <c r="AN735" s="529"/>
      <c r="AO735" s="529"/>
    </row>
    <row r="736">
      <c r="G736" s="529"/>
      <c r="H736" s="529"/>
      <c r="I736" s="529"/>
      <c r="J736" s="529"/>
      <c r="K736" s="529"/>
      <c r="L736" s="529"/>
      <c r="M736" s="529"/>
      <c r="N736" s="529"/>
      <c r="O736" s="529"/>
      <c r="P736" s="529"/>
      <c r="Q736" s="529"/>
      <c r="R736" s="529"/>
      <c r="S736" s="529"/>
      <c r="T736" s="529"/>
      <c r="U736" s="529"/>
      <c r="V736" s="529"/>
      <c r="W736" s="529"/>
      <c r="X736" s="529"/>
      <c r="Y736" s="529"/>
      <c r="Z736" s="529"/>
      <c r="AA736" s="529"/>
      <c r="AB736" s="529"/>
      <c r="AC736" s="529"/>
      <c r="AD736" s="529"/>
      <c r="AE736" s="529"/>
      <c r="AF736" s="529"/>
      <c r="AG736" s="529"/>
      <c r="AH736" s="529"/>
      <c r="AI736" s="529"/>
      <c r="AJ736" s="529"/>
      <c r="AK736" s="529"/>
      <c r="AL736" s="529"/>
      <c r="AM736" s="529"/>
      <c r="AN736" s="529"/>
      <c r="AO736" s="529"/>
    </row>
    <row r="737">
      <c r="G737" s="529"/>
      <c r="H737" s="529"/>
      <c r="I737" s="529"/>
      <c r="J737" s="529"/>
      <c r="K737" s="529"/>
      <c r="L737" s="529"/>
      <c r="M737" s="529"/>
      <c r="N737" s="529"/>
      <c r="O737" s="529"/>
      <c r="P737" s="529"/>
      <c r="Q737" s="529"/>
      <c r="R737" s="529"/>
      <c r="S737" s="529"/>
      <c r="T737" s="529"/>
      <c r="U737" s="529"/>
      <c r="V737" s="529"/>
      <c r="W737" s="529"/>
      <c r="X737" s="529"/>
      <c r="Y737" s="529"/>
      <c r="Z737" s="529"/>
      <c r="AA737" s="529"/>
      <c r="AB737" s="529"/>
      <c r="AC737" s="529"/>
      <c r="AD737" s="529"/>
      <c r="AE737" s="529"/>
      <c r="AF737" s="529"/>
      <c r="AG737" s="529"/>
      <c r="AH737" s="529"/>
      <c r="AI737" s="529"/>
      <c r="AJ737" s="529"/>
      <c r="AK737" s="529"/>
      <c r="AL737" s="529"/>
      <c r="AM737" s="529"/>
      <c r="AN737" s="529"/>
      <c r="AO737" s="529"/>
    </row>
    <row r="738">
      <c r="G738" s="529"/>
      <c r="H738" s="529"/>
      <c r="I738" s="529"/>
      <c r="J738" s="529"/>
      <c r="K738" s="529"/>
      <c r="L738" s="529"/>
      <c r="M738" s="529"/>
      <c r="N738" s="529"/>
      <c r="O738" s="529"/>
      <c r="P738" s="529"/>
      <c r="Q738" s="529"/>
      <c r="R738" s="529"/>
      <c r="S738" s="529"/>
      <c r="T738" s="529"/>
      <c r="U738" s="529"/>
      <c r="V738" s="529"/>
      <c r="W738" s="529"/>
      <c r="X738" s="529"/>
      <c r="Y738" s="529"/>
      <c r="Z738" s="529"/>
      <c r="AA738" s="529"/>
      <c r="AB738" s="529"/>
      <c r="AC738" s="529"/>
      <c r="AD738" s="529"/>
      <c r="AE738" s="529"/>
      <c r="AF738" s="529"/>
      <c r="AG738" s="529"/>
      <c r="AH738" s="529"/>
      <c r="AI738" s="529"/>
      <c r="AJ738" s="529"/>
      <c r="AK738" s="529"/>
      <c r="AL738" s="529"/>
      <c r="AM738" s="529"/>
      <c r="AN738" s="529"/>
      <c r="AO738" s="529"/>
    </row>
    <row r="739">
      <c r="G739" s="529"/>
      <c r="H739" s="529"/>
      <c r="I739" s="529"/>
      <c r="J739" s="529"/>
      <c r="K739" s="529"/>
      <c r="L739" s="529"/>
      <c r="M739" s="529"/>
      <c r="N739" s="529"/>
      <c r="O739" s="529"/>
      <c r="P739" s="529"/>
      <c r="Q739" s="529"/>
      <c r="R739" s="529"/>
      <c r="S739" s="529"/>
      <c r="T739" s="529"/>
      <c r="U739" s="529"/>
      <c r="V739" s="529"/>
      <c r="W739" s="529"/>
      <c r="X739" s="529"/>
      <c r="Y739" s="529"/>
      <c r="Z739" s="529"/>
      <c r="AA739" s="529"/>
      <c r="AB739" s="529"/>
      <c r="AC739" s="529"/>
      <c r="AD739" s="529"/>
      <c r="AE739" s="529"/>
      <c r="AF739" s="529"/>
      <c r="AG739" s="529"/>
      <c r="AH739" s="529"/>
      <c r="AI739" s="529"/>
      <c r="AJ739" s="529"/>
      <c r="AK739" s="529"/>
      <c r="AL739" s="529"/>
      <c r="AM739" s="529"/>
      <c r="AN739" s="529"/>
      <c r="AO739" s="529"/>
    </row>
    <row r="740">
      <c r="G740" s="529"/>
      <c r="H740" s="529"/>
      <c r="I740" s="529"/>
      <c r="J740" s="529"/>
      <c r="K740" s="529"/>
      <c r="L740" s="529"/>
      <c r="M740" s="529"/>
      <c r="N740" s="529"/>
      <c r="O740" s="529"/>
      <c r="P740" s="529"/>
      <c r="Q740" s="529"/>
      <c r="R740" s="529"/>
      <c r="S740" s="529"/>
      <c r="T740" s="529"/>
      <c r="U740" s="529"/>
      <c r="V740" s="529"/>
      <c r="W740" s="529"/>
      <c r="X740" s="529"/>
      <c r="Y740" s="529"/>
      <c r="Z740" s="529"/>
      <c r="AA740" s="529"/>
      <c r="AB740" s="529"/>
      <c r="AC740" s="529"/>
      <c r="AD740" s="529"/>
      <c r="AE740" s="529"/>
      <c r="AF740" s="529"/>
      <c r="AG740" s="529"/>
      <c r="AH740" s="529"/>
      <c r="AI740" s="529"/>
      <c r="AJ740" s="529"/>
      <c r="AK740" s="529"/>
      <c r="AL740" s="529"/>
      <c r="AM740" s="529"/>
      <c r="AN740" s="529"/>
      <c r="AO740" s="529"/>
    </row>
    <row r="741">
      <c r="G741" s="529"/>
      <c r="H741" s="529"/>
      <c r="I741" s="529"/>
      <c r="J741" s="529"/>
      <c r="K741" s="529"/>
      <c r="L741" s="529"/>
      <c r="M741" s="529"/>
      <c r="N741" s="529"/>
      <c r="O741" s="529"/>
      <c r="P741" s="529"/>
      <c r="Q741" s="529"/>
      <c r="R741" s="529"/>
      <c r="S741" s="529"/>
      <c r="T741" s="529"/>
      <c r="U741" s="529"/>
      <c r="V741" s="529"/>
      <c r="W741" s="529"/>
      <c r="X741" s="529"/>
      <c r="Y741" s="529"/>
      <c r="Z741" s="529"/>
      <c r="AA741" s="529"/>
      <c r="AB741" s="529"/>
      <c r="AC741" s="529"/>
      <c r="AD741" s="529"/>
      <c r="AE741" s="529"/>
      <c r="AF741" s="529"/>
      <c r="AG741" s="529"/>
      <c r="AH741" s="529"/>
      <c r="AI741" s="529"/>
      <c r="AJ741" s="529"/>
      <c r="AK741" s="529"/>
      <c r="AL741" s="529"/>
      <c r="AM741" s="529"/>
      <c r="AN741" s="529"/>
      <c r="AO741" s="529"/>
    </row>
    <row r="742">
      <c r="G742" s="529"/>
      <c r="H742" s="529"/>
      <c r="I742" s="529"/>
      <c r="J742" s="529"/>
      <c r="K742" s="529"/>
      <c r="L742" s="529"/>
      <c r="M742" s="529"/>
      <c r="N742" s="529"/>
      <c r="O742" s="529"/>
      <c r="P742" s="529"/>
      <c r="Q742" s="529"/>
      <c r="R742" s="529"/>
      <c r="S742" s="529"/>
      <c r="T742" s="529"/>
      <c r="U742" s="529"/>
      <c r="V742" s="529"/>
      <c r="W742" s="529"/>
      <c r="X742" s="529"/>
      <c r="Y742" s="529"/>
      <c r="Z742" s="529"/>
      <c r="AA742" s="529"/>
      <c r="AB742" s="529"/>
      <c r="AC742" s="529"/>
      <c r="AD742" s="529"/>
      <c r="AE742" s="529"/>
      <c r="AF742" s="529"/>
      <c r="AG742" s="529"/>
      <c r="AH742" s="529"/>
      <c r="AI742" s="529"/>
      <c r="AJ742" s="529"/>
      <c r="AK742" s="529"/>
      <c r="AL742" s="529"/>
      <c r="AM742" s="529"/>
      <c r="AN742" s="529"/>
      <c r="AO742" s="529"/>
    </row>
    <row r="743">
      <c r="G743" s="529"/>
      <c r="H743" s="529"/>
      <c r="I743" s="529"/>
      <c r="J743" s="529"/>
      <c r="K743" s="529"/>
      <c r="L743" s="529"/>
      <c r="M743" s="529"/>
      <c r="N743" s="529"/>
      <c r="O743" s="529"/>
      <c r="P743" s="529"/>
      <c r="Q743" s="529"/>
      <c r="R743" s="529"/>
      <c r="S743" s="529"/>
      <c r="T743" s="529"/>
      <c r="U743" s="529"/>
      <c r="V743" s="529"/>
      <c r="W743" s="529"/>
      <c r="X743" s="529"/>
      <c r="Y743" s="529"/>
      <c r="Z743" s="529"/>
      <c r="AA743" s="529"/>
      <c r="AB743" s="529"/>
      <c r="AC743" s="529"/>
      <c r="AD743" s="529"/>
      <c r="AE743" s="529"/>
      <c r="AF743" s="529"/>
      <c r="AG743" s="529"/>
      <c r="AH743" s="529"/>
      <c r="AI743" s="529"/>
      <c r="AJ743" s="529"/>
      <c r="AK743" s="529"/>
      <c r="AL743" s="529"/>
      <c r="AM743" s="529"/>
      <c r="AN743" s="529"/>
      <c r="AO743" s="529"/>
    </row>
    <row r="744">
      <c r="G744" s="529"/>
      <c r="H744" s="529"/>
      <c r="I744" s="529"/>
      <c r="J744" s="529"/>
      <c r="K744" s="529"/>
      <c r="L744" s="529"/>
      <c r="M744" s="529"/>
      <c r="N744" s="529"/>
      <c r="O744" s="529"/>
      <c r="P744" s="529"/>
      <c r="Q744" s="529"/>
      <c r="R744" s="529"/>
      <c r="S744" s="529"/>
      <c r="T744" s="529"/>
      <c r="U744" s="529"/>
      <c r="V744" s="529"/>
      <c r="W744" s="529"/>
      <c r="X744" s="529"/>
      <c r="Y744" s="529"/>
      <c r="Z744" s="529"/>
      <c r="AA744" s="529"/>
      <c r="AB744" s="529"/>
      <c r="AC744" s="529"/>
      <c r="AD744" s="529"/>
      <c r="AE744" s="529"/>
      <c r="AF744" s="529"/>
      <c r="AG744" s="529"/>
      <c r="AH744" s="529"/>
      <c r="AI744" s="529"/>
      <c r="AJ744" s="529"/>
      <c r="AK744" s="529"/>
      <c r="AL744" s="529"/>
      <c r="AM744" s="529"/>
      <c r="AN744" s="529"/>
      <c r="AO744" s="529"/>
    </row>
    <row r="745">
      <c r="G745" s="529"/>
      <c r="H745" s="529"/>
      <c r="I745" s="529"/>
      <c r="J745" s="529"/>
      <c r="K745" s="529"/>
      <c r="L745" s="529"/>
      <c r="M745" s="529"/>
      <c r="N745" s="529"/>
      <c r="O745" s="529"/>
      <c r="P745" s="529"/>
      <c r="Q745" s="529"/>
      <c r="R745" s="529"/>
      <c r="S745" s="529"/>
      <c r="T745" s="529"/>
      <c r="U745" s="529"/>
      <c r="V745" s="529"/>
      <c r="W745" s="529"/>
      <c r="X745" s="529"/>
      <c r="Y745" s="529"/>
      <c r="Z745" s="529"/>
      <c r="AA745" s="529"/>
      <c r="AB745" s="529"/>
      <c r="AC745" s="529"/>
      <c r="AD745" s="529"/>
      <c r="AE745" s="529"/>
      <c r="AF745" s="529"/>
      <c r="AG745" s="529"/>
      <c r="AH745" s="529"/>
      <c r="AI745" s="529"/>
      <c r="AJ745" s="529"/>
      <c r="AK745" s="529"/>
      <c r="AL745" s="529"/>
      <c r="AM745" s="529"/>
      <c r="AN745" s="529"/>
      <c r="AO745" s="529"/>
    </row>
    <row r="746">
      <c r="G746" s="529"/>
      <c r="H746" s="529"/>
      <c r="I746" s="529"/>
      <c r="J746" s="529"/>
      <c r="K746" s="529"/>
      <c r="L746" s="529"/>
      <c r="M746" s="529"/>
      <c r="N746" s="529"/>
      <c r="O746" s="529"/>
      <c r="P746" s="529"/>
      <c r="Q746" s="529"/>
      <c r="R746" s="529"/>
      <c r="S746" s="529"/>
      <c r="T746" s="529"/>
      <c r="U746" s="529"/>
      <c r="V746" s="529"/>
      <c r="W746" s="529"/>
      <c r="X746" s="529"/>
      <c r="Y746" s="529"/>
      <c r="Z746" s="529"/>
      <c r="AA746" s="529"/>
      <c r="AB746" s="529"/>
      <c r="AC746" s="529"/>
      <c r="AD746" s="529"/>
      <c r="AE746" s="529"/>
      <c r="AF746" s="529"/>
      <c r="AG746" s="529"/>
      <c r="AH746" s="529"/>
      <c r="AI746" s="529"/>
      <c r="AJ746" s="529"/>
      <c r="AK746" s="529"/>
      <c r="AL746" s="529"/>
      <c r="AM746" s="529"/>
      <c r="AN746" s="529"/>
      <c r="AO746" s="529"/>
    </row>
    <row r="747">
      <c r="G747" s="529"/>
      <c r="H747" s="529"/>
      <c r="I747" s="529"/>
      <c r="J747" s="529"/>
      <c r="K747" s="529"/>
      <c r="L747" s="529"/>
      <c r="M747" s="529"/>
      <c r="N747" s="529"/>
      <c r="O747" s="529"/>
      <c r="P747" s="529"/>
      <c r="Q747" s="529"/>
      <c r="R747" s="529"/>
      <c r="S747" s="529"/>
      <c r="T747" s="529"/>
      <c r="U747" s="529"/>
      <c r="V747" s="529"/>
      <c r="W747" s="529"/>
      <c r="X747" s="529"/>
      <c r="Y747" s="529"/>
      <c r="Z747" s="529"/>
      <c r="AA747" s="529"/>
      <c r="AB747" s="529"/>
      <c r="AC747" s="529"/>
      <c r="AD747" s="529"/>
      <c r="AE747" s="529"/>
      <c r="AF747" s="529"/>
      <c r="AG747" s="529"/>
      <c r="AH747" s="529"/>
      <c r="AI747" s="529"/>
      <c r="AJ747" s="529"/>
      <c r="AK747" s="529"/>
      <c r="AL747" s="529"/>
      <c r="AM747" s="529"/>
      <c r="AN747" s="529"/>
      <c r="AO747" s="529"/>
    </row>
    <row r="748">
      <c r="G748" s="529"/>
      <c r="H748" s="529"/>
      <c r="I748" s="529"/>
      <c r="J748" s="529"/>
      <c r="K748" s="529"/>
      <c r="L748" s="529"/>
      <c r="M748" s="529"/>
      <c r="N748" s="529"/>
      <c r="O748" s="529"/>
      <c r="P748" s="529"/>
      <c r="Q748" s="529"/>
      <c r="R748" s="529"/>
      <c r="S748" s="529"/>
      <c r="T748" s="529"/>
      <c r="U748" s="529"/>
      <c r="V748" s="529"/>
      <c r="W748" s="529"/>
      <c r="X748" s="529"/>
      <c r="Y748" s="529"/>
      <c r="Z748" s="529"/>
      <c r="AA748" s="529"/>
      <c r="AB748" s="529"/>
      <c r="AC748" s="529"/>
      <c r="AD748" s="529"/>
      <c r="AE748" s="529"/>
      <c r="AF748" s="529"/>
      <c r="AG748" s="529"/>
      <c r="AH748" s="529"/>
      <c r="AI748" s="529"/>
      <c r="AJ748" s="529"/>
      <c r="AK748" s="529"/>
      <c r="AL748" s="529"/>
      <c r="AM748" s="529"/>
      <c r="AN748" s="529"/>
      <c r="AO748" s="529"/>
    </row>
    <row r="749">
      <c r="G749" s="529"/>
      <c r="H749" s="529"/>
      <c r="I749" s="529"/>
      <c r="J749" s="529"/>
      <c r="K749" s="529"/>
      <c r="L749" s="529"/>
      <c r="M749" s="529"/>
      <c r="N749" s="529"/>
      <c r="O749" s="529"/>
      <c r="P749" s="529"/>
      <c r="Q749" s="529"/>
      <c r="R749" s="529"/>
      <c r="S749" s="529"/>
      <c r="T749" s="529"/>
      <c r="U749" s="529"/>
      <c r="V749" s="529"/>
      <c r="W749" s="529"/>
      <c r="X749" s="529"/>
      <c r="Y749" s="529"/>
      <c r="Z749" s="529"/>
      <c r="AA749" s="529"/>
      <c r="AB749" s="529"/>
      <c r="AC749" s="529"/>
      <c r="AD749" s="529"/>
      <c r="AE749" s="529"/>
      <c r="AF749" s="529"/>
      <c r="AG749" s="529"/>
      <c r="AH749" s="529"/>
      <c r="AI749" s="529"/>
      <c r="AJ749" s="529"/>
      <c r="AK749" s="529"/>
      <c r="AL749" s="529"/>
      <c r="AM749" s="529"/>
      <c r="AN749" s="529"/>
      <c r="AO749" s="529"/>
    </row>
    <row r="750">
      <c r="G750" s="529"/>
      <c r="H750" s="529"/>
      <c r="I750" s="529"/>
      <c r="J750" s="529"/>
      <c r="K750" s="529"/>
      <c r="L750" s="529"/>
      <c r="M750" s="529"/>
      <c r="N750" s="529"/>
      <c r="O750" s="529"/>
      <c r="P750" s="529"/>
      <c r="Q750" s="529"/>
      <c r="R750" s="529"/>
      <c r="S750" s="529"/>
      <c r="T750" s="529"/>
      <c r="U750" s="529"/>
      <c r="V750" s="529"/>
      <c r="W750" s="529"/>
      <c r="X750" s="529"/>
      <c r="Y750" s="529"/>
      <c r="Z750" s="529"/>
      <c r="AA750" s="529"/>
      <c r="AB750" s="529"/>
      <c r="AC750" s="529"/>
      <c r="AD750" s="529"/>
      <c r="AE750" s="529"/>
      <c r="AF750" s="529"/>
      <c r="AG750" s="529"/>
      <c r="AH750" s="529"/>
      <c r="AI750" s="529"/>
      <c r="AJ750" s="529"/>
      <c r="AK750" s="529"/>
      <c r="AL750" s="529"/>
      <c r="AM750" s="529"/>
      <c r="AN750" s="529"/>
      <c r="AO750" s="529"/>
    </row>
    <row r="751">
      <c r="G751" s="529"/>
      <c r="H751" s="529"/>
      <c r="I751" s="529"/>
      <c r="J751" s="529"/>
      <c r="K751" s="529"/>
      <c r="L751" s="529"/>
      <c r="M751" s="529"/>
      <c r="N751" s="529"/>
      <c r="O751" s="529"/>
      <c r="P751" s="529"/>
      <c r="Q751" s="529"/>
      <c r="R751" s="529"/>
      <c r="S751" s="529"/>
      <c r="T751" s="529"/>
      <c r="U751" s="529"/>
      <c r="V751" s="529"/>
      <c r="W751" s="529"/>
      <c r="X751" s="529"/>
      <c r="Y751" s="529"/>
      <c r="Z751" s="529"/>
      <c r="AA751" s="529"/>
      <c r="AB751" s="529"/>
      <c r="AC751" s="529"/>
      <c r="AD751" s="529"/>
      <c r="AE751" s="529"/>
      <c r="AF751" s="529"/>
      <c r="AG751" s="529"/>
      <c r="AH751" s="529"/>
      <c r="AI751" s="529"/>
      <c r="AJ751" s="529"/>
      <c r="AK751" s="529"/>
      <c r="AL751" s="529"/>
      <c r="AM751" s="529"/>
      <c r="AN751" s="529"/>
      <c r="AO751" s="529"/>
    </row>
    <row r="752">
      <c r="G752" s="529"/>
      <c r="H752" s="529"/>
      <c r="I752" s="529"/>
      <c r="J752" s="529"/>
      <c r="K752" s="529"/>
      <c r="L752" s="529"/>
      <c r="M752" s="529"/>
      <c r="N752" s="529"/>
      <c r="O752" s="529"/>
      <c r="P752" s="529"/>
      <c r="Q752" s="529"/>
      <c r="R752" s="529"/>
      <c r="S752" s="529"/>
      <c r="T752" s="529"/>
      <c r="U752" s="529"/>
      <c r="V752" s="529"/>
      <c r="W752" s="529"/>
      <c r="X752" s="529"/>
      <c r="Y752" s="529"/>
      <c r="Z752" s="529"/>
      <c r="AA752" s="529"/>
      <c r="AB752" s="529"/>
      <c r="AC752" s="529"/>
      <c r="AD752" s="529"/>
      <c r="AE752" s="529"/>
      <c r="AF752" s="529"/>
      <c r="AG752" s="529"/>
      <c r="AH752" s="529"/>
      <c r="AI752" s="529"/>
      <c r="AJ752" s="529"/>
      <c r="AK752" s="529"/>
      <c r="AL752" s="529"/>
      <c r="AM752" s="529"/>
      <c r="AN752" s="529"/>
      <c r="AO752" s="529"/>
    </row>
    <row r="753">
      <c r="G753" s="529"/>
      <c r="H753" s="529"/>
      <c r="I753" s="529"/>
      <c r="J753" s="529"/>
      <c r="K753" s="529"/>
      <c r="L753" s="529"/>
      <c r="M753" s="529"/>
      <c r="N753" s="529"/>
      <c r="O753" s="529"/>
      <c r="P753" s="529"/>
      <c r="Q753" s="529"/>
      <c r="R753" s="529"/>
      <c r="S753" s="529"/>
      <c r="T753" s="529"/>
      <c r="U753" s="529"/>
      <c r="V753" s="529"/>
      <c r="W753" s="529"/>
      <c r="X753" s="529"/>
      <c r="Y753" s="529"/>
      <c r="Z753" s="529"/>
      <c r="AA753" s="529"/>
      <c r="AB753" s="529"/>
      <c r="AC753" s="529"/>
      <c r="AD753" s="529"/>
      <c r="AE753" s="529"/>
      <c r="AF753" s="529"/>
      <c r="AG753" s="529"/>
      <c r="AH753" s="529"/>
      <c r="AI753" s="529"/>
      <c r="AJ753" s="529"/>
      <c r="AK753" s="529"/>
      <c r="AL753" s="529"/>
      <c r="AM753" s="529"/>
      <c r="AN753" s="529"/>
      <c r="AO753" s="529"/>
    </row>
    <row r="754">
      <c r="G754" s="529"/>
      <c r="H754" s="529"/>
      <c r="I754" s="529"/>
      <c r="J754" s="529"/>
      <c r="K754" s="529"/>
      <c r="L754" s="529"/>
      <c r="M754" s="529"/>
      <c r="N754" s="529"/>
      <c r="O754" s="529"/>
      <c r="P754" s="529"/>
      <c r="Q754" s="529"/>
      <c r="R754" s="529"/>
      <c r="S754" s="529"/>
      <c r="T754" s="529"/>
      <c r="U754" s="529"/>
      <c r="V754" s="529"/>
      <c r="W754" s="529"/>
      <c r="X754" s="529"/>
      <c r="Y754" s="529"/>
      <c r="Z754" s="529"/>
      <c r="AA754" s="529"/>
      <c r="AB754" s="529"/>
      <c r="AC754" s="529"/>
      <c r="AD754" s="529"/>
      <c r="AE754" s="529"/>
      <c r="AF754" s="529"/>
      <c r="AG754" s="529"/>
      <c r="AH754" s="529"/>
      <c r="AI754" s="529"/>
      <c r="AJ754" s="529"/>
      <c r="AK754" s="529"/>
      <c r="AL754" s="529"/>
      <c r="AM754" s="529"/>
      <c r="AN754" s="529"/>
      <c r="AO754" s="529"/>
    </row>
    <row r="755">
      <c r="G755" s="529"/>
      <c r="H755" s="529"/>
      <c r="I755" s="529"/>
      <c r="J755" s="529"/>
      <c r="K755" s="529"/>
      <c r="L755" s="529"/>
      <c r="M755" s="529"/>
      <c r="N755" s="529"/>
      <c r="O755" s="529"/>
      <c r="P755" s="529"/>
      <c r="Q755" s="529"/>
      <c r="R755" s="529"/>
      <c r="S755" s="529"/>
      <c r="T755" s="529"/>
      <c r="U755" s="529"/>
      <c r="V755" s="529"/>
      <c r="W755" s="529"/>
      <c r="X755" s="529"/>
      <c r="Y755" s="529"/>
      <c r="Z755" s="529"/>
      <c r="AA755" s="529"/>
      <c r="AB755" s="529"/>
      <c r="AC755" s="529"/>
      <c r="AD755" s="529"/>
      <c r="AE755" s="529"/>
      <c r="AF755" s="529"/>
      <c r="AG755" s="529"/>
      <c r="AH755" s="529"/>
      <c r="AI755" s="529"/>
      <c r="AJ755" s="529"/>
      <c r="AK755" s="529"/>
      <c r="AL755" s="529"/>
      <c r="AM755" s="529"/>
      <c r="AN755" s="529"/>
      <c r="AO755" s="529"/>
    </row>
    <row r="756">
      <c r="G756" s="529"/>
      <c r="H756" s="529"/>
      <c r="I756" s="529"/>
      <c r="J756" s="529"/>
      <c r="K756" s="529"/>
      <c r="L756" s="529"/>
      <c r="M756" s="529"/>
      <c r="N756" s="529"/>
      <c r="O756" s="529"/>
      <c r="P756" s="529"/>
      <c r="Q756" s="529"/>
      <c r="R756" s="529"/>
      <c r="S756" s="529"/>
      <c r="T756" s="529"/>
      <c r="U756" s="529"/>
      <c r="V756" s="529"/>
      <c r="W756" s="529"/>
      <c r="X756" s="529"/>
      <c r="Y756" s="529"/>
      <c r="Z756" s="529"/>
      <c r="AA756" s="529"/>
      <c r="AB756" s="529"/>
      <c r="AC756" s="529"/>
      <c r="AD756" s="529"/>
      <c r="AE756" s="529"/>
      <c r="AF756" s="529"/>
      <c r="AG756" s="529"/>
      <c r="AH756" s="529"/>
      <c r="AI756" s="529"/>
      <c r="AJ756" s="529"/>
      <c r="AK756" s="529"/>
      <c r="AL756" s="529"/>
      <c r="AM756" s="529"/>
      <c r="AN756" s="529"/>
      <c r="AO756" s="529"/>
    </row>
    <row r="757">
      <c r="G757" s="529"/>
      <c r="H757" s="529"/>
      <c r="I757" s="529"/>
      <c r="J757" s="529"/>
      <c r="K757" s="529"/>
      <c r="L757" s="529"/>
      <c r="M757" s="529"/>
      <c r="N757" s="529"/>
      <c r="O757" s="529"/>
      <c r="P757" s="529"/>
      <c r="Q757" s="529"/>
      <c r="R757" s="529"/>
      <c r="S757" s="529"/>
      <c r="T757" s="529"/>
      <c r="U757" s="529"/>
      <c r="V757" s="529"/>
      <c r="W757" s="529"/>
      <c r="X757" s="529"/>
      <c r="Y757" s="529"/>
      <c r="Z757" s="529"/>
      <c r="AA757" s="529"/>
      <c r="AB757" s="529"/>
      <c r="AC757" s="529"/>
      <c r="AD757" s="529"/>
      <c r="AE757" s="529"/>
      <c r="AF757" s="529"/>
      <c r="AG757" s="529"/>
      <c r="AH757" s="529"/>
      <c r="AI757" s="529"/>
      <c r="AJ757" s="529"/>
      <c r="AK757" s="529"/>
      <c r="AL757" s="529"/>
      <c r="AM757" s="529"/>
      <c r="AN757" s="529"/>
      <c r="AO757" s="529"/>
    </row>
    <row r="758">
      <c r="G758" s="529"/>
      <c r="H758" s="529"/>
      <c r="I758" s="529"/>
      <c r="J758" s="529"/>
      <c r="K758" s="529"/>
      <c r="L758" s="529"/>
      <c r="M758" s="529"/>
      <c r="N758" s="529"/>
      <c r="O758" s="529"/>
      <c r="P758" s="529"/>
      <c r="Q758" s="529"/>
      <c r="R758" s="529"/>
      <c r="S758" s="529"/>
      <c r="T758" s="529"/>
      <c r="U758" s="529"/>
      <c r="V758" s="529"/>
      <c r="W758" s="529"/>
      <c r="X758" s="529"/>
      <c r="Y758" s="529"/>
      <c r="Z758" s="529"/>
      <c r="AA758" s="529"/>
      <c r="AB758" s="529"/>
      <c r="AC758" s="529"/>
      <c r="AD758" s="529"/>
      <c r="AE758" s="529"/>
      <c r="AF758" s="529"/>
      <c r="AG758" s="529"/>
      <c r="AH758" s="529"/>
      <c r="AI758" s="529"/>
      <c r="AJ758" s="529"/>
      <c r="AK758" s="529"/>
      <c r="AL758" s="529"/>
      <c r="AM758" s="529"/>
      <c r="AN758" s="529"/>
      <c r="AO758" s="529"/>
    </row>
    <row r="759">
      <c r="G759" s="529"/>
      <c r="H759" s="529"/>
      <c r="I759" s="529"/>
      <c r="J759" s="529"/>
      <c r="K759" s="529"/>
      <c r="L759" s="529"/>
      <c r="M759" s="529"/>
      <c r="N759" s="529"/>
      <c r="O759" s="529"/>
      <c r="P759" s="529"/>
      <c r="Q759" s="529"/>
      <c r="R759" s="529"/>
      <c r="S759" s="529"/>
      <c r="T759" s="529"/>
      <c r="U759" s="529"/>
      <c r="V759" s="529"/>
      <c r="W759" s="529"/>
      <c r="X759" s="529"/>
      <c r="Y759" s="529"/>
      <c r="Z759" s="529"/>
      <c r="AA759" s="529"/>
      <c r="AB759" s="529"/>
      <c r="AC759" s="529"/>
      <c r="AD759" s="529"/>
      <c r="AE759" s="529"/>
      <c r="AF759" s="529"/>
      <c r="AG759" s="529"/>
      <c r="AH759" s="529"/>
      <c r="AI759" s="529"/>
      <c r="AJ759" s="529"/>
      <c r="AK759" s="529"/>
      <c r="AL759" s="529"/>
      <c r="AM759" s="529"/>
      <c r="AN759" s="529"/>
      <c r="AO759" s="529"/>
    </row>
    <row r="760">
      <c r="G760" s="529"/>
      <c r="H760" s="529"/>
      <c r="I760" s="529"/>
      <c r="J760" s="529"/>
      <c r="K760" s="529"/>
      <c r="L760" s="529"/>
      <c r="M760" s="529"/>
      <c r="N760" s="529"/>
      <c r="O760" s="529"/>
      <c r="P760" s="529"/>
      <c r="Q760" s="529"/>
      <c r="R760" s="529"/>
      <c r="S760" s="529"/>
      <c r="T760" s="529"/>
      <c r="U760" s="529"/>
      <c r="V760" s="529"/>
      <c r="W760" s="529"/>
      <c r="X760" s="529"/>
      <c r="Y760" s="529"/>
      <c r="Z760" s="529"/>
      <c r="AA760" s="529"/>
      <c r="AB760" s="529"/>
      <c r="AC760" s="529"/>
      <c r="AD760" s="529"/>
      <c r="AE760" s="529"/>
      <c r="AF760" s="529"/>
      <c r="AG760" s="529"/>
      <c r="AH760" s="529"/>
      <c r="AI760" s="529"/>
      <c r="AJ760" s="529"/>
      <c r="AK760" s="529"/>
      <c r="AL760" s="529"/>
      <c r="AM760" s="529"/>
      <c r="AN760" s="529"/>
      <c r="AO760" s="529"/>
    </row>
    <row r="761">
      <c r="G761" s="529"/>
      <c r="H761" s="529"/>
      <c r="I761" s="529"/>
      <c r="J761" s="529"/>
      <c r="K761" s="529"/>
      <c r="L761" s="529"/>
      <c r="M761" s="529"/>
      <c r="N761" s="529"/>
      <c r="O761" s="529"/>
      <c r="P761" s="529"/>
      <c r="Q761" s="529"/>
      <c r="R761" s="529"/>
      <c r="S761" s="529"/>
      <c r="T761" s="529"/>
      <c r="U761" s="529"/>
      <c r="V761" s="529"/>
      <c r="W761" s="529"/>
      <c r="X761" s="529"/>
      <c r="Y761" s="529"/>
      <c r="Z761" s="529"/>
      <c r="AA761" s="529"/>
      <c r="AB761" s="529"/>
      <c r="AC761" s="529"/>
      <c r="AD761" s="529"/>
      <c r="AE761" s="529"/>
      <c r="AF761" s="529"/>
      <c r="AG761" s="529"/>
      <c r="AH761" s="529"/>
      <c r="AI761" s="529"/>
      <c r="AJ761" s="529"/>
      <c r="AK761" s="529"/>
      <c r="AL761" s="529"/>
      <c r="AM761" s="529"/>
      <c r="AN761" s="529"/>
      <c r="AO761" s="529"/>
    </row>
    <row r="762">
      <c r="G762" s="529"/>
      <c r="H762" s="529"/>
      <c r="I762" s="529"/>
      <c r="J762" s="529"/>
      <c r="K762" s="529"/>
      <c r="L762" s="529"/>
      <c r="M762" s="529"/>
      <c r="N762" s="529"/>
      <c r="O762" s="529"/>
      <c r="P762" s="529"/>
      <c r="Q762" s="529"/>
      <c r="R762" s="529"/>
      <c r="S762" s="529"/>
      <c r="T762" s="529"/>
      <c r="U762" s="529"/>
      <c r="V762" s="529"/>
      <c r="W762" s="529"/>
      <c r="X762" s="529"/>
      <c r="Y762" s="529"/>
      <c r="Z762" s="529"/>
      <c r="AA762" s="529"/>
      <c r="AB762" s="529"/>
      <c r="AC762" s="529"/>
      <c r="AD762" s="529"/>
      <c r="AE762" s="529"/>
      <c r="AF762" s="529"/>
      <c r="AG762" s="529"/>
      <c r="AH762" s="529"/>
      <c r="AI762" s="529"/>
      <c r="AJ762" s="529"/>
      <c r="AK762" s="529"/>
      <c r="AL762" s="529"/>
      <c r="AM762" s="529"/>
      <c r="AN762" s="529"/>
      <c r="AO762" s="529"/>
    </row>
    <row r="763">
      <c r="G763" s="529"/>
      <c r="H763" s="529"/>
      <c r="I763" s="529"/>
      <c r="J763" s="529"/>
      <c r="K763" s="529"/>
      <c r="L763" s="529"/>
      <c r="M763" s="529"/>
      <c r="N763" s="529"/>
      <c r="O763" s="529"/>
      <c r="P763" s="529"/>
      <c r="Q763" s="529"/>
      <c r="R763" s="529"/>
      <c r="S763" s="529"/>
      <c r="T763" s="529"/>
      <c r="U763" s="529"/>
      <c r="V763" s="529"/>
      <c r="W763" s="529"/>
      <c r="X763" s="529"/>
      <c r="Y763" s="529"/>
      <c r="Z763" s="529"/>
      <c r="AA763" s="529"/>
      <c r="AB763" s="529"/>
      <c r="AC763" s="529"/>
      <c r="AD763" s="529"/>
      <c r="AE763" s="529"/>
      <c r="AF763" s="529"/>
      <c r="AG763" s="529"/>
      <c r="AH763" s="529"/>
      <c r="AI763" s="529"/>
      <c r="AJ763" s="529"/>
      <c r="AK763" s="529"/>
      <c r="AL763" s="529"/>
      <c r="AM763" s="529"/>
      <c r="AN763" s="529"/>
      <c r="AO763" s="529"/>
    </row>
    <row r="764">
      <c r="G764" s="529"/>
      <c r="H764" s="529"/>
      <c r="I764" s="529"/>
      <c r="J764" s="529"/>
      <c r="K764" s="529"/>
      <c r="L764" s="529"/>
      <c r="M764" s="529"/>
      <c r="N764" s="529"/>
      <c r="O764" s="529"/>
      <c r="P764" s="529"/>
      <c r="Q764" s="529"/>
      <c r="R764" s="529"/>
      <c r="S764" s="529"/>
      <c r="T764" s="529"/>
      <c r="U764" s="529"/>
      <c r="V764" s="529"/>
      <c r="W764" s="529"/>
      <c r="X764" s="529"/>
      <c r="Y764" s="529"/>
      <c r="Z764" s="529"/>
      <c r="AA764" s="529"/>
      <c r="AB764" s="529"/>
      <c r="AC764" s="529"/>
      <c r="AD764" s="529"/>
      <c r="AE764" s="529"/>
      <c r="AF764" s="529"/>
      <c r="AG764" s="529"/>
      <c r="AH764" s="529"/>
      <c r="AI764" s="529"/>
      <c r="AJ764" s="529"/>
      <c r="AK764" s="529"/>
      <c r="AL764" s="529"/>
      <c r="AM764" s="529"/>
      <c r="AN764" s="529"/>
      <c r="AO764" s="529"/>
    </row>
    <row r="765">
      <c r="G765" s="529"/>
      <c r="H765" s="529"/>
      <c r="I765" s="529"/>
      <c r="J765" s="529"/>
      <c r="K765" s="529"/>
      <c r="L765" s="529"/>
      <c r="M765" s="529"/>
      <c r="N765" s="529"/>
      <c r="O765" s="529"/>
      <c r="P765" s="529"/>
      <c r="Q765" s="529"/>
      <c r="R765" s="529"/>
      <c r="S765" s="529"/>
      <c r="T765" s="529"/>
      <c r="U765" s="529"/>
      <c r="V765" s="529"/>
      <c r="W765" s="529"/>
      <c r="X765" s="529"/>
      <c r="Y765" s="529"/>
      <c r="Z765" s="529"/>
      <c r="AA765" s="529"/>
      <c r="AB765" s="529"/>
      <c r="AC765" s="529"/>
      <c r="AD765" s="529"/>
      <c r="AE765" s="529"/>
      <c r="AF765" s="529"/>
      <c r="AG765" s="529"/>
      <c r="AH765" s="529"/>
      <c r="AI765" s="529"/>
      <c r="AJ765" s="529"/>
      <c r="AK765" s="529"/>
      <c r="AL765" s="529"/>
      <c r="AM765" s="529"/>
      <c r="AN765" s="529"/>
      <c r="AO765" s="529"/>
    </row>
    <row r="766">
      <c r="G766" s="529"/>
      <c r="H766" s="529"/>
      <c r="I766" s="529"/>
      <c r="J766" s="529"/>
      <c r="K766" s="529"/>
      <c r="L766" s="529"/>
      <c r="M766" s="529"/>
      <c r="N766" s="529"/>
      <c r="O766" s="529"/>
      <c r="P766" s="529"/>
      <c r="Q766" s="529"/>
      <c r="R766" s="529"/>
      <c r="S766" s="529"/>
      <c r="T766" s="529"/>
      <c r="U766" s="529"/>
      <c r="V766" s="529"/>
      <c r="W766" s="529"/>
      <c r="X766" s="529"/>
      <c r="Y766" s="529"/>
      <c r="Z766" s="529"/>
      <c r="AA766" s="529"/>
      <c r="AB766" s="529"/>
      <c r="AC766" s="529"/>
      <c r="AD766" s="529"/>
      <c r="AE766" s="529"/>
      <c r="AF766" s="529"/>
      <c r="AG766" s="529"/>
      <c r="AH766" s="529"/>
      <c r="AI766" s="529"/>
      <c r="AJ766" s="529"/>
      <c r="AK766" s="529"/>
      <c r="AL766" s="529"/>
      <c r="AM766" s="529"/>
      <c r="AN766" s="529"/>
      <c r="AO766" s="529"/>
    </row>
    <row r="767">
      <c r="G767" s="529"/>
      <c r="H767" s="529"/>
      <c r="I767" s="529"/>
      <c r="J767" s="529"/>
      <c r="K767" s="529"/>
      <c r="L767" s="529"/>
      <c r="M767" s="529"/>
      <c r="N767" s="529"/>
      <c r="O767" s="529"/>
      <c r="P767" s="529"/>
      <c r="Q767" s="529"/>
      <c r="R767" s="529"/>
      <c r="S767" s="529"/>
      <c r="T767" s="529"/>
      <c r="U767" s="529"/>
      <c r="V767" s="529"/>
      <c r="W767" s="529"/>
      <c r="X767" s="529"/>
      <c r="Y767" s="529"/>
      <c r="Z767" s="529"/>
      <c r="AA767" s="529"/>
      <c r="AB767" s="529"/>
      <c r="AC767" s="529"/>
      <c r="AD767" s="529"/>
      <c r="AE767" s="529"/>
      <c r="AF767" s="529"/>
      <c r="AG767" s="529"/>
      <c r="AH767" s="529"/>
      <c r="AI767" s="529"/>
      <c r="AJ767" s="529"/>
      <c r="AK767" s="529"/>
      <c r="AL767" s="529"/>
      <c r="AM767" s="529"/>
      <c r="AN767" s="529"/>
      <c r="AO767" s="529"/>
    </row>
    <row r="768">
      <c r="G768" s="529"/>
      <c r="H768" s="529"/>
      <c r="I768" s="529"/>
      <c r="J768" s="529"/>
      <c r="K768" s="529"/>
      <c r="L768" s="529"/>
      <c r="M768" s="529"/>
      <c r="N768" s="529"/>
      <c r="O768" s="529"/>
      <c r="P768" s="529"/>
      <c r="Q768" s="529"/>
      <c r="R768" s="529"/>
      <c r="S768" s="529"/>
      <c r="T768" s="529"/>
      <c r="U768" s="529"/>
      <c r="V768" s="529"/>
      <c r="W768" s="529"/>
      <c r="X768" s="529"/>
      <c r="Y768" s="529"/>
      <c r="Z768" s="529"/>
      <c r="AA768" s="529"/>
      <c r="AB768" s="529"/>
      <c r="AC768" s="529"/>
      <c r="AD768" s="529"/>
      <c r="AE768" s="529"/>
      <c r="AF768" s="529"/>
      <c r="AG768" s="529"/>
      <c r="AH768" s="529"/>
      <c r="AI768" s="529"/>
      <c r="AJ768" s="529"/>
      <c r="AK768" s="529"/>
      <c r="AL768" s="529"/>
      <c r="AM768" s="529"/>
      <c r="AN768" s="529"/>
      <c r="AO768" s="529"/>
    </row>
    <row r="769">
      <c r="G769" s="529"/>
      <c r="H769" s="529"/>
      <c r="I769" s="529"/>
      <c r="J769" s="529"/>
      <c r="K769" s="529"/>
      <c r="L769" s="529"/>
      <c r="M769" s="529"/>
      <c r="N769" s="529"/>
      <c r="O769" s="529"/>
      <c r="P769" s="529"/>
      <c r="Q769" s="529"/>
      <c r="R769" s="529"/>
      <c r="S769" s="529"/>
      <c r="T769" s="529"/>
      <c r="U769" s="529"/>
      <c r="V769" s="529"/>
      <c r="W769" s="529"/>
      <c r="X769" s="529"/>
      <c r="Y769" s="529"/>
      <c r="Z769" s="529"/>
      <c r="AA769" s="529"/>
      <c r="AB769" s="529"/>
      <c r="AC769" s="529"/>
      <c r="AD769" s="529"/>
      <c r="AE769" s="529"/>
      <c r="AF769" s="529"/>
      <c r="AG769" s="529"/>
      <c r="AH769" s="529"/>
      <c r="AI769" s="529"/>
      <c r="AJ769" s="529"/>
      <c r="AK769" s="529"/>
      <c r="AL769" s="529"/>
      <c r="AM769" s="529"/>
      <c r="AN769" s="529"/>
      <c r="AO769" s="529"/>
    </row>
    <row r="770">
      <c r="G770" s="529"/>
      <c r="H770" s="529"/>
      <c r="I770" s="529"/>
      <c r="J770" s="529"/>
      <c r="K770" s="529"/>
      <c r="L770" s="529"/>
      <c r="M770" s="529"/>
      <c r="N770" s="529"/>
      <c r="O770" s="529"/>
      <c r="P770" s="529"/>
      <c r="Q770" s="529"/>
      <c r="R770" s="529"/>
      <c r="S770" s="529"/>
      <c r="T770" s="529"/>
      <c r="U770" s="529"/>
      <c r="V770" s="529"/>
      <c r="W770" s="529"/>
      <c r="X770" s="529"/>
      <c r="Y770" s="529"/>
      <c r="Z770" s="529"/>
      <c r="AA770" s="529"/>
      <c r="AB770" s="529"/>
      <c r="AC770" s="529"/>
      <c r="AD770" s="529"/>
      <c r="AE770" s="529"/>
      <c r="AF770" s="529"/>
      <c r="AG770" s="529"/>
      <c r="AH770" s="529"/>
      <c r="AI770" s="529"/>
      <c r="AJ770" s="529"/>
      <c r="AK770" s="529"/>
      <c r="AL770" s="529"/>
      <c r="AM770" s="529"/>
      <c r="AN770" s="529"/>
      <c r="AO770" s="529"/>
    </row>
    <row r="771">
      <c r="G771" s="529"/>
      <c r="H771" s="529"/>
      <c r="I771" s="529"/>
      <c r="J771" s="529"/>
      <c r="K771" s="529"/>
      <c r="L771" s="529"/>
      <c r="M771" s="529"/>
      <c r="N771" s="529"/>
      <c r="O771" s="529"/>
      <c r="P771" s="529"/>
      <c r="Q771" s="529"/>
      <c r="R771" s="529"/>
      <c r="S771" s="529"/>
      <c r="T771" s="529"/>
      <c r="U771" s="529"/>
      <c r="V771" s="529"/>
      <c r="W771" s="529"/>
      <c r="X771" s="529"/>
      <c r="Y771" s="529"/>
      <c r="Z771" s="529"/>
      <c r="AA771" s="529"/>
      <c r="AB771" s="529"/>
      <c r="AC771" s="529"/>
      <c r="AD771" s="529"/>
      <c r="AE771" s="529"/>
      <c r="AF771" s="529"/>
      <c r="AG771" s="529"/>
      <c r="AH771" s="529"/>
      <c r="AI771" s="529"/>
      <c r="AJ771" s="529"/>
      <c r="AK771" s="529"/>
      <c r="AL771" s="529"/>
      <c r="AM771" s="529"/>
      <c r="AN771" s="529"/>
      <c r="AO771" s="529"/>
    </row>
    <row r="772">
      <c r="G772" s="529"/>
      <c r="H772" s="529"/>
      <c r="I772" s="529"/>
      <c r="J772" s="529"/>
      <c r="K772" s="529"/>
      <c r="L772" s="529"/>
      <c r="M772" s="529"/>
      <c r="N772" s="529"/>
      <c r="O772" s="529"/>
      <c r="P772" s="529"/>
      <c r="Q772" s="529"/>
      <c r="R772" s="529"/>
      <c r="S772" s="529"/>
      <c r="T772" s="529"/>
      <c r="U772" s="529"/>
      <c r="V772" s="529"/>
      <c r="W772" s="529"/>
      <c r="X772" s="529"/>
      <c r="Y772" s="529"/>
      <c r="Z772" s="529"/>
      <c r="AA772" s="529"/>
      <c r="AB772" s="529"/>
      <c r="AC772" s="529"/>
      <c r="AD772" s="529"/>
      <c r="AE772" s="529"/>
      <c r="AF772" s="529"/>
      <c r="AG772" s="529"/>
      <c r="AH772" s="529"/>
      <c r="AI772" s="529"/>
      <c r="AJ772" s="529"/>
      <c r="AK772" s="529"/>
      <c r="AL772" s="529"/>
      <c r="AM772" s="529"/>
      <c r="AN772" s="529"/>
      <c r="AO772" s="529"/>
    </row>
    <row r="773">
      <c r="G773" s="529"/>
      <c r="H773" s="529"/>
      <c r="I773" s="529"/>
      <c r="J773" s="529"/>
      <c r="K773" s="529"/>
      <c r="L773" s="529"/>
      <c r="M773" s="529"/>
      <c r="N773" s="529"/>
      <c r="O773" s="529"/>
      <c r="P773" s="529"/>
      <c r="Q773" s="529"/>
      <c r="R773" s="529"/>
      <c r="S773" s="529"/>
      <c r="T773" s="529"/>
      <c r="U773" s="529"/>
      <c r="V773" s="529"/>
      <c r="W773" s="529"/>
      <c r="X773" s="529"/>
      <c r="Y773" s="529"/>
      <c r="Z773" s="529"/>
      <c r="AA773" s="529"/>
      <c r="AB773" s="529"/>
      <c r="AC773" s="529"/>
      <c r="AD773" s="529"/>
      <c r="AE773" s="529"/>
      <c r="AF773" s="529"/>
      <c r="AG773" s="529"/>
      <c r="AH773" s="529"/>
      <c r="AI773" s="529"/>
      <c r="AJ773" s="529"/>
      <c r="AK773" s="529"/>
      <c r="AL773" s="529"/>
      <c r="AM773" s="529"/>
      <c r="AN773" s="529"/>
      <c r="AO773" s="529"/>
    </row>
    <row r="774">
      <c r="G774" s="529"/>
      <c r="H774" s="529"/>
      <c r="I774" s="529"/>
      <c r="J774" s="529"/>
      <c r="K774" s="529"/>
      <c r="L774" s="529"/>
      <c r="M774" s="529"/>
      <c r="N774" s="529"/>
      <c r="O774" s="529"/>
      <c r="P774" s="529"/>
      <c r="Q774" s="529"/>
      <c r="R774" s="529"/>
      <c r="S774" s="529"/>
      <c r="T774" s="529"/>
      <c r="U774" s="529"/>
      <c r="V774" s="529"/>
      <c r="W774" s="529"/>
      <c r="X774" s="529"/>
      <c r="Y774" s="529"/>
      <c r="Z774" s="529"/>
      <c r="AA774" s="529"/>
      <c r="AB774" s="529"/>
      <c r="AC774" s="529"/>
      <c r="AD774" s="529"/>
      <c r="AE774" s="529"/>
      <c r="AF774" s="529"/>
      <c r="AG774" s="529"/>
      <c r="AH774" s="529"/>
      <c r="AI774" s="529"/>
      <c r="AJ774" s="529"/>
      <c r="AK774" s="529"/>
      <c r="AL774" s="529"/>
      <c r="AM774" s="529"/>
      <c r="AN774" s="529"/>
      <c r="AO774" s="529"/>
    </row>
    <row r="775">
      <c r="G775" s="529"/>
      <c r="H775" s="529"/>
      <c r="I775" s="529"/>
      <c r="J775" s="529"/>
      <c r="K775" s="529"/>
      <c r="L775" s="529"/>
      <c r="M775" s="529"/>
      <c r="N775" s="529"/>
      <c r="O775" s="529"/>
      <c r="P775" s="529"/>
      <c r="Q775" s="529"/>
      <c r="R775" s="529"/>
      <c r="S775" s="529"/>
      <c r="T775" s="529"/>
      <c r="U775" s="529"/>
      <c r="V775" s="529"/>
      <c r="W775" s="529"/>
      <c r="X775" s="529"/>
      <c r="Y775" s="529"/>
      <c r="Z775" s="529"/>
      <c r="AA775" s="529"/>
      <c r="AB775" s="529"/>
      <c r="AC775" s="529"/>
      <c r="AD775" s="529"/>
      <c r="AE775" s="529"/>
      <c r="AF775" s="529"/>
      <c r="AG775" s="529"/>
      <c r="AH775" s="529"/>
      <c r="AI775" s="529"/>
      <c r="AJ775" s="529"/>
      <c r="AK775" s="529"/>
      <c r="AL775" s="529"/>
      <c r="AM775" s="529"/>
      <c r="AN775" s="529"/>
      <c r="AO775" s="529"/>
    </row>
    <row r="776">
      <c r="G776" s="529"/>
      <c r="H776" s="529"/>
      <c r="I776" s="529"/>
      <c r="J776" s="529"/>
      <c r="K776" s="529"/>
      <c r="L776" s="529"/>
      <c r="M776" s="529"/>
      <c r="N776" s="529"/>
      <c r="O776" s="529"/>
      <c r="P776" s="529"/>
      <c r="Q776" s="529"/>
      <c r="R776" s="529"/>
      <c r="S776" s="529"/>
      <c r="T776" s="529"/>
      <c r="U776" s="529"/>
      <c r="V776" s="529"/>
      <c r="W776" s="529"/>
      <c r="X776" s="529"/>
      <c r="Y776" s="529"/>
      <c r="Z776" s="529"/>
      <c r="AA776" s="529"/>
      <c r="AB776" s="529"/>
      <c r="AC776" s="529"/>
      <c r="AD776" s="529"/>
      <c r="AE776" s="529"/>
      <c r="AF776" s="529"/>
      <c r="AG776" s="529"/>
      <c r="AH776" s="529"/>
      <c r="AI776" s="529"/>
      <c r="AJ776" s="529"/>
      <c r="AK776" s="529"/>
      <c r="AL776" s="529"/>
      <c r="AM776" s="529"/>
      <c r="AN776" s="529"/>
      <c r="AO776" s="529"/>
    </row>
    <row r="777">
      <c r="G777" s="529"/>
      <c r="H777" s="529"/>
      <c r="I777" s="529"/>
      <c r="J777" s="529"/>
      <c r="K777" s="529"/>
      <c r="L777" s="529"/>
      <c r="M777" s="529"/>
      <c r="N777" s="529"/>
      <c r="O777" s="529"/>
      <c r="P777" s="529"/>
      <c r="Q777" s="529"/>
      <c r="R777" s="529"/>
      <c r="S777" s="529"/>
      <c r="T777" s="529"/>
      <c r="U777" s="529"/>
      <c r="V777" s="529"/>
      <c r="W777" s="529"/>
      <c r="X777" s="529"/>
      <c r="Y777" s="529"/>
      <c r="Z777" s="529"/>
      <c r="AA777" s="529"/>
      <c r="AB777" s="529"/>
      <c r="AC777" s="529"/>
      <c r="AD777" s="529"/>
      <c r="AE777" s="529"/>
      <c r="AF777" s="529"/>
      <c r="AG777" s="529"/>
      <c r="AH777" s="529"/>
      <c r="AI777" s="529"/>
      <c r="AJ777" s="529"/>
      <c r="AK777" s="529"/>
      <c r="AL777" s="529"/>
      <c r="AM777" s="529"/>
      <c r="AN777" s="529"/>
      <c r="AO777" s="529"/>
    </row>
    <row r="778">
      <c r="G778" s="529"/>
      <c r="H778" s="529"/>
      <c r="I778" s="529"/>
      <c r="J778" s="529"/>
      <c r="K778" s="529"/>
      <c r="L778" s="529"/>
      <c r="M778" s="529"/>
      <c r="N778" s="529"/>
      <c r="O778" s="529"/>
      <c r="P778" s="529"/>
      <c r="Q778" s="529"/>
      <c r="R778" s="529"/>
      <c r="S778" s="529"/>
      <c r="T778" s="529"/>
      <c r="U778" s="529"/>
      <c r="V778" s="529"/>
      <c r="W778" s="529"/>
      <c r="X778" s="529"/>
      <c r="Y778" s="529"/>
      <c r="Z778" s="529"/>
      <c r="AA778" s="529"/>
      <c r="AB778" s="529"/>
      <c r="AC778" s="529"/>
      <c r="AD778" s="529"/>
      <c r="AE778" s="529"/>
      <c r="AF778" s="529"/>
      <c r="AG778" s="529"/>
      <c r="AH778" s="529"/>
      <c r="AI778" s="529"/>
      <c r="AJ778" s="529"/>
      <c r="AK778" s="529"/>
      <c r="AL778" s="529"/>
      <c r="AM778" s="529"/>
      <c r="AN778" s="529"/>
      <c r="AO778" s="529"/>
    </row>
    <row r="779">
      <c r="G779" s="529"/>
      <c r="H779" s="529"/>
      <c r="I779" s="529"/>
      <c r="J779" s="529"/>
      <c r="K779" s="529"/>
      <c r="L779" s="529"/>
      <c r="M779" s="529"/>
      <c r="N779" s="529"/>
      <c r="O779" s="529"/>
      <c r="P779" s="529"/>
      <c r="Q779" s="529"/>
      <c r="R779" s="529"/>
      <c r="S779" s="529"/>
      <c r="T779" s="529"/>
      <c r="U779" s="529"/>
      <c r="V779" s="529"/>
      <c r="W779" s="529"/>
      <c r="X779" s="529"/>
      <c r="Y779" s="529"/>
      <c r="Z779" s="529"/>
      <c r="AA779" s="529"/>
      <c r="AB779" s="529"/>
      <c r="AC779" s="529"/>
      <c r="AD779" s="529"/>
      <c r="AE779" s="529"/>
      <c r="AF779" s="529"/>
      <c r="AG779" s="529"/>
      <c r="AH779" s="529"/>
      <c r="AI779" s="529"/>
      <c r="AJ779" s="529"/>
      <c r="AK779" s="529"/>
      <c r="AL779" s="529"/>
      <c r="AM779" s="529"/>
      <c r="AN779" s="529"/>
      <c r="AO779" s="529"/>
    </row>
    <row r="780">
      <c r="G780" s="529"/>
      <c r="H780" s="529"/>
      <c r="I780" s="529"/>
      <c r="J780" s="529"/>
      <c r="K780" s="529"/>
      <c r="L780" s="529"/>
      <c r="M780" s="529"/>
      <c r="N780" s="529"/>
      <c r="O780" s="529"/>
      <c r="P780" s="529"/>
      <c r="Q780" s="529"/>
      <c r="R780" s="529"/>
      <c r="S780" s="529"/>
      <c r="T780" s="529"/>
      <c r="U780" s="529"/>
      <c r="V780" s="529"/>
      <c r="W780" s="529"/>
      <c r="X780" s="529"/>
      <c r="Y780" s="529"/>
      <c r="Z780" s="529"/>
      <c r="AA780" s="529"/>
      <c r="AB780" s="529"/>
      <c r="AC780" s="529"/>
      <c r="AD780" s="529"/>
      <c r="AE780" s="529"/>
      <c r="AF780" s="529"/>
      <c r="AG780" s="529"/>
      <c r="AH780" s="529"/>
      <c r="AI780" s="529"/>
      <c r="AJ780" s="529"/>
      <c r="AK780" s="529"/>
      <c r="AL780" s="529"/>
      <c r="AM780" s="529"/>
      <c r="AN780" s="529"/>
      <c r="AO780" s="529"/>
    </row>
    <row r="781">
      <c r="G781" s="529"/>
      <c r="H781" s="529"/>
      <c r="I781" s="529"/>
      <c r="J781" s="529"/>
      <c r="K781" s="529"/>
      <c r="L781" s="529"/>
      <c r="M781" s="529"/>
      <c r="N781" s="529"/>
      <c r="O781" s="529"/>
      <c r="P781" s="529"/>
      <c r="Q781" s="529"/>
      <c r="R781" s="529"/>
      <c r="S781" s="529"/>
      <c r="T781" s="529"/>
      <c r="U781" s="529"/>
      <c r="V781" s="529"/>
      <c r="W781" s="529"/>
      <c r="X781" s="529"/>
      <c r="Y781" s="529"/>
      <c r="Z781" s="529"/>
      <c r="AA781" s="529"/>
      <c r="AB781" s="529"/>
      <c r="AC781" s="529"/>
      <c r="AD781" s="529"/>
      <c r="AE781" s="529"/>
      <c r="AF781" s="529"/>
      <c r="AG781" s="529"/>
      <c r="AH781" s="529"/>
      <c r="AI781" s="529"/>
      <c r="AJ781" s="529"/>
      <c r="AK781" s="529"/>
      <c r="AL781" s="529"/>
      <c r="AM781" s="529"/>
      <c r="AN781" s="529"/>
      <c r="AO781" s="529"/>
    </row>
    <row r="782">
      <c r="G782" s="529"/>
      <c r="H782" s="529"/>
      <c r="I782" s="529"/>
      <c r="J782" s="529"/>
      <c r="K782" s="529"/>
      <c r="L782" s="529"/>
      <c r="M782" s="529"/>
      <c r="N782" s="529"/>
      <c r="O782" s="529"/>
      <c r="P782" s="529"/>
      <c r="Q782" s="529"/>
      <c r="R782" s="529"/>
      <c r="S782" s="529"/>
      <c r="T782" s="529"/>
      <c r="U782" s="529"/>
      <c r="V782" s="529"/>
      <c r="W782" s="529"/>
      <c r="X782" s="529"/>
      <c r="Y782" s="529"/>
      <c r="Z782" s="529"/>
      <c r="AA782" s="529"/>
      <c r="AB782" s="529"/>
      <c r="AC782" s="529"/>
      <c r="AD782" s="529"/>
      <c r="AE782" s="529"/>
      <c r="AF782" s="529"/>
      <c r="AG782" s="529"/>
      <c r="AH782" s="529"/>
      <c r="AI782" s="529"/>
      <c r="AJ782" s="529"/>
      <c r="AK782" s="529"/>
      <c r="AL782" s="529"/>
      <c r="AM782" s="529"/>
      <c r="AN782" s="529"/>
      <c r="AO782" s="529"/>
    </row>
    <row r="783">
      <c r="G783" s="529"/>
      <c r="H783" s="529"/>
      <c r="I783" s="529"/>
      <c r="J783" s="529"/>
      <c r="K783" s="529"/>
      <c r="L783" s="529"/>
      <c r="M783" s="529"/>
      <c r="N783" s="529"/>
      <c r="O783" s="529"/>
      <c r="P783" s="529"/>
      <c r="Q783" s="529"/>
      <c r="R783" s="529"/>
      <c r="S783" s="529"/>
      <c r="T783" s="529"/>
      <c r="U783" s="529"/>
      <c r="V783" s="529"/>
      <c r="W783" s="529"/>
      <c r="X783" s="529"/>
      <c r="Y783" s="529"/>
      <c r="Z783" s="529"/>
      <c r="AA783" s="529"/>
      <c r="AB783" s="529"/>
      <c r="AC783" s="529"/>
      <c r="AD783" s="529"/>
      <c r="AE783" s="529"/>
      <c r="AF783" s="529"/>
      <c r="AG783" s="529"/>
      <c r="AH783" s="529"/>
      <c r="AI783" s="529"/>
      <c r="AJ783" s="529"/>
      <c r="AK783" s="529"/>
      <c r="AL783" s="529"/>
      <c r="AM783" s="529"/>
      <c r="AN783" s="529"/>
      <c r="AO783" s="529"/>
    </row>
    <row r="784">
      <c r="G784" s="529"/>
      <c r="H784" s="529"/>
      <c r="I784" s="529"/>
      <c r="J784" s="529"/>
      <c r="K784" s="529"/>
      <c r="L784" s="529"/>
      <c r="M784" s="529"/>
      <c r="N784" s="529"/>
      <c r="O784" s="529"/>
      <c r="P784" s="529"/>
      <c r="Q784" s="529"/>
      <c r="R784" s="529"/>
      <c r="S784" s="529"/>
      <c r="T784" s="529"/>
      <c r="U784" s="529"/>
      <c r="V784" s="529"/>
      <c r="W784" s="529"/>
      <c r="X784" s="529"/>
      <c r="Y784" s="529"/>
      <c r="Z784" s="529"/>
      <c r="AA784" s="529"/>
      <c r="AB784" s="529"/>
      <c r="AC784" s="529"/>
      <c r="AD784" s="529"/>
      <c r="AE784" s="529"/>
      <c r="AF784" s="529"/>
      <c r="AG784" s="529"/>
      <c r="AH784" s="529"/>
      <c r="AI784" s="529"/>
      <c r="AJ784" s="529"/>
      <c r="AK784" s="529"/>
      <c r="AL784" s="529"/>
      <c r="AM784" s="529"/>
      <c r="AN784" s="529"/>
      <c r="AO784" s="529"/>
    </row>
    <row r="785">
      <c r="G785" s="529"/>
      <c r="H785" s="529"/>
      <c r="I785" s="529"/>
      <c r="J785" s="529"/>
      <c r="K785" s="529"/>
      <c r="L785" s="529"/>
      <c r="M785" s="529"/>
      <c r="N785" s="529"/>
      <c r="O785" s="529"/>
      <c r="P785" s="529"/>
      <c r="Q785" s="529"/>
      <c r="R785" s="529"/>
      <c r="S785" s="529"/>
      <c r="T785" s="529"/>
      <c r="U785" s="529"/>
      <c r="V785" s="529"/>
      <c r="W785" s="529"/>
      <c r="X785" s="529"/>
      <c r="Y785" s="529"/>
      <c r="Z785" s="529"/>
      <c r="AA785" s="529"/>
      <c r="AB785" s="529"/>
      <c r="AC785" s="529"/>
      <c r="AD785" s="529"/>
      <c r="AE785" s="529"/>
      <c r="AF785" s="529"/>
      <c r="AG785" s="529"/>
      <c r="AH785" s="529"/>
      <c r="AI785" s="529"/>
      <c r="AJ785" s="529"/>
      <c r="AK785" s="529"/>
      <c r="AL785" s="529"/>
      <c r="AM785" s="529"/>
      <c r="AN785" s="529"/>
      <c r="AO785" s="529"/>
    </row>
    <row r="786">
      <c r="G786" s="529"/>
      <c r="H786" s="529"/>
      <c r="I786" s="529"/>
      <c r="J786" s="529"/>
      <c r="K786" s="529"/>
      <c r="L786" s="529"/>
      <c r="M786" s="529"/>
      <c r="N786" s="529"/>
      <c r="O786" s="529"/>
      <c r="P786" s="529"/>
      <c r="Q786" s="529"/>
      <c r="R786" s="529"/>
      <c r="S786" s="529"/>
      <c r="T786" s="529"/>
      <c r="U786" s="529"/>
      <c r="V786" s="529"/>
      <c r="W786" s="529"/>
      <c r="X786" s="529"/>
      <c r="Y786" s="529"/>
      <c r="Z786" s="529"/>
      <c r="AA786" s="529"/>
      <c r="AB786" s="529"/>
      <c r="AC786" s="529"/>
      <c r="AD786" s="529"/>
      <c r="AE786" s="529"/>
      <c r="AF786" s="529"/>
      <c r="AG786" s="529"/>
      <c r="AH786" s="529"/>
      <c r="AI786" s="529"/>
      <c r="AJ786" s="529"/>
      <c r="AK786" s="529"/>
      <c r="AL786" s="529"/>
      <c r="AM786" s="529"/>
      <c r="AN786" s="529"/>
      <c r="AO786" s="529"/>
    </row>
    <row r="787">
      <c r="G787" s="529"/>
      <c r="H787" s="529"/>
      <c r="I787" s="529"/>
      <c r="J787" s="529"/>
      <c r="K787" s="529"/>
      <c r="L787" s="529"/>
      <c r="M787" s="529"/>
      <c r="N787" s="529"/>
      <c r="O787" s="529"/>
      <c r="P787" s="529"/>
      <c r="Q787" s="529"/>
      <c r="R787" s="529"/>
      <c r="S787" s="529"/>
      <c r="T787" s="529"/>
      <c r="U787" s="529"/>
      <c r="V787" s="529"/>
      <c r="W787" s="529"/>
      <c r="X787" s="529"/>
      <c r="Y787" s="529"/>
      <c r="Z787" s="529"/>
      <c r="AA787" s="529"/>
      <c r="AB787" s="529"/>
      <c r="AC787" s="529"/>
      <c r="AD787" s="529"/>
      <c r="AE787" s="529"/>
      <c r="AF787" s="529"/>
      <c r="AG787" s="529"/>
      <c r="AH787" s="529"/>
      <c r="AI787" s="529"/>
      <c r="AJ787" s="529"/>
      <c r="AK787" s="529"/>
      <c r="AL787" s="529"/>
      <c r="AM787" s="529"/>
      <c r="AN787" s="529"/>
      <c r="AO787" s="529"/>
    </row>
    <row r="788">
      <c r="G788" s="529"/>
      <c r="H788" s="529"/>
      <c r="I788" s="529"/>
      <c r="J788" s="529"/>
      <c r="K788" s="529"/>
      <c r="L788" s="529"/>
      <c r="M788" s="529"/>
      <c r="N788" s="529"/>
      <c r="O788" s="529"/>
      <c r="P788" s="529"/>
      <c r="Q788" s="529"/>
      <c r="R788" s="529"/>
      <c r="S788" s="529"/>
      <c r="T788" s="529"/>
      <c r="U788" s="529"/>
      <c r="V788" s="529"/>
      <c r="W788" s="529"/>
      <c r="X788" s="529"/>
      <c r="Y788" s="529"/>
      <c r="Z788" s="529"/>
      <c r="AA788" s="529"/>
      <c r="AB788" s="529"/>
      <c r="AC788" s="529"/>
      <c r="AD788" s="529"/>
      <c r="AE788" s="529"/>
      <c r="AF788" s="529"/>
      <c r="AG788" s="529"/>
      <c r="AH788" s="529"/>
      <c r="AI788" s="529"/>
      <c r="AJ788" s="529"/>
      <c r="AK788" s="529"/>
      <c r="AL788" s="529"/>
      <c r="AM788" s="529"/>
      <c r="AN788" s="529"/>
      <c r="AO788" s="529"/>
    </row>
    <row r="789">
      <c r="G789" s="529"/>
      <c r="H789" s="529"/>
      <c r="I789" s="529"/>
      <c r="J789" s="529"/>
      <c r="K789" s="529"/>
      <c r="L789" s="529"/>
      <c r="M789" s="529"/>
      <c r="N789" s="529"/>
      <c r="O789" s="529"/>
      <c r="P789" s="529"/>
      <c r="Q789" s="529"/>
      <c r="R789" s="529"/>
      <c r="S789" s="529"/>
      <c r="T789" s="529"/>
      <c r="U789" s="529"/>
      <c r="V789" s="529"/>
      <c r="W789" s="529"/>
      <c r="X789" s="529"/>
      <c r="Y789" s="529"/>
      <c r="Z789" s="529"/>
      <c r="AA789" s="529"/>
      <c r="AB789" s="529"/>
      <c r="AC789" s="529"/>
      <c r="AD789" s="529"/>
      <c r="AE789" s="529"/>
      <c r="AF789" s="529"/>
      <c r="AG789" s="529"/>
      <c r="AH789" s="529"/>
      <c r="AI789" s="529"/>
      <c r="AJ789" s="529"/>
      <c r="AK789" s="529"/>
      <c r="AL789" s="529"/>
      <c r="AM789" s="529"/>
      <c r="AN789" s="529"/>
      <c r="AO789" s="529"/>
    </row>
    <row r="790">
      <c r="G790" s="529"/>
      <c r="H790" s="529"/>
      <c r="I790" s="529"/>
      <c r="J790" s="529"/>
      <c r="K790" s="529"/>
      <c r="L790" s="529"/>
      <c r="M790" s="529"/>
      <c r="N790" s="529"/>
      <c r="O790" s="529"/>
      <c r="P790" s="529"/>
      <c r="Q790" s="529"/>
      <c r="R790" s="529"/>
      <c r="S790" s="529"/>
      <c r="T790" s="529"/>
      <c r="U790" s="529"/>
      <c r="V790" s="529"/>
      <c r="W790" s="529"/>
      <c r="X790" s="529"/>
      <c r="Y790" s="529"/>
      <c r="Z790" s="529"/>
      <c r="AA790" s="529"/>
      <c r="AB790" s="529"/>
      <c r="AC790" s="529"/>
      <c r="AD790" s="529"/>
      <c r="AE790" s="529"/>
      <c r="AF790" s="529"/>
      <c r="AG790" s="529"/>
      <c r="AH790" s="529"/>
      <c r="AI790" s="529"/>
      <c r="AJ790" s="529"/>
      <c r="AK790" s="529"/>
      <c r="AL790" s="529"/>
      <c r="AM790" s="529"/>
      <c r="AN790" s="529"/>
      <c r="AO790" s="529"/>
    </row>
    <row r="791">
      <c r="G791" s="529"/>
      <c r="H791" s="529"/>
      <c r="I791" s="529"/>
      <c r="J791" s="529"/>
      <c r="K791" s="529"/>
      <c r="L791" s="529"/>
      <c r="M791" s="529"/>
      <c r="N791" s="529"/>
      <c r="O791" s="529"/>
      <c r="P791" s="529"/>
      <c r="Q791" s="529"/>
      <c r="R791" s="529"/>
      <c r="S791" s="529"/>
      <c r="T791" s="529"/>
      <c r="U791" s="529"/>
      <c r="V791" s="529"/>
      <c r="W791" s="529"/>
      <c r="X791" s="529"/>
      <c r="Y791" s="529"/>
      <c r="Z791" s="529"/>
      <c r="AA791" s="529"/>
      <c r="AB791" s="529"/>
      <c r="AC791" s="529"/>
      <c r="AD791" s="529"/>
      <c r="AE791" s="529"/>
      <c r="AF791" s="529"/>
      <c r="AG791" s="529"/>
      <c r="AH791" s="529"/>
      <c r="AI791" s="529"/>
      <c r="AJ791" s="529"/>
      <c r="AK791" s="529"/>
      <c r="AL791" s="529"/>
      <c r="AM791" s="529"/>
      <c r="AN791" s="529"/>
      <c r="AO791" s="529"/>
    </row>
    <row r="792">
      <c r="G792" s="529"/>
      <c r="H792" s="529"/>
      <c r="I792" s="529"/>
      <c r="J792" s="529"/>
      <c r="K792" s="529"/>
      <c r="L792" s="529"/>
      <c r="M792" s="529"/>
      <c r="N792" s="529"/>
      <c r="O792" s="529"/>
      <c r="P792" s="529"/>
      <c r="Q792" s="529"/>
      <c r="R792" s="529"/>
      <c r="S792" s="529"/>
      <c r="T792" s="529"/>
      <c r="U792" s="529"/>
      <c r="V792" s="529"/>
      <c r="W792" s="529"/>
      <c r="X792" s="529"/>
      <c r="Y792" s="529"/>
      <c r="Z792" s="529"/>
      <c r="AA792" s="529"/>
      <c r="AB792" s="529"/>
      <c r="AC792" s="529"/>
      <c r="AD792" s="529"/>
      <c r="AE792" s="529"/>
      <c r="AF792" s="529"/>
      <c r="AG792" s="529"/>
      <c r="AH792" s="529"/>
      <c r="AI792" s="529"/>
      <c r="AJ792" s="529"/>
      <c r="AK792" s="529"/>
      <c r="AL792" s="529"/>
      <c r="AM792" s="529"/>
      <c r="AN792" s="529"/>
      <c r="AO792" s="529"/>
    </row>
    <row r="793">
      <c r="G793" s="529"/>
      <c r="H793" s="529"/>
      <c r="I793" s="529"/>
      <c r="J793" s="529"/>
      <c r="K793" s="529"/>
      <c r="L793" s="529"/>
      <c r="M793" s="529"/>
      <c r="N793" s="529"/>
      <c r="O793" s="529"/>
      <c r="P793" s="529"/>
      <c r="Q793" s="529"/>
      <c r="R793" s="529"/>
      <c r="S793" s="529"/>
      <c r="T793" s="529"/>
      <c r="U793" s="529"/>
      <c r="V793" s="529"/>
      <c r="W793" s="529"/>
      <c r="X793" s="529"/>
      <c r="Y793" s="529"/>
      <c r="Z793" s="529"/>
      <c r="AA793" s="529"/>
      <c r="AB793" s="529"/>
      <c r="AC793" s="529"/>
      <c r="AD793" s="529"/>
      <c r="AE793" s="529"/>
      <c r="AF793" s="529"/>
      <c r="AG793" s="529"/>
      <c r="AH793" s="529"/>
      <c r="AI793" s="529"/>
      <c r="AJ793" s="529"/>
      <c r="AK793" s="529"/>
      <c r="AL793" s="529"/>
      <c r="AM793" s="529"/>
      <c r="AN793" s="529"/>
      <c r="AO793" s="529"/>
    </row>
    <row r="794">
      <c r="G794" s="529"/>
      <c r="H794" s="529"/>
      <c r="I794" s="529"/>
      <c r="J794" s="529"/>
      <c r="K794" s="529"/>
      <c r="L794" s="529"/>
      <c r="M794" s="529"/>
      <c r="N794" s="529"/>
      <c r="O794" s="529"/>
      <c r="P794" s="529"/>
      <c r="Q794" s="529"/>
      <c r="R794" s="529"/>
      <c r="S794" s="529"/>
      <c r="T794" s="529"/>
      <c r="U794" s="529"/>
      <c r="V794" s="529"/>
      <c r="W794" s="529"/>
      <c r="X794" s="529"/>
      <c r="Y794" s="529"/>
      <c r="Z794" s="529"/>
      <c r="AA794" s="529"/>
      <c r="AB794" s="529"/>
      <c r="AC794" s="529"/>
      <c r="AD794" s="529"/>
      <c r="AE794" s="529"/>
      <c r="AF794" s="529"/>
      <c r="AG794" s="529"/>
      <c r="AH794" s="529"/>
      <c r="AI794" s="529"/>
      <c r="AJ794" s="529"/>
      <c r="AK794" s="529"/>
      <c r="AL794" s="529"/>
      <c r="AM794" s="529"/>
      <c r="AN794" s="529"/>
      <c r="AO794" s="529"/>
    </row>
    <row r="795">
      <c r="G795" s="529"/>
      <c r="H795" s="529"/>
      <c r="I795" s="529"/>
      <c r="J795" s="529"/>
      <c r="K795" s="529"/>
      <c r="L795" s="529"/>
      <c r="M795" s="529"/>
      <c r="N795" s="529"/>
      <c r="O795" s="529"/>
      <c r="P795" s="529"/>
      <c r="Q795" s="529"/>
      <c r="R795" s="529"/>
      <c r="S795" s="529"/>
      <c r="T795" s="529"/>
      <c r="U795" s="529"/>
      <c r="V795" s="529"/>
      <c r="W795" s="529"/>
      <c r="X795" s="529"/>
      <c r="Y795" s="529"/>
      <c r="Z795" s="529"/>
      <c r="AA795" s="529"/>
      <c r="AB795" s="529"/>
      <c r="AC795" s="529"/>
      <c r="AD795" s="529"/>
      <c r="AE795" s="529"/>
      <c r="AF795" s="529"/>
      <c r="AG795" s="529"/>
      <c r="AH795" s="529"/>
      <c r="AI795" s="529"/>
      <c r="AJ795" s="529"/>
      <c r="AK795" s="529"/>
      <c r="AL795" s="529"/>
      <c r="AM795" s="529"/>
      <c r="AN795" s="529"/>
      <c r="AO795" s="529"/>
    </row>
    <row r="796">
      <c r="G796" s="529"/>
      <c r="H796" s="529"/>
      <c r="I796" s="529"/>
      <c r="J796" s="529"/>
      <c r="K796" s="529"/>
      <c r="L796" s="529"/>
      <c r="M796" s="529"/>
      <c r="N796" s="529"/>
      <c r="O796" s="529"/>
      <c r="P796" s="529"/>
      <c r="Q796" s="529"/>
      <c r="R796" s="529"/>
      <c r="S796" s="529"/>
      <c r="T796" s="529"/>
      <c r="U796" s="529"/>
      <c r="V796" s="529"/>
      <c r="W796" s="529"/>
      <c r="X796" s="529"/>
      <c r="Y796" s="529"/>
      <c r="Z796" s="529"/>
      <c r="AA796" s="529"/>
      <c r="AB796" s="529"/>
      <c r="AC796" s="529"/>
      <c r="AD796" s="529"/>
      <c r="AE796" s="529"/>
      <c r="AF796" s="529"/>
      <c r="AG796" s="529"/>
      <c r="AH796" s="529"/>
      <c r="AI796" s="529"/>
      <c r="AJ796" s="529"/>
      <c r="AK796" s="529"/>
      <c r="AL796" s="529"/>
      <c r="AM796" s="529"/>
      <c r="AN796" s="529"/>
      <c r="AO796" s="529"/>
    </row>
    <row r="797">
      <c r="G797" s="529"/>
      <c r="H797" s="529"/>
      <c r="I797" s="529"/>
      <c r="J797" s="529"/>
      <c r="K797" s="529"/>
      <c r="L797" s="529"/>
      <c r="M797" s="529"/>
      <c r="N797" s="529"/>
      <c r="O797" s="529"/>
      <c r="P797" s="529"/>
      <c r="Q797" s="529"/>
      <c r="R797" s="529"/>
      <c r="S797" s="529"/>
      <c r="T797" s="529"/>
      <c r="U797" s="529"/>
      <c r="V797" s="529"/>
      <c r="W797" s="529"/>
      <c r="X797" s="529"/>
      <c r="Y797" s="529"/>
      <c r="Z797" s="529"/>
      <c r="AA797" s="529"/>
      <c r="AB797" s="529"/>
      <c r="AC797" s="529"/>
      <c r="AD797" s="529"/>
      <c r="AE797" s="529"/>
      <c r="AF797" s="529"/>
      <c r="AG797" s="529"/>
      <c r="AH797" s="529"/>
      <c r="AI797" s="529"/>
      <c r="AJ797" s="529"/>
      <c r="AK797" s="529"/>
      <c r="AL797" s="529"/>
      <c r="AM797" s="529"/>
      <c r="AN797" s="529"/>
      <c r="AO797" s="529"/>
    </row>
    <row r="798">
      <c r="G798" s="529"/>
      <c r="H798" s="529"/>
      <c r="I798" s="529"/>
      <c r="J798" s="529"/>
      <c r="K798" s="529"/>
      <c r="L798" s="529"/>
      <c r="M798" s="529"/>
      <c r="N798" s="529"/>
      <c r="O798" s="529"/>
      <c r="P798" s="529"/>
      <c r="Q798" s="529"/>
      <c r="R798" s="529"/>
      <c r="S798" s="529"/>
      <c r="T798" s="529"/>
      <c r="U798" s="529"/>
      <c r="V798" s="529"/>
      <c r="W798" s="529"/>
      <c r="X798" s="529"/>
      <c r="Y798" s="529"/>
      <c r="Z798" s="529"/>
      <c r="AA798" s="529"/>
      <c r="AB798" s="529"/>
      <c r="AC798" s="529"/>
      <c r="AD798" s="529"/>
      <c r="AE798" s="529"/>
      <c r="AF798" s="529"/>
      <c r="AG798" s="529"/>
      <c r="AH798" s="529"/>
      <c r="AI798" s="529"/>
      <c r="AJ798" s="529"/>
      <c r="AK798" s="529"/>
      <c r="AL798" s="529"/>
      <c r="AM798" s="529"/>
      <c r="AN798" s="529"/>
      <c r="AO798" s="529"/>
    </row>
    <row r="799">
      <c r="G799" s="529"/>
      <c r="H799" s="529"/>
      <c r="I799" s="529"/>
      <c r="J799" s="529"/>
      <c r="K799" s="529"/>
      <c r="L799" s="529"/>
      <c r="M799" s="529"/>
      <c r="N799" s="529"/>
      <c r="O799" s="529"/>
      <c r="P799" s="529"/>
      <c r="Q799" s="529"/>
      <c r="R799" s="529"/>
      <c r="S799" s="529"/>
      <c r="T799" s="529"/>
      <c r="U799" s="529"/>
      <c r="V799" s="529"/>
      <c r="W799" s="529"/>
      <c r="X799" s="529"/>
      <c r="Y799" s="529"/>
      <c r="Z799" s="529"/>
      <c r="AA799" s="529"/>
      <c r="AB799" s="529"/>
      <c r="AC799" s="529"/>
      <c r="AD799" s="529"/>
      <c r="AE799" s="529"/>
      <c r="AF799" s="529"/>
      <c r="AG799" s="529"/>
      <c r="AH799" s="529"/>
      <c r="AI799" s="529"/>
      <c r="AJ799" s="529"/>
      <c r="AK799" s="529"/>
      <c r="AL799" s="529"/>
      <c r="AM799" s="529"/>
      <c r="AN799" s="529"/>
      <c r="AO799" s="529"/>
    </row>
    <row r="800">
      <c r="G800" s="529"/>
      <c r="H800" s="529"/>
      <c r="I800" s="529"/>
      <c r="J800" s="529"/>
      <c r="K800" s="529"/>
      <c r="L800" s="529"/>
      <c r="M800" s="529"/>
      <c r="N800" s="529"/>
      <c r="O800" s="529"/>
      <c r="P800" s="529"/>
      <c r="Q800" s="529"/>
      <c r="R800" s="529"/>
      <c r="S800" s="529"/>
      <c r="T800" s="529"/>
      <c r="U800" s="529"/>
      <c r="V800" s="529"/>
      <c r="W800" s="529"/>
      <c r="X800" s="529"/>
      <c r="Y800" s="529"/>
      <c r="Z800" s="529"/>
      <c r="AA800" s="529"/>
      <c r="AB800" s="529"/>
      <c r="AC800" s="529"/>
      <c r="AD800" s="529"/>
      <c r="AE800" s="529"/>
      <c r="AF800" s="529"/>
      <c r="AG800" s="529"/>
      <c r="AH800" s="529"/>
      <c r="AI800" s="529"/>
      <c r="AJ800" s="529"/>
      <c r="AK800" s="529"/>
      <c r="AL800" s="529"/>
      <c r="AM800" s="529"/>
      <c r="AN800" s="529"/>
      <c r="AO800" s="529"/>
    </row>
    <row r="801">
      <c r="G801" s="529"/>
      <c r="H801" s="529"/>
      <c r="I801" s="529"/>
      <c r="J801" s="529"/>
      <c r="K801" s="529"/>
      <c r="L801" s="529"/>
      <c r="M801" s="529"/>
      <c r="N801" s="529"/>
      <c r="O801" s="529"/>
      <c r="P801" s="529"/>
      <c r="Q801" s="529"/>
      <c r="R801" s="529"/>
      <c r="S801" s="529"/>
      <c r="T801" s="529"/>
      <c r="U801" s="529"/>
      <c r="V801" s="529"/>
      <c r="W801" s="529"/>
      <c r="X801" s="529"/>
      <c r="Y801" s="529"/>
      <c r="Z801" s="529"/>
      <c r="AA801" s="529"/>
      <c r="AB801" s="529"/>
      <c r="AC801" s="529"/>
      <c r="AD801" s="529"/>
      <c r="AE801" s="529"/>
      <c r="AF801" s="529"/>
      <c r="AG801" s="529"/>
      <c r="AH801" s="529"/>
      <c r="AI801" s="529"/>
      <c r="AJ801" s="529"/>
      <c r="AK801" s="529"/>
      <c r="AL801" s="529"/>
      <c r="AM801" s="529"/>
      <c r="AN801" s="529"/>
      <c r="AO801" s="529"/>
    </row>
    <row r="802">
      <c r="G802" s="529"/>
      <c r="H802" s="529"/>
      <c r="I802" s="529"/>
      <c r="J802" s="529"/>
      <c r="K802" s="529"/>
      <c r="L802" s="529"/>
      <c r="M802" s="529"/>
      <c r="N802" s="529"/>
      <c r="O802" s="529"/>
      <c r="P802" s="529"/>
      <c r="Q802" s="529"/>
      <c r="R802" s="529"/>
      <c r="S802" s="529"/>
      <c r="T802" s="529"/>
      <c r="U802" s="529"/>
      <c r="V802" s="529"/>
      <c r="W802" s="529"/>
      <c r="X802" s="529"/>
      <c r="Y802" s="529"/>
      <c r="Z802" s="529"/>
      <c r="AA802" s="529"/>
      <c r="AB802" s="529"/>
      <c r="AC802" s="529"/>
      <c r="AD802" s="529"/>
      <c r="AE802" s="529"/>
      <c r="AF802" s="529"/>
      <c r="AG802" s="529"/>
      <c r="AH802" s="529"/>
      <c r="AI802" s="529"/>
      <c r="AJ802" s="529"/>
      <c r="AK802" s="529"/>
      <c r="AL802" s="529"/>
      <c r="AM802" s="529"/>
      <c r="AN802" s="529"/>
      <c r="AO802" s="529"/>
    </row>
    <row r="803">
      <c r="G803" s="529"/>
      <c r="H803" s="529"/>
      <c r="I803" s="529"/>
      <c r="J803" s="529"/>
      <c r="K803" s="529"/>
      <c r="L803" s="529"/>
      <c r="M803" s="529"/>
      <c r="N803" s="529"/>
      <c r="O803" s="529"/>
      <c r="P803" s="529"/>
      <c r="Q803" s="529"/>
      <c r="R803" s="529"/>
      <c r="S803" s="529"/>
      <c r="T803" s="529"/>
      <c r="U803" s="529"/>
      <c r="V803" s="529"/>
      <c r="W803" s="529"/>
      <c r="X803" s="529"/>
      <c r="Y803" s="529"/>
      <c r="Z803" s="529"/>
      <c r="AA803" s="529"/>
      <c r="AB803" s="529"/>
      <c r="AC803" s="529"/>
      <c r="AD803" s="529"/>
      <c r="AE803" s="529"/>
      <c r="AF803" s="529"/>
      <c r="AG803" s="529"/>
      <c r="AH803" s="529"/>
      <c r="AI803" s="529"/>
      <c r="AJ803" s="529"/>
      <c r="AK803" s="529"/>
      <c r="AL803" s="529"/>
      <c r="AM803" s="529"/>
      <c r="AN803" s="529"/>
      <c r="AO803" s="529"/>
    </row>
    <row r="804">
      <c r="G804" s="529"/>
      <c r="H804" s="529"/>
      <c r="I804" s="529"/>
      <c r="J804" s="529"/>
      <c r="K804" s="529"/>
      <c r="L804" s="529"/>
      <c r="M804" s="529"/>
      <c r="N804" s="529"/>
      <c r="O804" s="529"/>
      <c r="P804" s="529"/>
      <c r="Q804" s="529"/>
      <c r="R804" s="529"/>
      <c r="S804" s="529"/>
      <c r="T804" s="529"/>
      <c r="U804" s="529"/>
      <c r="V804" s="529"/>
      <c r="W804" s="529"/>
      <c r="X804" s="529"/>
      <c r="Y804" s="529"/>
      <c r="Z804" s="529"/>
      <c r="AA804" s="529"/>
      <c r="AB804" s="529"/>
      <c r="AC804" s="529"/>
      <c r="AD804" s="529"/>
      <c r="AE804" s="529"/>
      <c r="AF804" s="529"/>
      <c r="AG804" s="529"/>
      <c r="AH804" s="529"/>
      <c r="AI804" s="529"/>
      <c r="AJ804" s="529"/>
      <c r="AK804" s="529"/>
      <c r="AL804" s="529"/>
      <c r="AM804" s="529"/>
      <c r="AN804" s="529"/>
      <c r="AO804" s="529"/>
    </row>
    <row r="805">
      <c r="G805" s="529"/>
      <c r="H805" s="529"/>
      <c r="I805" s="529"/>
      <c r="J805" s="529"/>
      <c r="K805" s="529"/>
      <c r="L805" s="529"/>
      <c r="M805" s="529"/>
      <c r="N805" s="529"/>
      <c r="O805" s="529"/>
      <c r="P805" s="529"/>
      <c r="Q805" s="529"/>
      <c r="R805" s="529"/>
      <c r="S805" s="529"/>
      <c r="T805" s="529"/>
      <c r="U805" s="529"/>
      <c r="V805" s="529"/>
      <c r="W805" s="529"/>
      <c r="X805" s="529"/>
      <c r="Y805" s="529"/>
      <c r="Z805" s="529"/>
      <c r="AA805" s="529"/>
      <c r="AB805" s="529"/>
      <c r="AC805" s="529"/>
      <c r="AD805" s="529"/>
      <c r="AE805" s="529"/>
      <c r="AF805" s="529"/>
      <c r="AG805" s="529"/>
      <c r="AH805" s="529"/>
      <c r="AI805" s="529"/>
      <c r="AJ805" s="529"/>
      <c r="AK805" s="529"/>
      <c r="AL805" s="529"/>
      <c r="AM805" s="529"/>
      <c r="AN805" s="529"/>
      <c r="AO805" s="529"/>
    </row>
    <row r="806">
      <c r="G806" s="529"/>
      <c r="H806" s="529"/>
      <c r="I806" s="529"/>
      <c r="J806" s="529"/>
      <c r="K806" s="529"/>
      <c r="L806" s="529"/>
      <c r="M806" s="529"/>
      <c r="N806" s="529"/>
      <c r="O806" s="529"/>
      <c r="P806" s="529"/>
      <c r="Q806" s="529"/>
      <c r="R806" s="529"/>
      <c r="S806" s="529"/>
      <c r="T806" s="529"/>
      <c r="U806" s="529"/>
      <c r="V806" s="529"/>
      <c r="W806" s="529"/>
      <c r="X806" s="529"/>
      <c r="Y806" s="529"/>
      <c r="Z806" s="529"/>
      <c r="AA806" s="529"/>
      <c r="AB806" s="529"/>
      <c r="AC806" s="529"/>
      <c r="AD806" s="529"/>
      <c r="AE806" s="529"/>
      <c r="AF806" s="529"/>
      <c r="AG806" s="529"/>
      <c r="AH806" s="529"/>
      <c r="AI806" s="529"/>
      <c r="AJ806" s="529"/>
      <c r="AK806" s="529"/>
      <c r="AL806" s="529"/>
      <c r="AM806" s="529"/>
      <c r="AN806" s="529"/>
      <c r="AO806" s="529"/>
    </row>
    <row r="807">
      <c r="G807" s="529"/>
      <c r="H807" s="529"/>
      <c r="I807" s="529"/>
      <c r="J807" s="529"/>
      <c r="K807" s="529"/>
      <c r="L807" s="529"/>
      <c r="M807" s="529"/>
      <c r="N807" s="529"/>
      <c r="O807" s="529"/>
      <c r="P807" s="529"/>
      <c r="Q807" s="529"/>
      <c r="R807" s="529"/>
      <c r="S807" s="529"/>
      <c r="T807" s="529"/>
      <c r="U807" s="529"/>
      <c r="V807" s="529"/>
      <c r="W807" s="529"/>
      <c r="X807" s="529"/>
      <c r="Y807" s="529"/>
      <c r="Z807" s="529"/>
      <c r="AA807" s="529"/>
      <c r="AB807" s="529"/>
      <c r="AC807" s="529"/>
      <c r="AD807" s="529"/>
      <c r="AE807" s="529"/>
      <c r="AF807" s="529"/>
      <c r="AG807" s="529"/>
      <c r="AH807" s="529"/>
      <c r="AI807" s="529"/>
      <c r="AJ807" s="529"/>
      <c r="AK807" s="529"/>
      <c r="AL807" s="529"/>
      <c r="AM807" s="529"/>
      <c r="AN807" s="529"/>
      <c r="AO807" s="529"/>
    </row>
    <row r="808">
      <c r="G808" s="529"/>
      <c r="H808" s="529"/>
      <c r="I808" s="529"/>
      <c r="J808" s="529"/>
      <c r="K808" s="529"/>
      <c r="L808" s="529"/>
      <c r="M808" s="529"/>
      <c r="N808" s="529"/>
      <c r="O808" s="529"/>
      <c r="P808" s="529"/>
      <c r="Q808" s="529"/>
      <c r="R808" s="529"/>
      <c r="S808" s="529"/>
      <c r="T808" s="529"/>
      <c r="U808" s="529"/>
      <c r="V808" s="529"/>
      <c r="W808" s="529"/>
      <c r="X808" s="529"/>
      <c r="Y808" s="529"/>
      <c r="Z808" s="529"/>
      <c r="AA808" s="529"/>
      <c r="AB808" s="529"/>
      <c r="AC808" s="529"/>
      <c r="AD808" s="529"/>
      <c r="AE808" s="529"/>
      <c r="AF808" s="529"/>
      <c r="AG808" s="529"/>
      <c r="AH808" s="529"/>
      <c r="AI808" s="529"/>
      <c r="AJ808" s="529"/>
      <c r="AK808" s="529"/>
      <c r="AL808" s="529"/>
      <c r="AM808" s="529"/>
      <c r="AN808" s="529"/>
      <c r="AO808" s="529"/>
    </row>
    <row r="809">
      <c r="G809" s="529"/>
      <c r="H809" s="529"/>
      <c r="I809" s="529"/>
      <c r="J809" s="529"/>
      <c r="K809" s="529"/>
      <c r="L809" s="529"/>
      <c r="M809" s="529"/>
      <c r="N809" s="529"/>
      <c r="O809" s="529"/>
      <c r="P809" s="529"/>
      <c r="Q809" s="529"/>
      <c r="R809" s="529"/>
      <c r="S809" s="529"/>
      <c r="T809" s="529"/>
      <c r="U809" s="529"/>
      <c r="V809" s="529"/>
      <c r="W809" s="529"/>
      <c r="X809" s="529"/>
      <c r="Y809" s="529"/>
      <c r="Z809" s="529"/>
      <c r="AA809" s="529"/>
      <c r="AB809" s="529"/>
      <c r="AC809" s="529"/>
      <c r="AD809" s="529"/>
      <c r="AE809" s="529"/>
      <c r="AF809" s="529"/>
      <c r="AG809" s="529"/>
      <c r="AH809" s="529"/>
      <c r="AI809" s="529"/>
      <c r="AJ809" s="529"/>
      <c r="AK809" s="529"/>
      <c r="AL809" s="529"/>
      <c r="AM809" s="529"/>
      <c r="AN809" s="529"/>
      <c r="AO809" s="529"/>
    </row>
    <row r="810">
      <c r="G810" s="529"/>
      <c r="H810" s="529"/>
      <c r="I810" s="529"/>
      <c r="J810" s="529"/>
      <c r="K810" s="529"/>
      <c r="L810" s="529"/>
      <c r="M810" s="529"/>
      <c r="N810" s="529"/>
      <c r="O810" s="529"/>
      <c r="P810" s="529"/>
      <c r="Q810" s="529"/>
      <c r="R810" s="529"/>
      <c r="S810" s="529"/>
      <c r="T810" s="529"/>
      <c r="U810" s="529"/>
      <c r="V810" s="529"/>
      <c r="W810" s="529"/>
      <c r="X810" s="529"/>
      <c r="Y810" s="529"/>
      <c r="Z810" s="529"/>
      <c r="AA810" s="529"/>
      <c r="AB810" s="529"/>
      <c r="AC810" s="529"/>
      <c r="AD810" s="529"/>
      <c r="AE810" s="529"/>
      <c r="AF810" s="529"/>
      <c r="AG810" s="529"/>
      <c r="AH810" s="529"/>
      <c r="AI810" s="529"/>
      <c r="AJ810" s="529"/>
      <c r="AK810" s="529"/>
      <c r="AL810" s="529"/>
      <c r="AM810" s="529"/>
      <c r="AN810" s="529"/>
      <c r="AO810" s="529"/>
    </row>
    <row r="811">
      <c r="G811" s="529"/>
      <c r="H811" s="529"/>
      <c r="I811" s="529"/>
      <c r="J811" s="529"/>
      <c r="K811" s="529"/>
      <c r="L811" s="529"/>
      <c r="M811" s="529"/>
      <c r="N811" s="529"/>
      <c r="O811" s="529"/>
      <c r="P811" s="529"/>
      <c r="Q811" s="529"/>
      <c r="R811" s="529"/>
      <c r="S811" s="529"/>
      <c r="T811" s="529"/>
      <c r="U811" s="529"/>
      <c r="V811" s="529"/>
      <c r="W811" s="529"/>
      <c r="X811" s="529"/>
      <c r="Y811" s="529"/>
      <c r="Z811" s="529"/>
      <c r="AA811" s="529"/>
      <c r="AB811" s="529"/>
      <c r="AC811" s="529"/>
      <c r="AD811" s="529"/>
      <c r="AE811" s="529"/>
      <c r="AF811" s="529"/>
      <c r="AG811" s="529"/>
      <c r="AH811" s="529"/>
      <c r="AI811" s="529"/>
      <c r="AJ811" s="529"/>
      <c r="AK811" s="529"/>
      <c r="AL811" s="529"/>
      <c r="AM811" s="529"/>
      <c r="AN811" s="529"/>
      <c r="AO811" s="529"/>
    </row>
    <row r="812">
      <c r="G812" s="529"/>
      <c r="H812" s="529"/>
      <c r="I812" s="529"/>
      <c r="J812" s="529"/>
      <c r="K812" s="529"/>
      <c r="L812" s="529"/>
      <c r="M812" s="529"/>
      <c r="N812" s="529"/>
      <c r="O812" s="529"/>
      <c r="P812" s="529"/>
      <c r="Q812" s="529"/>
      <c r="R812" s="529"/>
      <c r="S812" s="529"/>
      <c r="T812" s="529"/>
      <c r="U812" s="529"/>
      <c r="V812" s="529"/>
      <c r="W812" s="529"/>
      <c r="X812" s="529"/>
      <c r="Y812" s="529"/>
      <c r="Z812" s="529"/>
      <c r="AA812" s="529"/>
      <c r="AB812" s="529"/>
      <c r="AC812" s="529"/>
      <c r="AD812" s="529"/>
      <c r="AE812" s="529"/>
      <c r="AF812" s="529"/>
      <c r="AG812" s="529"/>
      <c r="AH812" s="529"/>
      <c r="AI812" s="529"/>
      <c r="AJ812" s="529"/>
      <c r="AK812" s="529"/>
      <c r="AL812" s="529"/>
      <c r="AM812" s="529"/>
      <c r="AN812" s="529"/>
      <c r="AO812" s="529"/>
    </row>
    <row r="813">
      <c r="G813" s="529"/>
      <c r="H813" s="529"/>
      <c r="I813" s="529"/>
      <c r="J813" s="529"/>
      <c r="K813" s="529"/>
      <c r="L813" s="529"/>
      <c r="M813" s="529"/>
      <c r="N813" s="529"/>
      <c r="O813" s="529"/>
      <c r="P813" s="529"/>
      <c r="Q813" s="529"/>
      <c r="R813" s="529"/>
      <c r="S813" s="529"/>
      <c r="T813" s="529"/>
      <c r="U813" s="529"/>
      <c r="V813" s="529"/>
      <c r="W813" s="529"/>
      <c r="X813" s="529"/>
      <c r="Y813" s="529"/>
      <c r="Z813" s="529"/>
      <c r="AA813" s="529"/>
      <c r="AB813" s="529"/>
      <c r="AC813" s="529"/>
      <c r="AD813" s="529"/>
      <c r="AE813" s="529"/>
      <c r="AF813" s="529"/>
      <c r="AG813" s="529"/>
      <c r="AH813" s="529"/>
      <c r="AI813" s="529"/>
      <c r="AJ813" s="529"/>
      <c r="AK813" s="529"/>
      <c r="AL813" s="529"/>
      <c r="AM813" s="529"/>
      <c r="AN813" s="529"/>
      <c r="AO813" s="529"/>
    </row>
    <row r="814">
      <c r="G814" s="529"/>
      <c r="H814" s="529"/>
      <c r="I814" s="529"/>
      <c r="J814" s="529"/>
      <c r="K814" s="529"/>
      <c r="L814" s="529"/>
      <c r="M814" s="529"/>
      <c r="N814" s="529"/>
      <c r="O814" s="529"/>
      <c r="P814" s="529"/>
      <c r="Q814" s="529"/>
      <c r="R814" s="529"/>
      <c r="S814" s="529"/>
      <c r="T814" s="529"/>
      <c r="U814" s="529"/>
      <c r="V814" s="529"/>
      <c r="W814" s="529"/>
      <c r="X814" s="529"/>
      <c r="Y814" s="529"/>
      <c r="Z814" s="529"/>
      <c r="AA814" s="529"/>
      <c r="AB814" s="529"/>
      <c r="AC814" s="529"/>
      <c r="AD814" s="529"/>
      <c r="AE814" s="529"/>
      <c r="AF814" s="529"/>
      <c r="AG814" s="529"/>
      <c r="AH814" s="529"/>
      <c r="AI814" s="529"/>
      <c r="AJ814" s="529"/>
      <c r="AK814" s="529"/>
      <c r="AL814" s="529"/>
      <c r="AM814" s="529"/>
      <c r="AN814" s="529"/>
      <c r="AO814" s="529"/>
    </row>
    <row r="815">
      <c r="G815" s="529"/>
      <c r="H815" s="529"/>
      <c r="I815" s="529"/>
      <c r="J815" s="529"/>
      <c r="K815" s="529"/>
      <c r="L815" s="529"/>
      <c r="M815" s="529"/>
      <c r="N815" s="529"/>
      <c r="O815" s="529"/>
      <c r="P815" s="529"/>
      <c r="Q815" s="529"/>
      <c r="R815" s="529"/>
      <c r="S815" s="529"/>
      <c r="T815" s="529"/>
      <c r="U815" s="529"/>
      <c r="V815" s="529"/>
      <c r="W815" s="529"/>
      <c r="X815" s="529"/>
      <c r="Y815" s="529"/>
      <c r="Z815" s="529"/>
      <c r="AA815" s="529"/>
      <c r="AB815" s="529"/>
      <c r="AC815" s="529"/>
      <c r="AD815" s="529"/>
      <c r="AE815" s="529"/>
      <c r="AF815" s="529"/>
      <c r="AG815" s="529"/>
      <c r="AH815" s="529"/>
      <c r="AI815" s="529"/>
      <c r="AJ815" s="529"/>
      <c r="AK815" s="529"/>
      <c r="AL815" s="529"/>
      <c r="AM815" s="529"/>
      <c r="AN815" s="529"/>
      <c r="AO815" s="529"/>
    </row>
    <row r="816">
      <c r="G816" s="529"/>
      <c r="H816" s="529"/>
      <c r="I816" s="529"/>
      <c r="J816" s="529"/>
      <c r="K816" s="529"/>
      <c r="L816" s="529"/>
      <c r="M816" s="529"/>
      <c r="N816" s="529"/>
      <c r="O816" s="529"/>
      <c r="P816" s="529"/>
      <c r="Q816" s="529"/>
      <c r="R816" s="529"/>
      <c r="S816" s="529"/>
      <c r="T816" s="529"/>
      <c r="U816" s="529"/>
      <c r="V816" s="529"/>
      <c r="W816" s="529"/>
      <c r="X816" s="529"/>
      <c r="Y816" s="529"/>
      <c r="Z816" s="529"/>
      <c r="AA816" s="529"/>
      <c r="AB816" s="529"/>
      <c r="AC816" s="529"/>
      <c r="AD816" s="529"/>
      <c r="AE816" s="529"/>
      <c r="AF816" s="529"/>
      <c r="AG816" s="529"/>
      <c r="AH816" s="529"/>
      <c r="AI816" s="529"/>
      <c r="AJ816" s="529"/>
      <c r="AK816" s="529"/>
      <c r="AL816" s="529"/>
      <c r="AM816" s="529"/>
      <c r="AN816" s="529"/>
      <c r="AO816" s="529"/>
    </row>
    <row r="817">
      <c r="G817" s="529"/>
      <c r="H817" s="529"/>
      <c r="I817" s="529"/>
      <c r="J817" s="529"/>
      <c r="K817" s="529"/>
      <c r="L817" s="529"/>
      <c r="M817" s="529"/>
      <c r="N817" s="529"/>
      <c r="O817" s="529"/>
      <c r="P817" s="529"/>
      <c r="Q817" s="529"/>
      <c r="R817" s="529"/>
      <c r="S817" s="529"/>
      <c r="T817" s="529"/>
      <c r="U817" s="529"/>
      <c r="V817" s="529"/>
      <c r="W817" s="529"/>
      <c r="X817" s="529"/>
      <c r="Y817" s="529"/>
      <c r="Z817" s="529"/>
      <c r="AA817" s="529"/>
      <c r="AB817" s="529"/>
      <c r="AC817" s="529"/>
      <c r="AD817" s="529"/>
      <c r="AE817" s="529"/>
      <c r="AF817" s="529"/>
      <c r="AG817" s="529"/>
      <c r="AH817" s="529"/>
      <c r="AI817" s="529"/>
      <c r="AJ817" s="529"/>
      <c r="AK817" s="529"/>
      <c r="AL817" s="529"/>
      <c r="AM817" s="529"/>
      <c r="AN817" s="529"/>
      <c r="AO817" s="529"/>
    </row>
    <row r="818">
      <c r="G818" s="529"/>
      <c r="H818" s="529"/>
      <c r="I818" s="529"/>
      <c r="J818" s="529"/>
      <c r="K818" s="529"/>
      <c r="L818" s="529"/>
      <c r="M818" s="529"/>
      <c r="N818" s="529"/>
      <c r="O818" s="529"/>
      <c r="P818" s="529"/>
      <c r="Q818" s="529"/>
      <c r="R818" s="529"/>
      <c r="S818" s="529"/>
      <c r="T818" s="529"/>
      <c r="U818" s="529"/>
      <c r="V818" s="529"/>
      <c r="W818" s="529"/>
      <c r="X818" s="529"/>
      <c r="Y818" s="529"/>
      <c r="Z818" s="529"/>
      <c r="AA818" s="529"/>
      <c r="AB818" s="529"/>
      <c r="AC818" s="529"/>
      <c r="AD818" s="529"/>
      <c r="AE818" s="529"/>
      <c r="AF818" s="529"/>
      <c r="AG818" s="529"/>
      <c r="AH818" s="529"/>
      <c r="AI818" s="529"/>
      <c r="AJ818" s="529"/>
      <c r="AK818" s="529"/>
      <c r="AL818" s="529"/>
      <c r="AM818" s="529"/>
      <c r="AN818" s="529"/>
      <c r="AO818" s="529"/>
    </row>
    <row r="819">
      <c r="G819" s="529"/>
      <c r="H819" s="529"/>
      <c r="I819" s="529"/>
      <c r="J819" s="529"/>
      <c r="K819" s="529"/>
      <c r="L819" s="529"/>
      <c r="M819" s="529"/>
      <c r="N819" s="529"/>
      <c r="O819" s="529"/>
      <c r="P819" s="529"/>
      <c r="Q819" s="529"/>
      <c r="R819" s="529"/>
      <c r="S819" s="529"/>
      <c r="T819" s="529"/>
      <c r="U819" s="529"/>
      <c r="V819" s="529"/>
      <c r="W819" s="529"/>
      <c r="X819" s="529"/>
      <c r="Y819" s="529"/>
      <c r="Z819" s="529"/>
      <c r="AA819" s="529"/>
      <c r="AB819" s="529"/>
      <c r="AC819" s="529"/>
      <c r="AD819" s="529"/>
      <c r="AE819" s="529"/>
      <c r="AF819" s="529"/>
      <c r="AG819" s="529"/>
      <c r="AH819" s="529"/>
      <c r="AI819" s="529"/>
      <c r="AJ819" s="529"/>
      <c r="AK819" s="529"/>
      <c r="AL819" s="529"/>
      <c r="AM819" s="529"/>
      <c r="AN819" s="529"/>
      <c r="AO819" s="529"/>
    </row>
    <row r="820">
      <c r="G820" s="529"/>
      <c r="H820" s="529"/>
      <c r="I820" s="529"/>
      <c r="J820" s="529"/>
      <c r="K820" s="529"/>
      <c r="L820" s="529"/>
      <c r="M820" s="529"/>
      <c r="N820" s="529"/>
      <c r="O820" s="529"/>
      <c r="P820" s="529"/>
      <c r="Q820" s="529"/>
      <c r="R820" s="529"/>
      <c r="S820" s="529"/>
      <c r="T820" s="529"/>
      <c r="U820" s="529"/>
      <c r="V820" s="529"/>
      <c r="W820" s="529"/>
      <c r="X820" s="529"/>
      <c r="Y820" s="529"/>
      <c r="Z820" s="529"/>
      <c r="AA820" s="529"/>
      <c r="AB820" s="529"/>
      <c r="AC820" s="529"/>
      <c r="AD820" s="529"/>
      <c r="AE820" s="529"/>
      <c r="AF820" s="529"/>
      <c r="AG820" s="529"/>
      <c r="AH820" s="529"/>
      <c r="AI820" s="529"/>
      <c r="AJ820" s="529"/>
      <c r="AK820" s="529"/>
      <c r="AL820" s="529"/>
      <c r="AM820" s="529"/>
      <c r="AN820" s="529"/>
      <c r="AO820" s="529"/>
    </row>
    <row r="821">
      <c r="G821" s="529"/>
      <c r="H821" s="529"/>
      <c r="I821" s="529"/>
      <c r="J821" s="529"/>
      <c r="K821" s="529"/>
      <c r="L821" s="529"/>
      <c r="M821" s="529"/>
      <c r="N821" s="529"/>
      <c r="O821" s="529"/>
      <c r="P821" s="529"/>
      <c r="Q821" s="529"/>
      <c r="R821" s="529"/>
      <c r="S821" s="529"/>
      <c r="T821" s="529"/>
      <c r="U821" s="529"/>
      <c r="V821" s="529"/>
      <c r="W821" s="529"/>
      <c r="X821" s="529"/>
      <c r="Y821" s="529"/>
      <c r="Z821" s="529"/>
      <c r="AA821" s="529"/>
      <c r="AB821" s="529"/>
      <c r="AC821" s="529"/>
      <c r="AD821" s="529"/>
      <c r="AE821" s="529"/>
      <c r="AF821" s="529"/>
      <c r="AG821" s="529"/>
      <c r="AH821" s="529"/>
      <c r="AI821" s="529"/>
      <c r="AJ821" s="529"/>
      <c r="AK821" s="529"/>
      <c r="AL821" s="529"/>
      <c r="AM821" s="529"/>
      <c r="AN821" s="529"/>
      <c r="AO821" s="529"/>
    </row>
    <row r="822">
      <c r="G822" s="529"/>
      <c r="H822" s="529"/>
      <c r="I822" s="529"/>
      <c r="J822" s="529"/>
      <c r="K822" s="529"/>
      <c r="L822" s="529"/>
      <c r="M822" s="529"/>
      <c r="N822" s="529"/>
      <c r="O822" s="529"/>
      <c r="P822" s="529"/>
      <c r="Q822" s="529"/>
      <c r="R822" s="529"/>
      <c r="S822" s="529"/>
      <c r="T822" s="529"/>
      <c r="U822" s="529"/>
      <c r="V822" s="529"/>
      <c r="W822" s="529"/>
      <c r="X822" s="529"/>
      <c r="Y822" s="529"/>
      <c r="Z822" s="529"/>
      <c r="AA822" s="529"/>
      <c r="AB822" s="529"/>
      <c r="AC822" s="529"/>
      <c r="AD822" s="529"/>
      <c r="AE822" s="529"/>
      <c r="AF822" s="529"/>
      <c r="AG822" s="529"/>
      <c r="AH822" s="529"/>
      <c r="AI822" s="529"/>
      <c r="AJ822" s="529"/>
      <c r="AK822" s="529"/>
      <c r="AL822" s="529"/>
      <c r="AM822" s="529"/>
      <c r="AN822" s="529"/>
      <c r="AO822" s="529"/>
    </row>
    <row r="823">
      <c r="G823" s="529"/>
      <c r="H823" s="529"/>
      <c r="I823" s="529"/>
      <c r="J823" s="529"/>
      <c r="K823" s="529"/>
      <c r="L823" s="529"/>
      <c r="M823" s="529"/>
      <c r="N823" s="529"/>
      <c r="O823" s="529"/>
      <c r="P823" s="529"/>
      <c r="Q823" s="529"/>
      <c r="R823" s="529"/>
      <c r="S823" s="529"/>
      <c r="T823" s="529"/>
      <c r="U823" s="529"/>
      <c r="V823" s="529"/>
      <c r="W823" s="529"/>
      <c r="X823" s="529"/>
      <c r="Y823" s="529"/>
      <c r="Z823" s="529"/>
      <c r="AA823" s="529"/>
      <c r="AB823" s="529"/>
      <c r="AC823" s="529"/>
      <c r="AD823" s="529"/>
      <c r="AE823" s="529"/>
      <c r="AF823" s="529"/>
      <c r="AG823" s="529"/>
      <c r="AH823" s="529"/>
      <c r="AI823" s="529"/>
      <c r="AJ823" s="529"/>
      <c r="AK823" s="529"/>
      <c r="AL823" s="529"/>
      <c r="AM823" s="529"/>
      <c r="AN823" s="529"/>
      <c r="AO823" s="529"/>
    </row>
    <row r="824">
      <c r="G824" s="529"/>
      <c r="H824" s="529"/>
      <c r="I824" s="529"/>
      <c r="J824" s="529"/>
      <c r="K824" s="529"/>
      <c r="L824" s="529"/>
      <c r="M824" s="529"/>
      <c r="N824" s="529"/>
      <c r="O824" s="529"/>
      <c r="P824" s="529"/>
      <c r="Q824" s="529"/>
      <c r="R824" s="529"/>
      <c r="S824" s="529"/>
      <c r="T824" s="529"/>
      <c r="U824" s="529"/>
      <c r="V824" s="529"/>
      <c r="W824" s="529"/>
      <c r="X824" s="529"/>
      <c r="Y824" s="529"/>
      <c r="Z824" s="529"/>
      <c r="AA824" s="529"/>
      <c r="AB824" s="529"/>
      <c r="AC824" s="529"/>
      <c r="AD824" s="529"/>
      <c r="AE824" s="529"/>
      <c r="AF824" s="529"/>
      <c r="AG824" s="529"/>
      <c r="AH824" s="529"/>
      <c r="AI824" s="529"/>
      <c r="AJ824" s="529"/>
      <c r="AK824" s="529"/>
      <c r="AL824" s="529"/>
      <c r="AM824" s="529"/>
      <c r="AN824" s="529"/>
      <c r="AO824" s="529"/>
    </row>
    <row r="825">
      <c r="G825" s="529"/>
      <c r="H825" s="529"/>
      <c r="I825" s="529"/>
      <c r="J825" s="529"/>
      <c r="K825" s="529"/>
      <c r="L825" s="529"/>
      <c r="M825" s="529"/>
      <c r="N825" s="529"/>
      <c r="O825" s="529"/>
      <c r="P825" s="529"/>
      <c r="Q825" s="529"/>
      <c r="R825" s="529"/>
      <c r="S825" s="529"/>
      <c r="T825" s="529"/>
      <c r="U825" s="529"/>
      <c r="V825" s="529"/>
      <c r="W825" s="529"/>
      <c r="X825" s="529"/>
      <c r="Y825" s="529"/>
      <c r="Z825" s="529"/>
      <c r="AA825" s="529"/>
      <c r="AB825" s="529"/>
      <c r="AC825" s="529"/>
      <c r="AD825" s="529"/>
      <c r="AE825" s="529"/>
      <c r="AF825" s="529"/>
      <c r="AG825" s="529"/>
      <c r="AH825" s="529"/>
      <c r="AI825" s="529"/>
      <c r="AJ825" s="529"/>
      <c r="AK825" s="529"/>
      <c r="AL825" s="529"/>
      <c r="AM825" s="529"/>
      <c r="AN825" s="529"/>
      <c r="AO825" s="529"/>
    </row>
    <row r="826">
      <c r="G826" s="529"/>
      <c r="H826" s="529"/>
      <c r="I826" s="529"/>
      <c r="J826" s="529"/>
      <c r="K826" s="529"/>
      <c r="L826" s="529"/>
      <c r="M826" s="529"/>
      <c r="N826" s="529"/>
      <c r="O826" s="529"/>
      <c r="P826" s="529"/>
      <c r="Q826" s="529"/>
      <c r="R826" s="529"/>
      <c r="S826" s="529"/>
      <c r="T826" s="529"/>
      <c r="U826" s="529"/>
      <c r="V826" s="529"/>
      <c r="W826" s="529"/>
      <c r="X826" s="529"/>
      <c r="Y826" s="529"/>
      <c r="Z826" s="529"/>
      <c r="AA826" s="529"/>
      <c r="AB826" s="529"/>
      <c r="AC826" s="529"/>
      <c r="AD826" s="529"/>
      <c r="AE826" s="529"/>
      <c r="AF826" s="529"/>
      <c r="AG826" s="529"/>
      <c r="AH826" s="529"/>
      <c r="AI826" s="529"/>
      <c r="AJ826" s="529"/>
      <c r="AK826" s="529"/>
      <c r="AL826" s="529"/>
      <c r="AM826" s="529"/>
      <c r="AN826" s="529"/>
      <c r="AO826" s="529"/>
    </row>
    <row r="827">
      <c r="G827" s="529"/>
      <c r="H827" s="529"/>
      <c r="I827" s="529"/>
      <c r="J827" s="529"/>
      <c r="K827" s="529"/>
      <c r="L827" s="529"/>
      <c r="M827" s="529"/>
      <c r="N827" s="529"/>
      <c r="O827" s="529"/>
      <c r="P827" s="529"/>
      <c r="Q827" s="529"/>
      <c r="R827" s="529"/>
      <c r="S827" s="529"/>
      <c r="T827" s="529"/>
      <c r="U827" s="529"/>
      <c r="V827" s="529"/>
      <c r="W827" s="529"/>
      <c r="X827" s="529"/>
      <c r="Y827" s="529"/>
      <c r="Z827" s="529"/>
      <c r="AA827" s="529"/>
      <c r="AB827" s="529"/>
      <c r="AC827" s="529"/>
      <c r="AD827" s="529"/>
      <c r="AE827" s="529"/>
      <c r="AF827" s="529"/>
      <c r="AG827" s="529"/>
      <c r="AH827" s="529"/>
      <c r="AI827" s="529"/>
      <c r="AJ827" s="529"/>
      <c r="AK827" s="529"/>
      <c r="AL827" s="529"/>
      <c r="AM827" s="529"/>
      <c r="AN827" s="529"/>
      <c r="AO827" s="529"/>
    </row>
    <row r="828">
      <c r="G828" s="529"/>
      <c r="H828" s="529"/>
      <c r="I828" s="529"/>
      <c r="J828" s="529"/>
      <c r="K828" s="529"/>
      <c r="L828" s="529"/>
      <c r="M828" s="529"/>
      <c r="N828" s="529"/>
      <c r="O828" s="529"/>
      <c r="P828" s="529"/>
      <c r="Q828" s="529"/>
      <c r="R828" s="529"/>
      <c r="S828" s="529"/>
      <c r="T828" s="529"/>
      <c r="U828" s="529"/>
      <c r="V828" s="529"/>
      <c r="W828" s="529"/>
      <c r="X828" s="529"/>
      <c r="Y828" s="529"/>
      <c r="Z828" s="529"/>
      <c r="AA828" s="529"/>
      <c r="AB828" s="529"/>
      <c r="AC828" s="529"/>
      <c r="AD828" s="529"/>
      <c r="AE828" s="529"/>
      <c r="AF828" s="529"/>
      <c r="AG828" s="529"/>
      <c r="AH828" s="529"/>
      <c r="AI828" s="529"/>
      <c r="AJ828" s="529"/>
      <c r="AK828" s="529"/>
      <c r="AL828" s="529"/>
      <c r="AM828" s="529"/>
      <c r="AN828" s="529"/>
      <c r="AO828" s="529"/>
    </row>
    <row r="829">
      <c r="G829" s="529"/>
      <c r="H829" s="529"/>
      <c r="I829" s="529"/>
      <c r="J829" s="529"/>
      <c r="K829" s="529"/>
      <c r="L829" s="529"/>
      <c r="M829" s="529"/>
      <c r="N829" s="529"/>
      <c r="O829" s="529"/>
      <c r="P829" s="529"/>
      <c r="Q829" s="529"/>
      <c r="R829" s="529"/>
      <c r="S829" s="529"/>
      <c r="T829" s="529"/>
      <c r="U829" s="529"/>
      <c r="V829" s="529"/>
      <c r="W829" s="529"/>
      <c r="X829" s="529"/>
      <c r="Y829" s="529"/>
      <c r="Z829" s="529"/>
      <c r="AA829" s="529"/>
      <c r="AB829" s="529"/>
      <c r="AC829" s="529"/>
      <c r="AD829" s="529"/>
      <c r="AE829" s="529"/>
      <c r="AF829" s="529"/>
      <c r="AG829" s="529"/>
      <c r="AH829" s="529"/>
      <c r="AI829" s="529"/>
      <c r="AJ829" s="529"/>
      <c r="AK829" s="529"/>
      <c r="AL829" s="529"/>
      <c r="AM829" s="529"/>
      <c r="AN829" s="529"/>
      <c r="AO829" s="529"/>
    </row>
    <row r="830">
      <c r="G830" s="529"/>
      <c r="H830" s="529"/>
      <c r="I830" s="529"/>
      <c r="J830" s="529"/>
      <c r="K830" s="529"/>
      <c r="L830" s="529"/>
      <c r="M830" s="529"/>
      <c r="N830" s="529"/>
      <c r="O830" s="529"/>
      <c r="P830" s="529"/>
      <c r="Q830" s="529"/>
      <c r="R830" s="529"/>
      <c r="S830" s="529"/>
      <c r="T830" s="529"/>
      <c r="U830" s="529"/>
      <c r="V830" s="529"/>
      <c r="W830" s="529"/>
      <c r="X830" s="529"/>
      <c r="Y830" s="529"/>
      <c r="Z830" s="529"/>
      <c r="AA830" s="529"/>
      <c r="AB830" s="529"/>
      <c r="AC830" s="529"/>
      <c r="AD830" s="529"/>
      <c r="AE830" s="529"/>
      <c r="AF830" s="529"/>
      <c r="AG830" s="529"/>
      <c r="AH830" s="529"/>
      <c r="AI830" s="529"/>
      <c r="AJ830" s="529"/>
      <c r="AK830" s="529"/>
      <c r="AL830" s="529"/>
      <c r="AM830" s="529"/>
      <c r="AN830" s="529"/>
      <c r="AO830" s="529"/>
    </row>
    <row r="831">
      <c r="G831" s="529"/>
      <c r="H831" s="529"/>
      <c r="I831" s="529"/>
      <c r="J831" s="529"/>
      <c r="K831" s="529"/>
      <c r="L831" s="529"/>
      <c r="M831" s="529"/>
      <c r="N831" s="529"/>
      <c r="O831" s="529"/>
      <c r="P831" s="529"/>
      <c r="Q831" s="529"/>
      <c r="R831" s="529"/>
      <c r="S831" s="529"/>
      <c r="T831" s="529"/>
      <c r="U831" s="529"/>
      <c r="V831" s="529"/>
      <c r="W831" s="529"/>
      <c r="X831" s="529"/>
      <c r="Y831" s="529"/>
      <c r="Z831" s="529"/>
      <c r="AA831" s="529"/>
      <c r="AB831" s="529"/>
      <c r="AC831" s="529"/>
      <c r="AD831" s="529"/>
      <c r="AE831" s="529"/>
      <c r="AF831" s="529"/>
      <c r="AG831" s="529"/>
      <c r="AH831" s="529"/>
      <c r="AI831" s="529"/>
      <c r="AJ831" s="529"/>
      <c r="AK831" s="529"/>
      <c r="AL831" s="529"/>
      <c r="AM831" s="529"/>
      <c r="AN831" s="529"/>
      <c r="AO831" s="529"/>
    </row>
    <row r="832">
      <c r="G832" s="529"/>
      <c r="H832" s="529"/>
      <c r="I832" s="529"/>
      <c r="J832" s="529"/>
      <c r="K832" s="529"/>
      <c r="L832" s="529"/>
      <c r="M832" s="529"/>
      <c r="N832" s="529"/>
      <c r="O832" s="529"/>
      <c r="P832" s="529"/>
      <c r="Q832" s="529"/>
      <c r="R832" s="529"/>
      <c r="S832" s="529"/>
      <c r="T832" s="529"/>
      <c r="U832" s="529"/>
      <c r="V832" s="529"/>
      <c r="W832" s="529"/>
      <c r="X832" s="529"/>
      <c r="Y832" s="529"/>
      <c r="Z832" s="529"/>
      <c r="AA832" s="529"/>
      <c r="AB832" s="529"/>
      <c r="AC832" s="529"/>
      <c r="AD832" s="529"/>
      <c r="AE832" s="529"/>
      <c r="AF832" s="529"/>
      <c r="AG832" s="529"/>
      <c r="AH832" s="529"/>
      <c r="AI832" s="529"/>
      <c r="AJ832" s="529"/>
      <c r="AK832" s="529"/>
      <c r="AL832" s="529"/>
      <c r="AM832" s="529"/>
      <c r="AN832" s="529"/>
      <c r="AO832" s="529"/>
    </row>
    <row r="833">
      <c r="G833" s="529"/>
      <c r="H833" s="529"/>
      <c r="I833" s="529"/>
      <c r="J833" s="529"/>
      <c r="K833" s="529"/>
      <c r="L833" s="529"/>
      <c r="M833" s="529"/>
      <c r="N833" s="529"/>
      <c r="O833" s="529"/>
      <c r="P833" s="529"/>
      <c r="Q833" s="529"/>
      <c r="R833" s="529"/>
      <c r="S833" s="529"/>
      <c r="T833" s="529"/>
      <c r="U833" s="529"/>
      <c r="V833" s="529"/>
      <c r="W833" s="529"/>
      <c r="X833" s="529"/>
      <c r="Y833" s="529"/>
      <c r="Z833" s="529"/>
      <c r="AA833" s="529"/>
      <c r="AB833" s="529"/>
      <c r="AC833" s="529"/>
      <c r="AD833" s="529"/>
      <c r="AE833" s="529"/>
      <c r="AF833" s="529"/>
      <c r="AG833" s="529"/>
      <c r="AH833" s="529"/>
      <c r="AI833" s="529"/>
      <c r="AJ833" s="529"/>
      <c r="AK833" s="529"/>
      <c r="AL833" s="529"/>
      <c r="AM833" s="529"/>
      <c r="AN833" s="529"/>
      <c r="AO833" s="529"/>
    </row>
    <row r="834">
      <c r="G834" s="529"/>
      <c r="H834" s="529"/>
      <c r="I834" s="529"/>
      <c r="J834" s="529"/>
      <c r="K834" s="529"/>
      <c r="L834" s="529"/>
      <c r="M834" s="529"/>
      <c r="N834" s="529"/>
      <c r="O834" s="529"/>
      <c r="P834" s="529"/>
      <c r="Q834" s="529"/>
      <c r="R834" s="529"/>
      <c r="S834" s="529"/>
      <c r="T834" s="529"/>
      <c r="U834" s="529"/>
      <c r="V834" s="529"/>
      <c r="W834" s="529"/>
      <c r="X834" s="529"/>
      <c r="Y834" s="529"/>
      <c r="Z834" s="529"/>
      <c r="AA834" s="529"/>
      <c r="AB834" s="529"/>
      <c r="AC834" s="529"/>
      <c r="AD834" s="529"/>
      <c r="AE834" s="529"/>
      <c r="AF834" s="529"/>
      <c r="AG834" s="529"/>
      <c r="AH834" s="529"/>
      <c r="AI834" s="529"/>
      <c r="AJ834" s="529"/>
      <c r="AK834" s="529"/>
      <c r="AL834" s="529"/>
      <c r="AM834" s="529"/>
      <c r="AN834" s="529"/>
      <c r="AO834" s="529"/>
    </row>
    <row r="835">
      <c r="G835" s="529"/>
      <c r="H835" s="529"/>
      <c r="I835" s="529"/>
      <c r="J835" s="529"/>
      <c r="K835" s="529"/>
      <c r="L835" s="529"/>
      <c r="M835" s="529"/>
      <c r="N835" s="529"/>
      <c r="O835" s="529"/>
      <c r="P835" s="529"/>
      <c r="Q835" s="529"/>
      <c r="R835" s="529"/>
      <c r="S835" s="529"/>
      <c r="T835" s="529"/>
      <c r="U835" s="529"/>
      <c r="V835" s="529"/>
      <c r="W835" s="529"/>
      <c r="X835" s="529"/>
      <c r="Y835" s="529"/>
      <c r="Z835" s="529"/>
      <c r="AA835" s="529"/>
      <c r="AB835" s="529"/>
      <c r="AC835" s="529"/>
      <c r="AD835" s="529"/>
      <c r="AE835" s="529"/>
      <c r="AF835" s="529"/>
      <c r="AG835" s="529"/>
      <c r="AH835" s="529"/>
      <c r="AI835" s="529"/>
      <c r="AJ835" s="529"/>
      <c r="AK835" s="529"/>
      <c r="AL835" s="529"/>
      <c r="AM835" s="529"/>
      <c r="AN835" s="529"/>
      <c r="AO835" s="529"/>
    </row>
    <row r="836">
      <c r="G836" s="529"/>
      <c r="H836" s="529"/>
      <c r="I836" s="529"/>
      <c r="J836" s="529"/>
      <c r="K836" s="529"/>
      <c r="L836" s="529"/>
      <c r="M836" s="529"/>
      <c r="N836" s="529"/>
      <c r="O836" s="529"/>
      <c r="P836" s="529"/>
      <c r="Q836" s="529"/>
      <c r="R836" s="529"/>
      <c r="S836" s="529"/>
      <c r="T836" s="529"/>
      <c r="U836" s="529"/>
      <c r="V836" s="529"/>
      <c r="W836" s="529"/>
      <c r="X836" s="529"/>
      <c r="Y836" s="529"/>
      <c r="Z836" s="529"/>
      <c r="AA836" s="529"/>
      <c r="AB836" s="529"/>
      <c r="AC836" s="529"/>
      <c r="AD836" s="529"/>
      <c r="AE836" s="529"/>
      <c r="AF836" s="529"/>
      <c r="AG836" s="529"/>
      <c r="AH836" s="529"/>
      <c r="AI836" s="529"/>
      <c r="AJ836" s="529"/>
      <c r="AK836" s="529"/>
      <c r="AL836" s="529"/>
      <c r="AM836" s="529"/>
      <c r="AN836" s="529"/>
      <c r="AO836" s="529"/>
    </row>
    <row r="837">
      <c r="G837" s="529"/>
      <c r="H837" s="529"/>
      <c r="I837" s="529"/>
      <c r="J837" s="529"/>
      <c r="K837" s="529"/>
      <c r="L837" s="529"/>
      <c r="M837" s="529"/>
      <c r="N837" s="529"/>
      <c r="O837" s="529"/>
      <c r="P837" s="529"/>
      <c r="Q837" s="529"/>
      <c r="R837" s="529"/>
      <c r="S837" s="529"/>
      <c r="T837" s="529"/>
      <c r="U837" s="529"/>
      <c r="V837" s="529"/>
      <c r="W837" s="529"/>
      <c r="X837" s="529"/>
      <c r="Y837" s="529"/>
      <c r="Z837" s="529"/>
      <c r="AA837" s="529"/>
      <c r="AB837" s="529"/>
      <c r="AC837" s="529"/>
      <c r="AD837" s="529"/>
      <c r="AE837" s="529"/>
      <c r="AF837" s="529"/>
      <c r="AG837" s="529"/>
      <c r="AH837" s="529"/>
      <c r="AI837" s="529"/>
      <c r="AJ837" s="529"/>
      <c r="AK837" s="529"/>
      <c r="AL837" s="529"/>
      <c r="AM837" s="529"/>
      <c r="AN837" s="529"/>
      <c r="AO837" s="529"/>
    </row>
    <row r="838">
      <c r="G838" s="529"/>
      <c r="H838" s="529"/>
      <c r="I838" s="529"/>
      <c r="J838" s="529"/>
      <c r="K838" s="529"/>
      <c r="L838" s="529"/>
      <c r="M838" s="529"/>
      <c r="N838" s="529"/>
      <c r="O838" s="529"/>
      <c r="P838" s="529"/>
      <c r="Q838" s="529"/>
      <c r="R838" s="529"/>
      <c r="S838" s="529"/>
      <c r="T838" s="529"/>
      <c r="U838" s="529"/>
      <c r="V838" s="529"/>
      <c r="W838" s="529"/>
      <c r="X838" s="529"/>
      <c r="Y838" s="529"/>
      <c r="Z838" s="529"/>
      <c r="AA838" s="529"/>
      <c r="AB838" s="529"/>
      <c r="AC838" s="529"/>
      <c r="AD838" s="529"/>
      <c r="AE838" s="529"/>
      <c r="AF838" s="529"/>
      <c r="AG838" s="529"/>
      <c r="AH838" s="529"/>
      <c r="AI838" s="529"/>
      <c r="AJ838" s="529"/>
      <c r="AK838" s="529"/>
      <c r="AL838" s="529"/>
      <c r="AM838" s="529"/>
      <c r="AN838" s="529"/>
      <c r="AO838" s="529"/>
    </row>
    <row r="839">
      <c r="G839" s="529"/>
      <c r="H839" s="529"/>
      <c r="I839" s="529"/>
      <c r="J839" s="529"/>
      <c r="K839" s="529"/>
      <c r="L839" s="529"/>
      <c r="M839" s="529"/>
      <c r="N839" s="529"/>
      <c r="O839" s="529"/>
      <c r="P839" s="529"/>
      <c r="Q839" s="529"/>
      <c r="R839" s="529"/>
      <c r="S839" s="529"/>
      <c r="T839" s="529"/>
      <c r="U839" s="529"/>
      <c r="V839" s="529"/>
      <c r="W839" s="529"/>
      <c r="X839" s="529"/>
      <c r="Y839" s="529"/>
      <c r="Z839" s="529"/>
      <c r="AA839" s="529"/>
      <c r="AB839" s="529"/>
      <c r="AC839" s="529"/>
      <c r="AD839" s="529"/>
      <c r="AE839" s="529"/>
      <c r="AF839" s="529"/>
      <c r="AG839" s="529"/>
      <c r="AH839" s="529"/>
      <c r="AI839" s="529"/>
      <c r="AJ839" s="529"/>
      <c r="AK839" s="529"/>
      <c r="AL839" s="529"/>
      <c r="AM839" s="529"/>
      <c r="AN839" s="529"/>
      <c r="AO839" s="529"/>
    </row>
    <row r="840">
      <c r="G840" s="529"/>
      <c r="H840" s="529"/>
      <c r="I840" s="529"/>
      <c r="J840" s="529"/>
      <c r="K840" s="529"/>
      <c r="L840" s="529"/>
      <c r="M840" s="529"/>
      <c r="N840" s="529"/>
      <c r="O840" s="529"/>
      <c r="P840" s="529"/>
      <c r="Q840" s="529"/>
      <c r="R840" s="529"/>
      <c r="S840" s="529"/>
      <c r="T840" s="529"/>
      <c r="U840" s="529"/>
      <c r="V840" s="529"/>
      <c r="W840" s="529"/>
      <c r="X840" s="529"/>
      <c r="Y840" s="529"/>
      <c r="Z840" s="529"/>
      <c r="AA840" s="529"/>
      <c r="AB840" s="529"/>
      <c r="AC840" s="529"/>
      <c r="AD840" s="529"/>
      <c r="AE840" s="529"/>
      <c r="AF840" s="529"/>
      <c r="AG840" s="529"/>
      <c r="AH840" s="529"/>
      <c r="AI840" s="529"/>
      <c r="AJ840" s="529"/>
      <c r="AK840" s="529"/>
      <c r="AL840" s="529"/>
      <c r="AM840" s="529"/>
      <c r="AN840" s="529"/>
      <c r="AO840" s="529"/>
    </row>
    <row r="841">
      <c r="G841" s="529"/>
      <c r="H841" s="529"/>
      <c r="I841" s="529"/>
      <c r="J841" s="529"/>
      <c r="K841" s="529"/>
      <c r="L841" s="529"/>
      <c r="M841" s="529"/>
      <c r="N841" s="529"/>
      <c r="O841" s="529"/>
      <c r="P841" s="529"/>
      <c r="Q841" s="529"/>
      <c r="R841" s="529"/>
      <c r="S841" s="529"/>
      <c r="T841" s="529"/>
      <c r="U841" s="529"/>
      <c r="V841" s="529"/>
      <c r="W841" s="529"/>
      <c r="X841" s="529"/>
      <c r="Y841" s="529"/>
      <c r="Z841" s="529"/>
      <c r="AA841" s="529"/>
      <c r="AB841" s="529"/>
      <c r="AC841" s="529"/>
      <c r="AD841" s="529"/>
      <c r="AE841" s="529"/>
      <c r="AF841" s="529"/>
      <c r="AG841" s="529"/>
      <c r="AH841" s="529"/>
      <c r="AI841" s="529"/>
      <c r="AJ841" s="529"/>
      <c r="AK841" s="529"/>
      <c r="AL841" s="529"/>
      <c r="AM841" s="529"/>
      <c r="AN841" s="529"/>
      <c r="AO841" s="529"/>
    </row>
    <row r="842">
      <c r="G842" s="529"/>
      <c r="H842" s="529"/>
      <c r="I842" s="529"/>
      <c r="J842" s="529"/>
      <c r="K842" s="529"/>
      <c r="L842" s="529"/>
      <c r="M842" s="529"/>
      <c r="N842" s="529"/>
      <c r="O842" s="529"/>
      <c r="P842" s="529"/>
      <c r="Q842" s="529"/>
      <c r="R842" s="529"/>
      <c r="S842" s="529"/>
      <c r="T842" s="529"/>
      <c r="U842" s="529"/>
      <c r="V842" s="529"/>
      <c r="W842" s="529"/>
      <c r="X842" s="529"/>
      <c r="Y842" s="529"/>
      <c r="Z842" s="529"/>
      <c r="AA842" s="529"/>
      <c r="AB842" s="529"/>
      <c r="AC842" s="529"/>
      <c r="AD842" s="529"/>
      <c r="AE842" s="529"/>
      <c r="AF842" s="529"/>
      <c r="AG842" s="529"/>
      <c r="AH842" s="529"/>
      <c r="AI842" s="529"/>
      <c r="AJ842" s="529"/>
      <c r="AK842" s="529"/>
      <c r="AL842" s="529"/>
      <c r="AM842" s="529"/>
      <c r="AN842" s="529"/>
      <c r="AO842" s="529"/>
    </row>
    <row r="843">
      <c r="G843" s="529"/>
      <c r="H843" s="529"/>
      <c r="I843" s="529"/>
      <c r="J843" s="529"/>
      <c r="K843" s="529"/>
      <c r="L843" s="529"/>
      <c r="M843" s="529"/>
      <c r="N843" s="529"/>
      <c r="O843" s="529"/>
      <c r="P843" s="529"/>
      <c r="Q843" s="529"/>
      <c r="R843" s="529"/>
      <c r="S843" s="529"/>
      <c r="T843" s="529"/>
      <c r="U843" s="529"/>
      <c r="V843" s="529"/>
      <c r="W843" s="529"/>
      <c r="X843" s="529"/>
      <c r="Y843" s="529"/>
      <c r="Z843" s="529"/>
      <c r="AA843" s="529"/>
      <c r="AB843" s="529"/>
      <c r="AC843" s="529"/>
      <c r="AD843" s="529"/>
      <c r="AE843" s="529"/>
      <c r="AF843" s="529"/>
      <c r="AG843" s="529"/>
      <c r="AH843" s="529"/>
      <c r="AI843" s="529"/>
      <c r="AJ843" s="529"/>
      <c r="AK843" s="529"/>
      <c r="AL843" s="529"/>
      <c r="AM843" s="529"/>
      <c r="AN843" s="529"/>
      <c r="AO843" s="529"/>
    </row>
    <row r="844">
      <c r="G844" s="529"/>
      <c r="H844" s="529"/>
      <c r="I844" s="529"/>
      <c r="J844" s="529"/>
      <c r="K844" s="529"/>
      <c r="L844" s="529"/>
      <c r="M844" s="529"/>
      <c r="N844" s="529"/>
      <c r="O844" s="529"/>
      <c r="P844" s="529"/>
      <c r="Q844" s="529"/>
      <c r="R844" s="529"/>
      <c r="S844" s="529"/>
      <c r="T844" s="529"/>
      <c r="U844" s="529"/>
      <c r="V844" s="529"/>
      <c r="W844" s="529"/>
      <c r="X844" s="529"/>
      <c r="Y844" s="529"/>
      <c r="Z844" s="529"/>
      <c r="AA844" s="529"/>
      <c r="AB844" s="529"/>
      <c r="AC844" s="529"/>
      <c r="AD844" s="529"/>
      <c r="AE844" s="529"/>
      <c r="AF844" s="529"/>
      <c r="AG844" s="529"/>
      <c r="AH844" s="529"/>
      <c r="AI844" s="529"/>
      <c r="AJ844" s="529"/>
      <c r="AK844" s="529"/>
      <c r="AL844" s="529"/>
      <c r="AM844" s="529"/>
      <c r="AN844" s="529"/>
      <c r="AO844" s="529"/>
    </row>
    <row r="845">
      <c r="G845" s="529"/>
      <c r="H845" s="529"/>
      <c r="I845" s="529"/>
      <c r="J845" s="529"/>
      <c r="K845" s="529"/>
      <c r="L845" s="529"/>
      <c r="M845" s="529"/>
      <c r="N845" s="529"/>
      <c r="O845" s="529"/>
      <c r="P845" s="529"/>
      <c r="Q845" s="529"/>
      <c r="R845" s="529"/>
      <c r="S845" s="529"/>
      <c r="T845" s="529"/>
      <c r="U845" s="529"/>
      <c r="V845" s="529"/>
      <c r="W845" s="529"/>
      <c r="X845" s="529"/>
      <c r="Y845" s="529"/>
      <c r="Z845" s="529"/>
      <c r="AA845" s="529"/>
      <c r="AB845" s="529"/>
      <c r="AC845" s="529"/>
      <c r="AD845" s="529"/>
      <c r="AE845" s="529"/>
      <c r="AF845" s="529"/>
      <c r="AG845" s="529"/>
      <c r="AH845" s="529"/>
      <c r="AI845" s="529"/>
      <c r="AJ845" s="529"/>
      <c r="AK845" s="529"/>
      <c r="AL845" s="529"/>
      <c r="AM845" s="529"/>
      <c r="AN845" s="529"/>
      <c r="AO845" s="529"/>
    </row>
    <row r="846">
      <c r="G846" s="529"/>
      <c r="H846" s="529"/>
      <c r="I846" s="529"/>
      <c r="J846" s="529"/>
      <c r="K846" s="529"/>
      <c r="L846" s="529"/>
      <c r="M846" s="529"/>
      <c r="N846" s="529"/>
      <c r="O846" s="529"/>
      <c r="P846" s="529"/>
      <c r="Q846" s="529"/>
      <c r="R846" s="529"/>
      <c r="S846" s="529"/>
      <c r="T846" s="529"/>
      <c r="U846" s="529"/>
      <c r="V846" s="529"/>
      <c r="W846" s="529"/>
      <c r="X846" s="529"/>
      <c r="Y846" s="529"/>
      <c r="Z846" s="529"/>
      <c r="AA846" s="529"/>
      <c r="AB846" s="529"/>
      <c r="AC846" s="529"/>
      <c r="AD846" s="529"/>
      <c r="AE846" s="529"/>
      <c r="AF846" s="529"/>
      <c r="AG846" s="529"/>
      <c r="AH846" s="529"/>
      <c r="AI846" s="529"/>
      <c r="AJ846" s="529"/>
      <c r="AK846" s="529"/>
      <c r="AL846" s="529"/>
      <c r="AM846" s="529"/>
      <c r="AN846" s="529"/>
      <c r="AO846" s="529"/>
    </row>
    <row r="847">
      <c r="G847" s="529"/>
      <c r="H847" s="529"/>
      <c r="I847" s="529"/>
      <c r="J847" s="529"/>
      <c r="K847" s="529"/>
      <c r="L847" s="529"/>
      <c r="M847" s="529"/>
      <c r="N847" s="529"/>
      <c r="O847" s="529"/>
      <c r="P847" s="529"/>
      <c r="Q847" s="529"/>
      <c r="R847" s="529"/>
      <c r="S847" s="529"/>
      <c r="T847" s="529"/>
      <c r="U847" s="529"/>
      <c r="V847" s="529"/>
      <c r="W847" s="529"/>
      <c r="X847" s="529"/>
      <c r="Y847" s="529"/>
      <c r="Z847" s="529"/>
      <c r="AA847" s="529"/>
      <c r="AB847" s="529"/>
      <c r="AC847" s="529"/>
      <c r="AD847" s="529"/>
      <c r="AE847" s="529"/>
      <c r="AF847" s="529"/>
      <c r="AG847" s="529"/>
      <c r="AH847" s="529"/>
      <c r="AI847" s="529"/>
      <c r="AJ847" s="529"/>
      <c r="AK847" s="529"/>
      <c r="AL847" s="529"/>
      <c r="AM847" s="529"/>
      <c r="AN847" s="529"/>
      <c r="AO847" s="529"/>
    </row>
    <row r="848">
      <c r="G848" s="529"/>
      <c r="H848" s="529"/>
      <c r="I848" s="529"/>
      <c r="J848" s="529"/>
      <c r="K848" s="529"/>
      <c r="L848" s="529"/>
      <c r="M848" s="529"/>
      <c r="N848" s="529"/>
      <c r="O848" s="529"/>
      <c r="P848" s="529"/>
      <c r="Q848" s="529"/>
      <c r="R848" s="529"/>
      <c r="S848" s="529"/>
      <c r="T848" s="529"/>
      <c r="U848" s="529"/>
      <c r="V848" s="529"/>
      <c r="W848" s="529"/>
      <c r="X848" s="529"/>
      <c r="Y848" s="529"/>
      <c r="Z848" s="529"/>
      <c r="AA848" s="529"/>
      <c r="AB848" s="529"/>
      <c r="AC848" s="529"/>
      <c r="AD848" s="529"/>
      <c r="AE848" s="529"/>
      <c r="AF848" s="529"/>
      <c r="AG848" s="529"/>
      <c r="AH848" s="529"/>
      <c r="AI848" s="529"/>
      <c r="AJ848" s="529"/>
      <c r="AK848" s="529"/>
      <c r="AL848" s="529"/>
      <c r="AM848" s="529"/>
      <c r="AN848" s="529"/>
      <c r="AO848" s="529"/>
    </row>
    <row r="849">
      <c r="G849" s="529"/>
      <c r="H849" s="529"/>
      <c r="I849" s="529"/>
      <c r="J849" s="529"/>
      <c r="K849" s="529"/>
      <c r="L849" s="529"/>
      <c r="M849" s="529"/>
      <c r="N849" s="529"/>
      <c r="O849" s="529"/>
      <c r="P849" s="529"/>
      <c r="Q849" s="529"/>
      <c r="R849" s="529"/>
      <c r="S849" s="529"/>
      <c r="T849" s="529"/>
      <c r="U849" s="529"/>
      <c r="V849" s="529"/>
      <c r="W849" s="529"/>
      <c r="X849" s="529"/>
      <c r="Y849" s="529"/>
      <c r="Z849" s="529"/>
      <c r="AA849" s="529"/>
      <c r="AB849" s="529"/>
      <c r="AC849" s="529"/>
      <c r="AD849" s="529"/>
      <c r="AE849" s="529"/>
      <c r="AF849" s="529"/>
      <c r="AG849" s="529"/>
      <c r="AH849" s="529"/>
      <c r="AI849" s="529"/>
      <c r="AJ849" s="529"/>
      <c r="AK849" s="529"/>
      <c r="AL849" s="529"/>
      <c r="AM849" s="529"/>
      <c r="AN849" s="529"/>
      <c r="AO849" s="529"/>
    </row>
    <row r="850">
      <c r="G850" s="529"/>
      <c r="H850" s="529"/>
      <c r="I850" s="529"/>
      <c r="J850" s="529"/>
      <c r="K850" s="529"/>
      <c r="L850" s="529"/>
      <c r="M850" s="529"/>
      <c r="N850" s="529"/>
      <c r="O850" s="529"/>
      <c r="P850" s="529"/>
      <c r="Q850" s="529"/>
      <c r="R850" s="529"/>
      <c r="S850" s="529"/>
      <c r="T850" s="529"/>
      <c r="U850" s="529"/>
      <c r="V850" s="529"/>
      <c r="W850" s="529"/>
      <c r="X850" s="529"/>
      <c r="Y850" s="529"/>
      <c r="Z850" s="529"/>
      <c r="AA850" s="529"/>
      <c r="AB850" s="529"/>
      <c r="AC850" s="529"/>
      <c r="AD850" s="529"/>
      <c r="AE850" s="529"/>
      <c r="AF850" s="529"/>
      <c r="AG850" s="529"/>
      <c r="AH850" s="529"/>
      <c r="AI850" s="529"/>
      <c r="AJ850" s="529"/>
      <c r="AK850" s="529"/>
      <c r="AL850" s="529"/>
      <c r="AM850" s="529"/>
      <c r="AN850" s="529"/>
      <c r="AO850" s="529"/>
    </row>
    <row r="851">
      <c r="G851" s="529"/>
      <c r="H851" s="529"/>
      <c r="I851" s="529"/>
      <c r="J851" s="529"/>
      <c r="K851" s="529"/>
      <c r="L851" s="529"/>
      <c r="M851" s="529"/>
      <c r="N851" s="529"/>
      <c r="O851" s="529"/>
      <c r="P851" s="529"/>
      <c r="Q851" s="529"/>
      <c r="R851" s="529"/>
      <c r="S851" s="529"/>
      <c r="T851" s="529"/>
      <c r="U851" s="529"/>
      <c r="V851" s="529"/>
      <c r="W851" s="529"/>
      <c r="X851" s="529"/>
      <c r="Y851" s="529"/>
      <c r="Z851" s="529"/>
      <c r="AA851" s="529"/>
      <c r="AB851" s="529"/>
      <c r="AC851" s="529"/>
      <c r="AD851" s="529"/>
      <c r="AE851" s="529"/>
      <c r="AF851" s="529"/>
      <c r="AG851" s="529"/>
      <c r="AH851" s="529"/>
      <c r="AI851" s="529"/>
      <c r="AJ851" s="529"/>
      <c r="AK851" s="529"/>
      <c r="AL851" s="529"/>
      <c r="AM851" s="529"/>
      <c r="AN851" s="529"/>
      <c r="AO851" s="529"/>
    </row>
    <row r="852">
      <c r="G852" s="529"/>
      <c r="H852" s="529"/>
      <c r="I852" s="529"/>
      <c r="J852" s="529"/>
      <c r="K852" s="529"/>
      <c r="L852" s="529"/>
      <c r="M852" s="529"/>
      <c r="N852" s="529"/>
      <c r="O852" s="529"/>
      <c r="P852" s="529"/>
      <c r="Q852" s="529"/>
      <c r="R852" s="529"/>
      <c r="S852" s="529"/>
      <c r="T852" s="529"/>
      <c r="U852" s="529"/>
      <c r="V852" s="529"/>
      <c r="W852" s="529"/>
      <c r="X852" s="529"/>
      <c r="Y852" s="529"/>
      <c r="Z852" s="529"/>
      <c r="AA852" s="529"/>
      <c r="AB852" s="529"/>
      <c r="AC852" s="529"/>
      <c r="AD852" s="529"/>
      <c r="AE852" s="529"/>
      <c r="AF852" s="529"/>
      <c r="AG852" s="529"/>
      <c r="AH852" s="529"/>
      <c r="AI852" s="529"/>
      <c r="AJ852" s="529"/>
      <c r="AK852" s="529"/>
      <c r="AL852" s="529"/>
      <c r="AM852" s="529"/>
      <c r="AN852" s="529"/>
      <c r="AO852" s="529"/>
    </row>
    <row r="853">
      <c r="G853" s="529"/>
      <c r="H853" s="529"/>
      <c r="I853" s="529"/>
      <c r="J853" s="529"/>
      <c r="K853" s="529"/>
      <c r="L853" s="529"/>
      <c r="M853" s="529"/>
      <c r="N853" s="529"/>
      <c r="O853" s="529"/>
      <c r="P853" s="529"/>
      <c r="Q853" s="529"/>
      <c r="R853" s="529"/>
      <c r="S853" s="529"/>
      <c r="T853" s="529"/>
      <c r="U853" s="529"/>
      <c r="V853" s="529"/>
      <c r="W853" s="529"/>
      <c r="X853" s="529"/>
      <c r="Y853" s="529"/>
      <c r="Z853" s="529"/>
      <c r="AA853" s="529"/>
      <c r="AB853" s="529"/>
      <c r="AC853" s="529"/>
      <c r="AD853" s="529"/>
      <c r="AE853" s="529"/>
      <c r="AF853" s="529"/>
      <c r="AG853" s="529"/>
      <c r="AH853" s="529"/>
      <c r="AI853" s="529"/>
      <c r="AJ853" s="529"/>
      <c r="AK853" s="529"/>
      <c r="AL853" s="529"/>
      <c r="AM853" s="529"/>
      <c r="AN853" s="529"/>
      <c r="AO853" s="529"/>
    </row>
    <row r="854">
      <c r="G854" s="529"/>
      <c r="H854" s="529"/>
      <c r="I854" s="529"/>
      <c r="J854" s="529"/>
      <c r="K854" s="529"/>
      <c r="L854" s="529"/>
      <c r="M854" s="529"/>
      <c r="N854" s="529"/>
      <c r="O854" s="529"/>
      <c r="P854" s="529"/>
      <c r="Q854" s="529"/>
      <c r="R854" s="529"/>
      <c r="S854" s="529"/>
      <c r="T854" s="529"/>
      <c r="U854" s="529"/>
      <c r="V854" s="529"/>
      <c r="W854" s="529"/>
      <c r="X854" s="529"/>
      <c r="Y854" s="529"/>
      <c r="Z854" s="529"/>
      <c r="AA854" s="529"/>
      <c r="AB854" s="529"/>
      <c r="AC854" s="529"/>
      <c r="AD854" s="529"/>
      <c r="AE854" s="529"/>
      <c r="AF854" s="529"/>
      <c r="AG854" s="529"/>
      <c r="AH854" s="529"/>
      <c r="AI854" s="529"/>
      <c r="AJ854" s="529"/>
      <c r="AK854" s="529"/>
      <c r="AL854" s="529"/>
      <c r="AM854" s="529"/>
      <c r="AN854" s="529"/>
      <c r="AO854" s="529"/>
    </row>
    <row r="855">
      <c r="G855" s="529"/>
      <c r="H855" s="529"/>
      <c r="I855" s="529"/>
      <c r="J855" s="529"/>
      <c r="K855" s="529"/>
      <c r="L855" s="529"/>
      <c r="M855" s="529"/>
      <c r="N855" s="529"/>
      <c r="O855" s="529"/>
      <c r="P855" s="529"/>
      <c r="Q855" s="529"/>
      <c r="R855" s="529"/>
      <c r="S855" s="529"/>
      <c r="T855" s="529"/>
      <c r="U855" s="529"/>
      <c r="V855" s="529"/>
      <c r="W855" s="529"/>
      <c r="X855" s="529"/>
      <c r="Y855" s="529"/>
      <c r="Z855" s="529"/>
      <c r="AA855" s="529"/>
      <c r="AB855" s="529"/>
      <c r="AC855" s="529"/>
      <c r="AD855" s="529"/>
      <c r="AE855" s="529"/>
      <c r="AF855" s="529"/>
      <c r="AG855" s="529"/>
      <c r="AH855" s="529"/>
      <c r="AI855" s="529"/>
      <c r="AJ855" s="529"/>
      <c r="AK855" s="529"/>
      <c r="AL855" s="529"/>
      <c r="AM855" s="529"/>
      <c r="AN855" s="529"/>
      <c r="AO855" s="529"/>
    </row>
    <row r="856">
      <c r="G856" s="529"/>
      <c r="H856" s="529"/>
      <c r="I856" s="529"/>
      <c r="J856" s="529"/>
      <c r="K856" s="529"/>
      <c r="L856" s="529"/>
      <c r="M856" s="529"/>
      <c r="N856" s="529"/>
      <c r="O856" s="529"/>
      <c r="P856" s="529"/>
      <c r="Q856" s="529"/>
      <c r="R856" s="529"/>
      <c r="S856" s="529"/>
      <c r="T856" s="529"/>
      <c r="U856" s="529"/>
      <c r="V856" s="529"/>
      <c r="W856" s="529"/>
      <c r="X856" s="529"/>
      <c r="Y856" s="529"/>
      <c r="Z856" s="529"/>
      <c r="AA856" s="529"/>
      <c r="AB856" s="529"/>
      <c r="AC856" s="529"/>
      <c r="AD856" s="529"/>
      <c r="AE856" s="529"/>
      <c r="AF856" s="529"/>
      <c r="AG856" s="529"/>
      <c r="AH856" s="529"/>
      <c r="AI856" s="529"/>
      <c r="AJ856" s="529"/>
      <c r="AK856" s="529"/>
      <c r="AL856" s="529"/>
      <c r="AM856" s="529"/>
      <c r="AN856" s="529"/>
      <c r="AO856" s="529"/>
    </row>
    <row r="857">
      <c r="G857" s="529"/>
      <c r="H857" s="529"/>
      <c r="I857" s="529"/>
      <c r="J857" s="529"/>
      <c r="K857" s="529"/>
      <c r="L857" s="529"/>
      <c r="M857" s="529"/>
      <c r="N857" s="529"/>
      <c r="O857" s="529"/>
      <c r="P857" s="529"/>
      <c r="Q857" s="529"/>
      <c r="R857" s="529"/>
      <c r="S857" s="529"/>
      <c r="T857" s="529"/>
      <c r="U857" s="529"/>
      <c r="V857" s="529"/>
      <c r="W857" s="529"/>
      <c r="X857" s="529"/>
      <c r="Y857" s="529"/>
      <c r="Z857" s="529"/>
      <c r="AA857" s="529"/>
      <c r="AB857" s="529"/>
      <c r="AC857" s="529"/>
      <c r="AD857" s="529"/>
      <c r="AE857" s="529"/>
      <c r="AF857" s="529"/>
      <c r="AG857" s="529"/>
      <c r="AH857" s="529"/>
      <c r="AI857" s="529"/>
      <c r="AJ857" s="529"/>
      <c r="AK857" s="529"/>
      <c r="AL857" s="529"/>
      <c r="AM857" s="529"/>
      <c r="AN857" s="529"/>
      <c r="AO857" s="529"/>
    </row>
    <row r="858">
      <c r="G858" s="529"/>
      <c r="H858" s="529"/>
      <c r="I858" s="529"/>
      <c r="J858" s="529"/>
      <c r="K858" s="529"/>
      <c r="L858" s="529"/>
      <c r="M858" s="529"/>
      <c r="N858" s="529"/>
      <c r="O858" s="529"/>
      <c r="P858" s="529"/>
      <c r="Q858" s="529"/>
      <c r="R858" s="529"/>
      <c r="S858" s="529"/>
      <c r="T858" s="529"/>
      <c r="U858" s="529"/>
      <c r="V858" s="529"/>
      <c r="W858" s="529"/>
      <c r="X858" s="529"/>
      <c r="Y858" s="529"/>
      <c r="Z858" s="529"/>
      <c r="AA858" s="529"/>
      <c r="AB858" s="529"/>
      <c r="AC858" s="529"/>
      <c r="AD858" s="529"/>
      <c r="AE858" s="529"/>
      <c r="AF858" s="529"/>
      <c r="AG858" s="529"/>
      <c r="AH858" s="529"/>
      <c r="AI858" s="529"/>
      <c r="AJ858" s="529"/>
      <c r="AK858" s="529"/>
      <c r="AL858" s="529"/>
      <c r="AM858" s="529"/>
      <c r="AN858" s="529"/>
      <c r="AO858" s="529"/>
    </row>
    <row r="859">
      <c r="G859" s="529"/>
      <c r="H859" s="529"/>
      <c r="I859" s="529"/>
      <c r="J859" s="529"/>
      <c r="K859" s="529"/>
      <c r="L859" s="529"/>
      <c r="M859" s="529"/>
      <c r="N859" s="529"/>
      <c r="O859" s="529"/>
      <c r="P859" s="529"/>
      <c r="Q859" s="529"/>
      <c r="R859" s="529"/>
      <c r="S859" s="529"/>
      <c r="T859" s="529"/>
      <c r="U859" s="529"/>
      <c r="V859" s="529"/>
      <c r="W859" s="529"/>
      <c r="X859" s="529"/>
      <c r="Y859" s="529"/>
      <c r="Z859" s="529"/>
      <c r="AA859" s="529"/>
      <c r="AB859" s="529"/>
      <c r="AC859" s="529"/>
      <c r="AD859" s="529"/>
      <c r="AE859" s="529"/>
      <c r="AF859" s="529"/>
      <c r="AG859" s="529"/>
      <c r="AH859" s="529"/>
      <c r="AI859" s="529"/>
      <c r="AJ859" s="529"/>
      <c r="AK859" s="529"/>
      <c r="AL859" s="529"/>
      <c r="AM859" s="529"/>
      <c r="AN859" s="529"/>
      <c r="AO859" s="529"/>
    </row>
    <row r="860">
      <c r="G860" s="529"/>
      <c r="H860" s="529"/>
      <c r="I860" s="529"/>
      <c r="J860" s="529"/>
      <c r="K860" s="529"/>
      <c r="L860" s="529"/>
      <c r="M860" s="529"/>
      <c r="N860" s="529"/>
      <c r="O860" s="529"/>
      <c r="P860" s="529"/>
      <c r="Q860" s="529"/>
      <c r="R860" s="529"/>
      <c r="S860" s="529"/>
      <c r="T860" s="529"/>
      <c r="U860" s="529"/>
      <c r="V860" s="529"/>
      <c r="W860" s="529"/>
      <c r="X860" s="529"/>
      <c r="Y860" s="529"/>
      <c r="Z860" s="529"/>
      <c r="AA860" s="529"/>
      <c r="AB860" s="529"/>
      <c r="AC860" s="529"/>
      <c r="AD860" s="529"/>
      <c r="AE860" s="529"/>
      <c r="AF860" s="529"/>
      <c r="AG860" s="529"/>
      <c r="AH860" s="529"/>
      <c r="AI860" s="529"/>
      <c r="AJ860" s="529"/>
      <c r="AK860" s="529"/>
      <c r="AL860" s="529"/>
      <c r="AM860" s="529"/>
      <c r="AN860" s="529"/>
      <c r="AO860" s="529"/>
    </row>
    <row r="861">
      <c r="G861" s="529"/>
      <c r="H861" s="529"/>
      <c r="I861" s="529"/>
      <c r="J861" s="529"/>
      <c r="K861" s="529"/>
      <c r="L861" s="529"/>
      <c r="M861" s="529"/>
      <c r="N861" s="529"/>
      <c r="O861" s="529"/>
      <c r="P861" s="529"/>
      <c r="Q861" s="529"/>
      <c r="R861" s="529"/>
      <c r="S861" s="529"/>
      <c r="T861" s="529"/>
      <c r="U861" s="529"/>
      <c r="V861" s="529"/>
      <c r="W861" s="529"/>
      <c r="X861" s="529"/>
      <c r="Y861" s="529"/>
      <c r="Z861" s="529"/>
      <c r="AA861" s="529"/>
      <c r="AB861" s="529"/>
      <c r="AC861" s="529"/>
      <c r="AD861" s="529"/>
      <c r="AE861" s="529"/>
      <c r="AF861" s="529"/>
      <c r="AG861" s="529"/>
      <c r="AH861" s="529"/>
      <c r="AI861" s="529"/>
      <c r="AJ861" s="529"/>
      <c r="AK861" s="529"/>
      <c r="AL861" s="529"/>
      <c r="AM861" s="529"/>
      <c r="AN861" s="529"/>
      <c r="AO861" s="529"/>
    </row>
    <row r="862">
      <c r="G862" s="529"/>
      <c r="H862" s="529"/>
      <c r="I862" s="529"/>
      <c r="J862" s="529"/>
      <c r="K862" s="529"/>
      <c r="L862" s="529"/>
      <c r="M862" s="529"/>
      <c r="N862" s="529"/>
      <c r="O862" s="529"/>
      <c r="P862" s="529"/>
      <c r="Q862" s="529"/>
      <c r="R862" s="529"/>
      <c r="S862" s="529"/>
      <c r="T862" s="529"/>
      <c r="U862" s="529"/>
      <c r="V862" s="529"/>
      <c r="W862" s="529"/>
      <c r="X862" s="529"/>
      <c r="Y862" s="529"/>
      <c r="Z862" s="529"/>
      <c r="AA862" s="529"/>
      <c r="AB862" s="529"/>
      <c r="AC862" s="529"/>
      <c r="AD862" s="529"/>
      <c r="AE862" s="529"/>
      <c r="AF862" s="529"/>
      <c r="AG862" s="529"/>
      <c r="AH862" s="529"/>
      <c r="AI862" s="529"/>
      <c r="AJ862" s="529"/>
      <c r="AK862" s="529"/>
      <c r="AL862" s="529"/>
      <c r="AM862" s="529"/>
      <c r="AN862" s="529"/>
      <c r="AO862" s="529"/>
    </row>
    <row r="863">
      <c r="G863" s="529"/>
      <c r="H863" s="529"/>
      <c r="I863" s="529"/>
      <c r="J863" s="529"/>
      <c r="K863" s="529"/>
      <c r="L863" s="529"/>
      <c r="M863" s="529"/>
      <c r="N863" s="529"/>
      <c r="O863" s="529"/>
      <c r="P863" s="529"/>
      <c r="Q863" s="529"/>
      <c r="R863" s="529"/>
      <c r="S863" s="529"/>
      <c r="T863" s="529"/>
      <c r="U863" s="529"/>
      <c r="V863" s="529"/>
      <c r="W863" s="529"/>
      <c r="X863" s="529"/>
      <c r="Y863" s="529"/>
      <c r="Z863" s="529"/>
      <c r="AA863" s="529"/>
      <c r="AB863" s="529"/>
      <c r="AC863" s="529"/>
      <c r="AD863" s="529"/>
      <c r="AE863" s="529"/>
      <c r="AF863" s="529"/>
      <c r="AG863" s="529"/>
      <c r="AH863" s="529"/>
      <c r="AI863" s="529"/>
      <c r="AJ863" s="529"/>
      <c r="AK863" s="529"/>
      <c r="AL863" s="529"/>
      <c r="AM863" s="529"/>
      <c r="AN863" s="529"/>
      <c r="AO863" s="529"/>
    </row>
    <row r="864">
      <c r="G864" s="529"/>
      <c r="H864" s="529"/>
      <c r="I864" s="529"/>
      <c r="J864" s="529"/>
      <c r="K864" s="529"/>
      <c r="L864" s="529"/>
      <c r="M864" s="529"/>
      <c r="N864" s="529"/>
      <c r="O864" s="529"/>
      <c r="P864" s="529"/>
      <c r="Q864" s="529"/>
      <c r="R864" s="529"/>
      <c r="S864" s="529"/>
      <c r="T864" s="529"/>
      <c r="U864" s="529"/>
      <c r="V864" s="529"/>
      <c r="W864" s="529"/>
      <c r="X864" s="529"/>
      <c r="Y864" s="529"/>
      <c r="Z864" s="529"/>
      <c r="AA864" s="529"/>
      <c r="AB864" s="529"/>
      <c r="AC864" s="529"/>
      <c r="AD864" s="529"/>
      <c r="AE864" s="529"/>
      <c r="AF864" s="529"/>
      <c r="AG864" s="529"/>
      <c r="AH864" s="529"/>
      <c r="AI864" s="529"/>
      <c r="AJ864" s="529"/>
      <c r="AK864" s="529"/>
      <c r="AL864" s="529"/>
      <c r="AM864" s="529"/>
      <c r="AN864" s="529"/>
      <c r="AO864" s="529"/>
    </row>
    <row r="865">
      <c r="G865" s="529"/>
      <c r="H865" s="529"/>
      <c r="I865" s="529"/>
      <c r="J865" s="529"/>
      <c r="K865" s="529"/>
      <c r="L865" s="529"/>
      <c r="M865" s="529"/>
      <c r="N865" s="529"/>
      <c r="O865" s="529"/>
      <c r="P865" s="529"/>
      <c r="Q865" s="529"/>
      <c r="R865" s="529"/>
      <c r="S865" s="529"/>
      <c r="T865" s="529"/>
      <c r="U865" s="529"/>
      <c r="V865" s="529"/>
      <c r="W865" s="529"/>
      <c r="X865" s="529"/>
      <c r="Y865" s="529"/>
      <c r="Z865" s="529"/>
      <c r="AA865" s="529"/>
      <c r="AB865" s="529"/>
      <c r="AC865" s="529"/>
      <c r="AD865" s="529"/>
      <c r="AE865" s="529"/>
      <c r="AF865" s="529"/>
      <c r="AG865" s="529"/>
      <c r="AH865" s="529"/>
      <c r="AI865" s="529"/>
      <c r="AJ865" s="529"/>
      <c r="AK865" s="529"/>
      <c r="AL865" s="529"/>
      <c r="AM865" s="529"/>
      <c r="AN865" s="529"/>
      <c r="AO865" s="529"/>
    </row>
    <row r="866">
      <c r="G866" s="529"/>
      <c r="H866" s="529"/>
      <c r="I866" s="529"/>
      <c r="J866" s="529"/>
      <c r="K866" s="529"/>
      <c r="L866" s="529"/>
      <c r="M866" s="529"/>
      <c r="N866" s="529"/>
      <c r="O866" s="529"/>
      <c r="P866" s="529"/>
      <c r="Q866" s="529"/>
      <c r="R866" s="529"/>
      <c r="S866" s="529"/>
      <c r="T866" s="529"/>
      <c r="U866" s="529"/>
      <c r="V866" s="529"/>
      <c r="W866" s="529"/>
      <c r="X866" s="529"/>
      <c r="Y866" s="529"/>
      <c r="Z866" s="529"/>
      <c r="AA866" s="529"/>
      <c r="AB866" s="529"/>
      <c r="AC866" s="529"/>
      <c r="AD866" s="529"/>
      <c r="AE866" s="529"/>
      <c r="AF866" s="529"/>
      <c r="AG866" s="529"/>
      <c r="AH866" s="529"/>
      <c r="AI866" s="529"/>
      <c r="AJ866" s="529"/>
      <c r="AK866" s="529"/>
      <c r="AL866" s="529"/>
      <c r="AM866" s="529"/>
      <c r="AN866" s="529"/>
      <c r="AO866" s="529"/>
    </row>
    <row r="867">
      <c r="G867" s="529"/>
      <c r="H867" s="529"/>
      <c r="I867" s="529"/>
      <c r="J867" s="529"/>
      <c r="K867" s="529"/>
      <c r="L867" s="529"/>
      <c r="M867" s="529"/>
      <c r="N867" s="529"/>
      <c r="O867" s="529"/>
      <c r="P867" s="529"/>
      <c r="Q867" s="529"/>
      <c r="R867" s="529"/>
      <c r="S867" s="529"/>
      <c r="T867" s="529"/>
      <c r="U867" s="529"/>
      <c r="V867" s="529"/>
      <c r="W867" s="529"/>
      <c r="X867" s="529"/>
      <c r="Y867" s="529"/>
      <c r="Z867" s="529"/>
      <c r="AA867" s="529"/>
      <c r="AB867" s="529"/>
      <c r="AC867" s="529"/>
      <c r="AD867" s="529"/>
      <c r="AE867" s="529"/>
      <c r="AF867" s="529"/>
      <c r="AG867" s="529"/>
      <c r="AH867" s="529"/>
      <c r="AI867" s="529"/>
      <c r="AJ867" s="529"/>
      <c r="AK867" s="529"/>
      <c r="AL867" s="529"/>
      <c r="AM867" s="529"/>
      <c r="AN867" s="529"/>
      <c r="AO867" s="529"/>
    </row>
    <row r="868">
      <c r="G868" s="529"/>
      <c r="H868" s="529"/>
      <c r="I868" s="529"/>
      <c r="J868" s="529"/>
      <c r="K868" s="529"/>
      <c r="L868" s="529"/>
      <c r="M868" s="529"/>
      <c r="N868" s="529"/>
      <c r="O868" s="529"/>
      <c r="P868" s="529"/>
      <c r="Q868" s="529"/>
      <c r="R868" s="529"/>
      <c r="S868" s="529"/>
      <c r="T868" s="529"/>
      <c r="U868" s="529"/>
      <c r="V868" s="529"/>
      <c r="W868" s="529"/>
      <c r="X868" s="529"/>
      <c r="Y868" s="529"/>
      <c r="Z868" s="529"/>
      <c r="AA868" s="529"/>
      <c r="AB868" s="529"/>
      <c r="AC868" s="529"/>
      <c r="AD868" s="529"/>
      <c r="AE868" s="529"/>
      <c r="AF868" s="529"/>
      <c r="AG868" s="529"/>
      <c r="AH868" s="529"/>
      <c r="AI868" s="529"/>
      <c r="AJ868" s="529"/>
      <c r="AK868" s="529"/>
      <c r="AL868" s="529"/>
      <c r="AM868" s="529"/>
      <c r="AN868" s="529"/>
      <c r="AO868" s="529"/>
    </row>
    <row r="869">
      <c r="G869" s="529"/>
      <c r="H869" s="529"/>
      <c r="I869" s="529"/>
      <c r="J869" s="529"/>
      <c r="K869" s="529"/>
      <c r="L869" s="529"/>
      <c r="M869" s="529"/>
      <c r="N869" s="529"/>
      <c r="O869" s="529"/>
      <c r="P869" s="529"/>
      <c r="Q869" s="529"/>
      <c r="R869" s="529"/>
      <c r="S869" s="529"/>
      <c r="T869" s="529"/>
      <c r="U869" s="529"/>
      <c r="V869" s="529"/>
      <c r="W869" s="529"/>
      <c r="X869" s="529"/>
      <c r="Y869" s="529"/>
      <c r="Z869" s="529"/>
      <c r="AA869" s="529"/>
      <c r="AB869" s="529"/>
      <c r="AC869" s="529"/>
      <c r="AD869" s="529"/>
      <c r="AE869" s="529"/>
      <c r="AF869" s="529"/>
      <c r="AG869" s="529"/>
      <c r="AH869" s="529"/>
      <c r="AI869" s="529"/>
      <c r="AJ869" s="529"/>
      <c r="AK869" s="529"/>
      <c r="AL869" s="529"/>
      <c r="AM869" s="529"/>
      <c r="AN869" s="529"/>
      <c r="AO869" s="529"/>
    </row>
    <row r="870">
      <c r="G870" s="529"/>
      <c r="H870" s="529"/>
      <c r="I870" s="529"/>
      <c r="J870" s="529"/>
      <c r="K870" s="529"/>
      <c r="L870" s="529"/>
      <c r="M870" s="529"/>
      <c r="N870" s="529"/>
      <c r="O870" s="529"/>
      <c r="P870" s="529"/>
      <c r="Q870" s="529"/>
      <c r="R870" s="529"/>
      <c r="S870" s="529"/>
      <c r="T870" s="529"/>
      <c r="U870" s="529"/>
      <c r="V870" s="529"/>
      <c r="W870" s="529"/>
      <c r="X870" s="529"/>
      <c r="Y870" s="529"/>
      <c r="Z870" s="529"/>
      <c r="AA870" s="529"/>
      <c r="AB870" s="529"/>
      <c r="AC870" s="529"/>
      <c r="AD870" s="529"/>
      <c r="AE870" s="529"/>
      <c r="AF870" s="529"/>
      <c r="AG870" s="529"/>
      <c r="AH870" s="529"/>
      <c r="AI870" s="529"/>
      <c r="AJ870" s="529"/>
      <c r="AK870" s="529"/>
      <c r="AL870" s="529"/>
      <c r="AM870" s="529"/>
      <c r="AN870" s="529"/>
      <c r="AO870" s="529"/>
    </row>
    <row r="871">
      <c r="G871" s="529"/>
      <c r="H871" s="529"/>
      <c r="I871" s="529"/>
      <c r="J871" s="529"/>
      <c r="K871" s="529"/>
      <c r="L871" s="529"/>
      <c r="M871" s="529"/>
      <c r="N871" s="529"/>
      <c r="O871" s="529"/>
      <c r="P871" s="529"/>
      <c r="Q871" s="529"/>
      <c r="R871" s="529"/>
      <c r="S871" s="529"/>
      <c r="T871" s="529"/>
      <c r="U871" s="529"/>
      <c r="V871" s="529"/>
      <c r="W871" s="529"/>
      <c r="X871" s="529"/>
      <c r="Y871" s="529"/>
      <c r="Z871" s="529"/>
      <c r="AA871" s="529"/>
      <c r="AB871" s="529"/>
      <c r="AC871" s="529"/>
      <c r="AD871" s="529"/>
      <c r="AE871" s="529"/>
      <c r="AF871" s="529"/>
      <c r="AG871" s="529"/>
      <c r="AH871" s="529"/>
      <c r="AI871" s="529"/>
      <c r="AJ871" s="529"/>
      <c r="AK871" s="529"/>
      <c r="AL871" s="529"/>
      <c r="AM871" s="529"/>
      <c r="AN871" s="529"/>
      <c r="AO871" s="529"/>
    </row>
    <row r="872">
      <c r="G872" s="529"/>
      <c r="H872" s="529"/>
      <c r="I872" s="529"/>
      <c r="J872" s="529"/>
      <c r="K872" s="529"/>
      <c r="L872" s="529"/>
      <c r="M872" s="529"/>
      <c r="N872" s="529"/>
      <c r="O872" s="529"/>
      <c r="P872" s="529"/>
      <c r="Q872" s="529"/>
      <c r="R872" s="529"/>
      <c r="S872" s="529"/>
      <c r="T872" s="529"/>
      <c r="U872" s="529"/>
      <c r="V872" s="529"/>
      <c r="W872" s="529"/>
      <c r="X872" s="529"/>
      <c r="Y872" s="529"/>
      <c r="Z872" s="529"/>
      <c r="AA872" s="529"/>
      <c r="AB872" s="529"/>
      <c r="AC872" s="529"/>
      <c r="AD872" s="529"/>
      <c r="AE872" s="529"/>
      <c r="AF872" s="529"/>
      <c r="AG872" s="529"/>
      <c r="AH872" s="529"/>
      <c r="AI872" s="529"/>
      <c r="AJ872" s="529"/>
      <c r="AK872" s="529"/>
      <c r="AL872" s="529"/>
      <c r="AM872" s="529"/>
      <c r="AN872" s="529"/>
      <c r="AO872" s="529"/>
    </row>
    <row r="873">
      <c r="G873" s="529"/>
      <c r="H873" s="529"/>
      <c r="I873" s="529"/>
      <c r="J873" s="529"/>
      <c r="K873" s="529"/>
      <c r="L873" s="529"/>
      <c r="M873" s="529"/>
      <c r="N873" s="529"/>
      <c r="O873" s="529"/>
      <c r="P873" s="529"/>
      <c r="Q873" s="529"/>
      <c r="R873" s="529"/>
      <c r="S873" s="529"/>
      <c r="T873" s="529"/>
      <c r="U873" s="529"/>
      <c r="V873" s="529"/>
      <c r="W873" s="529"/>
      <c r="X873" s="529"/>
      <c r="Y873" s="529"/>
      <c r="Z873" s="529"/>
      <c r="AA873" s="529"/>
      <c r="AB873" s="529"/>
      <c r="AC873" s="529"/>
      <c r="AD873" s="529"/>
      <c r="AE873" s="529"/>
      <c r="AF873" s="529"/>
      <c r="AG873" s="529"/>
      <c r="AH873" s="529"/>
      <c r="AI873" s="529"/>
      <c r="AJ873" s="529"/>
      <c r="AK873" s="529"/>
      <c r="AL873" s="529"/>
      <c r="AM873" s="529"/>
      <c r="AN873" s="529"/>
      <c r="AO873" s="529"/>
    </row>
    <row r="874">
      <c r="G874" s="529"/>
      <c r="H874" s="529"/>
      <c r="I874" s="529"/>
      <c r="J874" s="529"/>
      <c r="K874" s="529"/>
      <c r="L874" s="529"/>
      <c r="M874" s="529"/>
      <c r="N874" s="529"/>
      <c r="O874" s="529"/>
      <c r="P874" s="529"/>
      <c r="Q874" s="529"/>
      <c r="R874" s="529"/>
      <c r="S874" s="529"/>
      <c r="T874" s="529"/>
      <c r="U874" s="529"/>
      <c r="V874" s="529"/>
      <c r="W874" s="529"/>
      <c r="X874" s="529"/>
      <c r="Y874" s="529"/>
      <c r="Z874" s="529"/>
      <c r="AA874" s="529"/>
      <c r="AB874" s="529"/>
      <c r="AC874" s="529"/>
      <c r="AD874" s="529"/>
      <c r="AE874" s="529"/>
      <c r="AF874" s="529"/>
      <c r="AG874" s="529"/>
      <c r="AH874" s="529"/>
      <c r="AI874" s="529"/>
      <c r="AJ874" s="529"/>
      <c r="AK874" s="529"/>
      <c r="AL874" s="529"/>
      <c r="AM874" s="529"/>
      <c r="AN874" s="529"/>
      <c r="AO874" s="529"/>
    </row>
    <row r="875">
      <c r="G875" s="529"/>
      <c r="H875" s="529"/>
      <c r="I875" s="529"/>
      <c r="J875" s="529"/>
      <c r="K875" s="529"/>
      <c r="L875" s="529"/>
      <c r="M875" s="529"/>
      <c r="N875" s="529"/>
      <c r="O875" s="529"/>
      <c r="P875" s="529"/>
      <c r="Q875" s="529"/>
      <c r="R875" s="529"/>
      <c r="S875" s="529"/>
      <c r="T875" s="529"/>
      <c r="U875" s="529"/>
      <c r="V875" s="529"/>
      <c r="W875" s="529"/>
      <c r="X875" s="529"/>
      <c r="Y875" s="529"/>
      <c r="Z875" s="529"/>
      <c r="AA875" s="529"/>
      <c r="AB875" s="529"/>
      <c r="AC875" s="529"/>
      <c r="AD875" s="529"/>
      <c r="AE875" s="529"/>
      <c r="AF875" s="529"/>
      <c r="AG875" s="529"/>
      <c r="AH875" s="529"/>
      <c r="AI875" s="529"/>
      <c r="AJ875" s="529"/>
      <c r="AK875" s="529"/>
      <c r="AL875" s="529"/>
      <c r="AM875" s="529"/>
      <c r="AN875" s="529"/>
      <c r="AO875" s="529"/>
    </row>
    <row r="876">
      <c r="G876" s="529"/>
      <c r="H876" s="529"/>
      <c r="I876" s="529"/>
      <c r="J876" s="529"/>
      <c r="K876" s="529"/>
      <c r="L876" s="529"/>
      <c r="M876" s="529"/>
      <c r="N876" s="529"/>
      <c r="O876" s="529"/>
      <c r="P876" s="529"/>
      <c r="Q876" s="529"/>
      <c r="R876" s="529"/>
      <c r="S876" s="529"/>
      <c r="T876" s="529"/>
      <c r="U876" s="529"/>
      <c r="V876" s="529"/>
      <c r="W876" s="529"/>
      <c r="X876" s="529"/>
      <c r="Y876" s="529"/>
      <c r="Z876" s="529"/>
      <c r="AA876" s="529"/>
      <c r="AB876" s="529"/>
      <c r="AC876" s="529"/>
      <c r="AD876" s="529"/>
      <c r="AE876" s="529"/>
      <c r="AF876" s="529"/>
      <c r="AG876" s="529"/>
      <c r="AH876" s="529"/>
      <c r="AI876" s="529"/>
      <c r="AJ876" s="529"/>
      <c r="AK876" s="529"/>
      <c r="AL876" s="529"/>
      <c r="AM876" s="529"/>
      <c r="AN876" s="529"/>
      <c r="AO876" s="529"/>
    </row>
    <row r="877">
      <c r="G877" s="529"/>
      <c r="H877" s="529"/>
      <c r="I877" s="529"/>
      <c r="J877" s="529"/>
      <c r="K877" s="529"/>
      <c r="L877" s="529"/>
      <c r="M877" s="529"/>
      <c r="N877" s="529"/>
      <c r="O877" s="529"/>
      <c r="P877" s="529"/>
      <c r="Q877" s="529"/>
      <c r="R877" s="529"/>
      <c r="S877" s="529"/>
      <c r="T877" s="529"/>
      <c r="U877" s="529"/>
      <c r="V877" s="529"/>
      <c r="W877" s="529"/>
      <c r="X877" s="529"/>
      <c r="Y877" s="529"/>
      <c r="Z877" s="529"/>
      <c r="AA877" s="529"/>
      <c r="AB877" s="529"/>
      <c r="AC877" s="529"/>
      <c r="AD877" s="529"/>
      <c r="AE877" s="529"/>
      <c r="AF877" s="529"/>
      <c r="AG877" s="529"/>
      <c r="AH877" s="529"/>
      <c r="AI877" s="529"/>
      <c r="AJ877" s="529"/>
      <c r="AK877" s="529"/>
      <c r="AL877" s="529"/>
      <c r="AM877" s="529"/>
      <c r="AN877" s="529"/>
      <c r="AO877" s="529"/>
    </row>
    <row r="878">
      <c r="G878" s="529"/>
      <c r="H878" s="529"/>
      <c r="I878" s="529"/>
      <c r="J878" s="529"/>
      <c r="K878" s="529"/>
      <c r="L878" s="529"/>
      <c r="M878" s="529"/>
      <c r="N878" s="529"/>
      <c r="O878" s="529"/>
      <c r="P878" s="529"/>
      <c r="Q878" s="529"/>
      <c r="R878" s="529"/>
      <c r="S878" s="529"/>
      <c r="T878" s="529"/>
      <c r="U878" s="529"/>
      <c r="V878" s="529"/>
      <c r="W878" s="529"/>
      <c r="X878" s="529"/>
      <c r="Y878" s="529"/>
      <c r="Z878" s="529"/>
      <c r="AA878" s="529"/>
      <c r="AB878" s="529"/>
      <c r="AC878" s="529"/>
      <c r="AD878" s="529"/>
      <c r="AE878" s="529"/>
      <c r="AF878" s="529"/>
      <c r="AG878" s="529"/>
      <c r="AH878" s="529"/>
      <c r="AI878" s="529"/>
      <c r="AJ878" s="529"/>
      <c r="AK878" s="529"/>
      <c r="AL878" s="529"/>
      <c r="AM878" s="529"/>
      <c r="AN878" s="529"/>
      <c r="AO878" s="529"/>
    </row>
    <row r="879">
      <c r="G879" s="529"/>
      <c r="H879" s="529"/>
      <c r="I879" s="529"/>
      <c r="J879" s="529"/>
      <c r="K879" s="529"/>
      <c r="L879" s="529"/>
      <c r="M879" s="529"/>
      <c r="N879" s="529"/>
      <c r="O879" s="529"/>
      <c r="P879" s="529"/>
      <c r="Q879" s="529"/>
      <c r="R879" s="529"/>
      <c r="S879" s="529"/>
      <c r="T879" s="529"/>
      <c r="U879" s="529"/>
      <c r="V879" s="529"/>
      <c r="W879" s="529"/>
      <c r="X879" s="529"/>
      <c r="Y879" s="529"/>
      <c r="Z879" s="529"/>
      <c r="AA879" s="529"/>
      <c r="AB879" s="529"/>
      <c r="AC879" s="529"/>
      <c r="AD879" s="529"/>
      <c r="AE879" s="529"/>
      <c r="AF879" s="529"/>
      <c r="AG879" s="529"/>
      <c r="AH879" s="529"/>
      <c r="AI879" s="529"/>
      <c r="AJ879" s="529"/>
      <c r="AK879" s="529"/>
      <c r="AL879" s="529"/>
      <c r="AM879" s="529"/>
      <c r="AN879" s="529"/>
      <c r="AO879" s="529"/>
    </row>
    <row r="880">
      <c r="G880" s="529"/>
      <c r="H880" s="529"/>
      <c r="I880" s="529"/>
      <c r="J880" s="529"/>
      <c r="K880" s="529"/>
      <c r="L880" s="529"/>
      <c r="M880" s="529"/>
      <c r="N880" s="529"/>
      <c r="O880" s="529"/>
      <c r="P880" s="529"/>
      <c r="Q880" s="529"/>
      <c r="R880" s="529"/>
      <c r="S880" s="529"/>
      <c r="T880" s="529"/>
      <c r="U880" s="529"/>
      <c r="V880" s="529"/>
      <c r="W880" s="529"/>
      <c r="X880" s="529"/>
      <c r="Y880" s="529"/>
      <c r="Z880" s="529"/>
      <c r="AA880" s="529"/>
      <c r="AB880" s="529"/>
      <c r="AC880" s="529"/>
      <c r="AD880" s="529"/>
      <c r="AE880" s="529"/>
      <c r="AF880" s="529"/>
      <c r="AG880" s="529"/>
      <c r="AH880" s="529"/>
      <c r="AI880" s="529"/>
      <c r="AJ880" s="529"/>
      <c r="AK880" s="529"/>
      <c r="AL880" s="529"/>
      <c r="AM880" s="529"/>
      <c r="AN880" s="529"/>
      <c r="AO880" s="529"/>
    </row>
    <row r="881">
      <c r="G881" s="529"/>
      <c r="H881" s="529"/>
      <c r="I881" s="529"/>
      <c r="J881" s="529"/>
      <c r="K881" s="529"/>
      <c r="L881" s="529"/>
      <c r="M881" s="529"/>
      <c r="N881" s="529"/>
      <c r="O881" s="529"/>
      <c r="P881" s="529"/>
      <c r="Q881" s="529"/>
      <c r="R881" s="529"/>
      <c r="S881" s="529"/>
      <c r="T881" s="529"/>
      <c r="U881" s="529"/>
      <c r="V881" s="529"/>
      <c r="W881" s="529"/>
      <c r="X881" s="529"/>
      <c r="Y881" s="529"/>
      <c r="Z881" s="529"/>
      <c r="AA881" s="529"/>
      <c r="AB881" s="529"/>
      <c r="AC881" s="529"/>
      <c r="AD881" s="529"/>
      <c r="AE881" s="529"/>
      <c r="AF881" s="529"/>
      <c r="AG881" s="529"/>
      <c r="AH881" s="529"/>
      <c r="AI881" s="529"/>
      <c r="AJ881" s="529"/>
      <c r="AK881" s="529"/>
      <c r="AL881" s="529"/>
      <c r="AM881" s="529"/>
      <c r="AN881" s="529"/>
      <c r="AO881" s="529"/>
    </row>
    <row r="882">
      <c r="G882" s="529"/>
      <c r="H882" s="529"/>
      <c r="I882" s="529"/>
      <c r="J882" s="529"/>
      <c r="K882" s="529"/>
      <c r="L882" s="529"/>
      <c r="M882" s="529"/>
      <c r="N882" s="529"/>
      <c r="O882" s="529"/>
      <c r="P882" s="529"/>
      <c r="Q882" s="529"/>
      <c r="R882" s="529"/>
      <c r="S882" s="529"/>
      <c r="T882" s="529"/>
      <c r="U882" s="529"/>
      <c r="V882" s="529"/>
      <c r="W882" s="529"/>
      <c r="X882" s="529"/>
      <c r="Y882" s="529"/>
      <c r="Z882" s="529"/>
      <c r="AA882" s="529"/>
      <c r="AB882" s="529"/>
      <c r="AC882" s="529"/>
      <c r="AD882" s="529"/>
      <c r="AE882" s="529"/>
      <c r="AF882" s="529"/>
      <c r="AG882" s="529"/>
      <c r="AH882" s="529"/>
      <c r="AI882" s="529"/>
      <c r="AJ882" s="529"/>
      <c r="AK882" s="529"/>
      <c r="AL882" s="529"/>
      <c r="AM882" s="529"/>
      <c r="AN882" s="529"/>
      <c r="AO882" s="529"/>
    </row>
    <row r="883">
      <c r="G883" s="529"/>
      <c r="H883" s="529"/>
      <c r="I883" s="529"/>
      <c r="J883" s="529"/>
      <c r="K883" s="529"/>
      <c r="L883" s="529"/>
      <c r="M883" s="529"/>
      <c r="N883" s="529"/>
      <c r="O883" s="529"/>
      <c r="P883" s="529"/>
      <c r="Q883" s="529"/>
      <c r="R883" s="529"/>
      <c r="S883" s="529"/>
      <c r="T883" s="529"/>
      <c r="U883" s="529"/>
      <c r="V883" s="529"/>
      <c r="W883" s="529"/>
      <c r="X883" s="529"/>
      <c r="Y883" s="529"/>
      <c r="Z883" s="529"/>
      <c r="AA883" s="529"/>
      <c r="AB883" s="529"/>
      <c r="AC883" s="529"/>
      <c r="AD883" s="529"/>
      <c r="AE883" s="529"/>
      <c r="AF883" s="529"/>
      <c r="AG883" s="529"/>
      <c r="AH883" s="529"/>
      <c r="AI883" s="529"/>
      <c r="AJ883" s="529"/>
      <c r="AK883" s="529"/>
      <c r="AL883" s="529"/>
      <c r="AM883" s="529"/>
      <c r="AN883" s="529"/>
      <c r="AO883" s="529"/>
    </row>
    <row r="884">
      <c r="G884" s="529"/>
      <c r="H884" s="529"/>
      <c r="I884" s="529"/>
      <c r="J884" s="529"/>
      <c r="K884" s="529"/>
      <c r="L884" s="529"/>
      <c r="M884" s="529"/>
      <c r="N884" s="529"/>
      <c r="O884" s="529"/>
      <c r="P884" s="529"/>
      <c r="Q884" s="529"/>
      <c r="R884" s="529"/>
      <c r="S884" s="529"/>
      <c r="T884" s="529"/>
      <c r="U884" s="529"/>
      <c r="V884" s="529"/>
      <c r="W884" s="529"/>
      <c r="X884" s="529"/>
      <c r="Y884" s="529"/>
      <c r="Z884" s="529"/>
      <c r="AA884" s="529"/>
      <c r="AB884" s="529"/>
      <c r="AC884" s="529"/>
      <c r="AD884" s="529"/>
      <c r="AE884" s="529"/>
      <c r="AF884" s="529"/>
      <c r="AG884" s="529"/>
      <c r="AH884" s="529"/>
      <c r="AI884" s="529"/>
      <c r="AJ884" s="529"/>
      <c r="AK884" s="529"/>
      <c r="AL884" s="529"/>
      <c r="AM884" s="529"/>
      <c r="AN884" s="529"/>
      <c r="AO884" s="529"/>
    </row>
    <row r="885">
      <c r="G885" s="529"/>
      <c r="H885" s="529"/>
      <c r="I885" s="529"/>
      <c r="J885" s="529"/>
      <c r="K885" s="529"/>
      <c r="L885" s="529"/>
      <c r="M885" s="529"/>
      <c r="N885" s="529"/>
      <c r="O885" s="529"/>
      <c r="P885" s="529"/>
      <c r="Q885" s="529"/>
      <c r="R885" s="529"/>
      <c r="S885" s="529"/>
      <c r="T885" s="529"/>
      <c r="U885" s="529"/>
      <c r="V885" s="529"/>
      <c r="W885" s="529"/>
      <c r="X885" s="529"/>
      <c r="Y885" s="529"/>
      <c r="Z885" s="529"/>
      <c r="AA885" s="529"/>
      <c r="AB885" s="529"/>
      <c r="AC885" s="529"/>
      <c r="AD885" s="529"/>
      <c r="AE885" s="529"/>
      <c r="AF885" s="529"/>
      <c r="AG885" s="529"/>
      <c r="AH885" s="529"/>
      <c r="AI885" s="529"/>
      <c r="AJ885" s="529"/>
      <c r="AK885" s="529"/>
      <c r="AL885" s="529"/>
      <c r="AM885" s="529"/>
      <c r="AN885" s="529"/>
      <c r="AO885" s="529"/>
    </row>
    <row r="886">
      <c r="G886" s="529"/>
      <c r="H886" s="529"/>
      <c r="I886" s="529"/>
      <c r="J886" s="529"/>
      <c r="K886" s="529"/>
      <c r="L886" s="529"/>
      <c r="M886" s="529"/>
      <c r="N886" s="529"/>
      <c r="O886" s="529"/>
      <c r="P886" s="529"/>
      <c r="Q886" s="529"/>
      <c r="R886" s="529"/>
      <c r="S886" s="529"/>
      <c r="T886" s="529"/>
      <c r="U886" s="529"/>
      <c r="V886" s="529"/>
      <c r="W886" s="529"/>
      <c r="X886" s="529"/>
      <c r="Y886" s="529"/>
      <c r="Z886" s="529"/>
      <c r="AA886" s="529"/>
      <c r="AB886" s="529"/>
      <c r="AC886" s="529"/>
      <c r="AD886" s="529"/>
      <c r="AE886" s="529"/>
      <c r="AF886" s="529"/>
      <c r="AG886" s="529"/>
      <c r="AH886" s="529"/>
      <c r="AI886" s="529"/>
      <c r="AJ886" s="529"/>
      <c r="AK886" s="529"/>
      <c r="AL886" s="529"/>
      <c r="AM886" s="529"/>
      <c r="AN886" s="529"/>
      <c r="AO886" s="529"/>
    </row>
    <row r="887">
      <c r="G887" s="529"/>
      <c r="H887" s="529"/>
      <c r="I887" s="529"/>
      <c r="J887" s="529"/>
      <c r="K887" s="529"/>
      <c r="L887" s="529"/>
      <c r="M887" s="529"/>
      <c r="N887" s="529"/>
      <c r="O887" s="529"/>
      <c r="P887" s="529"/>
      <c r="Q887" s="529"/>
      <c r="R887" s="529"/>
      <c r="S887" s="529"/>
      <c r="T887" s="529"/>
      <c r="U887" s="529"/>
      <c r="V887" s="529"/>
      <c r="W887" s="529"/>
      <c r="X887" s="529"/>
      <c r="Y887" s="529"/>
      <c r="Z887" s="529"/>
      <c r="AA887" s="529"/>
      <c r="AB887" s="529"/>
      <c r="AC887" s="529"/>
      <c r="AD887" s="529"/>
      <c r="AE887" s="529"/>
      <c r="AF887" s="529"/>
      <c r="AG887" s="529"/>
      <c r="AH887" s="529"/>
      <c r="AI887" s="529"/>
      <c r="AJ887" s="529"/>
      <c r="AK887" s="529"/>
      <c r="AL887" s="529"/>
      <c r="AM887" s="529"/>
      <c r="AN887" s="529"/>
      <c r="AO887" s="529"/>
    </row>
    <row r="888">
      <c r="G888" s="529"/>
      <c r="H888" s="529"/>
      <c r="I888" s="529"/>
      <c r="J888" s="529"/>
      <c r="K888" s="529"/>
      <c r="L888" s="529"/>
      <c r="M888" s="529"/>
      <c r="N888" s="529"/>
      <c r="O888" s="529"/>
      <c r="P888" s="529"/>
      <c r="Q888" s="529"/>
      <c r="R888" s="529"/>
      <c r="S888" s="529"/>
      <c r="T888" s="529"/>
      <c r="U888" s="529"/>
      <c r="V888" s="529"/>
      <c r="W888" s="529"/>
      <c r="X888" s="529"/>
      <c r="Y888" s="529"/>
      <c r="Z888" s="529"/>
      <c r="AA888" s="529"/>
      <c r="AB888" s="529"/>
      <c r="AC888" s="529"/>
      <c r="AD888" s="529"/>
      <c r="AE888" s="529"/>
      <c r="AF888" s="529"/>
      <c r="AG888" s="529"/>
      <c r="AH888" s="529"/>
      <c r="AI888" s="529"/>
      <c r="AJ888" s="529"/>
      <c r="AK888" s="529"/>
      <c r="AL888" s="529"/>
      <c r="AM888" s="529"/>
      <c r="AN888" s="529"/>
      <c r="AO888" s="529"/>
    </row>
    <row r="889">
      <c r="G889" s="529"/>
      <c r="H889" s="529"/>
      <c r="I889" s="529"/>
      <c r="J889" s="529"/>
      <c r="K889" s="529"/>
      <c r="L889" s="529"/>
      <c r="M889" s="529"/>
      <c r="N889" s="529"/>
      <c r="O889" s="529"/>
      <c r="P889" s="529"/>
      <c r="Q889" s="529"/>
      <c r="R889" s="529"/>
      <c r="S889" s="529"/>
      <c r="T889" s="529"/>
      <c r="U889" s="529"/>
      <c r="V889" s="529"/>
      <c r="W889" s="529"/>
      <c r="X889" s="529"/>
      <c r="Y889" s="529"/>
      <c r="Z889" s="529"/>
      <c r="AA889" s="529"/>
      <c r="AB889" s="529"/>
      <c r="AC889" s="529"/>
      <c r="AD889" s="529"/>
      <c r="AE889" s="529"/>
      <c r="AF889" s="529"/>
      <c r="AG889" s="529"/>
      <c r="AH889" s="529"/>
      <c r="AI889" s="529"/>
      <c r="AJ889" s="529"/>
      <c r="AK889" s="529"/>
      <c r="AL889" s="529"/>
      <c r="AM889" s="529"/>
      <c r="AN889" s="529"/>
      <c r="AO889" s="529"/>
    </row>
    <row r="890">
      <c r="G890" s="529"/>
      <c r="H890" s="529"/>
      <c r="I890" s="529"/>
      <c r="J890" s="529"/>
      <c r="K890" s="529"/>
      <c r="L890" s="529"/>
      <c r="M890" s="529"/>
      <c r="N890" s="529"/>
      <c r="O890" s="529"/>
      <c r="P890" s="529"/>
      <c r="Q890" s="529"/>
      <c r="R890" s="529"/>
      <c r="S890" s="529"/>
      <c r="T890" s="529"/>
      <c r="U890" s="529"/>
      <c r="V890" s="529"/>
      <c r="W890" s="529"/>
      <c r="X890" s="529"/>
      <c r="Y890" s="529"/>
      <c r="Z890" s="529"/>
      <c r="AA890" s="529"/>
      <c r="AB890" s="529"/>
      <c r="AC890" s="529"/>
      <c r="AD890" s="529"/>
      <c r="AE890" s="529"/>
      <c r="AF890" s="529"/>
      <c r="AG890" s="529"/>
      <c r="AH890" s="529"/>
      <c r="AI890" s="529"/>
      <c r="AJ890" s="529"/>
      <c r="AK890" s="529"/>
      <c r="AL890" s="529"/>
      <c r="AM890" s="529"/>
      <c r="AN890" s="529"/>
      <c r="AO890" s="529"/>
    </row>
    <row r="891">
      <c r="G891" s="529"/>
      <c r="H891" s="529"/>
      <c r="I891" s="529"/>
      <c r="J891" s="529"/>
      <c r="K891" s="529"/>
      <c r="L891" s="529"/>
      <c r="M891" s="529"/>
      <c r="N891" s="529"/>
      <c r="O891" s="529"/>
      <c r="P891" s="529"/>
      <c r="Q891" s="529"/>
      <c r="R891" s="529"/>
      <c r="S891" s="529"/>
      <c r="T891" s="529"/>
      <c r="U891" s="529"/>
      <c r="V891" s="529"/>
      <c r="W891" s="529"/>
      <c r="X891" s="529"/>
      <c r="Y891" s="529"/>
      <c r="Z891" s="529"/>
      <c r="AA891" s="529"/>
      <c r="AB891" s="529"/>
      <c r="AC891" s="529"/>
      <c r="AD891" s="529"/>
      <c r="AE891" s="529"/>
      <c r="AF891" s="529"/>
      <c r="AG891" s="529"/>
      <c r="AH891" s="529"/>
      <c r="AI891" s="529"/>
      <c r="AJ891" s="529"/>
      <c r="AK891" s="529"/>
      <c r="AL891" s="529"/>
      <c r="AM891" s="529"/>
      <c r="AN891" s="529"/>
      <c r="AO891" s="529"/>
    </row>
    <row r="892">
      <c r="G892" s="529"/>
      <c r="H892" s="529"/>
      <c r="I892" s="529"/>
      <c r="J892" s="529"/>
      <c r="K892" s="529"/>
      <c r="L892" s="529"/>
      <c r="M892" s="529"/>
      <c r="N892" s="529"/>
      <c r="O892" s="529"/>
      <c r="P892" s="529"/>
      <c r="Q892" s="529"/>
      <c r="R892" s="529"/>
      <c r="S892" s="529"/>
      <c r="T892" s="529"/>
      <c r="U892" s="529"/>
      <c r="V892" s="529"/>
      <c r="W892" s="529"/>
      <c r="X892" s="529"/>
      <c r="Y892" s="529"/>
      <c r="Z892" s="529"/>
      <c r="AA892" s="529"/>
      <c r="AB892" s="529"/>
      <c r="AC892" s="529"/>
      <c r="AD892" s="529"/>
      <c r="AE892" s="529"/>
      <c r="AF892" s="529"/>
      <c r="AG892" s="529"/>
      <c r="AH892" s="529"/>
      <c r="AI892" s="529"/>
      <c r="AJ892" s="529"/>
      <c r="AK892" s="529"/>
      <c r="AL892" s="529"/>
      <c r="AM892" s="529"/>
      <c r="AN892" s="529"/>
      <c r="AO892" s="529"/>
    </row>
    <row r="893">
      <c r="G893" s="529"/>
      <c r="H893" s="529"/>
      <c r="I893" s="529"/>
      <c r="J893" s="529"/>
      <c r="K893" s="529"/>
      <c r="L893" s="529"/>
      <c r="M893" s="529"/>
      <c r="N893" s="529"/>
      <c r="O893" s="529"/>
      <c r="P893" s="529"/>
      <c r="Q893" s="529"/>
      <c r="R893" s="529"/>
      <c r="S893" s="529"/>
      <c r="T893" s="529"/>
      <c r="U893" s="529"/>
      <c r="V893" s="529"/>
      <c r="W893" s="529"/>
      <c r="X893" s="529"/>
      <c r="Y893" s="529"/>
      <c r="Z893" s="529"/>
      <c r="AA893" s="529"/>
      <c r="AB893" s="529"/>
      <c r="AC893" s="529"/>
      <c r="AD893" s="529"/>
      <c r="AE893" s="529"/>
      <c r="AF893" s="529"/>
      <c r="AG893" s="529"/>
      <c r="AH893" s="529"/>
      <c r="AI893" s="529"/>
      <c r="AJ893" s="529"/>
      <c r="AK893" s="529"/>
      <c r="AL893" s="529"/>
      <c r="AM893" s="529"/>
      <c r="AN893" s="529"/>
      <c r="AO893" s="529"/>
    </row>
    <row r="894">
      <c r="G894" s="529"/>
      <c r="H894" s="529"/>
      <c r="I894" s="529"/>
      <c r="J894" s="529"/>
      <c r="K894" s="529"/>
      <c r="L894" s="529"/>
      <c r="M894" s="529"/>
      <c r="N894" s="529"/>
      <c r="O894" s="529"/>
      <c r="P894" s="529"/>
      <c r="Q894" s="529"/>
      <c r="R894" s="529"/>
      <c r="S894" s="529"/>
      <c r="T894" s="529"/>
      <c r="U894" s="529"/>
      <c r="V894" s="529"/>
      <c r="W894" s="529"/>
      <c r="X894" s="529"/>
      <c r="Y894" s="529"/>
      <c r="Z894" s="529"/>
      <c r="AA894" s="529"/>
      <c r="AB894" s="529"/>
      <c r="AC894" s="529"/>
      <c r="AD894" s="529"/>
      <c r="AE894" s="529"/>
      <c r="AF894" s="529"/>
      <c r="AG894" s="529"/>
      <c r="AH894" s="529"/>
      <c r="AI894" s="529"/>
      <c r="AJ894" s="529"/>
      <c r="AK894" s="529"/>
      <c r="AL894" s="529"/>
      <c r="AM894" s="529"/>
      <c r="AN894" s="529"/>
      <c r="AO894" s="529"/>
    </row>
    <row r="895">
      <c r="G895" s="529"/>
      <c r="H895" s="529"/>
      <c r="I895" s="529"/>
      <c r="J895" s="529"/>
      <c r="K895" s="529"/>
      <c r="L895" s="529"/>
      <c r="M895" s="529"/>
      <c r="N895" s="529"/>
      <c r="O895" s="529"/>
      <c r="P895" s="529"/>
      <c r="Q895" s="529"/>
      <c r="R895" s="529"/>
      <c r="S895" s="529"/>
      <c r="T895" s="529"/>
      <c r="U895" s="529"/>
      <c r="V895" s="529"/>
      <c r="W895" s="529"/>
      <c r="X895" s="529"/>
      <c r="Y895" s="529"/>
      <c r="Z895" s="529"/>
      <c r="AA895" s="529"/>
      <c r="AB895" s="529"/>
      <c r="AC895" s="529"/>
      <c r="AD895" s="529"/>
      <c r="AE895" s="529"/>
      <c r="AF895" s="529"/>
      <c r="AG895" s="529"/>
      <c r="AH895" s="529"/>
      <c r="AI895" s="529"/>
      <c r="AJ895" s="529"/>
      <c r="AK895" s="529"/>
      <c r="AL895" s="529"/>
      <c r="AM895" s="529"/>
      <c r="AN895" s="529"/>
      <c r="AO895" s="529"/>
    </row>
    <row r="896">
      <c r="G896" s="529"/>
      <c r="H896" s="529"/>
      <c r="I896" s="529"/>
      <c r="J896" s="529"/>
      <c r="K896" s="529"/>
      <c r="L896" s="529"/>
      <c r="M896" s="529"/>
      <c r="N896" s="529"/>
      <c r="O896" s="529"/>
      <c r="P896" s="529"/>
      <c r="Q896" s="529"/>
      <c r="R896" s="529"/>
      <c r="S896" s="529"/>
      <c r="T896" s="529"/>
      <c r="U896" s="529"/>
      <c r="V896" s="529"/>
      <c r="W896" s="529"/>
      <c r="X896" s="529"/>
      <c r="Y896" s="529"/>
      <c r="Z896" s="529"/>
      <c r="AA896" s="529"/>
      <c r="AB896" s="529"/>
      <c r="AC896" s="529"/>
      <c r="AD896" s="529"/>
      <c r="AE896" s="529"/>
      <c r="AF896" s="529"/>
      <c r="AG896" s="529"/>
      <c r="AH896" s="529"/>
      <c r="AI896" s="529"/>
      <c r="AJ896" s="529"/>
      <c r="AK896" s="529"/>
      <c r="AL896" s="529"/>
      <c r="AM896" s="529"/>
      <c r="AN896" s="529"/>
      <c r="AO896" s="529"/>
    </row>
    <row r="897">
      <c r="G897" s="529"/>
      <c r="H897" s="529"/>
      <c r="I897" s="529"/>
      <c r="J897" s="529"/>
      <c r="K897" s="529"/>
      <c r="L897" s="529"/>
      <c r="M897" s="529"/>
      <c r="N897" s="529"/>
      <c r="O897" s="529"/>
      <c r="P897" s="529"/>
      <c r="Q897" s="529"/>
      <c r="R897" s="529"/>
      <c r="S897" s="529"/>
      <c r="T897" s="529"/>
      <c r="U897" s="529"/>
      <c r="V897" s="529"/>
      <c r="W897" s="529"/>
      <c r="X897" s="529"/>
      <c r="Y897" s="529"/>
      <c r="Z897" s="529"/>
      <c r="AA897" s="529"/>
      <c r="AB897" s="529"/>
      <c r="AC897" s="529"/>
      <c r="AD897" s="529"/>
      <c r="AE897" s="529"/>
      <c r="AF897" s="529"/>
      <c r="AG897" s="529"/>
      <c r="AH897" s="529"/>
      <c r="AI897" s="529"/>
      <c r="AJ897" s="529"/>
      <c r="AK897" s="529"/>
      <c r="AL897" s="529"/>
      <c r="AM897" s="529"/>
      <c r="AN897" s="529"/>
      <c r="AO897" s="529"/>
    </row>
    <row r="898">
      <c r="G898" s="529"/>
      <c r="H898" s="529"/>
      <c r="I898" s="529"/>
      <c r="J898" s="529"/>
      <c r="K898" s="529"/>
      <c r="L898" s="529"/>
      <c r="M898" s="529"/>
      <c r="N898" s="529"/>
      <c r="O898" s="529"/>
      <c r="P898" s="529"/>
      <c r="Q898" s="529"/>
      <c r="R898" s="529"/>
      <c r="S898" s="529"/>
      <c r="T898" s="529"/>
      <c r="U898" s="529"/>
      <c r="V898" s="529"/>
      <c r="W898" s="529"/>
      <c r="X898" s="529"/>
      <c r="Y898" s="529"/>
      <c r="Z898" s="529"/>
      <c r="AA898" s="529"/>
      <c r="AB898" s="529"/>
      <c r="AC898" s="529"/>
      <c r="AD898" s="529"/>
      <c r="AE898" s="529"/>
      <c r="AF898" s="529"/>
      <c r="AG898" s="529"/>
      <c r="AH898" s="529"/>
      <c r="AI898" s="529"/>
      <c r="AJ898" s="529"/>
      <c r="AK898" s="529"/>
      <c r="AL898" s="529"/>
      <c r="AM898" s="529"/>
      <c r="AN898" s="529"/>
      <c r="AO898" s="529"/>
    </row>
    <row r="899">
      <c r="G899" s="529"/>
      <c r="H899" s="529"/>
      <c r="I899" s="529"/>
      <c r="J899" s="529"/>
      <c r="K899" s="529"/>
      <c r="L899" s="529"/>
      <c r="M899" s="529"/>
      <c r="N899" s="529"/>
      <c r="O899" s="529"/>
      <c r="P899" s="529"/>
      <c r="Q899" s="529"/>
      <c r="R899" s="529"/>
      <c r="S899" s="529"/>
      <c r="T899" s="529"/>
      <c r="U899" s="529"/>
      <c r="V899" s="529"/>
      <c r="W899" s="529"/>
      <c r="X899" s="529"/>
      <c r="Y899" s="529"/>
      <c r="Z899" s="529"/>
      <c r="AA899" s="529"/>
      <c r="AB899" s="529"/>
      <c r="AC899" s="529"/>
      <c r="AD899" s="529"/>
      <c r="AE899" s="529"/>
      <c r="AF899" s="529"/>
      <c r="AG899" s="529"/>
      <c r="AH899" s="529"/>
      <c r="AI899" s="529"/>
      <c r="AJ899" s="529"/>
      <c r="AK899" s="529"/>
      <c r="AL899" s="529"/>
      <c r="AM899" s="529"/>
      <c r="AN899" s="529"/>
      <c r="AO899" s="529"/>
    </row>
    <row r="900">
      <c r="G900" s="529"/>
      <c r="H900" s="529"/>
      <c r="I900" s="529"/>
      <c r="J900" s="529"/>
      <c r="K900" s="529"/>
      <c r="L900" s="529"/>
      <c r="M900" s="529"/>
      <c r="N900" s="529"/>
      <c r="O900" s="529"/>
      <c r="P900" s="529"/>
      <c r="Q900" s="529"/>
      <c r="R900" s="529"/>
      <c r="S900" s="529"/>
      <c r="T900" s="529"/>
      <c r="U900" s="529"/>
      <c r="V900" s="529"/>
      <c r="W900" s="529"/>
      <c r="X900" s="529"/>
      <c r="Y900" s="529"/>
      <c r="Z900" s="529"/>
      <c r="AA900" s="529"/>
      <c r="AB900" s="529"/>
      <c r="AC900" s="529"/>
      <c r="AD900" s="529"/>
      <c r="AE900" s="529"/>
      <c r="AF900" s="529"/>
      <c r="AG900" s="529"/>
      <c r="AH900" s="529"/>
      <c r="AI900" s="529"/>
      <c r="AJ900" s="529"/>
      <c r="AK900" s="529"/>
      <c r="AL900" s="529"/>
      <c r="AM900" s="529"/>
      <c r="AN900" s="529"/>
      <c r="AO900" s="529"/>
    </row>
    <row r="901">
      <c r="G901" s="529"/>
      <c r="H901" s="529"/>
      <c r="I901" s="529"/>
      <c r="J901" s="529"/>
      <c r="K901" s="529"/>
      <c r="L901" s="529"/>
      <c r="M901" s="529"/>
      <c r="N901" s="529"/>
      <c r="O901" s="529"/>
      <c r="P901" s="529"/>
      <c r="Q901" s="529"/>
      <c r="R901" s="529"/>
      <c r="S901" s="529"/>
      <c r="T901" s="529"/>
      <c r="U901" s="529"/>
      <c r="V901" s="529"/>
      <c r="W901" s="529"/>
      <c r="X901" s="529"/>
      <c r="Y901" s="529"/>
      <c r="Z901" s="529"/>
      <c r="AA901" s="529"/>
      <c r="AB901" s="529"/>
      <c r="AC901" s="529"/>
      <c r="AD901" s="529"/>
      <c r="AE901" s="529"/>
      <c r="AF901" s="529"/>
      <c r="AG901" s="529"/>
      <c r="AH901" s="529"/>
      <c r="AI901" s="529"/>
      <c r="AJ901" s="529"/>
      <c r="AK901" s="529"/>
      <c r="AL901" s="529"/>
      <c r="AM901" s="529"/>
      <c r="AN901" s="529"/>
      <c r="AO901" s="529"/>
    </row>
    <row r="902">
      <c r="G902" s="529"/>
      <c r="H902" s="529"/>
      <c r="I902" s="529"/>
      <c r="J902" s="529"/>
      <c r="K902" s="529"/>
      <c r="L902" s="529"/>
      <c r="M902" s="529"/>
      <c r="N902" s="529"/>
      <c r="O902" s="529"/>
      <c r="P902" s="529"/>
      <c r="Q902" s="529"/>
      <c r="R902" s="529"/>
      <c r="S902" s="529"/>
      <c r="T902" s="529"/>
      <c r="U902" s="529"/>
      <c r="V902" s="529"/>
      <c r="W902" s="529"/>
      <c r="X902" s="529"/>
      <c r="Y902" s="529"/>
      <c r="Z902" s="529"/>
      <c r="AA902" s="529"/>
      <c r="AB902" s="529"/>
      <c r="AC902" s="529"/>
      <c r="AD902" s="529"/>
      <c r="AE902" s="529"/>
      <c r="AF902" s="529"/>
      <c r="AG902" s="529"/>
      <c r="AH902" s="529"/>
      <c r="AI902" s="529"/>
      <c r="AJ902" s="529"/>
      <c r="AK902" s="529"/>
      <c r="AL902" s="529"/>
      <c r="AM902" s="529"/>
      <c r="AN902" s="529"/>
      <c r="AO902" s="529"/>
    </row>
    <row r="903">
      <c r="G903" s="529"/>
      <c r="H903" s="529"/>
      <c r="I903" s="529"/>
      <c r="J903" s="529"/>
      <c r="K903" s="529"/>
      <c r="L903" s="529"/>
      <c r="M903" s="529"/>
      <c r="N903" s="529"/>
      <c r="O903" s="529"/>
      <c r="P903" s="529"/>
      <c r="Q903" s="529"/>
      <c r="R903" s="529"/>
      <c r="S903" s="529"/>
      <c r="T903" s="529"/>
      <c r="U903" s="529"/>
      <c r="V903" s="529"/>
      <c r="W903" s="529"/>
      <c r="X903" s="529"/>
      <c r="Y903" s="529"/>
      <c r="Z903" s="529"/>
      <c r="AA903" s="529"/>
      <c r="AB903" s="529"/>
      <c r="AC903" s="529"/>
      <c r="AD903" s="529"/>
      <c r="AE903" s="529"/>
      <c r="AF903" s="529"/>
      <c r="AG903" s="529"/>
      <c r="AH903" s="529"/>
      <c r="AI903" s="529"/>
      <c r="AJ903" s="529"/>
      <c r="AK903" s="529"/>
      <c r="AL903" s="529"/>
      <c r="AM903" s="529"/>
      <c r="AN903" s="529"/>
      <c r="AO903" s="529"/>
    </row>
    <row r="904">
      <c r="G904" s="529"/>
      <c r="H904" s="529"/>
      <c r="I904" s="529"/>
      <c r="J904" s="529"/>
      <c r="K904" s="529"/>
      <c r="L904" s="529"/>
      <c r="M904" s="529"/>
      <c r="N904" s="529"/>
      <c r="O904" s="529"/>
      <c r="P904" s="529"/>
      <c r="Q904" s="529"/>
      <c r="R904" s="529"/>
      <c r="S904" s="529"/>
      <c r="T904" s="529"/>
      <c r="U904" s="529"/>
      <c r="V904" s="529"/>
      <c r="W904" s="529"/>
      <c r="X904" s="529"/>
      <c r="Y904" s="529"/>
      <c r="Z904" s="529"/>
      <c r="AA904" s="529"/>
      <c r="AB904" s="529"/>
      <c r="AC904" s="529"/>
      <c r="AD904" s="529"/>
      <c r="AE904" s="529"/>
      <c r="AF904" s="529"/>
      <c r="AG904" s="529"/>
      <c r="AH904" s="529"/>
      <c r="AI904" s="529"/>
      <c r="AJ904" s="529"/>
      <c r="AK904" s="529"/>
      <c r="AL904" s="529"/>
      <c r="AM904" s="529"/>
      <c r="AN904" s="529"/>
      <c r="AO904" s="529"/>
    </row>
    <row r="905">
      <c r="G905" s="529"/>
      <c r="H905" s="529"/>
      <c r="I905" s="529"/>
      <c r="J905" s="529"/>
      <c r="K905" s="529"/>
      <c r="L905" s="529"/>
      <c r="M905" s="529"/>
      <c r="N905" s="529"/>
      <c r="O905" s="529"/>
      <c r="P905" s="529"/>
      <c r="Q905" s="529"/>
      <c r="R905" s="529"/>
      <c r="S905" s="529"/>
      <c r="T905" s="529"/>
      <c r="U905" s="529"/>
      <c r="V905" s="529"/>
      <c r="W905" s="529"/>
      <c r="X905" s="529"/>
      <c r="Y905" s="529"/>
      <c r="Z905" s="529"/>
      <c r="AA905" s="529"/>
      <c r="AB905" s="529"/>
      <c r="AC905" s="529"/>
      <c r="AD905" s="529"/>
      <c r="AE905" s="529"/>
      <c r="AF905" s="529"/>
      <c r="AG905" s="529"/>
      <c r="AH905" s="529"/>
      <c r="AI905" s="529"/>
      <c r="AJ905" s="529"/>
      <c r="AK905" s="529"/>
      <c r="AL905" s="529"/>
      <c r="AM905" s="529"/>
      <c r="AN905" s="529"/>
      <c r="AO905" s="529"/>
    </row>
    <row r="906">
      <c r="G906" s="529"/>
      <c r="H906" s="529"/>
      <c r="I906" s="529"/>
      <c r="J906" s="529"/>
      <c r="K906" s="529"/>
      <c r="L906" s="529"/>
      <c r="M906" s="529"/>
      <c r="N906" s="529"/>
      <c r="O906" s="529"/>
      <c r="P906" s="529"/>
      <c r="Q906" s="529"/>
      <c r="R906" s="529"/>
      <c r="S906" s="529"/>
      <c r="T906" s="529"/>
      <c r="U906" s="529"/>
      <c r="V906" s="529"/>
      <c r="W906" s="529"/>
      <c r="X906" s="529"/>
      <c r="Y906" s="529"/>
      <c r="Z906" s="529"/>
      <c r="AA906" s="529"/>
      <c r="AB906" s="529"/>
      <c r="AC906" s="529"/>
      <c r="AD906" s="529"/>
      <c r="AE906" s="529"/>
      <c r="AF906" s="529"/>
      <c r="AG906" s="529"/>
      <c r="AH906" s="529"/>
      <c r="AI906" s="529"/>
      <c r="AJ906" s="529"/>
      <c r="AK906" s="529"/>
      <c r="AL906" s="529"/>
      <c r="AM906" s="529"/>
      <c r="AN906" s="529"/>
      <c r="AO906" s="529"/>
    </row>
    <row r="907">
      <c r="G907" s="529"/>
      <c r="H907" s="529"/>
      <c r="I907" s="529"/>
      <c r="J907" s="529"/>
      <c r="K907" s="529"/>
      <c r="L907" s="529"/>
      <c r="M907" s="529"/>
      <c r="N907" s="529"/>
      <c r="O907" s="529"/>
      <c r="P907" s="529"/>
      <c r="Q907" s="529"/>
      <c r="R907" s="529"/>
      <c r="S907" s="529"/>
      <c r="T907" s="529"/>
      <c r="U907" s="529"/>
      <c r="V907" s="529"/>
      <c r="W907" s="529"/>
      <c r="X907" s="529"/>
      <c r="Y907" s="529"/>
      <c r="Z907" s="529"/>
      <c r="AA907" s="529"/>
      <c r="AB907" s="529"/>
      <c r="AC907" s="529"/>
      <c r="AD907" s="529"/>
      <c r="AE907" s="529"/>
      <c r="AF907" s="529"/>
      <c r="AG907" s="529"/>
      <c r="AH907" s="529"/>
      <c r="AI907" s="529"/>
      <c r="AJ907" s="529"/>
      <c r="AK907" s="529"/>
      <c r="AL907" s="529"/>
      <c r="AM907" s="529"/>
      <c r="AN907" s="529"/>
      <c r="AO907" s="529"/>
    </row>
    <row r="908">
      <c r="G908" s="529"/>
      <c r="H908" s="529"/>
      <c r="I908" s="529"/>
      <c r="J908" s="529"/>
      <c r="K908" s="529"/>
      <c r="L908" s="529"/>
      <c r="M908" s="529"/>
      <c r="N908" s="529"/>
      <c r="O908" s="529"/>
      <c r="P908" s="529"/>
      <c r="Q908" s="529"/>
      <c r="R908" s="529"/>
      <c r="S908" s="529"/>
      <c r="T908" s="529"/>
      <c r="U908" s="529"/>
      <c r="V908" s="529"/>
      <c r="W908" s="529"/>
      <c r="X908" s="529"/>
      <c r="Y908" s="529"/>
      <c r="Z908" s="529"/>
      <c r="AA908" s="529"/>
      <c r="AB908" s="529"/>
      <c r="AC908" s="529"/>
      <c r="AD908" s="529"/>
      <c r="AE908" s="529"/>
      <c r="AF908" s="529"/>
      <c r="AG908" s="529"/>
      <c r="AH908" s="529"/>
      <c r="AI908" s="529"/>
      <c r="AJ908" s="529"/>
      <c r="AK908" s="529"/>
      <c r="AL908" s="529"/>
      <c r="AM908" s="529"/>
      <c r="AN908" s="529"/>
      <c r="AO908" s="529"/>
    </row>
    <row r="909">
      <c r="G909" s="529"/>
      <c r="H909" s="529"/>
      <c r="I909" s="529"/>
      <c r="J909" s="529"/>
      <c r="K909" s="529"/>
      <c r="L909" s="529"/>
      <c r="M909" s="529"/>
      <c r="N909" s="529"/>
      <c r="O909" s="529"/>
      <c r="P909" s="529"/>
      <c r="Q909" s="529"/>
      <c r="R909" s="529"/>
      <c r="S909" s="529"/>
      <c r="T909" s="529"/>
      <c r="U909" s="529"/>
      <c r="V909" s="529"/>
      <c r="W909" s="529"/>
      <c r="X909" s="529"/>
      <c r="Y909" s="529"/>
      <c r="Z909" s="529"/>
      <c r="AA909" s="529"/>
      <c r="AB909" s="529"/>
      <c r="AC909" s="529"/>
      <c r="AD909" s="529"/>
      <c r="AE909" s="529"/>
      <c r="AF909" s="529"/>
      <c r="AG909" s="529"/>
      <c r="AH909" s="529"/>
      <c r="AI909" s="529"/>
      <c r="AJ909" s="529"/>
      <c r="AK909" s="529"/>
      <c r="AL909" s="529"/>
      <c r="AM909" s="529"/>
      <c r="AN909" s="529"/>
      <c r="AO909" s="529"/>
    </row>
    <row r="910">
      <c r="G910" s="529"/>
      <c r="H910" s="529"/>
      <c r="I910" s="529"/>
      <c r="J910" s="529"/>
      <c r="K910" s="529"/>
      <c r="L910" s="529"/>
      <c r="M910" s="529"/>
      <c r="N910" s="529"/>
      <c r="O910" s="529"/>
      <c r="P910" s="529"/>
      <c r="Q910" s="529"/>
      <c r="R910" s="529"/>
      <c r="S910" s="529"/>
      <c r="T910" s="529"/>
      <c r="U910" s="529"/>
      <c r="V910" s="529"/>
      <c r="W910" s="529"/>
      <c r="X910" s="529"/>
      <c r="Y910" s="529"/>
      <c r="Z910" s="529"/>
      <c r="AA910" s="529"/>
      <c r="AB910" s="529"/>
      <c r="AC910" s="529"/>
      <c r="AD910" s="529"/>
      <c r="AE910" s="529"/>
      <c r="AF910" s="529"/>
      <c r="AG910" s="529"/>
      <c r="AH910" s="529"/>
      <c r="AI910" s="529"/>
      <c r="AJ910" s="529"/>
      <c r="AK910" s="529"/>
      <c r="AL910" s="529"/>
      <c r="AM910" s="529"/>
      <c r="AN910" s="529"/>
      <c r="AO910" s="529"/>
    </row>
    <row r="911">
      <c r="G911" s="529"/>
      <c r="H911" s="529"/>
      <c r="I911" s="529"/>
      <c r="J911" s="529"/>
      <c r="K911" s="529"/>
      <c r="L911" s="529"/>
      <c r="M911" s="529"/>
      <c r="N911" s="529"/>
      <c r="O911" s="529"/>
      <c r="P911" s="529"/>
      <c r="Q911" s="529"/>
      <c r="R911" s="529"/>
      <c r="S911" s="529"/>
      <c r="T911" s="529"/>
      <c r="U911" s="529"/>
      <c r="V911" s="529"/>
      <c r="W911" s="529"/>
      <c r="X911" s="529"/>
      <c r="Y911" s="529"/>
      <c r="Z911" s="529"/>
      <c r="AA911" s="529"/>
      <c r="AB911" s="529"/>
      <c r="AC911" s="529"/>
      <c r="AD911" s="529"/>
      <c r="AE911" s="529"/>
      <c r="AF911" s="529"/>
      <c r="AG911" s="529"/>
      <c r="AH911" s="529"/>
      <c r="AI911" s="529"/>
      <c r="AJ911" s="529"/>
      <c r="AK911" s="529"/>
      <c r="AL911" s="529"/>
      <c r="AM911" s="529"/>
      <c r="AN911" s="529"/>
      <c r="AO911" s="529"/>
    </row>
    <row r="912">
      <c r="G912" s="529"/>
      <c r="H912" s="529"/>
      <c r="I912" s="529"/>
      <c r="J912" s="529"/>
      <c r="K912" s="529"/>
      <c r="L912" s="529"/>
      <c r="M912" s="529"/>
      <c r="N912" s="529"/>
      <c r="O912" s="529"/>
      <c r="P912" s="529"/>
      <c r="Q912" s="529"/>
      <c r="R912" s="529"/>
      <c r="S912" s="529"/>
      <c r="T912" s="529"/>
      <c r="U912" s="529"/>
      <c r="V912" s="529"/>
      <c r="W912" s="529"/>
      <c r="X912" s="529"/>
      <c r="Y912" s="529"/>
      <c r="Z912" s="529"/>
      <c r="AA912" s="529"/>
      <c r="AB912" s="529"/>
      <c r="AC912" s="529"/>
      <c r="AD912" s="529"/>
      <c r="AE912" s="529"/>
      <c r="AF912" s="529"/>
      <c r="AG912" s="529"/>
      <c r="AH912" s="529"/>
      <c r="AI912" s="529"/>
      <c r="AJ912" s="529"/>
      <c r="AK912" s="529"/>
      <c r="AL912" s="529"/>
      <c r="AM912" s="529"/>
      <c r="AN912" s="529"/>
      <c r="AO912" s="529"/>
    </row>
    <row r="913">
      <c r="G913" s="529"/>
      <c r="H913" s="529"/>
      <c r="I913" s="529"/>
      <c r="J913" s="529"/>
      <c r="K913" s="529"/>
      <c r="L913" s="529"/>
      <c r="M913" s="529"/>
      <c r="N913" s="529"/>
      <c r="O913" s="529"/>
      <c r="P913" s="529"/>
      <c r="Q913" s="529"/>
      <c r="R913" s="529"/>
      <c r="S913" s="529"/>
      <c r="T913" s="529"/>
      <c r="U913" s="529"/>
      <c r="V913" s="529"/>
      <c r="W913" s="529"/>
      <c r="X913" s="529"/>
      <c r="Y913" s="529"/>
      <c r="Z913" s="529"/>
      <c r="AA913" s="529"/>
      <c r="AB913" s="529"/>
      <c r="AC913" s="529"/>
      <c r="AD913" s="529"/>
      <c r="AE913" s="529"/>
      <c r="AF913" s="529"/>
      <c r="AG913" s="529"/>
      <c r="AH913" s="529"/>
      <c r="AI913" s="529"/>
      <c r="AJ913" s="529"/>
      <c r="AK913" s="529"/>
      <c r="AL913" s="529"/>
      <c r="AM913" s="529"/>
      <c r="AN913" s="529"/>
      <c r="AO913" s="529"/>
    </row>
    <row r="914">
      <c r="G914" s="529"/>
      <c r="H914" s="529"/>
      <c r="I914" s="529"/>
      <c r="J914" s="529"/>
      <c r="K914" s="529"/>
      <c r="L914" s="529"/>
      <c r="M914" s="529"/>
      <c r="N914" s="529"/>
      <c r="O914" s="529"/>
      <c r="P914" s="529"/>
      <c r="Q914" s="529"/>
      <c r="R914" s="529"/>
      <c r="S914" s="529"/>
      <c r="T914" s="529"/>
      <c r="U914" s="529"/>
      <c r="V914" s="529"/>
      <c r="W914" s="529"/>
      <c r="X914" s="529"/>
      <c r="Y914" s="529"/>
      <c r="Z914" s="529"/>
      <c r="AA914" s="529"/>
      <c r="AB914" s="529"/>
      <c r="AC914" s="529"/>
      <c r="AD914" s="529"/>
      <c r="AE914" s="529"/>
      <c r="AF914" s="529"/>
      <c r="AG914" s="529"/>
      <c r="AH914" s="529"/>
      <c r="AI914" s="529"/>
      <c r="AJ914" s="529"/>
      <c r="AK914" s="529"/>
      <c r="AL914" s="529"/>
      <c r="AM914" s="529"/>
      <c r="AN914" s="529"/>
      <c r="AO914" s="529"/>
    </row>
    <row r="915">
      <c r="G915" s="529"/>
      <c r="H915" s="529"/>
      <c r="I915" s="529"/>
      <c r="J915" s="529"/>
      <c r="K915" s="529"/>
      <c r="L915" s="529"/>
      <c r="M915" s="529"/>
      <c r="N915" s="529"/>
      <c r="O915" s="529"/>
      <c r="P915" s="529"/>
      <c r="Q915" s="529"/>
      <c r="R915" s="529"/>
      <c r="S915" s="529"/>
      <c r="T915" s="529"/>
      <c r="U915" s="529"/>
      <c r="V915" s="529"/>
      <c r="W915" s="529"/>
      <c r="X915" s="529"/>
      <c r="Y915" s="529"/>
      <c r="Z915" s="529"/>
      <c r="AA915" s="529"/>
      <c r="AB915" s="529"/>
      <c r="AC915" s="529"/>
      <c r="AD915" s="529"/>
      <c r="AE915" s="529"/>
      <c r="AF915" s="529"/>
      <c r="AG915" s="529"/>
      <c r="AH915" s="529"/>
      <c r="AI915" s="529"/>
      <c r="AJ915" s="529"/>
      <c r="AK915" s="529"/>
      <c r="AL915" s="529"/>
      <c r="AM915" s="529"/>
      <c r="AN915" s="529"/>
      <c r="AO915" s="529"/>
    </row>
    <row r="916">
      <c r="G916" s="529"/>
      <c r="H916" s="529"/>
      <c r="I916" s="529"/>
      <c r="J916" s="529"/>
      <c r="K916" s="529"/>
      <c r="L916" s="529"/>
      <c r="M916" s="529"/>
      <c r="N916" s="529"/>
      <c r="O916" s="529"/>
      <c r="P916" s="529"/>
      <c r="Q916" s="529"/>
      <c r="R916" s="529"/>
      <c r="S916" s="529"/>
      <c r="T916" s="529"/>
      <c r="U916" s="529"/>
      <c r="V916" s="529"/>
      <c r="W916" s="529"/>
      <c r="X916" s="529"/>
      <c r="Y916" s="529"/>
      <c r="Z916" s="529"/>
      <c r="AA916" s="529"/>
      <c r="AB916" s="529"/>
      <c r="AC916" s="529"/>
      <c r="AD916" s="529"/>
      <c r="AE916" s="529"/>
      <c r="AF916" s="529"/>
      <c r="AG916" s="529"/>
      <c r="AH916" s="529"/>
      <c r="AI916" s="529"/>
      <c r="AJ916" s="529"/>
      <c r="AK916" s="529"/>
      <c r="AL916" s="529"/>
      <c r="AM916" s="529"/>
      <c r="AN916" s="529"/>
      <c r="AO916" s="529"/>
    </row>
    <row r="917">
      <c r="G917" s="529"/>
      <c r="H917" s="529"/>
      <c r="I917" s="529"/>
      <c r="J917" s="529"/>
      <c r="K917" s="529"/>
      <c r="L917" s="529"/>
      <c r="M917" s="529"/>
      <c r="N917" s="529"/>
      <c r="O917" s="529"/>
      <c r="P917" s="529"/>
      <c r="Q917" s="529"/>
      <c r="R917" s="529"/>
      <c r="S917" s="529"/>
      <c r="T917" s="529"/>
      <c r="U917" s="529"/>
      <c r="V917" s="529"/>
      <c r="W917" s="529"/>
      <c r="X917" s="529"/>
      <c r="Y917" s="529"/>
      <c r="Z917" s="529"/>
      <c r="AA917" s="529"/>
      <c r="AB917" s="529"/>
      <c r="AC917" s="529"/>
      <c r="AD917" s="529"/>
      <c r="AE917" s="529"/>
      <c r="AF917" s="529"/>
      <c r="AG917" s="529"/>
      <c r="AH917" s="529"/>
      <c r="AI917" s="529"/>
      <c r="AJ917" s="529"/>
      <c r="AK917" s="529"/>
      <c r="AL917" s="529"/>
      <c r="AM917" s="529"/>
      <c r="AN917" s="529"/>
      <c r="AO917" s="529"/>
    </row>
    <row r="918">
      <c r="G918" s="529"/>
      <c r="H918" s="529"/>
      <c r="I918" s="529"/>
      <c r="J918" s="529"/>
      <c r="K918" s="529"/>
      <c r="L918" s="529"/>
      <c r="M918" s="529"/>
      <c r="N918" s="529"/>
      <c r="O918" s="529"/>
      <c r="P918" s="529"/>
      <c r="Q918" s="529"/>
      <c r="R918" s="529"/>
      <c r="S918" s="529"/>
      <c r="T918" s="529"/>
      <c r="U918" s="529"/>
      <c r="V918" s="529"/>
      <c r="W918" s="529"/>
      <c r="X918" s="529"/>
      <c r="Y918" s="529"/>
      <c r="Z918" s="529"/>
      <c r="AA918" s="529"/>
      <c r="AB918" s="529"/>
      <c r="AC918" s="529"/>
      <c r="AD918" s="529"/>
      <c r="AE918" s="529"/>
      <c r="AF918" s="529"/>
      <c r="AG918" s="529"/>
      <c r="AH918" s="529"/>
      <c r="AI918" s="529"/>
      <c r="AJ918" s="529"/>
      <c r="AK918" s="529"/>
      <c r="AL918" s="529"/>
      <c r="AM918" s="529"/>
      <c r="AN918" s="529"/>
      <c r="AO918" s="529"/>
    </row>
    <row r="919">
      <c r="G919" s="529"/>
      <c r="H919" s="529"/>
      <c r="I919" s="529"/>
      <c r="J919" s="529"/>
      <c r="K919" s="529"/>
      <c r="L919" s="529"/>
      <c r="M919" s="529"/>
      <c r="N919" s="529"/>
      <c r="O919" s="529"/>
      <c r="P919" s="529"/>
      <c r="Q919" s="529"/>
      <c r="R919" s="529"/>
      <c r="S919" s="529"/>
      <c r="T919" s="529"/>
      <c r="U919" s="529"/>
      <c r="V919" s="529"/>
      <c r="W919" s="529"/>
      <c r="X919" s="529"/>
      <c r="Y919" s="529"/>
      <c r="Z919" s="529"/>
      <c r="AA919" s="529"/>
      <c r="AB919" s="529"/>
      <c r="AC919" s="529"/>
      <c r="AD919" s="529"/>
      <c r="AE919" s="529"/>
      <c r="AF919" s="529"/>
      <c r="AG919" s="529"/>
      <c r="AH919" s="529"/>
      <c r="AI919" s="529"/>
      <c r="AJ919" s="529"/>
      <c r="AK919" s="529"/>
      <c r="AL919" s="529"/>
      <c r="AM919" s="529"/>
      <c r="AN919" s="529"/>
      <c r="AO919" s="529"/>
    </row>
    <row r="920">
      <c r="G920" s="529"/>
      <c r="H920" s="529"/>
      <c r="I920" s="529"/>
      <c r="J920" s="529"/>
      <c r="K920" s="529"/>
      <c r="L920" s="529"/>
      <c r="M920" s="529"/>
      <c r="N920" s="529"/>
      <c r="O920" s="529"/>
      <c r="P920" s="529"/>
      <c r="Q920" s="529"/>
      <c r="R920" s="529"/>
      <c r="S920" s="529"/>
      <c r="T920" s="529"/>
      <c r="U920" s="529"/>
      <c r="V920" s="529"/>
      <c r="W920" s="529"/>
      <c r="X920" s="529"/>
      <c r="Y920" s="529"/>
      <c r="Z920" s="529"/>
      <c r="AA920" s="529"/>
      <c r="AB920" s="529"/>
      <c r="AC920" s="529"/>
      <c r="AD920" s="529"/>
      <c r="AE920" s="529"/>
      <c r="AF920" s="529"/>
      <c r="AG920" s="529"/>
      <c r="AH920" s="529"/>
      <c r="AI920" s="529"/>
      <c r="AJ920" s="529"/>
      <c r="AK920" s="529"/>
      <c r="AL920" s="529"/>
      <c r="AM920" s="529"/>
      <c r="AN920" s="529"/>
      <c r="AO920" s="529"/>
    </row>
    <row r="921">
      <c r="G921" s="529"/>
      <c r="H921" s="529"/>
      <c r="I921" s="529"/>
      <c r="J921" s="529"/>
      <c r="K921" s="529"/>
      <c r="L921" s="529"/>
      <c r="M921" s="529"/>
      <c r="N921" s="529"/>
      <c r="O921" s="529"/>
      <c r="P921" s="529"/>
      <c r="Q921" s="529"/>
      <c r="R921" s="529"/>
      <c r="S921" s="529"/>
      <c r="T921" s="529"/>
      <c r="U921" s="529"/>
      <c r="V921" s="529"/>
      <c r="W921" s="529"/>
      <c r="X921" s="529"/>
      <c r="Y921" s="529"/>
      <c r="Z921" s="529"/>
      <c r="AA921" s="529"/>
      <c r="AB921" s="529"/>
      <c r="AC921" s="529"/>
      <c r="AD921" s="529"/>
      <c r="AE921" s="529"/>
      <c r="AF921" s="529"/>
      <c r="AG921" s="529"/>
      <c r="AH921" s="529"/>
      <c r="AI921" s="529"/>
      <c r="AJ921" s="529"/>
      <c r="AK921" s="529"/>
      <c r="AL921" s="529"/>
      <c r="AM921" s="529"/>
      <c r="AN921" s="529"/>
      <c r="AO921" s="529"/>
    </row>
    <row r="922">
      <c r="G922" s="529"/>
      <c r="H922" s="529"/>
      <c r="I922" s="529"/>
      <c r="J922" s="529"/>
      <c r="K922" s="529"/>
      <c r="L922" s="529"/>
      <c r="M922" s="529"/>
      <c r="N922" s="529"/>
      <c r="O922" s="529"/>
      <c r="P922" s="529"/>
      <c r="Q922" s="529"/>
      <c r="R922" s="529"/>
      <c r="S922" s="529"/>
      <c r="T922" s="529"/>
      <c r="U922" s="529"/>
      <c r="V922" s="529"/>
      <c r="W922" s="529"/>
      <c r="X922" s="529"/>
      <c r="Y922" s="529"/>
      <c r="Z922" s="529"/>
      <c r="AA922" s="529"/>
      <c r="AB922" s="529"/>
      <c r="AC922" s="529"/>
      <c r="AD922" s="529"/>
      <c r="AE922" s="529"/>
      <c r="AF922" s="529"/>
      <c r="AG922" s="529"/>
      <c r="AH922" s="529"/>
      <c r="AI922" s="529"/>
      <c r="AJ922" s="529"/>
      <c r="AK922" s="529"/>
      <c r="AL922" s="529"/>
      <c r="AM922" s="529"/>
      <c r="AN922" s="529"/>
      <c r="AO922" s="529"/>
    </row>
    <row r="923">
      <c r="G923" s="529"/>
      <c r="H923" s="529"/>
      <c r="I923" s="529"/>
      <c r="J923" s="529"/>
      <c r="K923" s="529"/>
      <c r="L923" s="529"/>
      <c r="M923" s="529"/>
      <c r="N923" s="529"/>
      <c r="O923" s="529"/>
      <c r="P923" s="529"/>
      <c r="Q923" s="529"/>
      <c r="R923" s="529"/>
      <c r="S923" s="529"/>
      <c r="T923" s="529"/>
      <c r="U923" s="529"/>
      <c r="V923" s="529"/>
      <c r="W923" s="529"/>
      <c r="X923" s="529"/>
      <c r="Y923" s="529"/>
      <c r="Z923" s="529"/>
      <c r="AA923" s="529"/>
      <c r="AB923" s="529"/>
      <c r="AC923" s="529"/>
      <c r="AD923" s="529"/>
      <c r="AE923" s="529"/>
      <c r="AF923" s="529"/>
      <c r="AG923" s="529"/>
      <c r="AH923" s="529"/>
      <c r="AI923" s="529"/>
      <c r="AJ923" s="529"/>
      <c r="AK923" s="529"/>
      <c r="AL923" s="529"/>
      <c r="AM923" s="529"/>
      <c r="AN923" s="529"/>
      <c r="AO923" s="529"/>
    </row>
    <row r="924">
      <c r="G924" s="529"/>
      <c r="H924" s="529"/>
      <c r="I924" s="529"/>
      <c r="J924" s="529"/>
      <c r="K924" s="529"/>
      <c r="L924" s="529"/>
      <c r="M924" s="529"/>
      <c r="N924" s="529"/>
      <c r="O924" s="529"/>
      <c r="P924" s="529"/>
      <c r="Q924" s="529"/>
      <c r="R924" s="529"/>
      <c r="S924" s="529"/>
      <c r="T924" s="529"/>
      <c r="U924" s="529"/>
      <c r="V924" s="529"/>
      <c r="W924" s="529"/>
      <c r="X924" s="529"/>
      <c r="Y924" s="529"/>
      <c r="Z924" s="529"/>
      <c r="AA924" s="529"/>
      <c r="AB924" s="529"/>
      <c r="AC924" s="529"/>
      <c r="AD924" s="529"/>
      <c r="AE924" s="529"/>
      <c r="AF924" s="529"/>
      <c r="AG924" s="529"/>
      <c r="AH924" s="529"/>
      <c r="AI924" s="529"/>
      <c r="AJ924" s="529"/>
      <c r="AK924" s="529"/>
      <c r="AL924" s="529"/>
      <c r="AM924" s="529"/>
      <c r="AN924" s="529"/>
      <c r="AO924" s="529"/>
    </row>
    <row r="925">
      <c r="G925" s="529"/>
      <c r="H925" s="529"/>
      <c r="I925" s="529"/>
      <c r="J925" s="529"/>
      <c r="K925" s="529"/>
      <c r="L925" s="529"/>
      <c r="M925" s="529"/>
      <c r="N925" s="529"/>
      <c r="O925" s="529"/>
      <c r="P925" s="529"/>
      <c r="Q925" s="529"/>
      <c r="R925" s="529"/>
      <c r="S925" s="529"/>
      <c r="T925" s="529"/>
      <c r="U925" s="529"/>
      <c r="V925" s="529"/>
      <c r="W925" s="529"/>
      <c r="X925" s="529"/>
      <c r="Y925" s="529"/>
      <c r="Z925" s="529"/>
      <c r="AA925" s="529"/>
      <c r="AB925" s="529"/>
      <c r="AC925" s="529"/>
      <c r="AD925" s="529"/>
      <c r="AE925" s="529"/>
      <c r="AF925" s="529"/>
      <c r="AG925" s="529"/>
      <c r="AH925" s="529"/>
      <c r="AI925" s="529"/>
      <c r="AJ925" s="529"/>
      <c r="AK925" s="529"/>
      <c r="AL925" s="529"/>
      <c r="AM925" s="529"/>
      <c r="AN925" s="529"/>
      <c r="AO925" s="529"/>
    </row>
    <row r="926">
      <c r="G926" s="529"/>
      <c r="H926" s="529"/>
      <c r="I926" s="529"/>
      <c r="J926" s="529"/>
      <c r="K926" s="529"/>
      <c r="L926" s="529"/>
      <c r="M926" s="529"/>
      <c r="N926" s="529"/>
      <c r="O926" s="529"/>
      <c r="P926" s="529"/>
      <c r="Q926" s="529"/>
      <c r="R926" s="529"/>
      <c r="S926" s="529"/>
      <c r="T926" s="529"/>
      <c r="U926" s="529"/>
      <c r="V926" s="529"/>
      <c r="W926" s="529"/>
      <c r="X926" s="529"/>
      <c r="Y926" s="529"/>
      <c r="Z926" s="529"/>
      <c r="AA926" s="529"/>
      <c r="AB926" s="529"/>
      <c r="AC926" s="529"/>
      <c r="AD926" s="529"/>
      <c r="AE926" s="529"/>
      <c r="AF926" s="529"/>
      <c r="AG926" s="529"/>
      <c r="AH926" s="529"/>
      <c r="AI926" s="529"/>
      <c r="AJ926" s="529"/>
      <c r="AK926" s="529"/>
      <c r="AL926" s="529"/>
      <c r="AM926" s="529"/>
      <c r="AN926" s="529"/>
      <c r="AO926" s="529"/>
    </row>
    <row r="927">
      <c r="G927" s="529"/>
      <c r="H927" s="529"/>
      <c r="I927" s="529"/>
      <c r="J927" s="529"/>
      <c r="K927" s="529"/>
      <c r="L927" s="529"/>
      <c r="M927" s="529"/>
      <c r="N927" s="529"/>
      <c r="O927" s="529"/>
      <c r="P927" s="529"/>
      <c r="Q927" s="529"/>
      <c r="R927" s="529"/>
      <c r="S927" s="529"/>
      <c r="T927" s="529"/>
      <c r="U927" s="529"/>
      <c r="V927" s="529"/>
      <c r="W927" s="529"/>
      <c r="X927" s="529"/>
      <c r="Y927" s="529"/>
      <c r="Z927" s="529"/>
      <c r="AA927" s="529"/>
      <c r="AB927" s="529"/>
      <c r="AC927" s="529"/>
      <c r="AD927" s="529"/>
      <c r="AE927" s="529"/>
      <c r="AF927" s="529"/>
      <c r="AG927" s="529"/>
      <c r="AH927" s="529"/>
      <c r="AI927" s="529"/>
      <c r="AJ927" s="529"/>
      <c r="AK927" s="529"/>
      <c r="AL927" s="529"/>
      <c r="AM927" s="529"/>
      <c r="AN927" s="529"/>
      <c r="AO927" s="529"/>
    </row>
    <row r="928">
      <c r="G928" s="529"/>
      <c r="H928" s="529"/>
      <c r="I928" s="529"/>
      <c r="J928" s="529"/>
      <c r="K928" s="529"/>
      <c r="L928" s="529"/>
      <c r="M928" s="529"/>
      <c r="N928" s="529"/>
      <c r="O928" s="529"/>
      <c r="P928" s="529"/>
      <c r="Q928" s="529"/>
      <c r="R928" s="529"/>
      <c r="S928" s="529"/>
      <c r="T928" s="529"/>
      <c r="U928" s="529"/>
      <c r="V928" s="529"/>
      <c r="W928" s="529"/>
      <c r="X928" s="529"/>
      <c r="Y928" s="529"/>
      <c r="Z928" s="529"/>
      <c r="AA928" s="529"/>
      <c r="AB928" s="529"/>
      <c r="AC928" s="529"/>
      <c r="AD928" s="529"/>
      <c r="AE928" s="529"/>
      <c r="AF928" s="529"/>
      <c r="AG928" s="529"/>
      <c r="AH928" s="529"/>
      <c r="AI928" s="529"/>
      <c r="AJ928" s="529"/>
      <c r="AK928" s="529"/>
      <c r="AL928" s="529"/>
      <c r="AM928" s="529"/>
      <c r="AN928" s="529"/>
      <c r="AO928" s="529"/>
    </row>
    <row r="929">
      <c r="G929" s="529"/>
      <c r="H929" s="529"/>
      <c r="I929" s="529"/>
      <c r="J929" s="529"/>
      <c r="K929" s="529"/>
      <c r="L929" s="529"/>
      <c r="M929" s="529"/>
      <c r="N929" s="529"/>
      <c r="O929" s="529"/>
      <c r="P929" s="529"/>
      <c r="Q929" s="529"/>
      <c r="R929" s="529"/>
      <c r="S929" s="529"/>
      <c r="T929" s="529"/>
      <c r="U929" s="529"/>
      <c r="V929" s="529"/>
      <c r="W929" s="529"/>
      <c r="X929" s="529"/>
      <c r="Y929" s="529"/>
      <c r="Z929" s="529"/>
      <c r="AA929" s="529"/>
      <c r="AB929" s="529"/>
      <c r="AC929" s="529"/>
      <c r="AD929" s="529"/>
      <c r="AE929" s="529"/>
      <c r="AF929" s="529"/>
      <c r="AG929" s="529"/>
      <c r="AH929" s="529"/>
      <c r="AI929" s="529"/>
      <c r="AJ929" s="529"/>
      <c r="AK929" s="529"/>
      <c r="AL929" s="529"/>
      <c r="AM929" s="529"/>
      <c r="AN929" s="529"/>
      <c r="AO929" s="529"/>
    </row>
    <row r="930">
      <c r="G930" s="529"/>
      <c r="H930" s="529"/>
      <c r="I930" s="529"/>
      <c r="J930" s="529"/>
      <c r="K930" s="529"/>
      <c r="L930" s="529"/>
      <c r="M930" s="529"/>
      <c r="N930" s="529"/>
      <c r="O930" s="529"/>
      <c r="P930" s="529"/>
      <c r="Q930" s="529"/>
      <c r="R930" s="529"/>
      <c r="S930" s="529"/>
      <c r="T930" s="529"/>
      <c r="U930" s="529"/>
      <c r="V930" s="529"/>
      <c r="W930" s="529"/>
      <c r="X930" s="529"/>
      <c r="Y930" s="529"/>
      <c r="Z930" s="529"/>
      <c r="AA930" s="529"/>
      <c r="AB930" s="529"/>
      <c r="AC930" s="529"/>
      <c r="AD930" s="529"/>
      <c r="AE930" s="529"/>
      <c r="AF930" s="529"/>
      <c r="AG930" s="529"/>
      <c r="AH930" s="529"/>
      <c r="AI930" s="529"/>
      <c r="AJ930" s="529"/>
      <c r="AK930" s="529"/>
      <c r="AL930" s="529"/>
      <c r="AM930" s="529"/>
      <c r="AN930" s="529"/>
      <c r="AO930" s="529"/>
    </row>
    <row r="931">
      <c r="G931" s="529"/>
      <c r="H931" s="529"/>
      <c r="I931" s="529"/>
      <c r="J931" s="529"/>
      <c r="K931" s="529"/>
      <c r="L931" s="529"/>
      <c r="M931" s="529"/>
      <c r="N931" s="529"/>
      <c r="O931" s="529"/>
      <c r="P931" s="529"/>
      <c r="Q931" s="529"/>
      <c r="R931" s="529"/>
      <c r="S931" s="529"/>
      <c r="T931" s="529"/>
      <c r="U931" s="529"/>
      <c r="V931" s="529"/>
      <c r="W931" s="529"/>
      <c r="X931" s="529"/>
      <c r="Y931" s="529"/>
      <c r="Z931" s="529"/>
      <c r="AA931" s="529"/>
      <c r="AB931" s="529"/>
      <c r="AC931" s="529"/>
      <c r="AD931" s="529"/>
      <c r="AE931" s="529"/>
      <c r="AF931" s="529"/>
      <c r="AG931" s="529"/>
      <c r="AH931" s="529"/>
      <c r="AI931" s="529"/>
      <c r="AJ931" s="529"/>
      <c r="AK931" s="529"/>
      <c r="AL931" s="529"/>
      <c r="AM931" s="529"/>
      <c r="AN931" s="529"/>
      <c r="AO931" s="529"/>
    </row>
    <row r="932">
      <c r="G932" s="529"/>
      <c r="H932" s="529"/>
      <c r="I932" s="529"/>
      <c r="J932" s="529"/>
      <c r="K932" s="529"/>
      <c r="L932" s="529"/>
      <c r="M932" s="529"/>
      <c r="N932" s="529"/>
      <c r="O932" s="529"/>
      <c r="P932" s="529"/>
      <c r="Q932" s="529"/>
      <c r="R932" s="529"/>
      <c r="S932" s="529"/>
      <c r="T932" s="529"/>
      <c r="U932" s="529"/>
      <c r="V932" s="529"/>
      <c r="W932" s="529"/>
      <c r="X932" s="529"/>
      <c r="Y932" s="529"/>
      <c r="Z932" s="529"/>
      <c r="AA932" s="529"/>
      <c r="AB932" s="529"/>
      <c r="AC932" s="529"/>
      <c r="AD932" s="529"/>
      <c r="AE932" s="529"/>
      <c r="AF932" s="529"/>
      <c r="AG932" s="529"/>
      <c r="AH932" s="529"/>
      <c r="AI932" s="529"/>
      <c r="AJ932" s="529"/>
      <c r="AK932" s="529"/>
      <c r="AL932" s="529"/>
      <c r="AM932" s="529"/>
      <c r="AN932" s="529"/>
      <c r="AO932" s="529"/>
    </row>
    <row r="933">
      <c r="G933" s="529"/>
      <c r="H933" s="529"/>
      <c r="I933" s="529"/>
      <c r="J933" s="529"/>
      <c r="K933" s="529"/>
      <c r="L933" s="529"/>
      <c r="M933" s="529"/>
      <c r="N933" s="529"/>
      <c r="O933" s="529"/>
      <c r="P933" s="529"/>
      <c r="Q933" s="529"/>
      <c r="R933" s="529"/>
      <c r="S933" s="529"/>
      <c r="T933" s="529"/>
      <c r="U933" s="529"/>
      <c r="V933" s="529"/>
      <c r="W933" s="529"/>
      <c r="X933" s="529"/>
      <c r="Y933" s="529"/>
      <c r="Z933" s="529"/>
      <c r="AA933" s="529"/>
      <c r="AB933" s="529"/>
      <c r="AC933" s="529"/>
      <c r="AD933" s="529"/>
      <c r="AE933" s="529"/>
      <c r="AF933" s="529"/>
      <c r="AG933" s="529"/>
      <c r="AH933" s="529"/>
      <c r="AI933" s="529"/>
      <c r="AJ933" s="529"/>
      <c r="AK933" s="529"/>
      <c r="AL933" s="529"/>
      <c r="AM933" s="529"/>
      <c r="AN933" s="529"/>
      <c r="AO933" s="529"/>
    </row>
    <row r="934">
      <c r="G934" s="529"/>
      <c r="H934" s="529"/>
      <c r="I934" s="529"/>
      <c r="J934" s="529"/>
      <c r="K934" s="529"/>
      <c r="L934" s="529"/>
      <c r="M934" s="529"/>
      <c r="N934" s="529"/>
      <c r="O934" s="529"/>
      <c r="P934" s="529"/>
      <c r="Q934" s="529"/>
      <c r="R934" s="529"/>
      <c r="S934" s="529"/>
      <c r="T934" s="529"/>
      <c r="U934" s="529"/>
      <c r="V934" s="529"/>
      <c r="W934" s="529"/>
      <c r="X934" s="529"/>
      <c r="Y934" s="529"/>
      <c r="Z934" s="529"/>
      <c r="AA934" s="529"/>
      <c r="AB934" s="529"/>
      <c r="AC934" s="529"/>
      <c r="AD934" s="529"/>
      <c r="AE934" s="529"/>
      <c r="AF934" s="529"/>
      <c r="AG934" s="529"/>
      <c r="AH934" s="529"/>
      <c r="AI934" s="529"/>
      <c r="AJ934" s="529"/>
      <c r="AK934" s="529"/>
      <c r="AL934" s="529"/>
      <c r="AM934" s="529"/>
      <c r="AN934" s="529"/>
      <c r="AO934" s="529"/>
    </row>
    <row r="935">
      <c r="G935" s="529"/>
      <c r="H935" s="529"/>
      <c r="I935" s="529"/>
      <c r="J935" s="529"/>
      <c r="K935" s="529"/>
      <c r="L935" s="529"/>
      <c r="M935" s="529"/>
      <c r="N935" s="529"/>
      <c r="O935" s="529"/>
      <c r="P935" s="529"/>
      <c r="Q935" s="529"/>
      <c r="R935" s="529"/>
      <c r="S935" s="529"/>
      <c r="T935" s="529"/>
      <c r="U935" s="529"/>
      <c r="V935" s="529"/>
      <c r="W935" s="529"/>
      <c r="X935" s="529"/>
      <c r="Y935" s="529"/>
      <c r="Z935" s="529"/>
      <c r="AA935" s="529"/>
      <c r="AB935" s="529"/>
      <c r="AC935" s="529"/>
      <c r="AD935" s="529"/>
      <c r="AE935" s="529"/>
      <c r="AF935" s="529"/>
      <c r="AG935" s="529"/>
      <c r="AH935" s="529"/>
      <c r="AI935" s="529"/>
      <c r="AJ935" s="529"/>
      <c r="AK935" s="529"/>
      <c r="AL935" s="529"/>
      <c r="AM935" s="529"/>
      <c r="AN935" s="529"/>
      <c r="AO935" s="529"/>
    </row>
    <row r="936">
      <c r="G936" s="529"/>
      <c r="H936" s="529"/>
      <c r="I936" s="529"/>
      <c r="J936" s="529"/>
      <c r="K936" s="529"/>
      <c r="L936" s="529"/>
      <c r="M936" s="529"/>
      <c r="N936" s="529"/>
      <c r="O936" s="529"/>
      <c r="P936" s="529"/>
      <c r="Q936" s="529"/>
      <c r="R936" s="529"/>
      <c r="S936" s="529"/>
      <c r="T936" s="529"/>
      <c r="U936" s="529"/>
      <c r="V936" s="529"/>
      <c r="W936" s="529"/>
      <c r="X936" s="529"/>
      <c r="Y936" s="529"/>
      <c r="Z936" s="529"/>
      <c r="AA936" s="529"/>
      <c r="AB936" s="529"/>
      <c r="AC936" s="529"/>
      <c r="AD936" s="529"/>
      <c r="AE936" s="529"/>
      <c r="AF936" s="529"/>
      <c r="AG936" s="529"/>
      <c r="AH936" s="529"/>
      <c r="AI936" s="529"/>
      <c r="AJ936" s="529"/>
      <c r="AK936" s="529"/>
      <c r="AL936" s="529"/>
      <c r="AM936" s="529"/>
      <c r="AN936" s="529"/>
      <c r="AO936" s="529"/>
    </row>
    <row r="937">
      <c r="G937" s="529"/>
      <c r="H937" s="529"/>
      <c r="I937" s="529"/>
      <c r="J937" s="529"/>
      <c r="K937" s="529"/>
      <c r="L937" s="529"/>
      <c r="M937" s="529"/>
      <c r="N937" s="529"/>
      <c r="O937" s="529"/>
      <c r="P937" s="529"/>
      <c r="Q937" s="529"/>
      <c r="R937" s="529"/>
      <c r="S937" s="529"/>
      <c r="T937" s="529"/>
      <c r="U937" s="529"/>
      <c r="V937" s="529"/>
      <c r="W937" s="529"/>
      <c r="X937" s="529"/>
      <c r="Y937" s="529"/>
      <c r="Z937" s="529"/>
      <c r="AA937" s="529"/>
      <c r="AB937" s="529"/>
      <c r="AC937" s="529"/>
      <c r="AD937" s="529"/>
      <c r="AE937" s="529"/>
      <c r="AF937" s="529"/>
      <c r="AG937" s="529"/>
      <c r="AH937" s="529"/>
      <c r="AI937" s="529"/>
      <c r="AJ937" s="529"/>
      <c r="AK937" s="529"/>
      <c r="AL937" s="529"/>
      <c r="AM937" s="529"/>
      <c r="AN937" s="529"/>
      <c r="AO937" s="529"/>
    </row>
    <row r="938">
      <c r="G938" s="529"/>
      <c r="H938" s="529"/>
      <c r="I938" s="529"/>
      <c r="J938" s="529"/>
      <c r="K938" s="529"/>
      <c r="L938" s="529"/>
      <c r="M938" s="529"/>
      <c r="N938" s="529"/>
      <c r="O938" s="529"/>
      <c r="P938" s="529"/>
      <c r="Q938" s="529"/>
      <c r="R938" s="529"/>
      <c r="S938" s="529"/>
      <c r="T938" s="529"/>
      <c r="U938" s="529"/>
      <c r="V938" s="529"/>
      <c r="W938" s="529"/>
      <c r="X938" s="529"/>
      <c r="Y938" s="529"/>
      <c r="Z938" s="529"/>
      <c r="AA938" s="529"/>
      <c r="AB938" s="529"/>
      <c r="AC938" s="529"/>
      <c r="AD938" s="529"/>
      <c r="AE938" s="529"/>
      <c r="AF938" s="529"/>
      <c r="AG938" s="529"/>
      <c r="AH938" s="529"/>
      <c r="AI938" s="529"/>
      <c r="AJ938" s="529"/>
      <c r="AK938" s="529"/>
      <c r="AL938" s="529"/>
      <c r="AM938" s="529"/>
      <c r="AN938" s="529"/>
      <c r="AO938" s="529"/>
    </row>
    <row r="939">
      <c r="G939" s="529"/>
      <c r="H939" s="529"/>
      <c r="I939" s="529"/>
      <c r="J939" s="529"/>
      <c r="K939" s="529"/>
      <c r="L939" s="529"/>
      <c r="M939" s="529"/>
      <c r="N939" s="529"/>
      <c r="O939" s="529"/>
      <c r="P939" s="529"/>
      <c r="Q939" s="529"/>
      <c r="R939" s="529"/>
      <c r="S939" s="529"/>
      <c r="T939" s="529"/>
      <c r="U939" s="529"/>
      <c r="V939" s="529"/>
      <c r="W939" s="529"/>
      <c r="X939" s="529"/>
      <c r="Y939" s="529"/>
      <c r="Z939" s="529"/>
      <c r="AA939" s="529"/>
      <c r="AB939" s="529"/>
      <c r="AC939" s="529"/>
      <c r="AD939" s="529"/>
      <c r="AE939" s="529"/>
      <c r="AF939" s="529"/>
      <c r="AG939" s="529"/>
      <c r="AH939" s="529"/>
      <c r="AI939" s="529"/>
      <c r="AJ939" s="529"/>
      <c r="AK939" s="529"/>
      <c r="AL939" s="529"/>
      <c r="AM939" s="529"/>
      <c r="AN939" s="529"/>
      <c r="AO939" s="529"/>
    </row>
    <row r="940">
      <c r="G940" s="529"/>
      <c r="H940" s="529"/>
      <c r="I940" s="529"/>
      <c r="J940" s="529"/>
      <c r="K940" s="529"/>
      <c r="L940" s="529"/>
      <c r="M940" s="529"/>
      <c r="N940" s="529"/>
      <c r="O940" s="529"/>
      <c r="P940" s="529"/>
      <c r="Q940" s="529"/>
      <c r="R940" s="529"/>
      <c r="S940" s="529"/>
      <c r="T940" s="529"/>
      <c r="U940" s="529"/>
      <c r="V940" s="529"/>
      <c r="W940" s="529"/>
      <c r="X940" s="529"/>
      <c r="Y940" s="529"/>
      <c r="Z940" s="529"/>
      <c r="AA940" s="529"/>
      <c r="AB940" s="529"/>
      <c r="AC940" s="529"/>
      <c r="AD940" s="529"/>
      <c r="AE940" s="529"/>
      <c r="AF940" s="529"/>
      <c r="AG940" s="529"/>
      <c r="AH940" s="529"/>
      <c r="AI940" s="529"/>
      <c r="AJ940" s="529"/>
      <c r="AK940" s="529"/>
      <c r="AL940" s="529"/>
      <c r="AM940" s="529"/>
      <c r="AN940" s="529"/>
      <c r="AO940" s="529"/>
    </row>
    <row r="941">
      <c r="G941" s="529"/>
      <c r="H941" s="529"/>
      <c r="I941" s="529"/>
      <c r="J941" s="529"/>
      <c r="K941" s="529"/>
      <c r="L941" s="529"/>
      <c r="M941" s="529"/>
      <c r="N941" s="529"/>
      <c r="O941" s="529"/>
      <c r="P941" s="529"/>
      <c r="Q941" s="529"/>
      <c r="R941" s="529"/>
      <c r="S941" s="529"/>
      <c r="T941" s="529"/>
      <c r="U941" s="529"/>
      <c r="V941" s="529"/>
      <c r="W941" s="529"/>
      <c r="X941" s="529"/>
      <c r="Y941" s="529"/>
      <c r="Z941" s="529"/>
      <c r="AA941" s="529"/>
      <c r="AB941" s="529"/>
      <c r="AC941" s="529"/>
      <c r="AD941" s="529"/>
      <c r="AE941" s="529"/>
      <c r="AF941" s="529"/>
      <c r="AG941" s="529"/>
      <c r="AH941" s="529"/>
      <c r="AI941" s="529"/>
      <c r="AJ941" s="529"/>
      <c r="AK941" s="529"/>
      <c r="AL941" s="529"/>
      <c r="AM941" s="529"/>
      <c r="AN941" s="529"/>
      <c r="AO941" s="529"/>
    </row>
    <row r="942">
      <c r="G942" s="529"/>
      <c r="H942" s="529"/>
      <c r="I942" s="529"/>
      <c r="J942" s="529"/>
      <c r="K942" s="529"/>
      <c r="L942" s="529"/>
      <c r="M942" s="529"/>
      <c r="N942" s="529"/>
      <c r="O942" s="529"/>
      <c r="P942" s="529"/>
      <c r="Q942" s="529"/>
      <c r="R942" s="529"/>
      <c r="S942" s="529"/>
      <c r="T942" s="529"/>
      <c r="U942" s="529"/>
      <c r="V942" s="529"/>
      <c r="W942" s="529"/>
      <c r="X942" s="529"/>
      <c r="Y942" s="529"/>
      <c r="Z942" s="529"/>
      <c r="AA942" s="529"/>
      <c r="AB942" s="529"/>
      <c r="AC942" s="529"/>
      <c r="AD942" s="529"/>
      <c r="AE942" s="529"/>
      <c r="AF942" s="529"/>
      <c r="AG942" s="529"/>
      <c r="AH942" s="529"/>
      <c r="AI942" s="529"/>
      <c r="AJ942" s="529"/>
      <c r="AK942" s="529"/>
      <c r="AL942" s="529"/>
      <c r="AM942" s="529"/>
      <c r="AN942" s="529"/>
      <c r="AO942" s="529"/>
    </row>
    <row r="943">
      <c r="G943" s="529"/>
      <c r="H943" s="529"/>
      <c r="I943" s="529"/>
      <c r="J943" s="529"/>
      <c r="K943" s="529"/>
      <c r="L943" s="529"/>
      <c r="M943" s="529"/>
      <c r="N943" s="529"/>
      <c r="O943" s="529"/>
      <c r="P943" s="529"/>
      <c r="Q943" s="529"/>
      <c r="R943" s="529"/>
      <c r="S943" s="529"/>
      <c r="T943" s="529"/>
      <c r="U943" s="529"/>
      <c r="V943" s="529"/>
      <c r="W943" s="529"/>
      <c r="X943" s="529"/>
      <c r="Y943" s="529"/>
      <c r="Z943" s="529"/>
      <c r="AA943" s="529"/>
      <c r="AB943" s="529"/>
      <c r="AC943" s="529"/>
      <c r="AD943" s="529"/>
      <c r="AE943" s="529"/>
      <c r="AF943" s="529"/>
      <c r="AG943" s="529"/>
      <c r="AH943" s="529"/>
      <c r="AI943" s="529"/>
      <c r="AJ943" s="529"/>
      <c r="AK943" s="529"/>
      <c r="AL943" s="529"/>
      <c r="AM943" s="529"/>
      <c r="AN943" s="529"/>
      <c r="AO943" s="529"/>
    </row>
    <row r="944">
      <c r="G944" s="529"/>
      <c r="H944" s="529"/>
      <c r="I944" s="529"/>
      <c r="J944" s="529"/>
      <c r="K944" s="529"/>
      <c r="L944" s="529"/>
      <c r="M944" s="529"/>
      <c r="N944" s="529"/>
      <c r="O944" s="529"/>
      <c r="P944" s="529"/>
      <c r="Q944" s="529"/>
      <c r="R944" s="529"/>
      <c r="S944" s="529"/>
      <c r="T944" s="529"/>
      <c r="U944" s="529"/>
      <c r="V944" s="529"/>
      <c r="W944" s="529"/>
      <c r="X944" s="529"/>
      <c r="Y944" s="529"/>
      <c r="Z944" s="529"/>
      <c r="AA944" s="529"/>
      <c r="AB944" s="529"/>
      <c r="AC944" s="529"/>
      <c r="AD944" s="529"/>
      <c r="AE944" s="529"/>
      <c r="AF944" s="529"/>
      <c r="AG944" s="529"/>
      <c r="AH944" s="529"/>
      <c r="AI944" s="529"/>
      <c r="AJ944" s="529"/>
      <c r="AK944" s="529"/>
      <c r="AL944" s="529"/>
      <c r="AM944" s="529"/>
      <c r="AN944" s="529"/>
      <c r="AO944" s="529"/>
    </row>
    <row r="945">
      <c r="G945" s="529"/>
      <c r="H945" s="529"/>
      <c r="I945" s="529"/>
      <c r="J945" s="529"/>
      <c r="K945" s="529"/>
      <c r="L945" s="529"/>
      <c r="M945" s="529"/>
      <c r="N945" s="529"/>
      <c r="O945" s="529"/>
      <c r="P945" s="529"/>
      <c r="Q945" s="529"/>
      <c r="R945" s="529"/>
      <c r="S945" s="529"/>
      <c r="T945" s="529"/>
      <c r="U945" s="529"/>
      <c r="V945" s="529"/>
      <c r="W945" s="529"/>
      <c r="X945" s="529"/>
      <c r="Y945" s="529"/>
      <c r="Z945" s="529"/>
      <c r="AA945" s="529"/>
      <c r="AB945" s="529"/>
      <c r="AC945" s="529"/>
      <c r="AD945" s="529"/>
      <c r="AE945" s="529"/>
      <c r="AF945" s="529"/>
      <c r="AG945" s="529"/>
      <c r="AH945" s="529"/>
      <c r="AI945" s="529"/>
      <c r="AJ945" s="529"/>
      <c r="AK945" s="529"/>
      <c r="AL945" s="529"/>
      <c r="AM945" s="529"/>
      <c r="AN945" s="529"/>
      <c r="AO945" s="529"/>
    </row>
    <row r="946">
      <c r="G946" s="529"/>
      <c r="H946" s="529"/>
      <c r="I946" s="529"/>
      <c r="J946" s="529"/>
      <c r="K946" s="529"/>
      <c r="L946" s="529"/>
      <c r="M946" s="529"/>
      <c r="N946" s="529"/>
      <c r="O946" s="529"/>
      <c r="P946" s="529"/>
      <c r="Q946" s="529"/>
      <c r="R946" s="529"/>
      <c r="S946" s="529"/>
      <c r="T946" s="529"/>
      <c r="U946" s="529"/>
      <c r="V946" s="529"/>
      <c r="W946" s="529"/>
      <c r="X946" s="529"/>
      <c r="Y946" s="529"/>
      <c r="Z946" s="529"/>
      <c r="AA946" s="529"/>
      <c r="AB946" s="529"/>
      <c r="AC946" s="529"/>
      <c r="AD946" s="529"/>
      <c r="AE946" s="529"/>
      <c r="AF946" s="529"/>
      <c r="AG946" s="529"/>
      <c r="AH946" s="529"/>
      <c r="AI946" s="529"/>
      <c r="AJ946" s="529"/>
      <c r="AK946" s="529"/>
      <c r="AL946" s="529"/>
      <c r="AM946" s="529"/>
      <c r="AN946" s="529"/>
      <c r="AO946" s="529"/>
    </row>
    <row r="947">
      <c r="G947" s="529"/>
      <c r="H947" s="529"/>
      <c r="I947" s="529"/>
      <c r="J947" s="529"/>
      <c r="K947" s="529"/>
      <c r="L947" s="529"/>
      <c r="M947" s="529"/>
      <c r="N947" s="529"/>
      <c r="O947" s="529"/>
      <c r="P947" s="529"/>
      <c r="Q947" s="529"/>
      <c r="R947" s="529"/>
      <c r="S947" s="529"/>
      <c r="T947" s="529"/>
      <c r="U947" s="529"/>
      <c r="V947" s="529"/>
      <c r="W947" s="529"/>
      <c r="X947" s="529"/>
      <c r="Y947" s="529"/>
      <c r="Z947" s="529"/>
      <c r="AA947" s="529"/>
      <c r="AB947" s="529"/>
      <c r="AC947" s="529"/>
      <c r="AD947" s="529"/>
      <c r="AE947" s="529"/>
      <c r="AF947" s="529"/>
      <c r="AG947" s="529"/>
      <c r="AH947" s="529"/>
      <c r="AI947" s="529"/>
      <c r="AJ947" s="529"/>
      <c r="AK947" s="529"/>
      <c r="AL947" s="529"/>
      <c r="AM947" s="529"/>
      <c r="AN947" s="529"/>
      <c r="AO947" s="529"/>
    </row>
    <row r="948">
      <c r="G948" s="529"/>
      <c r="H948" s="529"/>
      <c r="I948" s="529"/>
      <c r="J948" s="529"/>
      <c r="K948" s="529"/>
      <c r="L948" s="529"/>
      <c r="M948" s="529"/>
      <c r="N948" s="529"/>
      <c r="O948" s="529"/>
      <c r="P948" s="529"/>
      <c r="Q948" s="529"/>
      <c r="R948" s="529"/>
      <c r="S948" s="529"/>
      <c r="T948" s="529"/>
      <c r="U948" s="529"/>
      <c r="V948" s="529"/>
      <c r="W948" s="529"/>
      <c r="X948" s="529"/>
      <c r="Y948" s="529"/>
      <c r="Z948" s="529"/>
      <c r="AA948" s="529"/>
      <c r="AB948" s="529"/>
      <c r="AC948" s="529"/>
      <c r="AD948" s="529"/>
      <c r="AE948" s="529"/>
      <c r="AF948" s="529"/>
      <c r="AG948" s="529"/>
      <c r="AH948" s="529"/>
      <c r="AI948" s="529"/>
      <c r="AJ948" s="529"/>
      <c r="AK948" s="529"/>
      <c r="AL948" s="529"/>
      <c r="AM948" s="529"/>
      <c r="AN948" s="529"/>
      <c r="AO948" s="529"/>
    </row>
    <row r="949">
      <c r="G949" s="529"/>
      <c r="H949" s="529"/>
      <c r="I949" s="529"/>
      <c r="J949" s="529"/>
      <c r="K949" s="529"/>
      <c r="L949" s="529"/>
      <c r="M949" s="529"/>
      <c r="N949" s="529"/>
      <c r="O949" s="529"/>
      <c r="P949" s="529"/>
      <c r="Q949" s="529"/>
      <c r="R949" s="529"/>
      <c r="S949" s="529"/>
      <c r="T949" s="529"/>
      <c r="U949" s="529"/>
      <c r="V949" s="529"/>
      <c r="W949" s="529"/>
      <c r="X949" s="529"/>
      <c r="Y949" s="529"/>
      <c r="Z949" s="529"/>
      <c r="AA949" s="529"/>
      <c r="AB949" s="529"/>
      <c r="AC949" s="529"/>
      <c r="AD949" s="529"/>
      <c r="AE949" s="529"/>
      <c r="AF949" s="529"/>
      <c r="AG949" s="529"/>
      <c r="AH949" s="529"/>
      <c r="AI949" s="529"/>
      <c r="AJ949" s="529"/>
      <c r="AK949" s="529"/>
      <c r="AL949" s="529"/>
      <c r="AM949" s="529"/>
      <c r="AN949" s="529"/>
      <c r="AO949" s="529"/>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